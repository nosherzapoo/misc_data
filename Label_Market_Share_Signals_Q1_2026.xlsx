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 1 - Q1'26 US Share" sheetId="1" state="visible" r:id="rId3"/>
    <sheet name="Releases Comparison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<sst xmlns="http://schemas.openxmlformats.org/spreadsheetml/2006/main" count="304" uniqueCount="222">
  <si>
    <t xml:space="preserve">Signal 1  |  Latest Quarterly US Market Share, Q1 2026</t>
  </si>
  <si>
    <t xml:space="preserve">Geography: United States   |   Period: calendar Q1 2026 (ended Mar 31, 2026)   |   Metric basis: consumption (album-equivalent units)   |   Source: Luminate, via Billboard [S1]</t>
  </si>
  <si>
    <t xml:space="preserve">A.  'Current' share by DISTRIBUTION ownership  (current = titles released in past 18 months)</t>
  </si>
  <si>
    <t xml:space="preserve">Company</t>
  </si>
  <si>
    <t xml:space="preserve">Q1 2026</t>
  </si>
  <si>
    <t xml:space="preserve">Q1 2025</t>
  </si>
  <si>
    <t xml:space="preserve">Chg (pp)</t>
  </si>
  <si>
    <t xml:space="preserve">Key drivers / comment</t>
  </si>
  <si>
    <t xml:space="preserve">UMG</t>
  </si>
  <si>
    <t xml:space="preserve">Olivia Dean and J. Cole were drivers; large negative YoY on a light frontline slate</t>
  </si>
  <si>
    <t xml:space="preserve">Sony Music</t>
  </si>
  <si>
    <t xml:space="preserve">n/a</t>
  </si>
  <si>
    <t xml:space="preserve">Up &gt;1 pp YoY; within 2 points of UMG, closest in years (The Orchard strong)</t>
  </si>
  <si>
    <t xml:space="preserve">Warner (WMG)</t>
  </si>
  <si>
    <t xml:space="preserve">Up &gt;2 pp YoY</t>
  </si>
  <si>
    <t xml:space="preserve">Independents</t>
  </si>
  <si>
    <t xml:space="preserve">Biggest gainer YoY; Bad Bunny (Rimas), Djo (Djo Music)</t>
  </si>
  <si>
    <t xml:space="preserve">Total</t>
  </si>
  <si>
    <t xml:space="preserve">Sum reconciles to ~100% (rounding)</t>
  </si>
  <si>
    <t xml:space="preserve">B.  Catalog and Total share by DISTRIBUTION ownership  (Total = current + catalog)</t>
  </si>
  <si>
    <t xml:space="preserve">Catalog</t>
  </si>
  <si>
    <t xml:space="preserve">Comment</t>
  </si>
  <si>
    <t xml:space="preserve">Catalog leader by a wide margin; slight Total dip YoY</t>
  </si>
  <si>
    <t xml:space="preserve">Grew YoY</t>
  </si>
  <si>
    <t xml:space="preserve">Slight Total dip YoY</t>
  </si>
  <si>
    <t xml:space="preserve">Sum check</t>
  </si>
  <si>
    <t xml:space="preserve">Total sums to ~100%; catalog column as published does NOT sum to 100% (flagged in Billboard reader comment)</t>
  </si>
  <si>
    <t xml:space="preserve">C.  'Current' share by LABEL ownership  (indie-distributed releases counted as independent)</t>
  </si>
  <si>
    <t xml:space="preserve">Single largest slice of the current US market under this methodology</t>
  </si>
  <si>
    <t xml:space="preserve">Sums to 100%</t>
  </si>
  <si>
    <t xml:space="preserve">D.  Top individual labels by 'current' share, Q1 2026 (leaderboard; not exhaustive)</t>
  </si>
  <si>
    <t xml:space="preserve">#</t>
  </si>
  <si>
    <t xml:space="preserve">Label</t>
  </si>
  <si>
    <t xml:space="preserve">Parent</t>
  </si>
  <si>
    <t xml:space="preserve">Key drivers</t>
  </si>
  <si>
    <t xml:space="preserve">Republic</t>
  </si>
  <si>
    <t xml:space="preserve">Taylor Swift, Morgan Wallen; first sub-10% quarter since 2022</t>
  </si>
  <si>
    <t xml:space="preserve">Atlantic</t>
  </si>
  <si>
    <t xml:space="preserve">WMG</t>
  </si>
  <si>
    <t xml:space="preserve">Bruno Mars, Don Toliver, Kehlani, Alex Warren; highest since 2022</t>
  </si>
  <si>
    <t xml:space="preserve">Interscope Geffen A&amp;M</t>
  </si>
  <si>
    <t xml:space="preserve">Eilish and Gracie Abrams shifted to catalog; was #1 a year ago</t>
  </si>
  <si>
    <t xml:space="preserve">Warner Records</t>
  </si>
  <si>
    <t xml:space="preserve">Zach Bryan (Jan release)</t>
  </si>
  <si>
    <t xml:space="preserve">Columbia</t>
  </si>
  <si>
    <t xml:space="preserve">Sony</t>
  </si>
  <si>
    <t xml:space="preserve">Harry Styles, Ella Langley, Dominic Fike</t>
  </si>
  <si>
    <t xml:space="preserve">Capitol Music Group</t>
  </si>
  <si>
    <t xml:space="preserve">Incl. Astralwerks, Blue Note, Capitol Christian</t>
  </si>
  <si>
    <t xml:space="preserve">RCA</t>
  </si>
  <si>
    <t xml:space="preserve">Slipped to 7th from 5th a year ago</t>
  </si>
  <si>
    <t xml:space="preserve">Alamo Records</t>
  </si>
  <si>
    <t xml:space="preserve">Sony Music Nashville</t>
  </si>
  <si>
    <t xml:space="preserve">Sony Music Latin</t>
  </si>
  <si>
    <t xml:space="preserve">Notes</t>
  </si>
  <si>
    <t xml:space="preserve">1. 'Current' = album-equivalent units from titles released in the prior 18 months; 'Catalog' = older titles; 'Total' = current + catalog.</t>
  </si>
  <si>
    <t xml:space="preserve">2. Distribution ownership credits the major that distributes a release; label ownership re-classifies indie-distributed releases as independent. This is why the indie share jumps from 22.65% (distribution, Table A) to 44.15% (label, Table C).</t>
  </si>
  <si>
    <t xml:space="preserve">3. Billboard called Q1 2026 'an aberration' driven by a surging indie sector, a varied release schedule, and big albums (Swift, Wallen, Drake) rolling from current into catalog status.</t>
  </si>
  <si>
    <t xml:space="preserve">4. Exact prior-year (Q1 2025) values shown only where Billboard published them; where only direction was given, see the comment column.</t>
  </si>
  <si>
    <t xml:space="preserve">5. Catalog figures (Table B) as published do not sum to 100%; a reader flagged this in the article comments. Reproduced as published, not adjusted.</t>
  </si>
  <si>
    <t xml:space="preserve">6. All figures are Billboard estimates based on Luminate data [S1]. See 'Notes &amp; Sources' tab for full citation.</t>
  </si>
  <si>
    <t xml:space="preserve">Releases Comparison  |  UMG vs WMG, quarter ended Mar 31, 2026</t>
  </si>
  <si>
    <t xml:space="preserve">The crux: UMG actually had the two largest new debuts of the quarter (J. Cole #1 at ~280k, BTS), yet still ceded frontline share because its prior-year Q1 stacked five blockbusters. WMG gained share on a broad base: a Zach Bryan #1 plus deep carryover momentum across Atlantic. So the share swing was a comp and breadth story, not an absence of UMG hits.</t>
  </si>
  <si>
    <t xml:space="preserve">Table 1.  Key releases and current-title drivers, Q1 2026 (with performance notes)</t>
  </si>
  <si>
    <t xml:space="preserve">Artist</t>
  </si>
  <si>
    <t xml:space="preserve">Release / title</t>
  </si>
  <si>
    <t xml:space="preserve">Imprint</t>
  </si>
  <si>
    <t xml:space="preserve">Type</t>
  </si>
  <si>
    <t xml:space="preserve">Released</t>
  </si>
  <si>
    <t xml:space="preserve">Performance notes (incl. Q1 share impact)</t>
  </si>
  <si>
    <t xml:space="preserve">Src</t>
  </si>
  <si>
    <t xml:space="preserve">J. Cole</t>
  </si>
  <si>
    <t xml:space="preserve">The Fall-Off</t>
  </si>
  <si>
    <t xml:space="preserve">Dreamville / Interscope</t>
  </si>
  <si>
    <t xml:space="preserve">New Q1 release</t>
  </si>
  <si>
    <t xml:space="preserve">Feb 6, 2026</t>
  </si>
  <si>
    <t xml:space="preserve">Debuted at #1 on the Billboard 200 with ~280k first-week units (166.5k from streaming; ~80k vinyl, his biggest vinyl week). Biggest US album debut of the year at release and the largest hip-hop sales week since Mar 2025.</t>
  </si>
  <si>
    <t xml:space="preserve">S10,S7</t>
  </si>
  <si>
    <t xml:space="preserve">BTS</t>
  </si>
  <si>
    <t xml:space="preserve">ARIRANG</t>
  </si>
  <si>
    <t xml:space="preserve">BigHit / HYBE (UMG distribution)</t>
  </si>
  <si>
    <t xml:space="preserve">BTS's first studio album in five years; UMG holds a distribution interest. A flagged Q1 highlight, but on its own it could not match last year's much heavier Q1 slate.</t>
  </si>
  <si>
    <t xml:space="preserve">S7,S2</t>
  </si>
  <si>
    <t xml:space="preserve">Olivia Dean</t>
  </si>
  <si>
    <t xml:space="preserve">Catalog + Grammy run</t>
  </si>
  <si>
    <t xml:space="preserve">UMG (EMI)</t>
  </si>
  <si>
    <t xml:space="preserve">Carryover current; award boost</t>
  </si>
  <si>
    <t xml:space="preserve">2025 album</t>
  </si>
  <si>
    <t xml:space="preserve">Won the 2026 Best New Artist Grammy (Feb 1), lifting current and catalog consumption. Named by UMG and Billboard as a Q1 driver.</t>
  </si>
  <si>
    <t xml:space="preserve">S2,S7</t>
  </si>
  <si>
    <t xml:space="preserve">Taylor Swift</t>
  </si>
  <si>
    <t xml:space="preserve">The Life of a Showgirl</t>
  </si>
  <si>
    <t xml:space="preserve">Carryover current</t>
  </si>
  <si>
    <t xml:space="preserve">Oct 2025</t>
  </si>
  <si>
    <t xml:space="preserve">Helped keep Republic the #1 individual label by current share (9.98%). Older Swift albums rolled into catalog during the quarter, a drag on UMG current share.</t>
  </si>
  <si>
    <t xml:space="preserve">S1</t>
  </si>
  <si>
    <t xml:space="preserve">Morgan Wallen</t>
  </si>
  <si>
    <t xml:space="preserve">I'm the Problem</t>
  </si>
  <si>
    <t xml:space="preserve">Big Loud / Mercury / Republic</t>
  </si>
  <si>
    <t xml:space="preserve">May 2025</t>
  </si>
  <si>
    <t xml:space="preserve">Sustained streaming kept Republic at the top of the current-label leaderboard.</t>
  </si>
  <si>
    <t xml:space="preserve">Zach Bryan</t>
  </si>
  <si>
    <t xml:space="preserve">With Heaven on Top</t>
  </si>
  <si>
    <t xml:space="preserve">Belting Bronco / Warner Records</t>
  </si>
  <si>
    <t xml:space="preserve">Jan 9, 2026</t>
  </si>
  <si>
    <t xml:space="preserve">Debuted at #1 on the Billboard 200 with 134k first-week units (127k from streaming); his second #1. Drove Warner Records to #4 by current label share (5.54%).</t>
  </si>
  <si>
    <t xml:space="preserve">S11,S1</t>
  </si>
  <si>
    <t xml:space="preserve">Bruno Mars</t>
  </si>
  <si>
    <t xml:space="preserve">Singles + collabs + pop-up</t>
  </si>
  <si>
    <t xml:space="preserve">Carryover current + activation</t>
  </si>
  <si>
    <t xml:space="preserve">Sustained smash singles plus a Feb 2026 Los Angeles pop-up activation. A key reason Atlantic jumped to #2 by current share (8.76%, its highest since 2022). WMG top seller in the quarter.</t>
  </si>
  <si>
    <t xml:space="preserve">S5,S1</t>
  </si>
  <si>
    <t xml:space="preserve">Alex Warren</t>
  </si>
  <si>
    <t xml:space="preserve">Singles</t>
  </si>
  <si>
    <t xml:space="preserve">Continued singles momentum; cited among the drivers lifting Atlantic to #2. WMG top seller in the quarter.</t>
  </si>
  <si>
    <t xml:space="preserve">Don Toliver</t>
  </si>
  <si>
    <t xml:space="preserve">Project</t>
  </si>
  <si>
    <t xml:space="preserve">Atlantic / Cactus Jack</t>
  </si>
  <si>
    <t xml:space="preserve">Big project named among the Atlantic drivers behind its jump to #2 by current share.</t>
  </si>
  <si>
    <t xml:space="preserve">sombr</t>
  </si>
  <si>
    <t xml:space="preserve">Breakout singles / debut LP</t>
  </si>
  <si>
    <t xml:space="preserve">Carryover current (breakout)</t>
  </si>
  <si>
    <t xml:space="preserve">2025</t>
  </si>
  <si>
    <t xml:space="preserve">Breakout act named among WMG's top sellers in the quarter.</t>
  </si>
  <si>
    <t xml:space="preserve">S5</t>
  </si>
  <si>
    <t xml:space="preserve">Ed Sheeran</t>
  </si>
  <si>
    <t xml:space="preserve">Play (era)</t>
  </si>
  <si>
    <t xml:space="preserve">Sep 2025</t>
  </si>
  <si>
    <t xml:space="preserve">Among WMG's top sellers in the quarter.</t>
  </si>
  <si>
    <t xml:space="preserve">Melanie Martinez</t>
  </si>
  <si>
    <t xml:space="preserve">Catalog / current</t>
  </si>
  <si>
    <t xml:space="preserve">2023-25</t>
  </si>
  <si>
    <t xml:space="preserve">Type key:  'New Q1 release' = album/EP first issued Jan to Mar 2026.   'Carryover current' = title still inside the 18-month current window and selling or streaming strongly in Q1.</t>
  </si>
  <si>
    <t xml:space="preserve">Table 2.  Financial and strategic context (same quarter)</t>
  </si>
  <si>
    <t xml:space="preserve">Dimension</t>
  </si>
  <si>
    <t xml:space="preserve">UMG (Universal Music Group)</t>
  </si>
  <si>
    <t xml:space="preserve">WMG (Warner Music Group)</t>
  </si>
  <si>
    <t xml:space="preserve">Reporting period</t>
  </si>
  <si>
    <t xml:space="preserve">Quarter ended Mar 31, 2026 (calendar Q1)</t>
  </si>
  <si>
    <t xml:space="preserve">Quarter ended Mar 31, 2026 (fiscal Q2 2026)</t>
  </si>
  <si>
    <t xml:space="preserve">S2,S5</t>
  </si>
  <si>
    <t xml:space="preserve">Earnings release date</t>
  </si>
  <si>
    <t xml:space="preserve">Apr 29, 2026</t>
  </si>
  <si>
    <t xml:space="preserve">May 7, 2026</t>
  </si>
  <si>
    <t xml:space="preserve">Release-slate effect on share</t>
  </si>
  <si>
    <t xml:space="preserve">Light schedule cut ~2 pp from subscription growth and drove lower market share vs a strong prior-year quarter</t>
  </si>
  <si>
    <t xml:space="preserve">Continued market share gains; physical revenue up 18% on new releases</t>
  </si>
  <si>
    <t xml:space="preserve">S2,S6</t>
  </si>
  <si>
    <t xml:space="preserve">Total revenue growth (constant FX)</t>
  </si>
  <si>
    <t xml:space="preserve">+8.1%</t>
  </si>
  <si>
    <t xml:space="preserve">+12.1%</t>
  </si>
  <si>
    <t xml:space="preserve">Recorded music revenue growth</t>
  </si>
  <si>
    <t xml:space="preserve">+8.9% cc (+5.4% excl. Downtown)</t>
  </si>
  <si>
    <t xml:space="preserve">+13% (about +12.7% cc)</t>
  </si>
  <si>
    <t xml:space="preserve">S2,S5,S6</t>
  </si>
  <si>
    <t xml:space="preserve">Subscription streaming growth</t>
  </si>
  <si>
    <t xml:space="preserve">+12.5% cc</t>
  </si>
  <si>
    <t xml:space="preserve">+15% (adjusted basis)</t>
  </si>
  <si>
    <t xml:space="preserve">Management commentary</t>
  </si>
  <si>
    <t xml:space="preserve">Grainge: many of this year's biggest releases are still ahead; the annual picture is more telling than any quarter</t>
  </si>
  <si>
    <t xml:space="preserve">Kyncl: the strong quarter is years of foundational work; 'we have now hit our stride'</t>
  </si>
  <si>
    <t xml:space="preserve">S4,S7</t>
  </si>
  <si>
    <t xml:space="preserve">Notable strategic / catalog moves</t>
  </si>
  <si>
    <t xml:space="preserve">Consolidated Downtown (from Feb 20, 2026); buyback raised to EUR 1bn; selling half of its Spotify stake</t>
  </si>
  <si>
    <t xml:space="preserve">Spent ~$300m of its Bain Capital JV on the Red Hot Chili Peppers recorded catalog</t>
  </si>
  <si>
    <t xml:space="preserve">Market reaction</t>
  </si>
  <si>
    <t xml:space="preserve">Shares fell ~9% post-print despite beating on most metrics (lighter slate disappointed)</t>
  </si>
  <si>
    <t xml:space="preserve">Beat hard: EPS $0.44 vs $0.27 est.; shares jumped after hours</t>
  </si>
  <si>
    <t xml:space="preserve">S7,S9</t>
  </si>
  <si>
    <t xml:space="preserve">1. UMG reports in EUR; growth shown at constant currency (cc), its preferred metric. WMG total and recorded growth shown at cc for comparability; subscription streaming '+15%' is WMG's adjusted basis from the earnings call.</t>
  </si>
  <si>
    <t xml:space="preserve">2. Fiscal-calendar note: the underlying period is the same (Jan to Mar 2026), but it is UMG's calendar Q1 and WMG's fiscal Q2 (WMG's fiscal year ends Sep 30).</t>
  </si>
  <si>
    <t xml:space="preserve">3. WMG recorded music was reported at about +17% in headline USD (reported, not cc) by some outlets; the cc figure (~+12.7%) is used here for like-for-like comparison.</t>
  </si>
  <si>
    <t xml:space="preserve">4. Imprint and release-date fields are best-available attributions from the cited public coverage; where a specific title or imprint was not confirmed in source, the field is generalized.</t>
  </si>
  <si>
    <t xml:space="preserve">5. See the 'Notes &amp; Sources' tab for full citations behind each Src tag.</t>
  </si>
  <si>
    <t xml:space="preserve">Notes &amp; Sources</t>
  </si>
  <si>
    <t xml:space="preserve">Ref</t>
  </si>
  <si>
    <t xml:space="preserve">Source</t>
  </si>
  <si>
    <t xml:space="preserve">Date</t>
  </si>
  <si>
    <t xml:space="preserve">URL</t>
  </si>
  <si>
    <t xml:space="preserve">Billboard / Luminate: 'Q1 2026 Market Share: REPUBLIC Leads, Atlantic Jumps to Second, Sony Narrows Gap on UMG' (Dan Rys)</t>
  </si>
  <si>
    <t xml:space="preserve">May 11, 2026</t>
  </si>
  <si>
    <t xml:space="preserve">https://www.billboard.com/pro/record-label-market-share-q1-2026-republic-leads-atlantic/</t>
  </si>
  <si>
    <t xml:space="preserve">S2</t>
  </si>
  <si>
    <t xml:space="preserve">Universal Music Group N.V.: 'Reports Financial Results for the First Quarter Ended March 31, 2026' (PR Newswire)</t>
  </si>
  <si>
    <t xml:space="preserve">https://www.prnewswire.com/news-releases/universal-music-group-nv-reports-financial-results-for-the-first-quarter-ended-march-31-2026-302757391.html</t>
  </si>
  <si>
    <t xml:space="preserve">S3</t>
  </si>
  <si>
    <t xml:space="preserve">Music Business Worldwide: 'Universal Music Group generated $3.39 billion in Q1, up 8.1% YoY'</t>
  </si>
  <si>
    <t xml:space="preserve">https://www.musicbusinessworldwide.com/universal-music-group-generated-3-39-billion-in-q1-up-8-1-yoy-driven-by-bts-olivia-dean-taylor-swift-and-more/</t>
  </si>
  <si>
    <t xml:space="preserve">S4</t>
  </si>
  <si>
    <t xml:space="preserve">UMG Q1 FY2026 earnings call transcript (via Yahoo Finance)</t>
  </si>
  <si>
    <t xml:space="preserve">https://finance.yahoo.com/quote/UMG.AS/earnings/UMG.AS-Q1-2026-earnings_call-583737.html</t>
  </si>
  <si>
    <t xml:space="preserve">Music Business Worldwide: 'Warner Music Group generated $1.73bn in calendar Q1 2026; subscription streaming up 12.7% YoY'</t>
  </si>
  <si>
    <t xml:space="preserve">https://www.musicbusinessworldwide.com/warner-music-group-generated-1-73bn-in-calendar-q1-2026-subscription-streaming-revenues-rose-12-7-yoy/</t>
  </si>
  <si>
    <t xml:space="preserve">S6</t>
  </si>
  <si>
    <t xml:space="preserve">Warner Music (WMG) Q2 2026 earnings call transcript (The Motley Fool)</t>
  </si>
  <si>
    <t xml:space="preserve">https://www.fool.com/earnings/call-transcripts/2026/05/07/warner-music-wmg-q2-2026-earnings-transcript/</t>
  </si>
  <si>
    <t xml:space="preserve">S7</t>
  </si>
  <si>
    <t xml:space="preserve">Billboard: 'Music Company Earnings Q1 2026: What Spotify, UMG, HYBE &amp; More Made'</t>
  </si>
  <si>
    <t xml:space="preserve">May 15, 2026</t>
  </si>
  <si>
    <t xml:space="preserve">https://www.billboard.com/lists/music-company-earnings-q1-2026-what-spotify-umg-hybe-made/</t>
  </si>
  <si>
    <t xml:space="preserve">S8</t>
  </si>
  <si>
    <t xml:space="preserve">The Hollywood Reporter: 'Warner Music Group Posts $1.7B in Revenue For Second Quarter of 2026'</t>
  </si>
  <si>
    <t xml:space="preserve">May 8, 2026</t>
  </si>
  <si>
    <t xml:space="preserve">https://www.hollywoodreporter.com/music/music-industry-news/warner-music-revenue-increase-q2-2026-1236589492/</t>
  </si>
  <si>
    <t xml:space="preserve">S9</t>
  </si>
  <si>
    <t xml:space="preserve">Investing.com: 'Earnings call transcript: Warner Music Q2 2026 beats EPS and revenue estimates'</t>
  </si>
  <si>
    <t xml:space="preserve">May 2026</t>
  </si>
  <si>
    <t xml:space="preserve">https://www.investing.com/news/transcripts/earnings-call-transcript-warner-music-q2-2026-beats-eps-and-revenue-estimates-93CH-4687449</t>
  </si>
  <si>
    <t xml:space="preserve">S10</t>
  </si>
  <si>
    <t xml:space="preserve">The RReport (citing Billboard chart data): 'J. Cole's The Fall-Off Debuts at #1 on the Billboard Top 200', ~280k first-week units</t>
  </si>
  <si>
    <t xml:space="preserve">Feb 2026</t>
  </si>
  <si>
    <t xml:space="preserve">https://www.therreportmag.com/j-coles-the-fall-off-debuts-at-1-on-the-billboard-top-200-chart/</t>
  </si>
  <si>
    <t xml:space="preserve">S11</t>
  </si>
  <si>
    <t xml:space="preserve">Wikipedia (citing Billboard chart data): 'With Heaven on Top' (Zach Bryan), #1 debut, 134k equivalent units</t>
  </si>
  <si>
    <t xml:space="preserve">2026</t>
  </si>
  <si>
    <t xml:space="preserve">https://en.wikipedia.org/wiki/With_Heaven_on_Top</t>
  </si>
  <si>
    <t xml:space="preserve">Methodology caveats</t>
  </si>
  <si>
    <t xml:space="preserve">Three different lenses are not directly comparable: (a) Signal 1 = US consumption share (Luminate); (b) the releases-sheet growth rates = constant-currency revenue growth from company results; (c) full-year global share (cited separately on UMG's call: ~33% recorded music in 2025) = global revenue basis (Music &amp; Copyright / Omdia).</t>
  </si>
  <si>
    <t xml:space="preserve">Constant currency (cc) strips FX moves. UMG reports in EUR, WMG in USD, so cc is the fairest cross-company growth comparison.</t>
  </si>
  <si>
    <t xml:space="preserve">First-week unit figures are US Billboard 200 / Luminate; share impacts reference Billboard's Q1 2026 estimates.</t>
  </si>
  <si>
    <t xml:space="preserve">Single-quarter share is highly sensitive to release timing; both companies caution against reading one quarter as a trend.</t>
  </si>
  <si>
    <t xml:space="preserve">Prepared as an internal research signal pack; figures reproduced from the cited public sources without adjustment.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</si>
</sst>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%"/>
    <numFmt numFmtId="166" formatCode="\+0.00&quot; pp&quot;;\-0.00&quot; pp&quot;;0.0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  <fill>
      <patternFill patternType="solid">
        <fgColor rgb="FFFBEEEA"/>
        <bgColor rgb="FFF2F2F2"/>
      </patternFill>
    </fill>
    <fill>
      <patternFill patternType="solid">
        <fgColor rgb="FFDCE6F1"/>
        <bgColor rgb="FFEA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EEA"/>
      <rgbColor rgb="FFEAF1FB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tru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/>
      <c r="G5" s="4" t="s">
        <v>7</v>
      </c>
    </row>
    <row r="6" customFormat="false" ht="30" hidden="false" customHeight="true" outlineLevel="0" collapsed="false">
      <c r="B6" s="5" t="s">
        <v>8</v>
      </c>
      <c r="C6" s="6" t="n">
        <v>30.76</v>
      </c>
      <c r="D6" s="6" t="n">
        <v>36.82</v>
      </c>
      <c r="E6" s="7" t="n">
        <f aca="false">IF(AND(ISNUMBER(C6),ISNUMBER(D6)),C6-D6,"n/a")</f>
        <v>-6.06</v>
      </c>
      <c r="F6" s="7"/>
      <c r="G6" s="8" t="s">
        <v>9</v>
      </c>
    </row>
    <row r="7" customFormat="false" ht="30" hidden="false" customHeight="true" outlineLevel="0" collapsed="false">
      <c r="B7" s="5" t="s">
        <v>10</v>
      </c>
      <c r="C7" s="6" t="n">
        <v>28.62</v>
      </c>
      <c r="D7" s="9" t="s">
        <v>11</v>
      </c>
      <c r="E7" s="7" t="str">
        <f aca="false">IF(AND(ISNUMBER(C7),ISNUMBER(D7)),C7-D7,"n/a")</f>
        <v>n/a</v>
      </c>
      <c r="F7" s="7"/>
      <c r="G7" s="8" t="s">
        <v>12</v>
      </c>
    </row>
    <row r="8" customFormat="false" ht="30" hidden="false" customHeight="true" outlineLevel="0" collapsed="false">
      <c r="B8" s="5" t="s">
        <v>13</v>
      </c>
      <c r="C8" s="6" t="n">
        <v>17.98</v>
      </c>
      <c r="D8" s="9" t="s">
        <v>11</v>
      </c>
      <c r="E8" s="7" t="str">
        <f aca="false">IF(AND(ISNUMBER(C8),ISNUMBER(D8)),C8-D8,"n/a")</f>
        <v>n/a</v>
      </c>
      <c r="F8" s="7"/>
      <c r="G8" s="8" t="s">
        <v>14</v>
      </c>
    </row>
    <row r="9" customFormat="false" ht="30" hidden="false" customHeight="true" outlineLevel="0" collapsed="false">
      <c r="B9" s="5" t="s">
        <v>15</v>
      </c>
      <c r="C9" s="6" t="n">
        <v>22.65</v>
      </c>
      <c r="D9" s="6" t="n">
        <v>19.92</v>
      </c>
      <c r="E9" s="7" t="n">
        <f aca="false">IF(AND(ISNUMBER(C9),ISNUMBER(D9)),C9-D9,"n/a")</f>
        <v>2.73</v>
      </c>
      <c r="F9" s="7"/>
      <c r="G9" s="8" t="s">
        <v>16</v>
      </c>
    </row>
    <row r="10" customFormat="false" ht="15" hidden="false" customHeight="false" outlineLevel="0" collapsed="false">
      <c r="B10" s="10" t="s">
        <v>17</v>
      </c>
      <c r="C10" s="11" t="n">
        <f aca="false">SUM(C6:C9)</f>
        <v>100.01</v>
      </c>
      <c r="D10" s="12"/>
      <c r="E10" s="12"/>
      <c r="F10" s="12"/>
      <c r="G10" s="13" t="s">
        <v>18</v>
      </c>
    </row>
    <row r="12" customFormat="false" ht="18" hidden="false" customHeight="true" outlineLevel="0" collapsed="false">
      <c r="A12" s="3" t="s">
        <v>19</v>
      </c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4"/>
      <c r="B13" s="4" t="s">
        <v>3</v>
      </c>
      <c r="C13" s="4" t="s">
        <v>20</v>
      </c>
      <c r="D13" s="4" t="s">
        <v>17</v>
      </c>
      <c r="E13" s="4"/>
      <c r="F13" s="4"/>
      <c r="G13" s="4" t="s">
        <v>21</v>
      </c>
    </row>
    <row r="14" customFormat="false" ht="25.5" hidden="false" customHeight="true" outlineLevel="0" collapsed="false">
      <c r="B14" s="5" t="s">
        <v>8</v>
      </c>
      <c r="C14" s="6" t="n">
        <v>39.76</v>
      </c>
      <c r="D14" s="6" t="n">
        <v>37.68</v>
      </c>
      <c r="E14" s="14"/>
      <c r="F14" s="14"/>
      <c r="G14" s="8" t="s">
        <v>22</v>
      </c>
    </row>
    <row r="15" customFormat="false" ht="25.5" hidden="false" customHeight="true" outlineLevel="0" collapsed="false">
      <c r="B15" s="5" t="s">
        <v>10</v>
      </c>
      <c r="C15" s="6" t="n">
        <v>27.93</v>
      </c>
      <c r="D15" s="6" t="n">
        <v>28.09</v>
      </c>
      <c r="E15" s="14"/>
      <c r="F15" s="14"/>
      <c r="G15" s="8" t="s">
        <v>23</v>
      </c>
    </row>
    <row r="16" customFormat="false" ht="25.5" hidden="false" customHeight="true" outlineLevel="0" collapsed="false">
      <c r="B16" s="5" t="s">
        <v>13</v>
      </c>
      <c r="C16" s="6" t="n">
        <v>19.8</v>
      </c>
      <c r="D16" s="6" t="n">
        <v>19.38</v>
      </c>
      <c r="E16" s="14"/>
      <c r="F16" s="14"/>
      <c r="G16" s="8" t="s">
        <v>23</v>
      </c>
    </row>
    <row r="17" customFormat="false" ht="25.5" hidden="false" customHeight="true" outlineLevel="0" collapsed="false">
      <c r="B17" s="5" t="s">
        <v>15</v>
      </c>
      <c r="C17" s="6" t="n">
        <v>15.35</v>
      </c>
      <c r="D17" s="6" t="n">
        <v>14.84</v>
      </c>
      <c r="E17" s="14"/>
      <c r="F17" s="14"/>
      <c r="G17" s="8" t="s">
        <v>24</v>
      </c>
    </row>
    <row r="18" customFormat="false" ht="25.5" hidden="false" customHeight="true" outlineLevel="0" collapsed="false">
      <c r="B18" s="10" t="s">
        <v>25</v>
      </c>
      <c r="C18" s="11" t="n">
        <f aca="false">SUM(C14:C17)</f>
        <v>102.84</v>
      </c>
      <c r="D18" s="11" t="n">
        <f aca="false">SUM(D14:D17)</f>
        <v>99.99</v>
      </c>
      <c r="E18" s="15"/>
      <c r="F18" s="15"/>
      <c r="G18" s="13" t="s">
        <v>26</v>
      </c>
    </row>
    <row r="20" customFormat="false" ht="18" hidden="false" customHeight="true" outlineLevel="0" collapsed="false">
      <c r="A20" s="3" t="s">
        <v>27</v>
      </c>
      <c r="B20" s="3"/>
      <c r="C20" s="3"/>
      <c r="D20" s="3"/>
      <c r="E20" s="3"/>
      <c r="F20" s="3"/>
      <c r="G20" s="3"/>
    </row>
    <row r="21" customFormat="false" ht="15" hidden="false" customHeight="true" outlineLevel="0" collapsed="false">
      <c r="A21" s="4"/>
      <c r="B21" s="4" t="s">
        <v>3</v>
      </c>
      <c r="C21" s="4" t="s">
        <v>4</v>
      </c>
      <c r="D21" s="4"/>
      <c r="E21" s="4"/>
      <c r="F21" s="4"/>
      <c r="G21" s="4" t="s">
        <v>21</v>
      </c>
    </row>
    <row r="22" customFormat="false" ht="23.85" hidden="false" customHeight="false" outlineLevel="0" collapsed="false">
      <c r="B22" s="5" t="s">
        <v>15</v>
      </c>
      <c r="C22" s="16" t="n">
        <v>44.15</v>
      </c>
      <c r="D22" s="16"/>
      <c r="E22" s="16"/>
      <c r="F22" s="16"/>
      <c r="G22" s="8" t="s">
        <v>28</v>
      </c>
    </row>
    <row r="23" customFormat="false" ht="15" hidden="false" customHeight="false" outlineLevel="0" collapsed="false">
      <c r="B23" s="5" t="s">
        <v>8</v>
      </c>
      <c r="C23" s="16" t="n">
        <v>22.64</v>
      </c>
      <c r="D23" s="16"/>
      <c r="E23" s="16"/>
      <c r="F23" s="16"/>
      <c r="G23" s="8"/>
    </row>
    <row r="24" customFormat="false" ht="15" hidden="false" customHeight="false" outlineLevel="0" collapsed="false">
      <c r="B24" s="5" t="s">
        <v>13</v>
      </c>
      <c r="C24" s="16" t="n">
        <v>17.26</v>
      </c>
      <c r="D24" s="16"/>
      <c r="E24" s="16"/>
      <c r="F24" s="16"/>
      <c r="G24" s="8"/>
    </row>
    <row r="25" customFormat="false" ht="15" hidden="false" customHeight="false" outlineLevel="0" collapsed="false">
      <c r="B25" s="5" t="s">
        <v>10</v>
      </c>
      <c r="C25" s="16" t="n">
        <v>15.95</v>
      </c>
      <c r="D25" s="16"/>
      <c r="E25" s="16"/>
      <c r="F25" s="16"/>
      <c r="G25" s="8"/>
    </row>
    <row r="26" customFormat="false" ht="15" hidden="false" customHeight="false" outlineLevel="0" collapsed="false">
      <c r="B26" s="10" t="s">
        <v>17</v>
      </c>
      <c r="C26" s="17" t="n">
        <f aca="false">SUM(C22:C25)</f>
        <v>100</v>
      </c>
      <c r="D26" s="17"/>
      <c r="E26" s="17"/>
      <c r="F26" s="17"/>
      <c r="G26" s="13" t="s">
        <v>29</v>
      </c>
    </row>
    <row r="28" customFormat="false" ht="18" hidden="false" customHeight="true" outlineLevel="0" collapsed="false">
      <c r="A28" s="3" t="s">
        <v>30</v>
      </c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4" t="s">
        <v>31</v>
      </c>
      <c r="B29" s="4" t="s">
        <v>32</v>
      </c>
      <c r="C29" s="4" t="s">
        <v>33</v>
      </c>
      <c r="D29" s="4" t="s">
        <v>4</v>
      </c>
      <c r="E29" s="4" t="s">
        <v>5</v>
      </c>
      <c r="F29" s="4" t="s">
        <v>6</v>
      </c>
      <c r="G29" s="4" t="s">
        <v>34</v>
      </c>
    </row>
    <row r="30" customFormat="false" ht="25.5" hidden="false" customHeight="true" outlineLevel="0" collapsed="false">
      <c r="A30" s="9" t="n">
        <v>1</v>
      </c>
      <c r="B30" s="5" t="s">
        <v>35</v>
      </c>
      <c r="C30" s="9" t="s">
        <v>8</v>
      </c>
      <c r="D30" s="6" t="n">
        <v>9.98</v>
      </c>
      <c r="E30" s="9" t="s">
        <v>11</v>
      </c>
      <c r="F30" s="7" t="str">
        <f aca="false">IF(AND(ISNUMBER(D30),ISNUMBER(E30)),D30-E30,"n/a")</f>
        <v>n/a</v>
      </c>
      <c r="G30" s="8" t="s">
        <v>36</v>
      </c>
    </row>
    <row r="31" customFormat="false" ht="25.5" hidden="false" customHeight="true" outlineLevel="0" collapsed="false">
      <c r="A31" s="9" t="n">
        <v>2</v>
      </c>
      <c r="B31" s="5" t="s">
        <v>37</v>
      </c>
      <c r="C31" s="9" t="s">
        <v>38</v>
      </c>
      <c r="D31" s="6" t="n">
        <v>8.76</v>
      </c>
      <c r="E31" s="9" t="s">
        <v>11</v>
      </c>
      <c r="F31" s="7" t="str">
        <f aca="false">IF(AND(ISNUMBER(D31),ISNUMBER(E31)),D31-E31,"n/a")</f>
        <v>n/a</v>
      </c>
      <c r="G31" s="8" t="s">
        <v>39</v>
      </c>
    </row>
    <row r="32" customFormat="false" ht="25.5" hidden="false" customHeight="true" outlineLevel="0" collapsed="false">
      <c r="A32" s="9" t="n">
        <v>3</v>
      </c>
      <c r="B32" s="5" t="s">
        <v>40</v>
      </c>
      <c r="C32" s="9" t="s">
        <v>8</v>
      </c>
      <c r="D32" s="6" t="n">
        <v>7.95</v>
      </c>
      <c r="E32" s="6" t="n">
        <v>12.67</v>
      </c>
      <c r="F32" s="7" t="n">
        <f aca="false">IF(AND(ISNUMBER(D32),ISNUMBER(E32)),D32-E32,"n/a")</f>
        <v>-4.72</v>
      </c>
      <c r="G32" s="8" t="s">
        <v>41</v>
      </c>
    </row>
    <row r="33" customFormat="false" ht="25.5" hidden="false" customHeight="true" outlineLevel="0" collapsed="false">
      <c r="A33" s="9" t="n">
        <v>4</v>
      </c>
      <c r="B33" s="5" t="s">
        <v>42</v>
      </c>
      <c r="C33" s="9" t="s">
        <v>38</v>
      </c>
      <c r="D33" s="6" t="n">
        <v>5.54</v>
      </c>
      <c r="E33" s="9" t="s">
        <v>11</v>
      </c>
      <c r="F33" s="7" t="str">
        <f aca="false">IF(AND(ISNUMBER(D33),ISNUMBER(E33)),D33-E33,"n/a")</f>
        <v>n/a</v>
      </c>
      <c r="G33" s="8" t="s">
        <v>43</v>
      </c>
    </row>
    <row r="34" customFormat="false" ht="25.5" hidden="false" customHeight="true" outlineLevel="0" collapsed="false">
      <c r="A34" s="9" t="n">
        <v>5</v>
      </c>
      <c r="B34" s="5" t="s">
        <v>44</v>
      </c>
      <c r="C34" s="9" t="s">
        <v>45</v>
      </c>
      <c r="D34" s="6" t="n">
        <v>5.49</v>
      </c>
      <c r="E34" s="6" t="n">
        <v>4.25</v>
      </c>
      <c r="F34" s="7" t="n">
        <f aca="false">IF(AND(ISNUMBER(D34),ISNUMBER(E34)),D34-E34,"n/a")</f>
        <v>1.24</v>
      </c>
      <c r="G34" s="8" t="s">
        <v>46</v>
      </c>
    </row>
    <row r="35" customFormat="false" ht="25.5" hidden="false" customHeight="true" outlineLevel="0" collapsed="false">
      <c r="A35" s="9" t="n">
        <v>6</v>
      </c>
      <c r="B35" s="5" t="s">
        <v>47</v>
      </c>
      <c r="C35" s="9" t="s">
        <v>8</v>
      </c>
      <c r="D35" s="6" t="n">
        <v>4.92</v>
      </c>
      <c r="E35" s="6" t="n">
        <v>4.56</v>
      </c>
      <c r="F35" s="7" t="n">
        <f aca="false">IF(AND(ISNUMBER(D35),ISNUMBER(E35)),D35-E35,"n/a")</f>
        <v>0.36</v>
      </c>
      <c r="G35" s="8" t="s">
        <v>48</v>
      </c>
    </row>
    <row r="36" customFormat="false" ht="25.5" hidden="false" customHeight="true" outlineLevel="0" collapsed="false">
      <c r="A36" s="9" t="n">
        <v>7</v>
      </c>
      <c r="B36" s="5" t="s">
        <v>49</v>
      </c>
      <c r="C36" s="9" t="s">
        <v>45</v>
      </c>
      <c r="D36" s="6" t="n">
        <v>3.23</v>
      </c>
      <c r="E36" s="6" t="n">
        <v>4.83</v>
      </c>
      <c r="F36" s="7" t="n">
        <f aca="false">IF(AND(ISNUMBER(D36),ISNUMBER(E36)),D36-E36,"n/a")</f>
        <v>-1.6</v>
      </c>
      <c r="G36" s="8" t="s">
        <v>50</v>
      </c>
    </row>
    <row r="37" customFormat="false" ht="25.5" hidden="false" customHeight="true" outlineLevel="0" collapsed="false">
      <c r="A37" s="9" t="n">
        <v>8</v>
      </c>
      <c r="B37" s="5" t="s">
        <v>51</v>
      </c>
      <c r="C37" s="9" t="s">
        <v>45</v>
      </c>
      <c r="D37" s="6" t="n">
        <v>2.11</v>
      </c>
      <c r="E37" s="9" t="s">
        <v>11</v>
      </c>
      <c r="F37" s="7" t="str">
        <f aca="false">IF(AND(ISNUMBER(D37),ISNUMBER(E37)),D37-E37,"n/a")</f>
        <v>n/a</v>
      </c>
      <c r="G37" s="8"/>
    </row>
    <row r="38" customFormat="false" ht="25.5" hidden="false" customHeight="true" outlineLevel="0" collapsed="false">
      <c r="A38" s="9" t="n">
        <v>9</v>
      </c>
      <c r="B38" s="5" t="s">
        <v>52</v>
      </c>
      <c r="C38" s="9" t="s">
        <v>45</v>
      </c>
      <c r="D38" s="6" t="n">
        <v>1.91</v>
      </c>
      <c r="E38" s="9" t="s">
        <v>11</v>
      </c>
      <c r="F38" s="7" t="str">
        <f aca="false">IF(AND(ISNUMBER(D38),ISNUMBER(E38)),D38-E38,"n/a")</f>
        <v>n/a</v>
      </c>
      <c r="G38" s="8"/>
    </row>
    <row r="39" customFormat="false" ht="25.5" hidden="false" customHeight="true" outlineLevel="0" collapsed="false">
      <c r="A39" s="9" t="n">
        <v>10</v>
      </c>
      <c r="B39" s="5" t="s">
        <v>53</v>
      </c>
      <c r="C39" s="9" t="s">
        <v>45</v>
      </c>
      <c r="D39" s="6" t="n">
        <v>1.74</v>
      </c>
      <c r="E39" s="9" t="s">
        <v>11</v>
      </c>
      <c r="F39" s="7" t="str">
        <f aca="false">IF(AND(ISNUMBER(D39),ISNUMBER(E39)),D39-E39,"n/a")</f>
        <v>n/a</v>
      </c>
      <c r="G39" s="8"/>
    </row>
    <row r="41" customFormat="false" ht="15" hidden="false" customHeight="false" outlineLevel="0" collapsed="false">
      <c r="A41" s="18" t="s">
        <v>54</v>
      </c>
      <c r="B41" s="18"/>
      <c r="C41" s="18"/>
      <c r="D41" s="18"/>
      <c r="E41" s="18"/>
      <c r="F41" s="18"/>
      <c r="G41" s="18"/>
    </row>
    <row r="42" customFormat="false" ht="25.5" hidden="false" customHeight="true" outlineLevel="0" collapsed="false">
      <c r="A42" s="19" t="s">
        <v>55</v>
      </c>
      <c r="B42" s="19"/>
      <c r="C42" s="19"/>
      <c r="D42" s="19"/>
      <c r="E42" s="19"/>
      <c r="F42" s="19"/>
      <c r="G42" s="19"/>
    </row>
    <row r="43" customFormat="false" ht="25.5" hidden="false" customHeight="true" outlineLevel="0" collapsed="false">
      <c r="A43" s="19" t="s">
        <v>56</v>
      </c>
      <c r="B43" s="19"/>
      <c r="C43" s="19"/>
      <c r="D43" s="19"/>
      <c r="E43" s="19"/>
      <c r="F43" s="19"/>
      <c r="G43" s="19"/>
    </row>
    <row r="44" customFormat="false" ht="25.5" hidden="false" customHeight="true" outlineLevel="0" collapsed="false">
      <c r="A44" s="19" t="s">
        <v>57</v>
      </c>
      <c r="B44" s="19"/>
      <c r="C44" s="19"/>
      <c r="D44" s="19"/>
      <c r="E44" s="19"/>
      <c r="F44" s="19"/>
      <c r="G44" s="19"/>
    </row>
    <row r="45" customFormat="false" ht="25.5" hidden="false" customHeight="true" outlineLevel="0" collapsed="false">
      <c r="A45" s="19" t="s">
        <v>58</v>
      </c>
      <c r="B45" s="19"/>
      <c r="C45" s="19"/>
      <c r="D45" s="19"/>
      <c r="E45" s="19"/>
      <c r="F45" s="19"/>
      <c r="G45" s="19"/>
    </row>
    <row r="46" customFormat="false" ht="25.5" hidden="false" customHeight="true" outlineLevel="0" collapsed="false">
      <c r="A46" s="19" t="s">
        <v>59</v>
      </c>
      <c r="B46" s="19"/>
      <c r="C46" s="19"/>
      <c r="D46" s="19"/>
      <c r="E46" s="19"/>
      <c r="F46" s="19"/>
      <c r="G46" s="19"/>
    </row>
    <row r="47" customFormat="false" ht="25.5" hidden="false" customHeight="true" outlineLevel="0" collapsed="false">
      <c r="A47" s="19" t="s">
        <v>60</v>
      </c>
      <c r="B47" s="19"/>
      <c r="C47" s="19"/>
      <c r="D47" s="19"/>
      <c r="E47" s="19"/>
      <c r="F47" s="19"/>
      <c r="G47" s="19"/>
    </row>
  </sheetData>
  <mergeCells count="31">
    <mergeCell ref="A1:G1"/>
    <mergeCell ref="A2:G2"/>
    <mergeCell ref="A4:G4"/>
    <mergeCell ref="E5:F5"/>
    <mergeCell ref="E6:F6"/>
    <mergeCell ref="E7:F7"/>
    <mergeCell ref="E8:F8"/>
    <mergeCell ref="E9:F9"/>
    <mergeCell ref="E10:F10"/>
    <mergeCell ref="A12:G12"/>
    <mergeCell ref="E13:F13"/>
    <mergeCell ref="E14:F14"/>
    <mergeCell ref="E15:F15"/>
    <mergeCell ref="E16:F16"/>
    <mergeCell ref="E17:F17"/>
    <mergeCell ref="E18:F18"/>
    <mergeCell ref="A20:G20"/>
    <mergeCell ref="C21:F21"/>
    <mergeCell ref="C22:F22"/>
    <mergeCell ref="C23:F23"/>
    <mergeCell ref="C24:F24"/>
    <mergeCell ref="C25:F25"/>
    <mergeCell ref="C26:F26"/>
    <mergeCell ref="A28:G28"/>
    <mergeCell ref="A41:G41"/>
    <mergeCell ref="A42:G42"/>
    <mergeCell ref="A43:G43"/>
    <mergeCell ref="A44:G44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7"/>
  </cols>
  <sheetData>
    <row r="1" customFormat="false" ht="24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0" t="s">
        <v>62</v>
      </c>
      <c r="B2" s="20"/>
      <c r="C2" s="20"/>
      <c r="D2" s="20"/>
      <c r="E2" s="20"/>
      <c r="F2" s="20"/>
      <c r="G2" s="20"/>
      <c r="H2" s="20"/>
    </row>
    <row r="4" customFormat="false" ht="18" hidden="false" customHeight="true" outlineLevel="0" collapsed="false">
      <c r="A4" s="3" t="s">
        <v>63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</row>
    <row r="6" customFormat="false" ht="63.75" hidden="false" customHeight="true" outlineLevel="0" collapsed="false">
      <c r="A6" s="21" t="s">
        <v>8</v>
      </c>
      <c r="B6" s="22" t="s">
        <v>71</v>
      </c>
      <c r="C6" s="23" t="s">
        <v>72</v>
      </c>
      <c r="D6" s="23" t="s">
        <v>73</v>
      </c>
      <c r="E6" s="23" t="s">
        <v>74</v>
      </c>
      <c r="F6" s="24" t="s">
        <v>75</v>
      </c>
      <c r="G6" s="23" t="s">
        <v>76</v>
      </c>
      <c r="H6" s="25" t="s">
        <v>77</v>
      </c>
    </row>
    <row r="7" customFormat="false" ht="63.75" hidden="false" customHeight="true" outlineLevel="0" collapsed="false">
      <c r="A7" s="21" t="s">
        <v>8</v>
      </c>
      <c r="B7" s="22" t="s">
        <v>78</v>
      </c>
      <c r="C7" s="23" t="s">
        <v>79</v>
      </c>
      <c r="D7" s="23" t="s">
        <v>80</v>
      </c>
      <c r="E7" s="23" t="s">
        <v>74</v>
      </c>
      <c r="F7" s="24" t="s">
        <v>4</v>
      </c>
      <c r="G7" s="23" t="s">
        <v>81</v>
      </c>
      <c r="H7" s="25" t="s">
        <v>82</v>
      </c>
    </row>
    <row r="8" customFormat="false" ht="63.75" hidden="false" customHeight="true" outlineLevel="0" collapsed="false">
      <c r="A8" s="21" t="s">
        <v>8</v>
      </c>
      <c r="B8" s="22" t="s">
        <v>83</v>
      </c>
      <c r="C8" s="23" t="s">
        <v>84</v>
      </c>
      <c r="D8" s="23" t="s">
        <v>85</v>
      </c>
      <c r="E8" s="23" t="s">
        <v>86</v>
      </c>
      <c r="F8" s="24" t="s">
        <v>87</v>
      </c>
      <c r="G8" s="23" t="s">
        <v>88</v>
      </c>
      <c r="H8" s="25" t="s">
        <v>89</v>
      </c>
    </row>
    <row r="9" customFormat="false" ht="63.75" hidden="false" customHeight="true" outlineLevel="0" collapsed="false">
      <c r="A9" s="21" t="s">
        <v>8</v>
      </c>
      <c r="B9" s="22" t="s">
        <v>90</v>
      </c>
      <c r="C9" s="23" t="s">
        <v>91</v>
      </c>
      <c r="D9" s="23" t="s">
        <v>35</v>
      </c>
      <c r="E9" s="23" t="s">
        <v>92</v>
      </c>
      <c r="F9" s="24" t="s">
        <v>93</v>
      </c>
      <c r="G9" s="23" t="s">
        <v>94</v>
      </c>
      <c r="H9" s="25" t="s">
        <v>95</v>
      </c>
    </row>
    <row r="10" customFormat="false" ht="49.5" hidden="false" customHeight="true" outlineLevel="0" collapsed="false">
      <c r="A10" s="21" t="s">
        <v>8</v>
      </c>
      <c r="B10" s="22" t="s">
        <v>96</v>
      </c>
      <c r="C10" s="23" t="s">
        <v>97</v>
      </c>
      <c r="D10" s="23" t="s">
        <v>98</v>
      </c>
      <c r="E10" s="23" t="s">
        <v>92</v>
      </c>
      <c r="F10" s="24" t="s">
        <v>99</v>
      </c>
      <c r="G10" s="23" t="s">
        <v>100</v>
      </c>
      <c r="H10" s="25" t="s">
        <v>95</v>
      </c>
    </row>
    <row r="11" customFormat="false" ht="63.75" hidden="false" customHeight="true" outlineLevel="0" collapsed="false">
      <c r="A11" s="26" t="s">
        <v>38</v>
      </c>
      <c r="B11" s="27" t="s">
        <v>101</v>
      </c>
      <c r="C11" s="28" t="s">
        <v>102</v>
      </c>
      <c r="D11" s="28" t="s">
        <v>103</v>
      </c>
      <c r="E11" s="28" t="s">
        <v>74</v>
      </c>
      <c r="F11" s="29" t="s">
        <v>104</v>
      </c>
      <c r="G11" s="28" t="s">
        <v>105</v>
      </c>
      <c r="H11" s="30" t="s">
        <v>106</v>
      </c>
    </row>
    <row r="12" customFormat="false" ht="63.75" hidden="false" customHeight="true" outlineLevel="0" collapsed="false">
      <c r="A12" s="26" t="s">
        <v>38</v>
      </c>
      <c r="B12" s="27" t="s">
        <v>107</v>
      </c>
      <c r="C12" s="28" t="s">
        <v>108</v>
      </c>
      <c r="D12" s="28" t="s">
        <v>37</v>
      </c>
      <c r="E12" s="28" t="s">
        <v>109</v>
      </c>
      <c r="F12" s="29" t="s">
        <v>4</v>
      </c>
      <c r="G12" s="28" t="s">
        <v>110</v>
      </c>
      <c r="H12" s="30" t="s">
        <v>111</v>
      </c>
    </row>
    <row r="13" customFormat="false" ht="49.5" hidden="false" customHeight="true" outlineLevel="0" collapsed="false">
      <c r="A13" s="26" t="s">
        <v>38</v>
      </c>
      <c r="B13" s="27" t="s">
        <v>112</v>
      </c>
      <c r="C13" s="28" t="s">
        <v>113</v>
      </c>
      <c r="D13" s="28" t="s">
        <v>37</v>
      </c>
      <c r="E13" s="28" t="s">
        <v>92</v>
      </c>
      <c r="F13" s="29" t="s">
        <v>4</v>
      </c>
      <c r="G13" s="28" t="s">
        <v>114</v>
      </c>
      <c r="H13" s="30" t="s">
        <v>111</v>
      </c>
    </row>
    <row r="14" customFormat="false" ht="49.5" hidden="false" customHeight="true" outlineLevel="0" collapsed="false">
      <c r="A14" s="26" t="s">
        <v>38</v>
      </c>
      <c r="B14" s="27" t="s">
        <v>115</v>
      </c>
      <c r="C14" s="28" t="s">
        <v>116</v>
      </c>
      <c r="D14" s="28" t="s">
        <v>117</v>
      </c>
      <c r="E14" s="28" t="s">
        <v>92</v>
      </c>
      <c r="F14" s="29" t="s">
        <v>4</v>
      </c>
      <c r="G14" s="28" t="s">
        <v>118</v>
      </c>
      <c r="H14" s="30" t="s">
        <v>95</v>
      </c>
    </row>
    <row r="15" customFormat="false" ht="37.5" hidden="false" customHeight="true" outlineLevel="0" collapsed="false">
      <c r="A15" s="26" t="s">
        <v>38</v>
      </c>
      <c r="B15" s="27" t="s">
        <v>119</v>
      </c>
      <c r="C15" s="28" t="s">
        <v>120</v>
      </c>
      <c r="D15" s="28" t="s">
        <v>42</v>
      </c>
      <c r="E15" s="28" t="s">
        <v>121</v>
      </c>
      <c r="F15" s="29" t="s">
        <v>122</v>
      </c>
      <c r="G15" s="28" t="s">
        <v>123</v>
      </c>
      <c r="H15" s="30" t="s">
        <v>124</v>
      </c>
    </row>
    <row r="16" customFormat="false" ht="37.5" hidden="false" customHeight="true" outlineLevel="0" collapsed="false">
      <c r="A16" s="26" t="s">
        <v>38</v>
      </c>
      <c r="B16" s="27" t="s">
        <v>125</v>
      </c>
      <c r="C16" s="28" t="s">
        <v>126</v>
      </c>
      <c r="D16" s="28" t="s">
        <v>37</v>
      </c>
      <c r="E16" s="28" t="s">
        <v>92</v>
      </c>
      <c r="F16" s="29" t="s">
        <v>127</v>
      </c>
      <c r="G16" s="28" t="s">
        <v>128</v>
      </c>
      <c r="H16" s="30" t="s">
        <v>124</v>
      </c>
    </row>
    <row r="17" customFormat="false" ht="37.5" hidden="false" customHeight="true" outlineLevel="0" collapsed="false">
      <c r="A17" s="26" t="s">
        <v>38</v>
      </c>
      <c r="B17" s="27" t="s">
        <v>129</v>
      </c>
      <c r="C17" s="28" t="s">
        <v>130</v>
      </c>
      <c r="D17" s="28" t="s">
        <v>37</v>
      </c>
      <c r="E17" s="28" t="s">
        <v>92</v>
      </c>
      <c r="F17" s="29" t="s">
        <v>131</v>
      </c>
      <c r="G17" s="28" t="s">
        <v>128</v>
      </c>
      <c r="H17" s="30" t="s">
        <v>124</v>
      </c>
    </row>
    <row r="18" customFormat="false" ht="25.5" hidden="false" customHeight="true" outlineLevel="0" collapsed="false">
      <c r="A18" s="19" t="s">
        <v>132</v>
      </c>
      <c r="B18" s="19"/>
      <c r="C18" s="19"/>
      <c r="D18" s="19"/>
      <c r="E18" s="19"/>
      <c r="F18" s="19"/>
      <c r="G18" s="19"/>
      <c r="H18" s="19"/>
    </row>
    <row r="20" customFormat="false" ht="18" hidden="false" customHeight="true" outlineLevel="0" collapsed="false">
      <c r="A20" s="3" t="s">
        <v>133</v>
      </c>
      <c r="B20" s="3"/>
      <c r="C20" s="3"/>
      <c r="D20" s="3"/>
      <c r="E20" s="3"/>
      <c r="F20" s="3"/>
      <c r="G20" s="3"/>
      <c r="H20" s="3"/>
    </row>
    <row r="21" customFormat="false" ht="18" hidden="false" customHeight="true" outlineLevel="0" collapsed="false">
      <c r="A21" s="31" t="s">
        <v>134</v>
      </c>
      <c r="B21" s="31"/>
      <c r="C21" s="31" t="s">
        <v>135</v>
      </c>
      <c r="D21" s="31"/>
      <c r="E21" s="31"/>
      <c r="F21" s="31" t="s">
        <v>136</v>
      </c>
      <c r="G21" s="31"/>
      <c r="H21" s="4" t="s">
        <v>70</v>
      </c>
    </row>
    <row r="22" customFormat="false" ht="27.75" hidden="false" customHeight="true" outlineLevel="0" collapsed="false">
      <c r="A22" s="32" t="s">
        <v>137</v>
      </c>
      <c r="B22" s="32"/>
      <c r="C22" s="23" t="s">
        <v>138</v>
      </c>
      <c r="D22" s="23"/>
      <c r="E22" s="23"/>
      <c r="F22" s="28" t="s">
        <v>139</v>
      </c>
      <c r="G22" s="28"/>
      <c r="H22" s="33" t="s">
        <v>140</v>
      </c>
    </row>
    <row r="23" customFormat="false" ht="27.75" hidden="false" customHeight="true" outlineLevel="0" collapsed="false">
      <c r="A23" s="32" t="s">
        <v>141</v>
      </c>
      <c r="B23" s="32"/>
      <c r="C23" s="23" t="s">
        <v>142</v>
      </c>
      <c r="D23" s="23"/>
      <c r="E23" s="23"/>
      <c r="F23" s="28" t="s">
        <v>143</v>
      </c>
      <c r="G23" s="28"/>
      <c r="H23" s="33" t="s">
        <v>140</v>
      </c>
    </row>
    <row r="24" customFormat="false" ht="55.5" hidden="false" customHeight="true" outlineLevel="0" collapsed="false">
      <c r="A24" s="32" t="s">
        <v>144</v>
      </c>
      <c r="B24" s="32"/>
      <c r="C24" s="23" t="s">
        <v>145</v>
      </c>
      <c r="D24" s="23"/>
      <c r="E24" s="23"/>
      <c r="F24" s="28" t="s">
        <v>146</v>
      </c>
      <c r="G24" s="28"/>
      <c r="H24" s="33" t="s">
        <v>147</v>
      </c>
    </row>
    <row r="25" customFormat="false" ht="27.75" hidden="false" customHeight="true" outlineLevel="0" collapsed="false">
      <c r="A25" s="32" t="s">
        <v>148</v>
      </c>
      <c r="B25" s="32"/>
      <c r="C25" s="23" t="s">
        <v>149</v>
      </c>
      <c r="D25" s="23"/>
      <c r="E25" s="23"/>
      <c r="F25" s="28" t="s">
        <v>150</v>
      </c>
      <c r="G25" s="28"/>
      <c r="H25" s="33" t="s">
        <v>140</v>
      </c>
    </row>
    <row r="26" customFormat="false" ht="27.75" hidden="false" customHeight="true" outlineLevel="0" collapsed="false">
      <c r="A26" s="32" t="s">
        <v>151</v>
      </c>
      <c r="B26" s="32"/>
      <c r="C26" s="23" t="s">
        <v>152</v>
      </c>
      <c r="D26" s="23"/>
      <c r="E26" s="23"/>
      <c r="F26" s="28" t="s">
        <v>153</v>
      </c>
      <c r="G26" s="28"/>
      <c r="H26" s="33" t="s">
        <v>154</v>
      </c>
    </row>
    <row r="27" customFormat="false" ht="27.75" hidden="false" customHeight="true" outlineLevel="0" collapsed="false">
      <c r="A27" s="32" t="s">
        <v>155</v>
      </c>
      <c r="B27" s="32"/>
      <c r="C27" s="23" t="s">
        <v>156</v>
      </c>
      <c r="D27" s="23"/>
      <c r="E27" s="23"/>
      <c r="F27" s="28" t="s">
        <v>157</v>
      </c>
      <c r="G27" s="28"/>
      <c r="H27" s="33" t="s">
        <v>147</v>
      </c>
    </row>
    <row r="28" customFormat="false" ht="55.5" hidden="false" customHeight="true" outlineLevel="0" collapsed="false">
      <c r="A28" s="32" t="s">
        <v>158</v>
      </c>
      <c r="B28" s="32"/>
      <c r="C28" s="23" t="s">
        <v>159</v>
      </c>
      <c r="D28" s="23"/>
      <c r="E28" s="23"/>
      <c r="F28" s="28" t="s">
        <v>160</v>
      </c>
      <c r="G28" s="28"/>
      <c r="H28" s="33" t="s">
        <v>161</v>
      </c>
    </row>
    <row r="29" customFormat="false" ht="55.5" hidden="false" customHeight="true" outlineLevel="0" collapsed="false">
      <c r="A29" s="32" t="s">
        <v>162</v>
      </c>
      <c r="B29" s="32"/>
      <c r="C29" s="23" t="s">
        <v>163</v>
      </c>
      <c r="D29" s="23"/>
      <c r="E29" s="23"/>
      <c r="F29" s="28" t="s">
        <v>164</v>
      </c>
      <c r="G29" s="28"/>
      <c r="H29" s="33" t="s">
        <v>89</v>
      </c>
    </row>
    <row r="30" customFormat="false" ht="42" hidden="false" customHeight="true" outlineLevel="0" collapsed="false">
      <c r="A30" s="32" t="s">
        <v>165</v>
      </c>
      <c r="B30" s="32"/>
      <c r="C30" s="23" t="s">
        <v>166</v>
      </c>
      <c r="D30" s="23"/>
      <c r="E30" s="23"/>
      <c r="F30" s="28" t="s">
        <v>167</v>
      </c>
      <c r="G30" s="28"/>
      <c r="H30" s="33" t="s">
        <v>168</v>
      </c>
    </row>
    <row r="32" customFormat="false" ht="15" hidden="false" customHeight="false" outlineLevel="0" collapsed="false">
      <c r="A32" s="18" t="s">
        <v>54</v>
      </c>
      <c r="B32" s="18"/>
      <c r="C32" s="18"/>
      <c r="D32" s="18"/>
      <c r="E32" s="18"/>
      <c r="F32" s="18"/>
      <c r="G32" s="18"/>
      <c r="H32" s="18"/>
    </row>
    <row r="33" customFormat="false" ht="30" hidden="false" customHeight="true" outlineLevel="0" collapsed="false">
      <c r="A33" s="19" t="s">
        <v>169</v>
      </c>
      <c r="B33" s="19"/>
      <c r="C33" s="19"/>
      <c r="D33" s="19"/>
      <c r="E33" s="19"/>
      <c r="F33" s="19"/>
      <c r="G33" s="19"/>
      <c r="H33" s="19"/>
    </row>
    <row r="34" customFormat="false" ht="30" hidden="false" customHeight="true" outlineLevel="0" collapsed="false">
      <c r="A34" s="19" t="s">
        <v>170</v>
      </c>
      <c r="B34" s="19"/>
      <c r="C34" s="19"/>
      <c r="D34" s="19"/>
      <c r="E34" s="19"/>
      <c r="F34" s="19"/>
      <c r="G34" s="19"/>
      <c r="H34" s="19"/>
    </row>
    <row r="35" customFormat="false" ht="30" hidden="false" customHeight="true" outlineLevel="0" collapsed="false">
      <c r="A35" s="19" t="s">
        <v>171</v>
      </c>
      <c r="B35" s="19"/>
      <c r="C35" s="19"/>
      <c r="D35" s="19"/>
      <c r="E35" s="19"/>
      <c r="F35" s="19"/>
      <c r="G35" s="19"/>
      <c r="H35" s="19"/>
    </row>
    <row r="36" customFormat="false" ht="30" hidden="false" customHeight="true" outlineLevel="0" collapsed="false">
      <c r="A36" s="19" t="s">
        <v>172</v>
      </c>
      <c r="B36" s="19"/>
      <c r="C36" s="19"/>
      <c r="D36" s="19"/>
      <c r="E36" s="19"/>
      <c r="F36" s="19"/>
      <c r="G36" s="19"/>
      <c r="H36" s="19"/>
    </row>
    <row r="37" customFormat="false" ht="30" hidden="false" customHeight="true" outlineLevel="0" collapsed="false">
      <c r="A37" s="19" t="s">
        <v>173</v>
      </c>
      <c r="B37" s="19"/>
      <c r="C37" s="19"/>
      <c r="D37" s="19"/>
      <c r="E37" s="19"/>
      <c r="F37" s="19"/>
      <c r="G37" s="19"/>
      <c r="H37" s="19"/>
    </row>
  </sheetData>
  <mergeCells count="41">
    <mergeCell ref="A1:H1"/>
    <mergeCell ref="A2:H2"/>
    <mergeCell ref="A4:H4"/>
    <mergeCell ref="A18:H18"/>
    <mergeCell ref="A20:H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34" t="s">
        <v>174</v>
      </c>
      <c r="B1" s="34"/>
      <c r="C1" s="34"/>
      <c r="D1" s="34"/>
    </row>
    <row r="3" customFormat="false" ht="15" hidden="false" customHeight="false" outlineLevel="0" collapsed="false">
      <c r="A3" s="4" t="s">
        <v>175</v>
      </c>
      <c r="B3" s="4" t="s">
        <v>176</v>
      </c>
      <c r="C3" s="4" t="s">
        <v>177</v>
      </c>
      <c r="D3" s="4" t="s">
        <v>178</v>
      </c>
    </row>
    <row r="4" customFormat="false" ht="39.75" hidden="false" customHeight="true" outlineLevel="0" collapsed="false">
      <c r="A4" s="35" t="s">
        <v>95</v>
      </c>
      <c r="B4" s="8" t="s">
        <v>179</v>
      </c>
      <c r="C4" s="9" t="s">
        <v>180</v>
      </c>
      <c r="D4" s="36" t="s">
        <v>181</v>
      </c>
    </row>
    <row r="5" customFormat="false" ht="39.75" hidden="false" customHeight="true" outlineLevel="0" collapsed="false">
      <c r="A5" s="35" t="s">
        <v>182</v>
      </c>
      <c r="B5" s="8" t="s">
        <v>183</v>
      </c>
      <c r="C5" s="9" t="s">
        <v>142</v>
      </c>
      <c r="D5" s="36" t="s">
        <v>184</v>
      </c>
    </row>
    <row r="6" customFormat="false" ht="39.75" hidden="false" customHeight="true" outlineLevel="0" collapsed="false">
      <c r="A6" s="35" t="s">
        <v>185</v>
      </c>
      <c r="B6" s="8" t="s">
        <v>186</v>
      </c>
      <c r="C6" s="9" t="s">
        <v>142</v>
      </c>
      <c r="D6" s="36" t="s">
        <v>187</v>
      </c>
    </row>
    <row r="7" customFormat="false" ht="39.75" hidden="false" customHeight="true" outlineLevel="0" collapsed="false">
      <c r="A7" s="35" t="s">
        <v>188</v>
      </c>
      <c r="B7" s="8" t="s">
        <v>189</v>
      </c>
      <c r="C7" s="9" t="s">
        <v>142</v>
      </c>
      <c r="D7" s="36" t="s">
        <v>190</v>
      </c>
    </row>
    <row r="8" customFormat="false" ht="39.75" hidden="false" customHeight="true" outlineLevel="0" collapsed="false">
      <c r="A8" s="35" t="s">
        <v>124</v>
      </c>
      <c r="B8" s="8" t="s">
        <v>191</v>
      </c>
      <c r="C8" s="9" t="s">
        <v>143</v>
      </c>
      <c r="D8" s="36" t="s">
        <v>192</v>
      </c>
    </row>
    <row r="9" customFormat="false" ht="39.75" hidden="false" customHeight="true" outlineLevel="0" collapsed="false">
      <c r="A9" s="35" t="s">
        <v>193</v>
      </c>
      <c r="B9" s="8" t="s">
        <v>194</v>
      </c>
      <c r="C9" s="9" t="s">
        <v>143</v>
      </c>
      <c r="D9" s="36" t="s">
        <v>195</v>
      </c>
    </row>
    <row r="10" customFormat="false" ht="39.75" hidden="false" customHeight="true" outlineLevel="0" collapsed="false">
      <c r="A10" s="35" t="s">
        <v>196</v>
      </c>
      <c r="B10" s="8" t="s">
        <v>197</v>
      </c>
      <c r="C10" s="9" t="s">
        <v>198</v>
      </c>
      <c r="D10" s="36" t="s">
        <v>199</v>
      </c>
    </row>
    <row r="11" customFormat="false" ht="39.75" hidden="false" customHeight="true" outlineLevel="0" collapsed="false">
      <c r="A11" s="35" t="s">
        <v>200</v>
      </c>
      <c r="B11" s="8" t="s">
        <v>201</v>
      </c>
      <c r="C11" s="9" t="s">
        <v>202</v>
      </c>
      <c r="D11" s="36" t="s">
        <v>203</v>
      </c>
    </row>
    <row r="12" customFormat="false" ht="39.75" hidden="false" customHeight="true" outlineLevel="0" collapsed="false">
      <c r="A12" s="35" t="s">
        <v>204</v>
      </c>
      <c r="B12" s="8" t="s">
        <v>205</v>
      </c>
      <c r="C12" s="9" t="s">
        <v>206</v>
      </c>
      <c r="D12" s="36" t="s">
        <v>207</v>
      </c>
    </row>
    <row r="13" customFormat="false" ht="39.75" hidden="false" customHeight="true" outlineLevel="0" collapsed="false">
      <c r="A13" s="35" t="s">
        <v>208</v>
      </c>
      <c r="B13" s="8" t="s">
        <v>209</v>
      </c>
      <c r="C13" s="9" t="s">
        <v>210</v>
      </c>
      <c r="D13" s="36" t="s">
        <v>211</v>
      </c>
    </row>
    <row r="14" customFormat="false" ht="39.75" hidden="false" customHeight="true" outlineLevel="0" collapsed="false">
      <c r="A14" s="35" t="s">
        <v>212</v>
      </c>
      <c r="B14" s="8" t="s">
        <v>213</v>
      </c>
      <c r="C14" s="9" t="s">
        <v>214</v>
      </c>
      <c r="D14" s="36" t="s">
        <v>215</v>
      </c>
    </row>
    <row r="16" customFormat="false" ht="15" hidden="false" customHeight="false" outlineLevel="0" collapsed="false">
      <c r="A16" s="18" t="s">
        <v>216</v>
      </c>
      <c r="B16" s="18"/>
      <c r="C16" s="18"/>
      <c r="D16" s="18"/>
    </row>
    <row r="17" customFormat="false" ht="43.5" hidden="false" customHeight="true" outlineLevel="0" collapsed="false">
      <c r="A17" s="19" t="s">
        <v>217</v>
      </c>
      <c r="B17" s="19"/>
      <c r="C17" s="19"/>
      <c r="D17" s="19"/>
    </row>
    <row r="18" customFormat="false" ht="43.5" hidden="false" customHeight="true" outlineLevel="0" collapsed="false">
      <c r="A18" s="19" t="s">
        <v>218</v>
      </c>
      <c r="B18" s="19"/>
      <c r="C18" s="19"/>
      <c r="D18" s="19"/>
    </row>
    <row r="19" customFormat="false" ht="43.5" hidden="false" customHeight="true" outlineLevel="0" collapsed="false">
      <c r="A19" s="19" t="s">
        <v>219</v>
      </c>
      <c r="B19" s="19"/>
      <c r="C19" s="19"/>
      <c r="D19" s="19"/>
    </row>
    <row r="20" customFormat="false" ht="43.5" hidden="false" customHeight="true" outlineLevel="0" collapsed="false">
      <c r="A20" s="19" t="s">
        <v>220</v>
      </c>
      <c r="B20" s="19"/>
      <c r="C20" s="19"/>
      <c r="D20" s="19"/>
    </row>
    <row r="21" customFormat="false" ht="43.5" hidden="false" customHeight="true" outlineLevel="0" collapsed="false">
      <c r="A21" s="19" t="s">
        <v>221</v>
      </c>
      <c r="B21" s="19"/>
      <c r="C21" s="19"/>
      <c r="D21" s="19"/>
    </row>
  </sheetData>
  <mergeCells count="7">
    <mergeCell ref="A1:D1"/>
    <mergeCell ref="A16:D16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2026-06-23T15:42:47Z</dcterms:created>
  <dc:creator>openpyxl</dc:creator>
  <dc:description/>
  <dc:language>en-US</dc:language>
  <cp:lastModifiedBy/>
  <dcterms:modified xsi:type="dcterms:W3CDTF">2026-06-23T15:42:47Z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