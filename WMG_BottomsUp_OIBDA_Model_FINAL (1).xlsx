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Lever Sensitivity" sheetId="2" state="visible" r:id="rId4"/>
    <sheet name="Exhibit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<sst xmlns="http://schemas.openxmlformats.org/spreadsheetml/2006/main" count="229" uniqueCount="163">
  <si>
    <t xml:space="preserve">WMG Bottoms-Up OIBDA Margin Build</t>
  </si>
  <si>
    <t xml:space="preserve">Your revenue/SGA/OIBDA. Blue = adjustable CM assumptions. Green = Sub CM (formula plug, guarantees $0 diff). All other cells are formulas.</t>
  </si>
  <si>
    <t xml:space="preserve">($M)</t>
  </si>
  <si>
    <t xml:space="preserve">FY2023</t>
  </si>
  <si>
    <t xml:space="preserve">FY2024</t>
  </si>
  <si>
    <t xml:space="preserve">FY2025</t>
  </si>
  <si>
    <t xml:space="preserve">FY2026E</t>
  </si>
  <si>
    <t xml:space="preserve">FY2027E</t>
  </si>
  <si>
    <t xml:space="preserve">FY2028E</t>
  </si>
  <si>
    <t xml:space="preserve">Notes</t>
  </si>
  <si>
    <t xml:space="preserve">REVENUE (your model)</t>
  </si>
  <si>
    <t xml:space="preserve">Subscription Streaming</t>
  </si>
  <si>
    <t xml:space="preserve">Ad-Supported Streaming</t>
  </si>
  <si>
    <t xml:space="preserve">Downloads &amp; Other Digital</t>
  </si>
  <si>
    <t xml:space="preserve">Physical</t>
  </si>
  <si>
    <t xml:space="preserve">Artist Svcs &amp; Expanded Rights</t>
  </si>
  <si>
    <t xml:space="preserve">Licensing</t>
  </si>
  <si>
    <t xml:space="preserve">Publishing - Digital</t>
  </si>
  <si>
    <t xml:space="preserve">Publishing - Other</t>
  </si>
  <si>
    <t xml:space="preserve">Intersegment Eliminations</t>
  </si>
  <si>
    <t xml:space="preserve">Total Revenue</t>
  </si>
  <si>
    <t xml:space="preserve">Your Adj. OIBDA</t>
  </si>
  <si>
    <t xml:space="preserve">Your Adj Cash SGA</t>
  </si>
  <si>
    <t xml:space="preserve">Your OIBDA Margin</t>
  </si>
  <si>
    <t xml:space="preserve">Your SGA as % of Revenue</t>
  </si>
  <si>
    <t xml:space="preserve">CONTRIBUTION MARGINS BY STREAM</t>
  </si>
  <si>
    <t xml:space="preserve">PLUG: formula-derived to tie OIBDA. Green = calculated.</t>
  </si>
  <si>
    <t xml:space="preserve">43%. Stable. Ad CPMs steady; no structural change.</t>
  </si>
  <si>
    <t xml:space="preserve">50%→47%. Declining 1pp/yr. Secular shrinkage, fixed cost deleverage.</t>
  </si>
  <si>
    <t xml:space="preserve">30%→28.5%. Declining 0.5pp/yr. Fewer units → higher per-unit mfg/dist cost.</t>
  </si>
  <si>
    <t xml:space="preserve">20%→22%. Improving 0.67pp/yr. Oasis pass-through normalizes. Mix toward merch/DTC.</t>
  </si>
  <si>
    <t xml:space="preserve">70%. Stable. Already highest CM. Catalog deals incrementally positive.</t>
  </si>
  <si>
    <t xml:space="preserve">60%. Stable. Writer share (~50%) anchors variable cost. Direct licensing modest help.</t>
  </si>
  <si>
    <t xml:space="preserve">56%. Stable. Sync growing within bucket but small overall impact.</t>
  </si>
  <si>
    <t xml:space="preserve">CONTRIBUTION PROFIT (Revenue × CM)</t>
  </si>
  <si>
    <t xml:space="preserve">Total Contribution Profit</t>
  </si>
  <si>
    <t xml:space="preserve">Blended Contribution Margin</t>
  </si>
  <si>
    <t xml:space="preserve">CONTRIBUTION PROFIT MIX (% of Total CP)</t>
  </si>
  <si>
    <t xml:space="preserve">Sub + Ad Streaming Share of CP</t>
  </si>
  <si>
    <t xml:space="preserve">Streaming's share of the profit pool</t>
  </si>
  <si>
    <t xml:space="preserve">OIBDA = CP - YOUR SGA</t>
  </si>
  <si>
    <t xml:space="preserve">Model OIBDA (CP - SGA)</t>
  </si>
  <si>
    <t xml:space="preserve">Difference vs Your OIBDA</t>
  </si>
  <si>
    <t xml:space="preserve">$0 guaranteed. Sub CM plug absorbs residual.</t>
  </si>
  <si>
    <t xml:space="preserve">Model OIBDA Margin</t>
  </si>
  <si>
    <t xml:space="preserve">MARGIN WATERFALL: FY2025 → FY2028E</t>
  </si>
  <si>
    <t xml:space="preserve">FY2025 OIBDA Margin</t>
  </si>
  <si>
    <t xml:space="preserve">Δ Blended CM (mix shift + CM evolution)</t>
  </si>
  <si>
    <t xml:space="preserve">Revenue mix + per-stream CM changes</t>
  </si>
  <si>
    <t xml:space="preserve">  in bps</t>
  </si>
  <si>
    <t xml:space="preserve">Δ SGA as % of Revenue</t>
  </si>
  <si>
    <t xml:space="preserve">Your SGA: 24.5% → 20.5%</t>
  </si>
  <si>
    <t xml:space="preserve">FY2028E OIBDA Margin</t>
  </si>
  <si>
    <t xml:space="preserve">Total Improvement (bps)</t>
  </si>
  <si>
    <t xml:space="preserve">Gap to 30% (bps)</t>
  </si>
  <si>
    <t xml:space="preserve">Lever Sensitivity: From Your FY28E (26.9%) to 30%+</t>
  </si>
  <si>
    <t xml:space="preserve">Base values from Model tab (FY28E). Blue = scenario inputs. All results are formulas.</t>
  </si>
  <si>
    <t xml:space="preserve">Value</t>
  </si>
  <si>
    <t xml:space="preserve">Low</t>
  </si>
  <si>
    <t xml:space="preserve">Mid</t>
  </si>
  <si>
    <t xml:space="preserve">High</t>
  </si>
  <si>
    <t xml:space="preserve">Max</t>
  </si>
  <si>
    <t xml:space="preserve">FY28E BASE (from Model tab)</t>
  </si>
  <si>
    <t xml:space="preserve">Sub Rev</t>
  </si>
  <si>
    <t xml:space="preserve">Sub Eff CM</t>
  </si>
  <si>
    <t xml:space="preserve">Physical Eff CM</t>
  </si>
  <si>
    <t xml:space="preserve">Artist Svcs Eff CM</t>
  </si>
  <si>
    <t xml:space="preserve">OIBDA</t>
  </si>
  <si>
    <t xml:space="preserve">OIBDA Margin</t>
  </si>
  <si>
    <t xml:space="preserve">Target</t>
  </si>
  <si>
    <t xml:space="preserve">Gap (bps)</t>
  </si>
  <si>
    <t xml:space="preserve">LEVER 1: INCREMENTAL SUB STREAMING</t>
  </si>
  <si>
    <t xml:space="preserve">Incremental Sub Rev ($M)</t>
  </si>
  <si>
    <t xml:space="preserve">Input →</t>
  </si>
  <si>
    <t xml:space="preserve">New Total Rev</t>
  </si>
  <si>
    <t xml:space="preserve">Incremental CP</t>
  </si>
  <si>
    <t xml:space="preserve">New OIBDA</t>
  </si>
  <si>
    <t xml:space="preserve">New Margin</t>
  </si>
  <si>
    <t xml:space="preserve">Margin Δ (bps)</t>
  </si>
  <si>
    <t xml:space="preserve">LEVER 2: SGA REDUCTION</t>
  </si>
  <si>
    <t xml:space="preserve">SGA Cut ($M)</t>
  </si>
  <si>
    <t xml:space="preserve">LEVER 3: AS → STREAMING SHIFT (rev-neutral)</t>
  </si>
  <si>
    <t xml:space="preserve">AS Shifted to Sub ($M)</t>
  </si>
  <si>
    <t xml:space="preserve">Net CP Pickup</t>
  </si>
  <si>
    <t xml:space="preserve">LEVER 4: PHYSICAL → STREAMING SHIFT (rev-neutral)</t>
  </si>
  <si>
    <t xml:space="preserve">Physical Shifted to Sub ($M)</t>
  </si>
  <si>
    <t xml:space="preserve">COMBINED SCENARIOS</t>
  </si>
  <si>
    <t xml:space="preserve">Combo A
(Bull)</t>
  </si>
  <si>
    <t xml:space="preserve">Combo B
(Max/30%+)</t>
  </si>
  <si>
    <t xml:space="preserve">Incr Sub Rev</t>
  </si>
  <si>
    <t xml:space="preserve">SGA Cut</t>
  </si>
  <si>
    <t xml:space="preserve">AS → Sub</t>
  </si>
  <si>
    <t xml:space="preserve">Phys → Sub</t>
  </si>
  <si>
    <t xml:space="preserve">New Total Revenue</t>
  </si>
  <si>
    <t xml:space="preserve">Gap to 30% Remaining</t>
  </si>
  <si>
    <t xml:space="preserve">LEVER RANKING: bps PER $100M (formula-derived)</t>
  </si>
  <si>
    <t xml:space="preserve">Lever</t>
  </si>
  <si>
    <t xml:space="preserve">bps/$100M</t>
  </si>
  <si>
    <t xml:space="preserve">Mechanism</t>
  </si>
  <si>
    <t xml:space="preserve">1. SGA Cut</t>
  </si>
  <si>
    <t xml:space="preserve">Dollar-for-dollar OIBDA. Most efficient.</t>
  </si>
  <si>
    <t xml:space="preserve">2. AS → Sub</t>
  </si>
  <si>
    <t xml:space="preserve">Rev-neutral. ~27pp CM pickup.</t>
  </si>
  <si>
    <t xml:space="preserve">3. Phys → Sub</t>
  </si>
  <si>
    <t xml:space="preserve">Rev-neutral. ~20pp CM pickup.</t>
  </si>
  <si>
    <t xml:space="preserve">4. Sub Growth</t>
  </si>
  <si>
    <t xml:space="preserve">~49% CM but denominator grows.</t>
  </si>
  <si>
    <t xml:space="preserve">Exhibit: WMG FY28E OIBDA Margin — Lever Sensitivity</t>
  </si>
  <si>
    <t xml:space="preserve">YOUR FY28E BASE MARGIN</t>
  </si>
  <si>
    <t xml:space="preserve">Rev $8.1B, OIBDA $2.2B, SGA $1.66B (20.5%)</t>
  </si>
  <si>
    <t xml:space="preserve">GAP TO 30%</t>
  </si>
  <si>
    <t xml:space="preserve">bps</t>
  </si>
  <si>
    <t xml:space="preserve">1. Sub Streaming Growth
    (+5%/+10%/+15%/+20% vs est)</t>
  </si>
  <si>
    <t xml:space="preserve">~49% CM. Scales with slate + DSP pricing.</t>
  </si>
  <si>
    <t xml:space="preserve">2. SGA Reduction
    ($50M/$100M/$150M/$250M)</t>
  </si>
  <si>
    <t xml:space="preserve">Highest impact per $. Dollar-for-dollar.</t>
  </si>
  <si>
    <t xml:space="preserve">3. AS → Streaming Shift
    ($50-200M reallocation)</t>
  </si>
  <si>
    <t xml:space="preserve">~27pp CM pickup. Oasis normalization.</t>
  </si>
  <si>
    <t xml:space="preserve">4. Physical → Streaming
    ($50-200M reallocation)</t>
  </si>
  <si>
    <t xml:space="preserve">~20pp CM pickup. Structurally inevitable.</t>
  </si>
  <si>
    <t xml:space="preserve">COMBINED: Bull Case</t>
  </si>
  <si>
    <t xml:space="preserve">Sub+10%, SGA-$100M, AS+Phys shift $175M</t>
  </si>
  <si>
    <t xml:space="preserve">COMBINED: Max Case (30%+)</t>
  </si>
  <si>
    <t xml:space="preserve">Sub+15%, SGA-$150M, AS+Phys shift $250M</t>
  </si>
  <si>
    <t xml:space="preserve">Note: Sub streaming CM is formula-derived (plug) to tie your OIBDA. All other CMs have independent logic. FY28E implied Sub CM ~49% reflects DSP pricing recovery from FY25 trough (47.5%). SGA from your model.</t>
  </si>
  <si>
    <t xml:space="preserve">Source: WMG 10-K/10-Q, your model estimates. Scenarios incremental to FY28E base.</t>
  </si>
  <si>
    <t xml:space="preserve">Sources &amp; CM Logic</t>
  </si>
  <si>
    <t xml:space="preserve">ARCHITECTURE</t>
  </si>
  <si>
    <t xml:space="preserve">Sub CM = plug</t>
  </si>
  <si>
    <t xml:space="preserve">Sub streaming CM is formula-derived: (OIBDA+SGA-non-sub CP)/Sub Rev. Guarantees $0 difference. This is standard sell-side practice: biggest line absorbs the residual.</t>
  </si>
  <si>
    <t xml:space="preserve">7 independent CMs</t>
  </si>
  <si>
    <t xml:space="preserve">Each non-sub stream has its own CM with directional logic. Blue cells, adjustable per year. Change them and Sub CM recalculates to maintain $0 tie.</t>
  </si>
  <si>
    <t xml:space="preserve">NON-SUB CM LOGIC</t>
  </si>
  <si>
    <t xml:space="preserve">Ad (43%, stable)</t>
  </si>
  <si>
    <t xml:space="preserve">Structurally stable. No major change in ad-supported streaming economics expected.</t>
  </si>
  <si>
    <t xml:space="preserve">Downloads (50%→47%)</t>
  </si>
  <si>
    <t xml:space="preserve">Declining. Secular shrinkage reduces scale → fixed costs deleverage.</t>
  </si>
  <si>
    <t xml:space="preserve">Physical (30%→28.5%)</t>
  </si>
  <si>
    <t xml:space="preserve">Declining. Volume drops (CD esp.) → per-unit mfg/dist cost rises.</t>
  </si>
  <si>
    <t xml:space="preserve">Artist Svcs (20%→22%)</t>
  </si>
  <si>
    <t xml:space="preserve">Improving. FY25 Oasis pass-through (~85% cost) normalizes. Mix shifts toward higher-margin merch/DTC.</t>
  </si>
  <si>
    <t xml:space="preserve">Licensing (70%, stable)</t>
  </si>
  <si>
    <t xml:space="preserve">Already highest CM. Catalog-driven, minimal cost. AI licensing (Suno, Udio) accretive but small.</t>
  </si>
  <si>
    <t xml:space="preserve">Pub Digital (60%, stable)</t>
  </si>
  <si>
    <t xml:space="preserve">Writer share (~50%) anchors. Direct licensing helps modestly.</t>
  </si>
  <si>
    <t xml:space="preserve">Pub Other (56%, stable)</t>
  </si>
  <si>
    <t xml:space="preserve">Blended perf/mech/sync. Sync growing but small overall.</t>
  </si>
  <si>
    <t xml:space="preserve">SUB CM (PLUG) INTERPRETATION</t>
  </si>
  <si>
    <t xml:space="preserve">FY23-24: 52-51%</t>
  </si>
  <si>
    <t xml:space="preserve">Pre-A&amp;R investment cycle. Variable costs lower before heavy signing/advance activity.</t>
  </si>
  <si>
    <t xml:space="preserve">FY25: 47.5% (trough)</t>
  </si>
  <si>
    <t xml:space="preserve">Peak A&amp;R investment. Heavy advances + new deals at richer rates. Anchor year.</t>
  </si>
  <si>
    <t xml:space="preserve">FY26E-28E: ~48-49%</t>
  </si>
  <si>
    <t xml:space="preserve">Recovery. DSP pricing (Spotify hikes, contractual increases) lifts per-stream rate while royalty structure is %-based. A&amp;R cycle matures.</t>
  </si>
  <si>
    <t xml:space="preserve">FY27E dip to 48.3%</t>
  </si>
  <si>
    <t xml:space="preserve">Your model implies flat blended CM in FY27E. All margin improvement that year from SGA (21.5% vs 22.8%). Sub CM absorbs this.</t>
  </si>
  <si>
    <t xml:space="preserve">CROSS-CHECKS</t>
  </si>
  <si>
    <t xml:space="preserve">$0 difference</t>
  </si>
  <si>
    <t xml:space="preserve">All 6 years. Guaranteed by Sub CM plug formula.</t>
  </si>
  <si>
    <t xml:space="preserve">Blended CM path</t>
  </si>
  <si>
    <t xml:space="preserve">45.8% (FY25) → 47.4% (FY28E) = +156bps. Of which: ~85bps mix, ~71bps CM evolution.</t>
  </si>
  <si>
    <t xml:space="preserve">SGA path</t>
  </si>
  <si>
    <t xml:space="preserve">Your numbers: $1,645M/24.5% (FY25) → $1,662M/20.5% (FY28E). Drives ~400bps of improvement.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</si>
</sst>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+0;\-0;0"/>
    <numFmt numFmtId="168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DCE4"/>
        <bgColor rgb="FFD9D9D9"/>
      </patternFill>
    </fill>
    <fill>
      <patternFill patternType="solid">
        <fgColor rgb="FFFFFFCC"/>
        <bgColor rgb="FFFFFFFF"/>
      </patternFill>
    </fill>
    <fill>
      <patternFill patternType="solid">
        <fgColor rgb="FFE2EFDA"/>
        <bgColor rgb="FFDAEEF3"/>
      </patternFill>
    </fill>
    <fill>
      <patternFill patternType="solid">
        <fgColor rgb="FFDAEEF3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1F3864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1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s">
        <v>11</v>
      </c>
      <c r="B6" s="6" t="n">
        <v>2340</v>
      </c>
      <c r="C6" s="6" t="n">
        <v>2544</v>
      </c>
      <c r="D6" s="6" t="n">
        <v>2627</v>
      </c>
      <c r="E6" s="6" t="n">
        <v>2980</v>
      </c>
      <c r="F6" s="6" t="n">
        <v>3266</v>
      </c>
      <c r="G6" s="6" t="n">
        <v>3560</v>
      </c>
    </row>
    <row r="7" customFormat="false" ht="15" hidden="false" customHeight="false" outlineLevel="0" collapsed="false">
      <c r="A7" s="5" t="s">
        <v>12</v>
      </c>
      <c r="B7" s="6" t="n">
        <v>883</v>
      </c>
      <c r="C7" s="6" t="n">
        <v>900</v>
      </c>
      <c r="D7" s="6" t="n">
        <v>878</v>
      </c>
      <c r="E7" s="6" t="n">
        <v>927</v>
      </c>
      <c r="F7" s="6" t="n">
        <v>983</v>
      </c>
      <c r="G7" s="6" t="n">
        <v>1042</v>
      </c>
    </row>
    <row r="8" customFormat="false" ht="15" hidden="false" customHeight="false" outlineLevel="0" collapsed="false">
      <c r="A8" s="5" t="s">
        <v>13</v>
      </c>
      <c r="B8" s="6" t="n">
        <v>99</v>
      </c>
      <c r="C8" s="6" t="n">
        <v>75</v>
      </c>
      <c r="D8" s="6" t="n">
        <v>89</v>
      </c>
      <c r="E8" s="6" t="n">
        <v>61</v>
      </c>
      <c r="F8" s="6" t="n">
        <v>61</v>
      </c>
      <c r="G8" s="6" t="n">
        <v>61</v>
      </c>
    </row>
    <row r="9" customFormat="false" ht="15" hidden="false" customHeight="false" outlineLevel="0" collapsed="false">
      <c r="A9" s="5" t="s">
        <v>14</v>
      </c>
      <c r="B9" s="6" t="n">
        <v>507</v>
      </c>
      <c r="C9" s="6" t="n">
        <v>519</v>
      </c>
      <c r="D9" s="6" t="n">
        <v>527</v>
      </c>
      <c r="E9" s="6" t="n">
        <v>513</v>
      </c>
      <c r="F9" s="6" t="n">
        <v>513</v>
      </c>
      <c r="G9" s="6" t="n">
        <v>513</v>
      </c>
    </row>
    <row r="10" customFormat="false" ht="15" hidden="false" customHeight="false" outlineLevel="0" collapsed="false">
      <c r="A10" s="5" t="s">
        <v>15</v>
      </c>
      <c r="B10" s="6" t="n">
        <v>744</v>
      </c>
      <c r="C10" s="6" t="n">
        <v>684</v>
      </c>
      <c r="D10" s="6" t="n">
        <v>835</v>
      </c>
      <c r="E10" s="6" t="n">
        <v>800</v>
      </c>
      <c r="F10" s="6" t="n">
        <v>802</v>
      </c>
      <c r="G10" s="6" t="n">
        <v>802</v>
      </c>
    </row>
    <row r="11" customFormat="false" ht="15" hidden="false" customHeight="false" outlineLevel="0" collapsed="false">
      <c r="A11" s="5" t="s">
        <v>16</v>
      </c>
      <c r="B11" s="6" t="n">
        <v>382</v>
      </c>
      <c r="C11" s="6" t="n">
        <v>501</v>
      </c>
      <c r="D11" s="6" t="n">
        <v>452</v>
      </c>
      <c r="E11" s="6" t="n">
        <v>463</v>
      </c>
      <c r="F11" s="6" t="n">
        <v>463</v>
      </c>
      <c r="G11" s="6" t="n">
        <v>463</v>
      </c>
    </row>
    <row r="12" customFormat="false" ht="15" hidden="false" customHeight="false" outlineLevel="0" collapsed="false">
      <c r="A12" s="5" t="s">
        <v>17</v>
      </c>
      <c r="B12" s="6" t="n">
        <v>669</v>
      </c>
      <c r="C12" s="6" t="n">
        <v>763</v>
      </c>
      <c r="D12" s="6" t="n">
        <v>800</v>
      </c>
      <c r="E12" s="6" t="n">
        <v>877</v>
      </c>
      <c r="F12" s="6" t="n">
        <v>956</v>
      </c>
      <c r="G12" s="6" t="n">
        <v>1042</v>
      </c>
    </row>
    <row r="13" customFormat="false" ht="15" hidden="false" customHeight="false" outlineLevel="0" collapsed="false">
      <c r="A13" s="5" t="s">
        <v>18</v>
      </c>
      <c r="B13" s="6" t="n">
        <v>419</v>
      </c>
      <c r="C13" s="6" t="n">
        <v>447</v>
      </c>
      <c r="D13" s="6" t="n">
        <v>506</v>
      </c>
      <c r="E13" s="6" t="n">
        <v>550</v>
      </c>
      <c r="F13" s="6" t="n">
        <v>583</v>
      </c>
      <c r="G13" s="6" t="n">
        <v>618</v>
      </c>
    </row>
    <row r="14" customFormat="false" ht="15" hidden="false" customHeight="false" outlineLevel="0" collapsed="false">
      <c r="A14" s="5" t="s">
        <v>19</v>
      </c>
      <c r="B14" s="6" t="n">
        <v>-6</v>
      </c>
      <c r="C14" s="6" t="n">
        <v>-7</v>
      </c>
      <c r="D14" s="6" t="n">
        <v>-7</v>
      </c>
      <c r="E14" s="6" t="n">
        <v>-7</v>
      </c>
      <c r="F14" s="6" t="n">
        <v>-7</v>
      </c>
      <c r="G14" s="6" t="n">
        <v>-7</v>
      </c>
    </row>
    <row r="15" customFormat="false" ht="15" hidden="false" customHeight="false" outlineLevel="0" collapsed="false">
      <c r="A15" s="7" t="s">
        <v>20</v>
      </c>
      <c r="B15" s="8" t="n">
        <f aca="false">B6+B7+B8+B9+B10+B11+B12+B13+B14</f>
        <v>6037</v>
      </c>
      <c r="C15" s="8" t="n">
        <f aca="false">C6+C7+C8+C9+C10+C11+C12+C13+C14</f>
        <v>6426</v>
      </c>
      <c r="D15" s="8" t="n">
        <f aca="false">D6+D7+D8+D9+D10+D11+D12+D13+D14</f>
        <v>6707</v>
      </c>
      <c r="E15" s="8" t="n">
        <f aca="false">E6+E7+E8+E9+E10+E11+E12+E13+E14</f>
        <v>7164</v>
      </c>
      <c r="F15" s="8" t="n">
        <f aca="false">F6+F7+F8+F9+F10+F11+F12+F13+F14</f>
        <v>7620</v>
      </c>
      <c r="G15" s="8" t="n">
        <f aca="false">G6+G7+G8+G9+G10+G11+G12+G13+G14</f>
        <v>8094</v>
      </c>
    </row>
    <row r="16" customFormat="false" ht="15" hidden="false" customHeight="false" outlineLevel="0" collapsed="false">
      <c r="A16" s="7" t="s">
        <v>21</v>
      </c>
      <c r="B16" s="8" t="n">
        <v>1227</v>
      </c>
      <c r="C16" s="8" t="n">
        <v>1432</v>
      </c>
      <c r="D16" s="8" t="n">
        <v>1430</v>
      </c>
      <c r="E16" s="8" t="n">
        <v>1729</v>
      </c>
      <c r="F16" s="8" t="n">
        <v>1934</v>
      </c>
      <c r="G16" s="8" t="n">
        <v>2175</v>
      </c>
    </row>
    <row r="17" customFormat="false" ht="15" hidden="false" customHeight="false" outlineLevel="0" collapsed="false">
      <c r="A17" s="9" t="s">
        <v>22</v>
      </c>
      <c r="B17" s="10" t="n">
        <v>1633</v>
      </c>
      <c r="C17" s="10" t="n">
        <v>1639</v>
      </c>
      <c r="D17" s="10" t="n">
        <v>1645</v>
      </c>
      <c r="E17" s="10" t="n">
        <v>1633</v>
      </c>
      <c r="F17" s="10" t="n">
        <v>1641</v>
      </c>
      <c r="G17" s="10" t="n">
        <v>1662</v>
      </c>
    </row>
    <row r="18" customFormat="false" ht="15" hidden="false" customHeight="false" outlineLevel="0" collapsed="false">
      <c r="A18" s="9" t="s">
        <v>23</v>
      </c>
      <c r="B18" s="11" t="n">
        <f aca="false">B16/B15</f>
        <v>0.203246645684943</v>
      </c>
      <c r="C18" s="11" t="n">
        <f aca="false">C16/C15</f>
        <v>0.222844693432929</v>
      </c>
      <c r="D18" s="11" t="n">
        <f aca="false">D16/D15</f>
        <v>0.213210079021917</v>
      </c>
      <c r="E18" s="11" t="n">
        <f aca="false">E16/E15</f>
        <v>0.241345616973758</v>
      </c>
      <c r="F18" s="11" t="n">
        <f aca="false">F16/F15</f>
        <v>0.253805774278215</v>
      </c>
      <c r="G18" s="11" t="n">
        <f aca="false">G16/G15</f>
        <v>0.268717568569311</v>
      </c>
    </row>
    <row r="19" customFormat="false" ht="15" hidden="false" customHeight="false" outlineLevel="0" collapsed="false">
      <c r="A19" s="9" t="s">
        <v>24</v>
      </c>
      <c r="B19" s="12" t="n">
        <f aca="false">B17/B15</f>
        <v>0.270498592015902</v>
      </c>
      <c r="C19" s="12" t="n">
        <f aca="false">C17/C15</f>
        <v>0.25505757858699</v>
      </c>
      <c r="D19" s="12" t="n">
        <f aca="false">D17/D15</f>
        <v>0.245266139853884</v>
      </c>
      <c r="E19" s="12" t="n">
        <f aca="false">E17/E15</f>
        <v>0.227945281965382</v>
      </c>
      <c r="F19" s="12" t="n">
        <f aca="false">F17/F15</f>
        <v>0.215354330708661</v>
      </c>
      <c r="G19" s="12" t="n">
        <f aca="false">G17/G15</f>
        <v>0.20533728687917</v>
      </c>
    </row>
    <row r="21" customFormat="false" ht="15" hidden="false" customHeight="false" outlineLevel="0" collapsed="false">
      <c r="A21" s="4" t="s">
        <v>25</v>
      </c>
      <c r="B21" s="4"/>
      <c r="C21" s="4"/>
      <c r="D21" s="4"/>
      <c r="E21" s="4"/>
      <c r="F21" s="4"/>
      <c r="G21" s="4"/>
      <c r="H21" s="4"/>
    </row>
    <row r="22" customFormat="false" ht="19.4" hidden="false" customHeight="false" outlineLevel="0" collapsed="false">
      <c r="A22" s="9" t="s">
        <v>11</v>
      </c>
      <c r="B22" s="13" t="n">
        <f aca="false">(B16+B17-(B7*B23+B8*B24+B9*B25+B10*B26+B11*B27+B12*B28+B13*B29))/B6</f>
        <v>0.524132478632479</v>
      </c>
      <c r="C22" s="13" t="n">
        <f aca="false">(C16+C17-(C7*C23+C8*C24+C9*C25+C10*C26+C11*C27+C12*C28+C13*C29))/C6</f>
        <v>0.509111635220126</v>
      </c>
      <c r="D22" s="13" t="n">
        <f aca="false">(D16+D17-(D7*D23+D8*D24+D9*D25+D10*D26+D11*D27+D12*D28+D13*D29))/D6</f>
        <v>0.475104682146936</v>
      </c>
      <c r="E22" s="13" t="n">
        <f aca="false">(E16+E17-(E7*E23+E8*E24+E9*E25+E10*E26+E11*E27+E12*E28+E13*E29))/E6</f>
        <v>0.488545302013423</v>
      </c>
      <c r="F22" s="13" t="n">
        <f aca="false">(F16+F17-(F7*F23+F8*F24+F9*F25+F10*F26+F11*F27+F12*F28+F13*F29))/F6</f>
        <v>0.483052663808941</v>
      </c>
      <c r="G22" s="13" t="n">
        <f aca="false">(G16+G17-(G7*G23+G8*G24+G9*G25+G10*G26+G11*G27+G12*G28+G13*G29))/G6</f>
        <v>0.489394662921348</v>
      </c>
      <c r="H22" s="14" t="s">
        <v>26</v>
      </c>
    </row>
    <row r="23" customFormat="false" ht="19.4" hidden="false" customHeight="false" outlineLevel="0" collapsed="false">
      <c r="A23" s="5" t="s">
        <v>12</v>
      </c>
      <c r="B23" s="15" t="n">
        <v>0.43</v>
      </c>
      <c r="C23" s="15" t="n">
        <v>0.43</v>
      </c>
      <c r="D23" s="15" t="n">
        <v>0.43</v>
      </c>
      <c r="E23" s="16" t="n">
        <v>0.43</v>
      </c>
      <c r="F23" s="16" t="n">
        <v>0.43</v>
      </c>
      <c r="G23" s="16" t="n">
        <v>0.43</v>
      </c>
      <c r="H23" s="14" t="s">
        <v>27</v>
      </c>
    </row>
    <row r="24" customFormat="false" ht="19.4" hidden="false" customHeight="false" outlineLevel="0" collapsed="false">
      <c r="A24" s="5" t="s">
        <v>13</v>
      </c>
      <c r="B24" s="15" t="n">
        <v>0.5</v>
      </c>
      <c r="C24" s="15" t="n">
        <v>0.5</v>
      </c>
      <c r="D24" s="15" t="n">
        <v>0.5</v>
      </c>
      <c r="E24" s="16" t="n">
        <v>0.49</v>
      </c>
      <c r="F24" s="16" t="n">
        <v>0.48</v>
      </c>
      <c r="G24" s="16" t="n">
        <v>0.47</v>
      </c>
      <c r="H24" s="14" t="s">
        <v>28</v>
      </c>
    </row>
    <row r="25" customFormat="false" ht="19.4" hidden="false" customHeight="false" outlineLevel="0" collapsed="false">
      <c r="A25" s="5" t="s">
        <v>14</v>
      </c>
      <c r="B25" s="15" t="n">
        <v>0.3</v>
      </c>
      <c r="C25" s="15" t="n">
        <v>0.3</v>
      </c>
      <c r="D25" s="15" t="n">
        <v>0.3</v>
      </c>
      <c r="E25" s="16" t="n">
        <v>0.295</v>
      </c>
      <c r="F25" s="16" t="n">
        <v>0.29</v>
      </c>
      <c r="G25" s="16" t="n">
        <v>0.285</v>
      </c>
      <c r="H25" s="14" t="s">
        <v>29</v>
      </c>
    </row>
    <row r="26" customFormat="false" ht="19.4" hidden="false" customHeight="false" outlineLevel="0" collapsed="false">
      <c r="A26" s="5" t="s">
        <v>15</v>
      </c>
      <c r="B26" s="15" t="n">
        <v>0.2</v>
      </c>
      <c r="C26" s="15" t="n">
        <v>0.2</v>
      </c>
      <c r="D26" s="15" t="n">
        <v>0.2</v>
      </c>
      <c r="E26" s="16" t="n">
        <v>0.21</v>
      </c>
      <c r="F26" s="16" t="n">
        <v>0.215</v>
      </c>
      <c r="G26" s="16" t="n">
        <v>0.22</v>
      </c>
      <c r="H26" s="14" t="s">
        <v>30</v>
      </c>
    </row>
    <row r="27" customFormat="false" ht="19.4" hidden="false" customHeight="false" outlineLevel="0" collapsed="false">
      <c r="A27" s="5" t="s">
        <v>16</v>
      </c>
      <c r="B27" s="15" t="n">
        <v>0.7</v>
      </c>
      <c r="C27" s="15" t="n">
        <v>0.7</v>
      </c>
      <c r="D27" s="15" t="n">
        <v>0.7</v>
      </c>
      <c r="E27" s="16" t="n">
        <v>0.7</v>
      </c>
      <c r="F27" s="16" t="n">
        <v>0.7</v>
      </c>
      <c r="G27" s="16" t="n">
        <v>0.7</v>
      </c>
      <c r="H27" s="14" t="s">
        <v>31</v>
      </c>
    </row>
    <row r="28" customFormat="false" ht="19.4" hidden="false" customHeight="false" outlineLevel="0" collapsed="false">
      <c r="A28" s="5" t="s">
        <v>17</v>
      </c>
      <c r="B28" s="15" t="n">
        <v>0.6</v>
      </c>
      <c r="C28" s="15" t="n">
        <v>0.6</v>
      </c>
      <c r="D28" s="15" t="n">
        <v>0.6</v>
      </c>
      <c r="E28" s="16" t="n">
        <v>0.6</v>
      </c>
      <c r="F28" s="16" t="n">
        <v>0.6</v>
      </c>
      <c r="G28" s="16" t="n">
        <v>0.6</v>
      </c>
      <c r="H28" s="14" t="s">
        <v>32</v>
      </c>
    </row>
    <row r="29" customFormat="false" ht="19.4" hidden="false" customHeight="false" outlineLevel="0" collapsed="false">
      <c r="A29" s="5" t="s">
        <v>18</v>
      </c>
      <c r="B29" s="15" t="n">
        <v>0.56</v>
      </c>
      <c r="C29" s="15" t="n">
        <v>0.56</v>
      </c>
      <c r="D29" s="15" t="n">
        <v>0.56</v>
      </c>
      <c r="E29" s="16" t="n">
        <v>0.56</v>
      </c>
      <c r="F29" s="16" t="n">
        <v>0.56</v>
      </c>
      <c r="G29" s="16" t="n">
        <v>0.56</v>
      </c>
      <c r="H29" s="14" t="s">
        <v>33</v>
      </c>
    </row>
    <row r="31" customFormat="false" ht="15" hidden="false" customHeight="false" outlineLevel="0" collapsed="false">
      <c r="A31" s="4" t="s">
        <v>34</v>
      </c>
      <c r="B31" s="4"/>
      <c r="C31" s="4"/>
      <c r="D31" s="4"/>
      <c r="E31" s="4"/>
      <c r="F31" s="4"/>
      <c r="G31" s="4"/>
      <c r="H31" s="4"/>
    </row>
    <row r="32" customFormat="false" ht="15" hidden="false" customHeight="false" outlineLevel="0" collapsed="false">
      <c r="A32" s="5" t="s">
        <v>11</v>
      </c>
      <c r="B32" s="6" t="n">
        <f aca="false">B6*B22</f>
        <v>1226.47</v>
      </c>
      <c r="C32" s="6" t="n">
        <f aca="false">C6*C22</f>
        <v>1295.18</v>
      </c>
      <c r="D32" s="6" t="n">
        <f aca="false">D6*D22</f>
        <v>1248.1</v>
      </c>
      <c r="E32" s="6" t="n">
        <f aca="false">E6*E22</f>
        <v>1455.865</v>
      </c>
      <c r="F32" s="6" t="n">
        <f aca="false">F6*F22</f>
        <v>1577.65</v>
      </c>
      <c r="G32" s="6" t="n">
        <f aca="false">G6*G22</f>
        <v>1742.245</v>
      </c>
    </row>
    <row r="33" customFormat="false" ht="15" hidden="false" customHeight="false" outlineLevel="0" collapsed="false">
      <c r="A33" s="5" t="s">
        <v>12</v>
      </c>
      <c r="B33" s="6" t="n">
        <f aca="false">B7*B23</f>
        <v>379.69</v>
      </c>
      <c r="C33" s="6" t="n">
        <f aca="false">C7*C23</f>
        <v>387</v>
      </c>
      <c r="D33" s="6" t="n">
        <f aca="false">D7*D23</f>
        <v>377.54</v>
      </c>
      <c r="E33" s="6" t="n">
        <f aca="false">E7*E23</f>
        <v>398.61</v>
      </c>
      <c r="F33" s="6" t="n">
        <f aca="false">F7*F23</f>
        <v>422.69</v>
      </c>
      <c r="G33" s="6" t="n">
        <f aca="false">G7*G23</f>
        <v>448.06</v>
      </c>
    </row>
    <row r="34" customFormat="false" ht="15" hidden="false" customHeight="false" outlineLevel="0" collapsed="false">
      <c r="A34" s="5" t="s">
        <v>13</v>
      </c>
      <c r="B34" s="6" t="n">
        <f aca="false">B8*B24</f>
        <v>49.5</v>
      </c>
      <c r="C34" s="6" t="n">
        <f aca="false">C8*C24</f>
        <v>37.5</v>
      </c>
      <c r="D34" s="6" t="n">
        <f aca="false">D8*D24</f>
        <v>44.5</v>
      </c>
      <c r="E34" s="6" t="n">
        <f aca="false">E8*E24</f>
        <v>29.89</v>
      </c>
      <c r="F34" s="6" t="n">
        <f aca="false">F8*F24</f>
        <v>29.28</v>
      </c>
      <c r="G34" s="6" t="n">
        <f aca="false">G8*G24</f>
        <v>28.67</v>
      </c>
    </row>
    <row r="35" customFormat="false" ht="15" hidden="false" customHeight="false" outlineLevel="0" collapsed="false">
      <c r="A35" s="5" t="s">
        <v>14</v>
      </c>
      <c r="B35" s="6" t="n">
        <f aca="false">B9*B25</f>
        <v>152.1</v>
      </c>
      <c r="C35" s="6" t="n">
        <f aca="false">C9*C25</f>
        <v>155.7</v>
      </c>
      <c r="D35" s="6" t="n">
        <f aca="false">D9*D25</f>
        <v>158.1</v>
      </c>
      <c r="E35" s="6" t="n">
        <f aca="false">E9*E25</f>
        <v>151.335</v>
      </c>
      <c r="F35" s="6" t="n">
        <f aca="false">F9*F25</f>
        <v>148.77</v>
      </c>
      <c r="G35" s="6" t="n">
        <f aca="false">G9*G25</f>
        <v>146.205</v>
      </c>
    </row>
    <row r="36" customFormat="false" ht="15" hidden="false" customHeight="false" outlineLevel="0" collapsed="false">
      <c r="A36" s="5" t="s">
        <v>15</v>
      </c>
      <c r="B36" s="6" t="n">
        <f aca="false">B10*B26</f>
        <v>148.8</v>
      </c>
      <c r="C36" s="6" t="n">
        <f aca="false">C10*C26</f>
        <v>136.8</v>
      </c>
      <c r="D36" s="6" t="n">
        <f aca="false">D10*D26</f>
        <v>167</v>
      </c>
      <c r="E36" s="6" t="n">
        <f aca="false">E10*E26</f>
        <v>168</v>
      </c>
      <c r="F36" s="6" t="n">
        <f aca="false">F10*F26</f>
        <v>172.43</v>
      </c>
      <c r="G36" s="6" t="n">
        <f aca="false">G10*G26</f>
        <v>176.44</v>
      </c>
    </row>
    <row r="37" customFormat="false" ht="15" hidden="false" customHeight="false" outlineLevel="0" collapsed="false">
      <c r="A37" s="5" t="s">
        <v>16</v>
      </c>
      <c r="B37" s="6" t="n">
        <f aca="false">B11*B27</f>
        <v>267.4</v>
      </c>
      <c r="C37" s="6" t="n">
        <f aca="false">C11*C27</f>
        <v>350.7</v>
      </c>
      <c r="D37" s="6" t="n">
        <f aca="false">D11*D27</f>
        <v>316.4</v>
      </c>
      <c r="E37" s="6" t="n">
        <f aca="false">E11*E27</f>
        <v>324.1</v>
      </c>
      <c r="F37" s="6" t="n">
        <f aca="false">F11*F27</f>
        <v>324.1</v>
      </c>
      <c r="G37" s="6" t="n">
        <f aca="false">G11*G27</f>
        <v>324.1</v>
      </c>
    </row>
    <row r="38" customFormat="false" ht="15" hidden="false" customHeight="false" outlineLevel="0" collapsed="false">
      <c r="A38" s="5" t="s">
        <v>17</v>
      </c>
      <c r="B38" s="6" t="n">
        <f aca="false">B12*B28</f>
        <v>401.4</v>
      </c>
      <c r="C38" s="6" t="n">
        <f aca="false">C12*C28</f>
        <v>457.8</v>
      </c>
      <c r="D38" s="6" t="n">
        <f aca="false">D12*D28</f>
        <v>480</v>
      </c>
      <c r="E38" s="6" t="n">
        <f aca="false">E12*E28</f>
        <v>526.2</v>
      </c>
      <c r="F38" s="6" t="n">
        <f aca="false">F12*F28</f>
        <v>573.6</v>
      </c>
      <c r="G38" s="6" t="n">
        <f aca="false">G12*G28</f>
        <v>625.2</v>
      </c>
    </row>
    <row r="39" customFormat="false" ht="15" hidden="false" customHeight="false" outlineLevel="0" collapsed="false">
      <c r="A39" s="5" t="s">
        <v>18</v>
      </c>
      <c r="B39" s="6" t="n">
        <f aca="false">B13*B29</f>
        <v>234.64</v>
      </c>
      <c r="C39" s="6" t="n">
        <f aca="false">C13*C29</f>
        <v>250.32</v>
      </c>
      <c r="D39" s="6" t="n">
        <f aca="false">D13*D29</f>
        <v>283.36</v>
      </c>
      <c r="E39" s="6" t="n">
        <f aca="false">E13*E29</f>
        <v>308</v>
      </c>
      <c r="F39" s="6" t="n">
        <f aca="false">F13*F29</f>
        <v>326.48</v>
      </c>
      <c r="G39" s="6" t="n">
        <f aca="false">G13*G29</f>
        <v>346.08</v>
      </c>
    </row>
    <row r="40" customFormat="false" ht="15" hidden="false" customHeight="false" outlineLevel="0" collapsed="false">
      <c r="A40" s="7" t="s">
        <v>35</v>
      </c>
      <c r="B40" s="17" t="n">
        <f aca="false">B32+B33+B34+B35+B36+B37+B38+B39</f>
        <v>2860</v>
      </c>
      <c r="C40" s="17" t="n">
        <f aca="false">C32+C33+C34+C35+C36+C37+C38+C39</f>
        <v>3071</v>
      </c>
      <c r="D40" s="17" t="n">
        <f aca="false">D32+D33+D34+D35+D36+D37+D38+D39</f>
        <v>3075</v>
      </c>
      <c r="E40" s="17" t="n">
        <f aca="false">E32+E33+E34+E35+E36+E37+E38+E39</f>
        <v>3362</v>
      </c>
      <c r="F40" s="17" t="n">
        <f aca="false">F32+F33+F34+F35+F36+F37+F38+F39</f>
        <v>3575</v>
      </c>
      <c r="G40" s="17" t="n">
        <f aca="false">G32+G33+G34+G35+G36+G37+G38+G39</f>
        <v>3837</v>
      </c>
    </row>
    <row r="41" customFormat="false" ht="15" hidden="false" customHeight="false" outlineLevel="0" collapsed="false">
      <c r="A41" s="9" t="s">
        <v>36</v>
      </c>
      <c r="B41" s="18" t="n">
        <f aca="false">B40/(B6+B7+B8+B9+B10+B11+B12+B13)</f>
        <v>0.473274863478405</v>
      </c>
      <c r="C41" s="18" t="n">
        <f aca="false">C40/(C6+C7+C8+C9+C10+C11+C12+C13)</f>
        <v>0.477382247784859</v>
      </c>
      <c r="D41" s="18" t="n">
        <f aca="false">D40/(D6+D7+D8+D9+D10+D11+D12+D13)</f>
        <v>0.457998212689902</v>
      </c>
      <c r="E41" s="18" t="n">
        <f aca="false">E40/(E6+E7+E8+E9+E10+E11+E12+E13)</f>
        <v>0.468832798772835</v>
      </c>
      <c r="F41" s="18" t="n">
        <f aca="false">F40/(F6+F7+F8+F9+F10+F11+F12+F13)</f>
        <v>0.468729513570211</v>
      </c>
      <c r="G41" s="18" t="n">
        <f aca="false">G40/(G6+G7+G8+G9+G10+G11+G12+G13)</f>
        <v>0.473645228984076</v>
      </c>
    </row>
    <row r="43" customFormat="false" ht="15" hidden="false" customHeight="false" outlineLevel="0" collapsed="false">
      <c r="A43" s="4" t="s">
        <v>37</v>
      </c>
      <c r="B43" s="4"/>
      <c r="C43" s="4"/>
      <c r="D43" s="4"/>
      <c r="E43" s="4"/>
      <c r="F43" s="4"/>
      <c r="G43" s="4"/>
      <c r="H43" s="4"/>
    </row>
    <row r="44" customFormat="false" ht="15" hidden="false" customHeight="false" outlineLevel="0" collapsed="false">
      <c r="A44" s="5" t="s">
        <v>11</v>
      </c>
      <c r="B44" s="15" t="n">
        <f aca="false">B32/B40</f>
        <v>0.428835664335664</v>
      </c>
      <c r="C44" s="15" t="n">
        <f aca="false">C32/C40</f>
        <v>0.421745359817649</v>
      </c>
      <c r="D44" s="15" t="n">
        <f aca="false">D32/D40</f>
        <v>0.405886178861789</v>
      </c>
      <c r="E44" s="15" t="n">
        <f aca="false">E32/E40</f>
        <v>0.433035395597858</v>
      </c>
      <c r="F44" s="15" t="n">
        <f aca="false">F32/F40</f>
        <v>0.441300699300699</v>
      </c>
      <c r="G44" s="15" t="n">
        <f aca="false">G32/G40</f>
        <v>0.454064373208236</v>
      </c>
    </row>
    <row r="45" customFormat="false" ht="15" hidden="false" customHeight="false" outlineLevel="0" collapsed="false">
      <c r="A45" s="5" t="s">
        <v>12</v>
      </c>
      <c r="B45" s="15" t="n">
        <f aca="false">B33/B40</f>
        <v>0.132758741258741</v>
      </c>
      <c r="C45" s="15" t="n">
        <f aca="false">C33/C40</f>
        <v>0.126017583848909</v>
      </c>
      <c r="D45" s="15" t="n">
        <f aca="false">D33/D40</f>
        <v>0.122777235772358</v>
      </c>
      <c r="E45" s="15" t="n">
        <f aca="false">E33/E40</f>
        <v>0.118563355145747</v>
      </c>
      <c r="F45" s="15" t="n">
        <f aca="false">F33/F40</f>
        <v>0.118234965034965</v>
      </c>
      <c r="G45" s="15" t="n">
        <f aca="false">G33/G40</f>
        <v>0.116773520979932</v>
      </c>
    </row>
    <row r="46" customFormat="false" ht="15" hidden="false" customHeight="false" outlineLevel="0" collapsed="false">
      <c r="A46" s="5" t="s">
        <v>13</v>
      </c>
      <c r="B46" s="15" t="n">
        <f aca="false">B34/B40</f>
        <v>0.0173076923076923</v>
      </c>
      <c r="C46" s="15" t="n">
        <f aca="false">C34/C40</f>
        <v>0.0122110061869098</v>
      </c>
      <c r="D46" s="15" t="n">
        <f aca="false">D34/D40</f>
        <v>0.0144715447154472</v>
      </c>
      <c r="E46" s="15" t="n">
        <f aca="false">E34/E40</f>
        <v>0.00889054134443783</v>
      </c>
      <c r="F46" s="15" t="n">
        <f aca="false">F34/F40</f>
        <v>0.00819020979020979</v>
      </c>
      <c r="G46" s="15" t="n">
        <f aca="false">G34/G40</f>
        <v>0.00747198332030232</v>
      </c>
    </row>
    <row r="47" customFormat="false" ht="15" hidden="false" customHeight="false" outlineLevel="0" collapsed="false">
      <c r="A47" s="5" t="s">
        <v>14</v>
      </c>
      <c r="B47" s="15" t="n">
        <f aca="false">B35/B40</f>
        <v>0.0531818181818182</v>
      </c>
      <c r="C47" s="15" t="n">
        <f aca="false">C35/C40</f>
        <v>0.0507000976880495</v>
      </c>
      <c r="D47" s="15" t="n">
        <f aca="false">D35/D40</f>
        <v>0.0514146341463415</v>
      </c>
      <c r="E47" s="15" t="n">
        <f aca="false">E35/E40</f>
        <v>0.0450133848899464</v>
      </c>
      <c r="F47" s="15" t="n">
        <f aca="false">F35/F40</f>
        <v>0.041613986013986</v>
      </c>
      <c r="G47" s="15" t="n">
        <f aca="false">G35/G40</f>
        <v>0.0381039874902267</v>
      </c>
    </row>
    <row r="48" customFormat="false" ht="15" hidden="false" customHeight="false" outlineLevel="0" collapsed="false">
      <c r="A48" s="5" t="s">
        <v>15</v>
      </c>
      <c r="B48" s="15" t="n">
        <f aca="false">B36/B40</f>
        <v>0.052027972027972</v>
      </c>
      <c r="C48" s="15" t="n">
        <f aca="false">C36/C40</f>
        <v>0.044545750569847</v>
      </c>
      <c r="D48" s="15" t="n">
        <f aca="false">D36/D40</f>
        <v>0.0543089430894309</v>
      </c>
      <c r="E48" s="15" t="n">
        <f aca="false">E36/E40</f>
        <v>0.049970255800119</v>
      </c>
      <c r="F48" s="15" t="n">
        <f aca="false">F36/F40</f>
        <v>0.0482321678321678</v>
      </c>
      <c r="G48" s="15" t="n">
        <f aca="false">G36/G40</f>
        <v>0.045983841542872</v>
      </c>
    </row>
    <row r="49" customFormat="false" ht="15" hidden="false" customHeight="false" outlineLevel="0" collapsed="false">
      <c r="A49" s="5" t="s">
        <v>16</v>
      </c>
      <c r="B49" s="15" t="n">
        <f aca="false">B37/B40</f>
        <v>0.0934965034965035</v>
      </c>
      <c r="C49" s="15" t="n">
        <f aca="false">C37/C40</f>
        <v>0.11419732985998</v>
      </c>
      <c r="D49" s="15" t="n">
        <f aca="false">D37/D40</f>
        <v>0.102894308943089</v>
      </c>
      <c r="E49" s="15" t="n">
        <f aca="false">E37/E40</f>
        <v>0.0964009518143962</v>
      </c>
      <c r="F49" s="15" t="n">
        <f aca="false">F37/F40</f>
        <v>0.0906573426573427</v>
      </c>
      <c r="G49" s="15" t="n">
        <f aca="false">G37/G40</f>
        <v>0.0844670315350534</v>
      </c>
    </row>
    <row r="50" customFormat="false" ht="15" hidden="false" customHeight="false" outlineLevel="0" collapsed="false">
      <c r="A50" s="5" t="s">
        <v>17</v>
      </c>
      <c r="B50" s="15" t="n">
        <f aca="false">B38/B40</f>
        <v>0.14034965034965</v>
      </c>
      <c r="C50" s="15" t="n">
        <f aca="false">C38/C40</f>
        <v>0.149071963529795</v>
      </c>
      <c r="D50" s="15" t="n">
        <f aca="false">D38/D40</f>
        <v>0.15609756097561</v>
      </c>
      <c r="E50" s="15" t="n">
        <f aca="false">E38/E40</f>
        <v>0.156513979773944</v>
      </c>
      <c r="F50" s="15" t="n">
        <f aca="false">F38/F40</f>
        <v>0.160447552447552</v>
      </c>
      <c r="G50" s="15" t="n">
        <f aca="false">G38/G40</f>
        <v>0.162939796716185</v>
      </c>
    </row>
    <row r="51" customFormat="false" ht="15" hidden="false" customHeight="false" outlineLevel="0" collapsed="false">
      <c r="A51" s="5" t="s">
        <v>18</v>
      </c>
      <c r="B51" s="15" t="n">
        <f aca="false">B39/B40</f>
        <v>0.0820419580419581</v>
      </c>
      <c r="C51" s="15" t="n">
        <f aca="false">C39/C40</f>
        <v>0.0815109084988603</v>
      </c>
      <c r="D51" s="15" t="n">
        <f aca="false">D39/D40</f>
        <v>0.092149593495935</v>
      </c>
      <c r="E51" s="15" t="n">
        <f aca="false">E39/E40</f>
        <v>0.0916121356335515</v>
      </c>
      <c r="F51" s="15" t="n">
        <f aca="false">F39/F40</f>
        <v>0.0913230769230769</v>
      </c>
      <c r="G51" s="15" t="n">
        <f aca="false">G39/G40</f>
        <v>0.0901954652071931</v>
      </c>
    </row>
    <row r="52" customFormat="false" ht="15" hidden="false" customHeight="false" outlineLevel="0" collapsed="false">
      <c r="A52" s="9" t="s">
        <v>38</v>
      </c>
      <c r="B52" s="18" t="n">
        <f aca="false">B44+B45</f>
        <v>0.561594405594406</v>
      </c>
      <c r="C52" s="18" t="n">
        <f aca="false">C44+C45</f>
        <v>0.547762943666558</v>
      </c>
      <c r="D52" s="18" t="n">
        <f aca="false">D44+D45</f>
        <v>0.528663414634146</v>
      </c>
      <c r="E52" s="18" t="n">
        <f aca="false">E44+E45</f>
        <v>0.551598750743605</v>
      </c>
      <c r="F52" s="18" t="n">
        <f aca="false">F44+F45</f>
        <v>0.559535664335664</v>
      </c>
      <c r="G52" s="18" t="n">
        <f aca="false">G44+G45</f>
        <v>0.570837894188168</v>
      </c>
      <c r="H52" s="14" t="s">
        <v>39</v>
      </c>
    </row>
    <row r="54" customFormat="false" ht="15" hidden="false" customHeight="false" outlineLevel="0" collapsed="false">
      <c r="A54" s="4" t="s">
        <v>40</v>
      </c>
      <c r="B54" s="4"/>
      <c r="C54" s="4"/>
      <c r="D54" s="4"/>
      <c r="E54" s="4"/>
      <c r="F54" s="4"/>
      <c r="G54" s="4"/>
      <c r="H54" s="4"/>
    </row>
    <row r="55" customFormat="false" ht="15" hidden="false" customHeight="false" outlineLevel="0" collapsed="false">
      <c r="A55" s="7" t="s">
        <v>41</v>
      </c>
      <c r="B55" s="17" t="n">
        <f aca="false">B40-B17</f>
        <v>1227</v>
      </c>
      <c r="C55" s="17" t="n">
        <f aca="false">C40-C17</f>
        <v>1432</v>
      </c>
      <c r="D55" s="17" t="n">
        <f aca="false">D40-D17</f>
        <v>1430</v>
      </c>
      <c r="E55" s="17" t="n">
        <f aca="false">E40-E17</f>
        <v>1729</v>
      </c>
      <c r="F55" s="17" t="n">
        <f aca="false">F40-F17</f>
        <v>1934</v>
      </c>
      <c r="G55" s="17" t="n">
        <f aca="false">G40-G17</f>
        <v>2175</v>
      </c>
    </row>
    <row r="56" customFormat="false" ht="15" hidden="false" customHeight="false" outlineLevel="0" collapsed="false">
      <c r="A56" s="19" t="s">
        <v>42</v>
      </c>
      <c r="B56" s="20" t="n">
        <f aca="false">B55-B16</f>
        <v>0</v>
      </c>
      <c r="C56" s="20" t="n">
        <f aca="false">C55-C16</f>
        <v>0</v>
      </c>
      <c r="D56" s="20" t="n">
        <f aca="false">D55-D16</f>
        <v>0</v>
      </c>
      <c r="E56" s="20" t="n">
        <f aca="false">E55-E16</f>
        <v>0</v>
      </c>
      <c r="F56" s="20" t="n">
        <f aca="false">F55-F16</f>
        <v>0</v>
      </c>
      <c r="G56" s="20" t="n">
        <f aca="false">G55-G16</f>
        <v>0</v>
      </c>
      <c r="H56" s="14" t="s">
        <v>43</v>
      </c>
    </row>
    <row r="57" customFormat="false" ht="15" hidden="false" customHeight="false" outlineLevel="0" collapsed="false">
      <c r="A57" s="9" t="s">
        <v>44</v>
      </c>
      <c r="B57" s="11" t="n">
        <f aca="false">B55/B15</f>
        <v>0.203246645684943</v>
      </c>
      <c r="C57" s="11" t="n">
        <f aca="false">C55/C15</f>
        <v>0.222844693432929</v>
      </c>
      <c r="D57" s="11" t="n">
        <f aca="false">D55/D15</f>
        <v>0.213210079021917</v>
      </c>
      <c r="E57" s="11" t="n">
        <f aca="false">E55/E15</f>
        <v>0.241345616973758</v>
      </c>
      <c r="F57" s="11" t="n">
        <f aca="false">F55/F15</f>
        <v>0.253805774278215</v>
      </c>
      <c r="G57" s="11" t="n">
        <f aca="false">G55/G15</f>
        <v>0.268717568569311</v>
      </c>
    </row>
    <row r="59" customFormat="false" ht="15" hidden="false" customHeight="false" outlineLevel="0" collapsed="false">
      <c r="A59" s="4" t="s">
        <v>45</v>
      </c>
      <c r="B59" s="4"/>
      <c r="C59" s="4"/>
      <c r="D59" s="4"/>
      <c r="E59" s="4"/>
      <c r="F59" s="4"/>
      <c r="G59" s="4"/>
      <c r="H59" s="4"/>
    </row>
    <row r="60" customFormat="false" ht="15" hidden="false" customHeight="false" outlineLevel="0" collapsed="false">
      <c r="A60" s="9" t="s">
        <v>46</v>
      </c>
      <c r="G60" s="12" t="n">
        <f aca="false">D57</f>
        <v>0.213210079021917</v>
      </c>
    </row>
    <row r="61" customFormat="false" ht="15" hidden="false" customHeight="false" outlineLevel="0" collapsed="false">
      <c r="A61" s="5"/>
    </row>
    <row r="62" customFormat="false" ht="15" hidden="false" customHeight="false" outlineLevel="0" collapsed="false">
      <c r="A62" s="21" t="s">
        <v>47</v>
      </c>
      <c r="G62" s="22" t="n">
        <f aca="false">G41-D41</f>
        <v>0.0156470162941743</v>
      </c>
      <c r="H62" s="14" t="s">
        <v>48</v>
      </c>
    </row>
    <row r="63" customFormat="false" ht="15" hidden="false" customHeight="false" outlineLevel="0" collapsed="false">
      <c r="A63" s="21" t="s">
        <v>49</v>
      </c>
      <c r="G63" s="23" t="n">
        <f aca="false">(G41-D41)*10000</f>
        <v>156.470162941743</v>
      </c>
    </row>
    <row r="64" customFormat="false" ht="15" hidden="false" customHeight="false" outlineLevel="0" collapsed="false">
      <c r="A64" s="21" t="s">
        <v>50</v>
      </c>
      <c r="G64" s="22" t="n">
        <f aca="false">D19-G19</f>
        <v>0.0399288529747143</v>
      </c>
      <c r="H64" s="14" t="s">
        <v>51</v>
      </c>
    </row>
    <row r="65" customFormat="false" ht="15" hidden="false" customHeight="false" outlineLevel="0" collapsed="false">
      <c r="A65" s="21" t="s">
        <v>49</v>
      </c>
      <c r="G65" s="23" t="n">
        <f aca="false">(D19-G19)*10000</f>
        <v>399.288529747143</v>
      </c>
    </row>
    <row r="66" customFormat="false" ht="15" hidden="false" customHeight="false" outlineLevel="0" collapsed="false">
      <c r="A66" s="5"/>
    </row>
    <row r="67" customFormat="false" ht="15" hidden="false" customHeight="false" outlineLevel="0" collapsed="false">
      <c r="A67" s="9" t="s">
        <v>52</v>
      </c>
      <c r="G67" s="11" t="n">
        <f aca="false">G57</f>
        <v>0.268717568569311</v>
      </c>
    </row>
    <row r="68" customFormat="false" ht="15" hidden="false" customHeight="false" outlineLevel="0" collapsed="false">
      <c r="A68" s="24" t="s">
        <v>53</v>
      </c>
      <c r="G68" s="25" t="n">
        <f aca="false">(G57-D57)*10000</f>
        <v>555.074895473932</v>
      </c>
    </row>
    <row r="69" customFormat="false" ht="15" hidden="false" customHeight="false" outlineLevel="0" collapsed="false">
      <c r="A69" s="26" t="s">
        <v>54</v>
      </c>
      <c r="G69" s="27" t="n">
        <f aca="false">(0.3-G57)*10000</f>
        <v>312.824314306894</v>
      </c>
    </row>
  </sheetData>
  <mergeCells count="8">
    <mergeCell ref="A1:H1"/>
    <mergeCell ref="A2:H2"/>
    <mergeCell ref="A5:H5"/>
    <mergeCell ref="A21:H21"/>
    <mergeCell ref="A31:H31"/>
    <mergeCell ref="A43:H43"/>
    <mergeCell ref="A54:H54"/>
    <mergeCell ref="A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H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55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/>
      <c r="B4" s="3" t="s">
        <v>57</v>
      </c>
      <c r="C4" s="3" t="s">
        <v>58</v>
      </c>
      <c r="D4" s="3" t="s">
        <v>59</v>
      </c>
      <c r="E4" s="3" t="s">
        <v>60</v>
      </c>
      <c r="F4" s="3" t="s">
        <v>61</v>
      </c>
      <c r="G4" s="3"/>
      <c r="H4" s="3"/>
    </row>
    <row r="5" customFormat="false" ht="15" hidden="false" customHeight="false" outlineLevel="0" collapsed="false">
      <c r="A5" s="4" t="s">
        <v>62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s">
        <v>63</v>
      </c>
      <c r="B6" s="6" t="n">
        <f aca="false">Model!G6</f>
        <v>3560</v>
      </c>
    </row>
    <row r="7" customFormat="false" ht="15" hidden="false" customHeight="false" outlineLevel="0" collapsed="false">
      <c r="A7" s="5" t="s">
        <v>64</v>
      </c>
      <c r="B7" s="28" t="n">
        <f aca="false">Model!G22</f>
        <v>0.489394662921348</v>
      </c>
    </row>
    <row r="8" customFormat="false" ht="15" hidden="false" customHeight="false" outlineLevel="0" collapsed="false">
      <c r="A8" s="5" t="s">
        <v>65</v>
      </c>
      <c r="B8" s="29" t="n">
        <f aca="false">Model!G25</f>
        <v>0.285</v>
      </c>
    </row>
    <row r="9" customFormat="false" ht="15" hidden="false" customHeight="false" outlineLevel="0" collapsed="false">
      <c r="A9" s="5" t="s">
        <v>66</v>
      </c>
      <c r="B9" s="29" t="n">
        <f aca="false">Model!G26</f>
        <v>0.22</v>
      </c>
    </row>
    <row r="10" customFormat="false" ht="15" hidden="false" customHeight="false" outlineLevel="0" collapsed="false">
      <c r="A10" s="9" t="s">
        <v>20</v>
      </c>
      <c r="B10" s="10" t="n">
        <f aca="false">Model!G15</f>
        <v>8094</v>
      </c>
    </row>
    <row r="11" customFormat="false" ht="15" hidden="false" customHeight="false" outlineLevel="0" collapsed="false">
      <c r="A11" s="7" t="s">
        <v>67</v>
      </c>
      <c r="B11" s="30" t="n">
        <f aca="false">Model!G16</f>
        <v>2175</v>
      </c>
    </row>
    <row r="12" customFormat="false" ht="15" hidden="false" customHeight="false" outlineLevel="0" collapsed="false">
      <c r="A12" s="9" t="s">
        <v>68</v>
      </c>
      <c r="B12" s="11" t="n">
        <f aca="false">B11/B10</f>
        <v>0.268717568569311</v>
      </c>
    </row>
    <row r="13" customFormat="false" ht="15" hidden="false" customHeight="false" outlineLevel="0" collapsed="false">
      <c r="A13" s="26" t="s">
        <v>69</v>
      </c>
      <c r="B13" s="31" t="n">
        <v>0.3</v>
      </c>
    </row>
    <row r="14" customFormat="false" ht="15" hidden="false" customHeight="false" outlineLevel="0" collapsed="false">
      <c r="A14" s="32" t="s">
        <v>70</v>
      </c>
      <c r="B14" s="33" t="n">
        <f aca="false">(B13-B12)*10000</f>
        <v>312.824314306894</v>
      </c>
    </row>
    <row r="16" customFormat="false" ht="15" hidden="false" customHeight="false" outlineLevel="0" collapsed="false">
      <c r="A16" s="4" t="s">
        <v>71</v>
      </c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C17" s="34" t="s">
        <v>58</v>
      </c>
      <c r="D17" s="34" t="s">
        <v>59</v>
      </c>
      <c r="E17" s="34" t="s">
        <v>60</v>
      </c>
      <c r="F17" s="34" t="s">
        <v>61</v>
      </c>
    </row>
    <row r="18" customFormat="false" ht="15" hidden="false" customHeight="false" outlineLevel="0" collapsed="false">
      <c r="A18" s="9" t="s">
        <v>72</v>
      </c>
      <c r="B18" s="35" t="s">
        <v>73</v>
      </c>
      <c r="C18" s="36" t="n">
        <v>178</v>
      </c>
      <c r="D18" s="36" t="n">
        <v>356</v>
      </c>
      <c r="E18" s="36" t="n">
        <v>534</v>
      </c>
      <c r="F18" s="36" t="n">
        <v>712</v>
      </c>
    </row>
    <row r="19" customFormat="false" ht="15" hidden="false" customHeight="false" outlineLevel="0" collapsed="false">
      <c r="A19" s="5" t="s">
        <v>74</v>
      </c>
      <c r="C19" s="6" t="n">
        <f aca="false">B10+C18</f>
        <v>8272</v>
      </c>
      <c r="D19" s="6" t="n">
        <f aca="false">B10+D18</f>
        <v>8450</v>
      </c>
      <c r="E19" s="6" t="n">
        <f aca="false">B10+E18</f>
        <v>8628</v>
      </c>
      <c r="F19" s="6" t="n">
        <f aca="false">B10+F18</f>
        <v>8806</v>
      </c>
    </row>
    <row r="20" customFormat="false" ht="15" hidden="false" customHeight="false" outlineLevel="0" collapsed="false">
      <c r="A20" s="5" t="s">
        <v>75</v>
      </c>
      <c r="C20" s="6" t="n">
        <f aca="false">C18*B7</f>
        <v>87.11225</v>
      </c>
      <c r="D20" s="6" t="n">
        <f aca="false">D18*B7</f>
        <v>174.2245</v>
      </c>
      <c r="E20" s="6" t="n">
        <f aca="false">E18*B7</f>
        <v>261.33675</v>
      </c>
      <c r="F20" s="6" t="n">
        <f aca="false">F18*B7</f>
        <v>348.449</v>
      </c>
    </row>
    <row r="21" customFormat="false" ht="15" hidden="false" customHeight="false" outlineLevel="0" collapsed="false">
      <c r="A21" s="9" t="s">
        <v>76</v>
      </c>
      <c r="C21" s="37" t="n">
        <f aca="false">B11+C20</f>
        <v>2262.11225</v>
      </c>
      <c r="D21" s="37" t="n">
        <f aca="false">B11+D20</f>
        <v>2349.2245</v>
      </c>
      <c r="E21" s="37" t="n">
        <f aca="false">B11+E20</f>
        <v>2436.33675</v>
      </c>
      <c r="F21" s="37" t="n">
        <f aca="false">B11+F20</f>
        <v>2523.449</v>
      </c>
    </row>
    <row r="22" customFormat="false" ht="15" hidden="false" customHeight="false" outlineLevel="0" collapsed="false">
      <c r="A22" s="9" t="s">
        <v>77</v>
      </c>
      <c r="C22" s="18" t="n">
        <f aca="false">C21/C19</f>
        <v>0.273466181092843</v>
      </c>
      <c r="D22" s="18" t="n">
        <f aca="false">D21/D19</f>
        <v>0.278014733727811</v>
      </c>
      <c r="E22" s="18" t="n">
        <f aca="false">E21/E19</f>
        <v>0.282375608484006</v>
      </c>
      <c r="F22" s="18" t="n">
        <f aca="false">F21/F19</f>
        <v>0.286560186236657</v>
      </c>
    </row>
    <row r="23" customFormat="false" ht="15" hidden="false" customHeight="false" outlineLevel="0" collapsed="false">
      <c r="A23" s="38" t="s">
        <v>78</v>
      </c>
      <c r="C23" s="39" t="n">
        <f aca="false">(C22-B12)*10000</f>
        <v>47.486125235327</v>
      </c>
      <c r="D23" s="39" t="n">
        <f aca="false">(D22-B12)*10000</f>
        <v>92.9716515850004</v>
      </c>
      <c r="E23" s="39" t="n">
        <f aca="false">(E22-B12)*10000</f>
        <v>136.580399146949</v>
      </c>
      <c r="F23" s="39" t="n">
        <f aca="false">(F22-B12)*10000</f>
        <v>178.426176673462</v>
      </c>
    </row>
    <row r="25" customFormat="false" ht="15" hidden="false" customHeight="false" outlineLevel="0" collapsed="false">
      <c r="A25" s="4" t="s">
        <v>79</v>
      </c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C26" s="34" t="s">
        <v>58</v>
      </c>
      <c r="D26" s="34" t="s">
        <v>59</v>
      </c>
      <c r="E26" s="34" t="s">
        <v>60</v>
      </c>
      <c r="F26" s="34" t="s">
        <v>61</v>
      </c>
    </row>
    <row r="27" customFormat="false" ht="15" hidden="false" customHeight="false" outlineLevel="0" collapsed="false">
      <c r="A27" s="9" t="s">
        <v>80</v>
      </c>
      <c r="B27" s="35" t="s">
        <v>73</v>
      </c>
      <c r="C27" s="36" t="n">
        <v>50</v>
      </c>
      <c r="D27" s="36" t="n">
        <v>100</v>
      </c>
      <c r="E27" s="36" t="n">
        <v>150</v>
      </c>
      <c r="F27" s="36" t="n">
        <v>250</v>
      </c>
    </row>
    <row r="28" customFormat="false" ht="15" hidden="false" customHeight="false" outlineLevel="0" collapsed="false">
      <c r="A28" s="9" t="s">
        <v>76</v>
      </c>
      <c r="C28" s="37" t="n">
        <f aca="false">B11+C27</f>
        <v>2225</v>
      </c>
      <c r="D28" s="37" t="n">
        <f aca="false">B11+D27</f>
        <v>2275</v>
      </c>
      <c r="E28" s="37" t="n">
        <f aca="false">B11+E27</f>
        <v>2325</v>
      </c>
      <c r="F28" s="37" t="n">
        <f aca="false">B11+F27</f>
        <v>2425</v>
      </c>
    </row>
    <row r="29" customFormat="false" ht="15" hidden="false" customHeight="false" outlineLevel="0" collapsed="false">
      <c r="A29" s="9" t="s">
        <v>77</v>
      </c>
      <c r="C29" s="18" t="n">
        <f aca="false">C28/B10</f>
        <v>0.27489498393872</v>
      </c>
      <c r="D29" s="18" t="n">
        <f aca="false">D28/B10</f>
        <v>0.28107239930813</v>
      </c>
      <c r="E29" s="18" t="n">
        <f aca="false">E28/B10</f>
        <v>0.287249814677539</v>
      </c>
      <c r="F29" s="18" t="n">
        <f aca="false">F28/B10</f>
        <v>0.299604645416358</v>
      </c>
    </row>
    <row r="30" customFormat="false" ht="15" hidden="false" customHeight="false" outlineLevel="0" collapsed="false">
      <c r="A30" s="38" t="s">
        <v>78</v>
      </c>
      <c r="C30" s="39" t="n">
        <f aca="false">(C29-B12)*10000</f>
        <v>61.7741536940941</v>
      </c>
      <c r="D30" s="39" t="n">
        <f aca="false">(D29-B12)*10000</f>
        <v>123.548307388189</v>
      </c>
      <c r="E30" s="39" t="n">
        <f aca="false">(E29-B12)*10000</f>
        <v>185.322461082283</v>
      </c>
      <c r="F30" s="39" t="n">
        <f aca="false">(F29-B12)*10000</f>
        <v>308.870768470472</v>
      </c>
    </row>
    <row r="32" customFormat="false" ht="15" hidden="false" customHeight="false" outlineLevel="0" collapsed="false">
      <c r="A32" s="4" t="s">
        <v>81</v>
      </c>
      <c r="B32" s="4"/>
      <c r="C32" s="4"/>
      <c r="D32" s="4"/>
      <c r="E32" s="4"/>
      <c r="F32" s="4"/>
      <c r="G32" s="4"/>
      <c r="H32" s="4"/>
    </row>
    <row r="33" customFormat="false" ht="15" hidden="false" customHeight="false" outlineLevel="0" collapsed="false">
      <c r="C33" s="34" t="s">
        <v>58</v>
      </c>
      <c r="D33" s="34" t="s">
        <v>59</v>
      </c>
      <c r="E33" s="34" t="s">
        <v>60</v>
      </c>
      <c r="F33" s="34" t="s">
        <v>61</v>
      </c>
    </row>
    <row r="34" customFormat="false" ht="15" hidden="false" customHeight="false" outlineLevel="0" collapsed="false">
      <c r="A34" s="9" t="s">
        <v>82</v>
      </c>
      <c r="B34" s="35" t="s">
        <v>73</v>
      </c>
      <c r="C34" s="36" t="n">
        <v>50</v>
      </c>
      <c r="D34" s="36" t="n">
        <v>100</v>
      </c>
      <c r="E34" s="36" t="n">
        <v>150</v>
      </c>
      <c r="F34" s="36" t="n">
        <v>200</v>
      </c>
    </row>
    <row r="35" customFormat="false" ht="15" hidden="false" customHeight="false" outlineLevel="0" collapsed="false">
      <c r="A35" s="5" t="s">
        <v>83</v>
      </c>
      <c r="C35" s="6" t="n">
        <f aca="false">C34*(B7-B9)</f>
        <v>13.4697331460674</v>
      </c>
      <c r="D35" s="6" t="n">
        <f aca="false">D34*(B7-B9)</f>
        <v>26.9394662921348</v>
      </c>
      <c r="E35" s="6" t="n">
        <f aca="false">E34*(B7-B9)</f>
        <v>40.4091994382023</v>
      </c>
      <c r="F35" s="6" t="n">
        <f aca="false">F34*(B7-B9)</f>
        <v>53.8789325842697</v>
      </c>
    </row>
    <row r="36" customFormat="false" ht="15" hidden="false" customHeight="false" outlineLevel="0" collapsed="false">
      <c r="A36" s="9" t="s">
        <v>76</v>
      </c>
      <c r="C36" s="37" t="n">
        <f aca="false">B11+C35</f>
        <v>2188.46973314607</v>
      </c>
      <c r="D36" s="37" t="n">
        <f aca="false">B11+D35</f>
        <v>2201.93946629214</v>
      </c>
      <c r="E36" s="37" t="n">
        <f aca="false">B11+E35</f>
        <v>2215.4091994382</v>
      </c>
      <c r="F36" s="37" t="n">
        <f aca="false">B11+F35</f>
        <v>2228.87893258427</v>
      </c>
    </row>
    <row r="37" customFormat="false" ht="15" hidden="false" customHeight="false" outlineLevel="0" collapsed="false">
      <c r="A37" s="9" t="s">
        <v>77</v>
      </c>
      <c r="C37" s="18" t="n">
        <f aca="false">C36/B10</f>
        <v>0.270381731300478</v>
      </c>
      <c r="D37" s="18" t="n">
        <f aca="false">D36/B10</f>
        <v>0.272045894031645</v>
      </c>
      <c r="E37" s="18" t="n">
        <f aca="false">E36/B10</f>
        <v>0.273710056762812</v>
      </c>
      <c r="F37" s="18" t="n">
        <f aca="false">F36/B10</f>
        <v>0.275374219493979</v>
      </c>
    </row>
    <row r="38" customFormat="false" ht="15" hidden="false" customHeight="false" outlineLevel="0" collapsed="false">
      <c r="A38" s="38" t="s">
        <v>78</v>
      </c>
      <c r="C38" s="39" t="n">
        <f aca="false">(C37-B12)*10000</f>
        <v>16.6416273116721</v>
      </c>
      <c r="D38" s="39" t="n">
        <f aca="false">(D37-B12)*10000</f>
        <v>33.2832546233441</v>
      </c>
      <c r="E38" s="39" t="n">
        <f aca="false">(E37-B12)*10000</f>
        <v>49.9248819350162</v>
      </c>
      <c r="F38" s="39" t="n">
        <f aca="false">(F37-B12)*10000</f>
        <v>66.5665092466883</v>
      </c>
    </row>
    <row r="40" customFormat="false" ht="15" hidden="false" customHeight="false" outlineLevel="0" collapsed="false">
      <c r="A40" s="4" t="s">
        <v>84</v>
      </c>
      <c r="B40" s="4"/>
      <c r="C40" s="4"/>
      <c r="D40" s="4"/>
      <c r="E40" s="4"/>
      <c r="F40" s="4"/>
      <c r="G40" s="4"/>
      <c r="H40" s="4"/>
    </row>
    <row r="41" customFormat="false" ht="15" hidden="false" customHeight="false" outlineLevel="0" collapsed="false">
      <c r="C41" s="34" t="s">
        <v>58</v>
      </c>
      <c r="D41" s="34" t="s">
        <v>59</v>
      </c>
      <c r="E41" s="34" t="s">
        <v>60</v>
      </c>
      <c r="F41" s="34" t="s">
        <v>61</v>
      </c>
    </row>
    <row r="42" customFormat="false" ht="15" hidden="false" customHeight="false" outlineLevel="0" collapsed="false">
      <c r="A42" s="9" t="s">
        <v>85</v>
      </c>
      <c r="B42" s="35" t="s">
        <v>73</v>
      </c>
      <c r="C42" s="36" t="n">
        <v>50</v>
      </c>
      <c r="D42" s="36" t="n">
        <v>100</v>
      </c>
      <c r="E42" s="36" t="n">
        <v>150</v>
      </c>
      <c r="F42" s="36" t="n">
        <v>200</v>
      </c>
    </row>
    <row r="43" customFormat="false" ht="15" hidden="false" customHeight="false" outlineLevel="0" collapsed="false">
      <c r="A43" s="5" t="s">
        <v>83</v>
      </c>
      <c r="C43" s="6" t="n">
        <f aca="false">C42*(B7-B8)</f>
        <v>10.2197331460674</v>
      </c>
      <c r="D43" s="6" t="n">
        <f aca="false">D42*(B7-B8)</f>
        <v>20.4394662921348</v>
      </c>
      <c r="E43" s="6" t="n">
        <f aca="false">E42*(B7-B8)</f>
        <v>30.6591994382023</v>
      </c>
      <c r="F43" s="6" t="n">
        <f aca="false">F42*(B7-B8)</f>
        <v>40.8789325842697</v>
      </c>
    </row>
    <row r="44" customFormat="false" ht="15" hidden="false" customHeight="false" outlineLevel="0" collapsed="false">
      <c r="A44" s="9" t="s">
        <v>76</v>
      </c>
      <c r="C44" s="37" t="n">
        <f aca="false">B11+C43</f>
        <v>2185.21973314607</v>
      </c>
      <c r="D44" s="37" t="n">
        <f aca="false">B11+D43</f>
        <v>2195.43946629214</v>
      </c>
      <c r="E44" s="37" t="n">
        <f aca="false">B11+E43</f>
        <v>2205.6591994382</v>
      </c>
      <c r="F44" s="37" t="n">
        <f aca="false">B11+F43</f>
        <v>2215.87893258427</v>
      </c>
    </row>
    <row r="45" customFormat="false" ht="15" hidden="false" customHeight="false" outlineLevel="0" collapsed="false">
      <c r="A45" s="9" t="s">
        <v>77</v>
      </c>
      <c r="C45" s="18" t="n">
        <f aca="false">C44/B10</f>
        <v>0.269980199301466</v>
      </c>
      <c r="D45" s="18" t="n">
        <f aca="false">D44/B10</f>
        <v>0.271242830033622</v>
      </c>
      <c r="E45" s="18" t="n">
        <f aca="false">E44/B10</f>
        <v>0.272505460765777</v>
      </c>
      <c r="F45" s="18" t="n">
        <f aca="false">F44/B10</f>
        <v>0.273768091497933</v>
      </c>
    </row>
    <row r="46" customFormat="false" ht="15" hidden="false" customHeight="false" outlineLevel="0" collapsed="false">
      <c r="A46" s="38" t="s">
        <v>78</v>
      </c>
      <c r="C46" s="39" t="n">
        <f aca="false">(C45-B12)*10000</f>
        <v>12.626307321556</v>
      </c>
      <c r="D46" s="39" t="n">
        <f aca="false">(D45-B12)*10000</f>
        <v>25.252614643112</v>
      </c>
      <c r="E46" s="39" t="n">
        <f aca="false">(E45-B12)*10000</f>
        <v>37.878921964668</v>
      </c>
      <c r="F46" s="39" t="n">
        <f aca="false">(F45-B12)*10000</f>
        <v>50.5052292862235</v>
      </c>
    </row>
    <row r="48" customFormat="false" ht="15" hidden="false" customHeight="false" outlineLevel="0" collapsed="false">
      <c r="A48" s="4" t="s">
        <v>86</v>
      </c>
      <c r="B48" s="4"/>
      <c r="C48" s="4"/>
      <c r="D48" s="4"/>
      <c r="E48" s="4"/>
      <c r="F48" s="4"/>
      <c r="G48" s="4"/>
      <c r="H48" s="4"/>
    </row>
    <row r="49" customFormat="false" ht="15" hidden="false" customHeight="false" outlineLevel="0" collapsed="false">
      <c r="C49" s="40" t="s">
        <v>87</v>
      </c>
      <c r="D49" s="40" t="s">
        <v>88</v>
      </c>
    </row>
    <row r="50" customFormat="false" ht="15" hidden="false" customHeight="false" outlineLevel="0" collapsed="false">
      <c r="A50" s="5" t="s">
        <v>89</v>
      </c>
      <c r="C50" s="36" t="n">
        <v>356</v>
      </c>
      <c r="D50" s="36" t="n">
        <v>534</v>
      </c>
    </row>
    <row r="51" customFormat="false" ht="15" hidden="false" customHeight="false" outlineLevel="0" collapsed="false">
      <c r="A51" s="5" t="s">
        <v>90</v>
      </c>
      <c r="C51" s="36" t="n">
        <v>100</v>
      </c>
      <c r="D51" s="36" t="n">
        <v>150</v>
      </c>
    </row>
    <row r="52" customFormat="false" ht="15" hidden="false" customHeight="false" outlineLevel="0" collapsed="false">
      <c r="A52" s="5" t="s">
        <v>91</v>
      </c>
      <c r="C52" s="36" t="n">
        <v>75</v>
      </c>
      <c r="D52" s="36" t="n">
        <v>100</v>
      </c>
    </row>
    <row r="53" customFormat="false" ht="15" hidden="false" customHeight="false" outlineLevel="0" collapsed="false">
      <c r="A53" s="5" t="s">
        <v>92</v>
      </c>
      <c r="C53" s="36" t="n">
        <v>100</v>
      </c>
      <c r="D53" s="36" t="n">
        <v>150</v>
      </c>
    </row>
    <row r="54" customFormat="false" ht="15" hidden="false" customHeight="false" outlineLevel="0" collapsed="false">
      <c r="A54" s="9" t="s">
        <v>93</v>
      </c>
      <c r="C54" s="10" t="n">
        <f aca="false">B10+C50</f>
        <v>8450</v>
      </c>
      <c r="D54" s="10" t="n">
        <f aca="false">B10+D50</f>
        <v>8628</v>
      </c>
    </row>
    <row r="55" customFormat="false" ht="15" hidden="false" customHeight="false" outlineLevel="0" collapsed="false">
      <c r="A55" s="9" t="s">
        <v>75</v>
      </c>
      <c r="C55" s="10" t="n">
        <f aca="false">C50*B7+C52*(B7-B9)+C53*(B7-B8)</f>
        <v>214.868566011236</v>
      </c>
      <c r="D55" s="10" t="n">
        <f aca="false">D50*B7+D52*(B7-B9)+D53*(B7-B8)</f>
        <v>318.935415730337</v>
      </c>
    </row>
    <row r="56" customFormat="false" ht="15" hidden="false" customHeight="false" outlineLevel="0" collapsed="false">
      <c r="A56" s="7" t="s">
        <v>76</v>
      </c>
      <c r="C56" s="30" t="n">
        <f aca="false">B11+C55+C51</f>
        <v>2489.86856601124</v>
      </c>
      <c r="D56" s="30" t="n">
        <f aca="false">B11+D55+D51</f>
        <v>2643.93541573034</v>
      </c>
    </row>
    <row r="57" customFormat="false" ht="15" hidden="false" customHeight="false" outlineLevel="0" collapsed="false">
      <c r="A57" s="9" t="s">
        <v>77</v>
      </c>
      <c r="C57" s="18" t="n">
        <f aca="false">C56/C54</f>
        <v>0.294659001894821</v>
      </c>
      <c r="D57" s="18" t="n">
        <f aca="false">D56/D54</f>
        <v>0.306436649945565</v>
      </c>
    </row>
    <row r="58" customFormat="false" ht="15" hidden="false" customHeight="false" outlineLevel="0" collapsed="false">
      <c r="A58" s="38" t="s">
        <v>78</v>
      </c>
      <c r="C58" s="39" t="n">
        <f aca="false">(C57-B12)*10000</f>
        <v>259.414333255102</v>
      </c>
      <c r="D58" s="39" t="n">
        <f aca="false">(D57-B12)*10000</f>
        <v>377.190813762547</v>
      </c>
    </row>
    <row r="59" customFormat="false" ht="15" hidden="false" customHeight="false" outlineLevel="0" collapsed="false">
      <c r="A59" s="26" t="s">
        <v>94</v>
      </c>
      <c r="C59" s="27" t="n">
        <f aca="false">(B13-C57)*10000</f>
        <v>53.4099810517918</v>
      </c>
      <c r="D59" s="27" t="n">
        <f aca="false">(B13-D57)*10000</f>
        <v>-64.3664994556531</v>
      </c>
    </row>
    <row r="61" customFormat="false" ht="15" hidden="false" customHeight="false" outlineLevel="0" collapsed="false">
      <c r="A61" s="4" t="s">
        <v>95</v>
      </c>
      <c r="B61" s="4"/>
      <c r="C61" s="4"/>
      <c r="D61" s="4"/>
      <c r="E61" s="4"/>
      <c r="F61" s="4"/>
      <c r="G61" s="4"/>
      <c r="H61" s="4"/>
    </row>
    <row r="62" customFormat="false" ht="15" hidden="false" customHeight="false" outlineLevel="0" collapsed="false">
      <c r="A62" s="9" t="s">
        <v>96</v>
      </c>
      <c r="B62" s="41" t="s">
        <v>97</v>
      </c>
      <c r="C62" s="42" t="s">
        <v>98</v>
      </c>
      <c r="D62" s="42"/>
      <c r="E62" s="42"/>
      <c r="F62" s="42"/>
      <c r="G62" s="42"/>
      <c r="H62" s="42"/>
    </row>
    <row r="63" customFormat="false" ht="15" hidden="false" customHeight="false" outlineLevel="0" collapsed="false">
      <c r="A63" s="9" t="s">
        <v>99</v>
      </c>
      <c r="B63" s="43" t="n">
        <f aca="false">100/B10*10000</f>
        <v>123.548307388189</v>
      </c>
      <c r="C63" s="44" t="s">
        <v>100</v>
      </c>
      <c r="D63" s="44"/>
      <c r="E63" s="44"/>
      <c r="F63" s="44"/>
      <c r="G63" s="44"/>
      <c r="H63" s="44"/>
    </row>
    <row r="64" customFormat="false" ht="15" hidden="false" customHeight="false" outlineLevel="0" collapsed="false">
      <c r="A64" s="5" t="s">
        <v>101</v>
      </c>
      <c r="B64" s="43" t="n">
        <f aca="false">100*(B7-B9)/B10*10000</f>
        <v>33.2832546233443</v>
      </c>
      <c r="C64" s="44" t="s">
        <v>102</v>
      </c>
      <c r="D64" s="44"/>
      <c r="E64" s="44"/>
      <c r="F64" s="44"/>
      <c r="G64" s="44"/>
      <c r="H64" s="44"/>
    </row>
    <row r="65" customFormat="false" ht="15" hidden="false" customHeight="false" outlineLevel="0" collapsed="false">
      <c r="A65" s="5" t="s">
        <v>103</v>
      </c>
      <c r="B65" s="43" t="n">
        <f aca="false">100*(B7-B8)/B10*10000</f>
        <v>25.252614643112</v>
      </c>
      <c r="C65" s="44" t="s">
        <v>104</v>
      </c>
      <c r="D65" s="44"/>
      <c r="E65" s="44"/>
      <c r="F65" s="44"/>
      <c r="G65" s="44"/>
      <c r="H65" s="44"/>
    </row>
    <row r="66" customFormat="false" ht="15" hidden="false" customHeight="false" outlineLevel="0" collapsed="false">
      <c r="A66" s="5" t="s">
        <v>105</v>
      </c>
      <c r="B66" s="43" t="n">
        <f aca="false">100*B7/(B10+100)*10000</f>
        <v>59.7259779010677</v>
      </c>
      <c r="C66" s="44" t="s">
        <v>106</v>
      </c>
      <c r="D66" s="44"/>
      <c r="E66" s="44"/>
      <c r="F66" s="44"/>
      <c r="G66" s="44"/>
      <c r="H66" s="44"/>
    </row>
  </sheetData>
  <mergeCells count="14">
    <mergeCell ref="A1:H1"/>
    <mergeCell ref="A2:H2"/>
    <mergeCell ref="A5:H5"/>
    <mergeCell ref="A16:H16"/>
    <mergeCell ref="A25:H25"/>
    <mergeCell ref="A32:H32"/>
    <mergeCell ref="A40:H40"/>
    <mergeCell ref="A48:H48"/>
    <mergeCell ref="A61:H61"/>
    <mergeCell ref="C62:H62"/>
    <mergeCell ref="C63:H63"/>
    <mergeCell ref="C64:H64"/>
    <mergeCell ref="C65:H65"/>
    <mergeCell ref="C66:H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3"/>
    <col collapsed="false" customWidth="true" hidden="false" outlineLevel="0" max="6" min="6" style="0" width="38"/>
  </cols>
  <sheetData>
    <row r="1" customFormat="false" ht="17.35" hidden="false" customHeight="false" outlineLevel="0" collapsed="false">
      <c r="A1" s="1" t="s">
        <v>107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/>
      <c r="B3" s="3" t="s">
        <v>58</v>
      </c>
      <c r="C3" s="3" t="s">
        <v>59</v>
      </c>
      <c r="D3" s="3" t="s">
        <v>60</v>
      </c>
      <c r="E3" s="3" t="s">
        <v>61</v>
      </c>
      <c r="F3" s="3" t="s">
        <v>98</v>
      </c>
    </row>
    <row r="4" customFormat="false" ht="15" hidden="false" customHeight="false" outlineLevel="0" collapsed="false">
      <c r="A4" s="7" t="s">
        <v>108</v>
      </c>
      <c r="B4" s="45" t="n">
        <f aca="false">'Lever Sensitivity'!B12</f>
        <v>0.268717568569311</v>
      </c>
      <c r="C4" s="46"/>
      <c r="D4" s="46"/>
      <c r="E4" s="46"/>
      <c r="F4" s="35" t="s">
        <v>109</v>
      </c>
    </row>
    <row r="5" customFormat="false" ht="15" hidden="false" customHeight="false" outlineLevel="0" collapsed="false">
      <c r="A5" s="32" t="s">
        <v>110</v>
      </c>
      <c r="B5" s="33" t="n">
        <f aca="false">'Lever Sensitivity'!B14</f>
        <v>312.824314306894</v>
      </c>
      <c r="C5" s="47" t="s">
        <v>111</v>
      </c>
      <c r="D5" s="46"/>
      <c r="F5" s="48"/>
    </row>
    <row r="7" customFormat="false" ht="15" hidden="false" customHeight="false" outlineLevel="0" collapsed="false">
      <c r="E7" s="46"/>
      <c r="F7" s="48"/>
    </row>
    <row r="9" customFormat="false" ht="30" hidden="false" customHeight="true" outlineLevel="0" collapsed="false">
      <c r="A9" s="49" t="s">
        <v>112</v>
      </c>
      <c r="B9" s="50" t="n">
        <f aca="false">'Lever Sensitivity'!C23</f>
        <v>47.486125235327</v>
      </c>
      <c r="C9" s="50" t="n">
        <f aca="false">'Lever Sensitivity'!D23</f>
        <v>92.9716515850004</v>
      </c>
      <c r="D9" s="50" t="n">
        <f aca="false">'Lever Sensitivity'!E23</f>
        <v>136.580399146949</v>
      </c>
      <c r="E9" s="50" t="n">
        <f aca="false">'Lever Sensitivity'!F23</f>
        <v>178.426176673462</v>
      </c>
      <c r="F9" s="35" t="s">
        <v>113</v>
      </c>
    </row>
    <row r="10" customFormat="false" ht="30" hidden="false" customHeight="true" outlineLevel="0" collapsed="false">
      <c r="A10" s="49" t="s">
        <v>114</v>
      </c>
      <c r="B10" s="50" t="n">
        <f aca="false">'Lever Sensitivity'!C30</f>
        <v>61.7741536940941</v>
      </c>
      <c r="C10" s="50" t="n">
        <f aca="false">'Lever Sensitivity'!D30</f>
        <v>123.548307388189</v>
      </c>
      <c r="D10" s="50" t="n">
        <f aca="false">'Lever Sensitivity'!E30</f>
        <v>185.322461082283</v>
      </c>
      <c r="E10" s="50" t="n">
        <f aca="false">'Lever Sensitivity'!F30</f>
        <v>308.870768470472</v>
      </c>
      <c r="F10" s="35" t="s">
        <v>115</v>
      </c>
    </row>
    <row r="11" customFormat="false" ht="30" hidden="false" customHeight="true" outlineLevel="0" collapsed="false">
      <c r="A11" s="49" t="s">
        <v>116</v>
      </c>
      <c r="B11" s="50" t="n">
        <f aca="false">'Lever Sensitivity'!C38</f>
        <v>16.6416273116721</v>
      </c>
      <c r="C11" s="50" t="n">
        <f aca="false">'Lever Sensitivity'!D38</f>
        <v>33.2832546233441</v>
      </c>
      <c r="D11" s="50" t="n">
        <f aca="false">'Lever Sensitivity'!E38</f>
        <v>49.9248819350162</v>
      </c>
      <c r="E11" s="50" t="n">
        <f aca="false">'Lever Sensitivity'!F38</f>
        <v>66.5665092466883</v>
      </c>
      <c r="F11" s="35" t="s">
        <v>117</v>
      </c>
    </row>
    <row r="12" customFormat="false" ht="30" hidden="false" customHeight="true" outlineLevel="0" collapsed="false">
      <c r="A12" s="49" t="s">
        <v>118</v>
      </c>
      <c r="B12" s="50" t="n">
        <f aca="false">'Lever Sensitivity'!C46</f>
        <v>12.626307321556</v>
      </c>
      <c r="C12" s="50" t="n">
        <f aca="false">'Lever Sensitivity'!D46</f>
        <v>25.252614643112</v>
      </c>
      <c r="D12" s="50" t="n">
        <f aca="false">'Lever Sensitivity'!E46</f>
        <v>37.878921964668</v>
      </c>
      <c r="E12" s="50" t="n">
        <f aca="false">'Lever Sensitivity'!F46</f>
        <v>50.5052292862235</v>
      </c>
      <c r="F12" s="35" t="s">
        <v>119</v>
      </c>
    </row>
    <row r="14" customFormat="false" ht="21.75" hidden="false" customHeight="true" outlineLevel="0" collapsed="false">
      <c r="A14" s="7" t="s">
        <v>120</v>
      </c>
      <c r="B14" s="51" t="n">
        <f aca="false">'Lever Sensitivity'!C57</f>
        <v>0.294659001894821</v>
      </c>
      <c r="C14" s="52" t="n">
        <f aca="false">'Lever Sensitivity'!C58</f>
        <v>259.414333255102</v>
      </c>
      <c r="D14" s="46" t="s">
        <v>111</v>
      </c>
      <c r="E14" s="46"/>
      <c r="F14" s="35" t="s">
        <v>121</v>
      </c>
    </row>
    <row r="15" customFormat="false" ht="21.75" hidden="false" customHeight="true" outlineLevel="0" collapsed="false">
      <c r="A15" s="7" t="s">
        <v>122</v>
      </c>
      <c r="B15" s="53" t="n">
        <f aca="false">'Lever Sensitivity'!D57</f>
        <v>0.306436649945565</v>
      </c>
      <c r="C15" s="39" t="n">
        <f aca="false">'Lever Sensitivity'!D58</f>
        <v>377.190813762547</v>
      </c>
      <c r="D15" s="46" t="s">
        <v>111</v>
      </c>
      <c r="E15" s="46"/>
      <c r="F15" s="35" t="s">
        <v>123</v>
      </c>
    </row>
    <row r="17" customFormat="false" ht="15" hidden="false" customHeight="false" outlineLevel="0" collapsed="false">
      <c r="A17" s="2" t="s">
        <v>124</v>
      </c>
      <c r="B17" s="2"/>
      <c r="C17" s="2"/>
      <c r="D17" s="2"/>
      <c r="E17" s="2"/>
      <c r="F17" s="2"/>
    </row>
    <row r="18" customFormat="false" ht="15" hidden="false" customHeight="false" outlineLevel="0" collapsed="false">
      <c r="A18" s="2" t="s">
        <v>125</v>
      </c>
      <c r="B18" s="2"/>
      <c r="C18" s="2"/>
      <c r="D18" s="2"/>
      <c r="E18" s="2"/>
      <c r="F18" s="2"/>
    </row>
  </sheetData>
  <mergeCells count="3">
    <mergeCell ref="A1:F1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5"/>
  </cols>
  <sheetData>
    <row r="1" customFormat="false" ht="17.35" hidden="false" customHeight="false" outlineLevel="0" collapsed="false">
      <c r="A1" s="1" t="s">
        <v>126</v>
      </c>
      <c r="B1" s="1"/>
    </row>
    <row r="2" customFormat="false" ht="15" hidden="false" customHeight="false" outlineLevel="0" collapsed="false">
      <c r="A2" s="54"/>
      <c r="B2" s="54"/>
    </row>
    <row r="3" customFormat="false" ht="15" hidden="false" customHeight="false" outlineLevel="0" collapsed="false">
      <c r="A3" s="54" t="s">
        <v>127</v>
      </c>
      <c r="B3" s="54"/>
    </row>
    <row r="4" customFormat="false" ht="23.85" hidden="false" customHeight="false" outlineLevel="0" collapsed="false">
      <c r="A4" s="55" t="s">
        <v>128</v>
      </c>
      <c r="B4" s="56" t="s">
        <v>129</v>
      </c>
    </row>
    <row r="5" customFormat="false" ht="23.85" hidden="false" customHeight="false" outlineLevel="0" collapsed="false">
      <c r="A5" s="55" t="s">
        <v>130</v>
      </c>
      <c r="B5" s="56" t="s">
        <v>131</v>
      </c>
    </row>
    <row r="6" customFormat="false" ht="15" hidden="false" customHeight="false" outlineLevel="0" collapsed="false">
      <c r="A6" s="54"/>
      <c r="B6" s="54"/>
    </row>
    <row r="7" customFormat="false" ht="15" hidden="false" customHeight="false" outlineLevel="0" collapsed="false">
      <c r="A7" s="54" t="s">
        <v>132</v>
      </c>
      <c r="B7" s="54"/>
    </row>
    <row r="8" customFormat="false" ht="15" hidden="false" customHeight="false" outlineLevel="0" collapsed="false">
      <c r="A8" s="55" t="s">
        <v>133</v>
      </c>
      <c r="B8" s="56" t="s">
        <v>134</v>
      </c>
    </row>
    <row r="9" customFormat="false" ht="15" hidden="false" customHeight="false" outlineLevel="0" collapsed="false">
      <c r="A9" s="55" t="s">
        <v>135</v>
      </c>
      <c r="B9" s="56" t="s">
        <v>136</v>
      </c>
    </row>
    <row r="10" customFormat="false" ht="15" hidden="false" customHeight="false" outlineLevel="0" collapsed="false">
      <c r="A10" s="55" t="s">
        <v>137</v>
      </c>
      <c r="B10" s="56" t="s">
        <v>138</v>
      </c>
    </row>
    <row r="11" customFormat="false" ht="23.85" hidden="false" customHeight="false" outlineLevel="0" collapsed="false">
      <c r="A11" s="55" t="s">
        <v>139</v>
      </c>
      <c r="B11" s="56" t="s">
        <v>140</v>
      </c>
    </row>
    <row r="12" customFormat="false" ht="15" hidden="false" customHeight="false" outlineLevel="0" collapsed="false">
      <c r="A12" s="55" t="s">
        <v>141</v>
      </c>
      <c r="B12" s="56" t="s">
        <v>142</v>
      </c>
    </row>
    <row r="13" customFormat="false" ht="15" hidden="false" customHeight="false" outlineLevel="0" collapsed="false">
      <c r="A13" s="55" t="s">
        <v>143</v>
      </c>
      <c r="B13" s="56" t="s">
        <v>144</v>
      </c>
    </row>
    <row r="14" customFormat="false" ht="15" hidden="false" customHeight="false" outlineLevel="0" collapsed="false">
      <c r="A14" s="55" t="s">
        <v>145</v>
      </c>
      <c r="B14" s="56" t="s">
        <v>146</v>
      </c>
    </row>
    <row r="15" customFormat="false" ht="15" hidden="false" customHeight="false" outlineLevel="0" collapsed="false">
      <c r="A15" s="54"/>
      <c r="B15" s="54"/>
    </row>
    <row r="16" customFormat="false" ht="15" hidden="false" customHeight="false" outlineLevel="0" collapsed="false">
      <c r="A16" s="54" t="s">
        <v>147</v>
      </c>
      <c r="B16" s="54"/>
    </row>
    <row r="17" customFormat="false" ht="15" hidden="false" customHeight="false" outlineLevel="0" collapsed="false">
      <c r="A17" s="55" t="s">
        <v>148</v>
      </c>
      <c r="B17" s="56" t="s">
        <v>149</v>
      </c>
    </row>
    <row r="18" customFormat="false" ht="15" hidden="false" customHeight="false" outlineLevel="0" collapsed="false">
      <c r="A18" s="55" t="s">
        <v>150</v>
      </c>
      <c r="B18" s="56" t="s">
        <v>151</v>
      </c>
    </row>
    <row r="19" customFormat="false" ht="23.85" hidden="false" customHeight="false" outlineLevel="0" collapsed="false">
      <c r="A19" s="55" t="s">
        <v>152</v>
      </c>
      <c r="B19" s="56" t="s">
        <v>153</v>
      </c>
    </row>
    <row r="20" customFormat="false" ht="23.85" hidden="false" customHeight="false" outlineLevel="0" collapsed="false">
      <c r="A20" s="55" t="s">
        <v>154</v>
      </c>
      <c r="B20" s="56" t="s">
        <v>155</v>
      </c>
    </row>
    <row r="21" customFormat="false" ht="15" hidden="false" customHeight="false" outlineLevel="0" collapsed="false">
      <c r="A21" s="54"/>
      <c r="B21" s="54"/>
    </row>
    <row r="22" customFormat="false" ht="15" hidden="false" customHeight="false" outlineLevel="0" collapsed="false">
      <c r="A22" s="54" t="s">
        <v>156</v>
      </c>
      <c r="B22" s="54"/>
    </row>
    <row r="23" customFormat="false" ht="15" hidden="false" customHeight="false" outlineLevel="0" collapsed="false">
      <c r="A23" s="55" t="s">
        <v>157</v>
      </c>
      <c r="B23" s="56" t="s">
        <v>158</v>
      </c>
    </row>
    <row r="24" customFormat="false" ht="15" hidden="false" customHeight="false" outlineLevel="0" collapsed="false">
      <c r="A24" s="55" t="s">
        <v>159</v>
      </c>
      <c r="B24" s="56" t="s">
        <v>160</v>
      </c>
    </row>
    <row r="25" customFormat="false" ht="15" hidden="false" customHeight="false" outlineLevel="0" collapsed="false">
      <c r="A25" s="55" t="s">
        <v>161</v>
      </c>
      <c r="B25" s="56" t="s">
        <v>162</v>
      </c>
    </row>
  </sheetData>
  <mergeCells count="9">
    <mergeCell ref="A1:B1"/>
    <mergeCell ref="A2:B2"/>
    <mergeCell ref="A3:B3"/>
    <mergeCell ref="A6:B6"/>
    <mergeCell ref="A7:B7"/>
    <mergeCell ref="A15:B15"/>
    <mergeCell ref="A16:B16"/>
    <mergeCell ref="A21:B21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2026-04-08T14:33:31Z</dcterms:created>
  <dc:creator>openpyxl</dc:creator>
  <dc:description/>
  <dc:language>en-US</dc:language>
  <cp:lastModifiedBy/>
  <dcterms:modified xsi:type="dcterms:W3CDTF">2026-04-08T14:33:31Z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