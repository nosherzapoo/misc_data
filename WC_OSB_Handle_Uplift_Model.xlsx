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ethod" sheetId="2" state="visible" r:id="rId4"/>
    <sheet name="Inputs" sheetId="3" state="visible" r:id="rId5"/>
    <sheet name="NY Data" sheetId="4" state="visible" r:id="rId6"/>
    <sheet name="Uplift Calc" sheetId="5" state="visible" r:id="rId7"/>
    <sheet name="National"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<sst xmlns="http://schemas.openxmlformats.org/spreadsheetml/2006/main" count="177" uniqueCount="142">
  <si>
    <t xml:space="preserve">2026 World Cup: Incremental OSB Handle</t>
  </si>
  <si>
    <t xml:space="preserve">Uplift to US online sports betting handle. Observed through 28 Jun 2026.</t>
  </si>
  <si>
    <t xml:space="preserve">KEY RESULTS</t>
  </si>
  <si>
    <t xml:space="preserve">chart data</t>
  </si>
  <si>
    <t xml:space="preserve">Metric</t>
  </si>
  <si>
    <t xml:space="preserve">Value</t>
  </si>
  <si>
    <t xml:space="preserve">Basis</t>
  </si>
  <si>
    <t xml:space="preserve">NY scaled (upper)</t>
  </si>
  <si>
    <t xml:space="preserve">Observed: NY handle uplift, 3 World Cup weeks</t>
  </si>
  <si>
    <t xml:space="preserve">Hard data (NY State Gaming Commission). Plus 48% vs counterfactual.</t>
  </si>
  <si>
    <t xml:space="preserve">Adjusted (central)</t>
  </si>
  <si>
    <t xml:space="preserve">Observed: NY uplift, percent</t>
  </si>
  <si>
    <t xml:space="preserve">Vs a seasonally and growth adjusted counterfactual.</t>
  </si>
  <si>
    <t xml:space="preserve">Third party (central)</t>
  </si>
  <si>
    <t xml:space="preserve">Estimated: national uplift to date</t>
  </si>
  <si>
    <t xml:space="preserve">NY scaled to US and representativeness adjusted (central).</t>
  </si>
  <si>
    <t xml:space="preserve">Estimated: national, full tournament</t>
  </si>
  <si>
    <t xml:space="preserve">Projection to 19 Jul. Adjusted central.</t>
  </si>
  <si>
    <t xml:space="preserve">Cross check: third party central</t>
  </si>
  <si>
    <t xml:space="preserve">Independent bottom up (EK, H2, DB, Bookies).</t>
  </si>
  <si>
    <t xml:space="preserve">VERDICT</t>
  </si>
  <si>
    <t xml:space="preserve">A '3B plus incremental handle' call is well supported and, for legal states, arguably conservative. The observed NY lift is large and clean. Scaled and reconciled to independent estimates, the national full tournament uplift lands at roughly 3.0 to 3.5B.</t>
  </si>
  <si>
    <t xml:space="preserve">See the Method tab for the full approach, definitions, limitations and sources.</t>
  </si>
  <si>
    <t xml:space="preserve">Method, Definitions and Limitations</t>
  </si>
  <si>
    <t xml:space="preserve">How the uplift is measured and why it is defensible.</t>
  </si>
  <si>
    <t xml:space="preserve">APPROACH</t>
  </si>
  <si>
    <t xml:space="preserve">Each 2026 World Cup week is compared to the same ISO week in 2025 (a no tournament year), grown by organic year on year growth. This isolates the World Cup by controlling for two things at once: the summer seasonal trough, and underlying market growth. Uplift equals actual minus counterfactual.</t>
  </si>
  <si>
    <t xml:space="preserve">Organic growth is measured, not assumed. It is taken from a clean pre tournament window (ISO weeks 10 to 21, mid March to late May) of 2026 vs 2025. NY was about minus 2 percent (flat to down), so the tournament week jump is cleanly attributable to the World Cup rather than to a trend.</t>
  </si>
  <si>
    <t xml:space="preserve">The model measures handle (amount wagered), not revenue, so sport outcome and hold volatility do not distort the result.</t>
  </si>
  <si>
    <t xml:space="preserve">The national figure scales NY by its share of US handle (15.8 percent), then applies a representativeness factor because NY over indexes on the World Cup. The result is cross checked against four independent bottom up estimates.</t>
  </si>
  <si>
    <t xml:space="preserve">DEFINITIONS</t>
  </si>
  <si>
    <t xml:space="preserve">Handle: total amount wagered. Counterfactual: 2025 same ISO week times (1 plus organic growth), that is, expected 2026 handle with no World Cup. Uplift: actual 2026 handle minus counterfactual. Representativeness factor: adjustment for NY being more World Cup sensitive than the national average.</t>
  </si>
  <si>
    <t xml:space="preserve">KEY LIMITATIONS</t>
  </si>
  <si>
    <t xml:space="preserve">1. Partial tournament. Data covers 3 of about 5.6 tournament weeks. Full tournament figures are projections, labelled as such.</t>
  </si>
  <si>
    <t xml:space="preserve">2. NY is not the nation. NY over indexes on soccer, and the three largest soccer states (California, Texas, Florida, holding 52 percent of US Hispanics) have no legal OSB, so they add nothing to national OSB handle. The naive NY scale up is therefore an upper bound. A representativeness factor of about 0.6, which is also what the third party reconciliation implies, gives the central figure.</t>
  </si>
  <si>
    <t xml:space="preserve">3. Two different uplifts. NY measures total incremental handle (World Cup matches plus cross sell halo). Third party estimates measure World Cup match handle only. NY sitting higher is therefore partly definitional, not only representativeness.</t>
  </si>
  <si>
    <t xml:space="preserve">4. Single state base. NY is the cleanest weekly series available but it is one market. Adding New Jersey, Pennsylvania and Illinois would widen the observed base.</t>
  </si>
  <si>
    <t xml:space="preserve">DATA SOURCES</t>
  </si>
  <si>
    <t xml:space="preserve">NY weekly handle: New York State Gaming Commission weekly operator reports (all operators, online). US 2025 handle 166.94B and NY 2025 handle 26.33B: American Gaming Association and RG.org, FY2025. Seasonality (July trough 8.8B, June 10B): SportsHandle and state filings, 2025. Third party full tournament US handle: Eilers and Krejcik (2.82 to 4.3B), H2 Gambling Capital (2.9B), Deutsche Bank (about 3.3B), Bookies.com (3.1B). World Cup 11 Jun to 19 Jul 2026 (FIFA).</t>
  </si>
  <si>
    <t xml:space="preserve">Estimates for analytical purposes, not investment advice.</t>
  </si>
  <si>
    <t xml:space="preserve">Inputs</t>
  </si>
  <si>
    <t xml:space="preserve">Blue = you can change it. Yellow = key judgement. Black = derived.</t>
  </si>
  <si>
    <t xml:space="preserve">MODEL INPUTS</t>
  </si>
  <si>
    <t xml:space="preserve">Organic YoY growth (NY, pre tournament)</t>
  </si>
  <si>
    <t xml:space="preserve">%</t>
  </si>
  <si>
    <t xml:space="preserve">Derived from NY Data, ISO weeks 10 to 21 (2026 vs 2025).</t>
  </si>
  <si>
    <t xml:space="preserve">NY 2025 handle</t>
  </si>
  <si>
    <t xml:space="preserve">$B</t>
  </si>
  <si>
    <t xml:space="preserve">Source: AGA / RG.org, FY2025.</t>
  </si>
  <si>
    <t xml:space="preserve">US 2025 handle</t>
  </si>
  <si>
    <t xml:space="preserve">Source: AGA, FY2025.</t>
  </si>
  <si>
    <t xml:space="preserve">NY share of US OSB handle</t>
  </si>
  <si>
    <t xml:space="preserve">Derived: NY divided by US 2025 handle.</t>
  </si>
  <si>
    <t xml:space="preserve">World Cup kickoff</t>
  </si>
  <si>
    <t xml:space="preserve">2026-06-11</t>
  </si>
  <si>
    <t xml:space="preserve">date</t>
  </si>
  <si>
    <t xml:space="preserve">Source: FIFA.</t>
  </si>
  <si>
    <t xml:space="preserve">World Cup final</t>
  </si>
  <si>
    <t xml:space="preserve">2026-07-19</t>
  </si>
  <si>
    <t xml:space="preserve">Full tournament length</t>
  </si>
  <si>
    <t xml:space="preserve">wks</t>
  </si>
  <si>
    <t xml:space="preserve">Derived: (final minus kickoff) / 7.</t>
  </si>
  <si>
    <t xml:space="preserve">Observed tournament weeks (data)</t>
  </si>
  <si>
    <t xml:space="preserve">ISO weeks 24 to 26, through 28 Jun 2026.</t>
  </si>
  <si>
    <t xml:space="preserve">Representativeness factor</t>
  </si>
  <si>
    <t xml:space="preserve">x</t>
  </si>
  <si>
    <t xml:space="preserve">Judgement. NY over indexes on soccer; CA, TX, FL have no OSB. 1.0 means NY representative (upper bound). Third party reconciliation implies about 0.6.</t>
  </si>
  <si>
    <t xml:space="preserve">Remaining week pace vs to date</t>
  </si>
  <si>
    <t xml:space="preserve">Judgement. USMNT eliminated 6 Jul; knockout interest partly offsets loss of US matches.</t>
  </si>
  <si>
    <t xml:space="preserve">THIRD PARTY FULL TOURNAMENT US WORLD CUP HANDLE ($B)</t>
  </si>
  <si>
    <t xml:space="preserve">Eilers &amp; Krejcik, low</t>
  </si>
  <si>
    <t xml:space="preserve">Source: firm World Cup preview notes, Jun 2026 (match handle, full tournament).</t>
  </si>
  <si>
    <t xml:space="preserve">Eilers &amp; Krejcik, high</t>
  </si>
  <si>
    <t xml:space="preserve">H2 Gambling Capital</t>
  </si>
  <si>
    <t xml:space="preserve">Deutsche Bank</t>
  </si>
  <si>
    <t xml:space="preserve">Bookies.com</t>
  </si>
  <si>
    <t xml:space="preserve">Third party central (average)</t>
  </si>
  <si>
    <t xml:space="preserve">Independent national anchor for the cross check.</t>
  </si>
  <si>
    <t xml:space="preserve">NY Weekly OSB Handle: Raw Data</t>
  </si>
  <si>
    <t xml:space="preserve">By ISO week, all operators, online. Feeds the growth calc and the uplift engine.</t>
  </si>
  <si>
    <t xml:space="preserve">WEEKLY HANDLE ($M)</t>
  </si>
  <si>
    <t xml:space="preserve">ISO week</t>
  </si>
  <si>
    <t xml:space="preserve">2025</t>
  </si>
  <si>
    <t xml:space="preserve">2026</t>
  </si>
  <si>
    <t xml:space="preserve">Note</t>
  </si>
  <si>
    <t xml:space="preserve">growth window start</t>
  </si>
  <si>
    <t xml:space="preserve">growth window end</t>
  </si>
  <si>
    <t xml:space="preserve">week before kickoff (reference)</t>
  </si>
  <si>
    <t xml:space="preserve">World Cup week (kickoff 11 Jun, ISO 24)</t>
  </si>
  <si>
    <t xml:space="preserve">Source: NY State Gaming Commission weekly operator reports, ISO week aligned across years.</t>
  </si>
  <si>
    <t xml:space="preserve">New York World Cup Uplift</t>
  </si>
  <si>
    <t xml:space="preserve">Observed, using an ISO week counterfactual. This is the measured anchor.</t>
  </si>
  <si>
    <t xml:space="preserve">A. UPLIFT ENGINE</t>
  </si>
  <si>
    <t xml:space="preserve">ISO wk</t>
  </si>
  <si>
    <t xml:space="preserve">Wk ending</t>
  </si>
  <si>
    <t xml:space="preserve">2026 Actual</t>
  </si>
  <si>
    <t xml:space="preserve">2025 Base</t>
  </si>
  <si>
    <t xml:space="preserve">Organic gth</t>
  </si>
  <si>
    <t xml:space="preserve">Counterfactual</t>
  </si>
  <si>
    <t xml:space="preserve">Uplift ($M)</t>
  </si>
  <si>
    <t xml:space="preserve">Uplift %</t>
  </si>
  <si>
    <t xml:space="preserve">2026-06-07</t>
  </si>
  <si>
    <t xml:space="preserve">pre kickoff reference, excluded from totals</t>
  </si>
  <si>
    <t xml:space="preserve">2026-06-14</t>
  </si>
  <si>
    <t xml:space="preserve">2026-06-21</t>
  </si>
  <si>
    <t xml:space="preserve">2026-06-28</t>
  </si>
  <si>
    <t xml:space="preserve">Total, WC wks 24 to 26</t>
  </si>
  <si>
    <t xml:space="preserve">Read: over the three World Cup weeks NY handle ran well above a counterfactual that already controls for the summer trough and for organic growth. The lift is large (about plus 48 percent) and robust; even at an implausibly high plus 15 percent growth assumption it stays about plus 30 percent (see Sensitivity).</t>
  </si>
  <si>
    <t xml:space="preserve">B. EVIDENCE CHART DATA (ISO wks 18 to 26)</t>
  </si>
  <si>
    <t xml:space="preserve">Actual 2026</t>
  </si>
  <si>
    <t xml:space="preserve">National Estimate and Cross Check</t>
  </si>
  <si>
    <t xml:space="preserve">Scale NY to the US, project the full tournament, and reconcile with independent estimates.</t>
  </si>
  <si>
    <t xml:space="preserve">A. OBSERVED TO DATE (hard)</t>
  </si>
  <si>
    <t xml:space="preserve">NY uplift, 3 World Cup weeks</t>
  </si>
  <si>
    <t xml:space="preserve">From Uplift Calc. Equals plus 48 percent vs counterfactual.</t>
  </si>
  <si>
    <t xml:space="preserve">From Inputs.</t>
  </si>
  <si>
    <t xml:space="preserve">National to date, upper bound</t>
  </si>
  <si>
    <t xml:space="preserve">NY uplift divided by share. Assumes NY representative, so upper bound.</t>
  </si>
  <si>
    <t xml:space="preserve">From Inputs (judgement; about 0.6 implied by cross check).</t>
  </si>
  <si>
    <t xml:space="preserve">National to date, adjusted (central)</t>
  </si>
  <si>
    <t xml:space="preserve">Upper bound times representativeness factor.</t>
  </si>
  <si>
    <t xml:space="preserve">B. FULL TOURNAMENT PROJECTION (estimate)</t>
  </si>
  <si>
    <t xml:space="preserve">Full tournament / observed weeks</t>
  </si>
  <si>
    <t xml:space="preserve">FIFA calendar / ISO 24 to 26.</t>
  </si>
  <si>
    <t xml:space="preserve">Projected remaining uplift (NY)</t>
  </si>
  <si>
    <t xml:space="preserve">NY weekly uplift times remaining weeks times pace.</t>
  </si>
  <si>
    <t xml:space="preserve">National full tournament, upper bound</t>
  </si>
  <si>
    <t xml:space="preserve">(NY to date plus projected remaining) divided by share.</t>
  </si>
  <si>
    <t xml:space="preserve">National full tournament, adjusted (central)</t>
  </si>
  <si>
    <t xml:space="preserve">C. CROSS CHECK vs INDEPENDENT BOTTOM UP</t>
  </si>
  <si>
    <t xml:space="preserve">Third party central (full tournament)</t>
  </si>
  <si>
    <t xml:space="preserve">Average of EK, H2, DB, Bookies (match handle).</t>
  </si>
  <si>
    <t xml:space="preserve">Third party range</t>
  </si>
  <si>
    <t xml:space="preserve">Eilers and Krejcik low and high.</t>
  </si>
  <si>
    <t xml:space="preserve">Implied representativeness factor</t>
  </si>
  <si>
    <t xml:space="preserve">Third party central divided by NY upper bound. About 0.6 implies NY runs about 1.6x national average lift.</t>
  </si>
  <si>
    <t xml:space="preserve">Read: the adjusted central figures in B agree with the independent bottom up in C. The two methods reconcile at roughly 3.0 to 3.5B; the naive NY scale up (about 5.3B) is an upper bound.</t>
  </si>
  <si>
    <t xml:space="preserve">Sensitivity: National Full Tournament Uplift ($B)</t>
  </si>
  <si>
    <t xml:space="preserve">Rows = organic growth. Columns = representativeness factor.</t>
  </si>
  <si>
    <t xml:space="preserve">HEATMAP</t>
  </si>
  <si>
    <t xml:space="preserve">Base case (organic minus 2 percent, representativeness 0.60) and third party central (about 3.1B) sit in the mid grid.</t>
  </si>
  <si>
    <t xml:space="preserve">The existence and rough scale of the uplift is robust to the growth assumption. The level of the national figure is most sensitive to the representativeness factor, the softest input.</t>
  </si>
</sst>
</file>

<file path=xl/styles.xml><?xml version="1.0" encoding="utf-8"?>
<styleSheet xmlns="http://schemas.openxmlformats.org/spreadsheetml/2006/main">
  <numFmts count="7">
    <numFmt numFmtId="164" formatCode="General"/>
    <numFmt numFmtId="165" formatCode="\$#,##0.00;&quot;($&quot;#,##0.00\);\-"/>
    <numFmt numFmtId="166" formatCode="0.0%;\(0.0%\);\-"/>
    <numFmt numFmtId="167" formatCode="0.0"/>
    <numFmt numFmtId="168" formatCode="0"/>
    <numFmt numFmtId="169" formatCode="0.00\x"/>
    <numFmt numFmtId="170" formatCode="\$#,##0.0;&quot;($&quot;#,##0.0\);\-"/>
  </numFmts>
  <fonts count="2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808080"/>
      <name val="Arial"/>
      <family val="0"/>
      <charset val="1"/>
    </font>
    <font>
      <b val="true"/>
      <sz val="11"/>
      <color rgb="FFFFFFFF"/>
      <name val="Arial"/>
      <family val="0"/>
      <charset val="1"/>
    </font>
    <font>
      <i val="true"/>
      <sz val="8"/>
      <color rgb="FF808080"/>
      <name val="Arial"/>
      <family val="0"/>
      <charset val="1"/>
    </font>
    <font>
      <b val="true"/>
      <sz val="10"/>
      <color rgb="FFFFFFFF"/>
      <name val="Arial"/>
      <family val="0"/>
      <charset val="1"/>
    </font>
    <font>
      <sz val="8"/>
      <color rgb="FF808080"/>
      <name val="Arial"/>
      <family val="0"/>
      <charset val="1"/>
    </font>
    <font>
      <sz val="8"/>
      <color rgb="FF000000"/>
      <name val="Arial"/>
      <family val="0"/>
      <charset val="1"/>
    </font>
    <font>
      <sz val="10"/>
      <color rgb="FF000000"/>
      <name val="Arial"/>
      <family val="0"/>
      <charset val="1"/>
    </font>
    <font>
      <b val="true"/>
      <sz val="10"/>
      <color rgb="FF008000"/>
      <name val="Arial"/>
      <family val="0"/>
      <charset val="1"/>
    </font>
    <font>
      <sz val="9"/>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F3864"/>
      <name val="Arial"/>
      <family val="0"/>
      <charset val="1"/>
    </font>
    <font>
      <sz val="10"/>
      <color rgb="FF808080"/>
      <name val="Arial"/>
      <family val="0"/>
      <charset val="1"/>
    </font>
    <font>
      <sz val="10"/>
      <color rgb="FF0000FF"/>
      <name val="Arial"/>
      <family val="0"/>
      <charset val="1"/>
    </font>
    <font>
      <b val="true"/>
      <sz val="10"/>
      <color rgb="FF000000"/>
      <name val="Arial"/>
      <family val="0"/>
      <charset val="1"/>
    </font>
    <font>
      <sz val="9"/>
      <color rgb="FF008000"/>
      <name val="Arial"/>
      <family val="0"/>
      <charset val="1"/>
    </font>
    <font>
      <b val="true"/>
      <sz val="9"/>
      <color rgb="FFFFFFFF"/>
      <name val="Arial"/>
      <family val="0"/>
      <charset val="1"/>
    </font>
    <font>
      <i val="true"/>
      <sz val="10"/>
      <color rgb="FF808080"/>
      <name val="Arial"/>
      <family val="0"/>
      <charset val="1"/>
    </font>
    <font>
      <sz val="9"/>
      <color rgb="FF000000"/>
      <name val="Arial"/>
      <family val="0"/>
      <charset val="1"/>
    </font>
    <font>
      <sz val="10"/>
      <color rgb="FF008000"/>
      <name val="Arial"/>
      <family val="0"/>
      <charset val="1"/>
    </font>
    <font>
      <b val="true"/>
      <sz val="9"/>
      <color rgb="FF000000"/>
      <name val="Arial"/>
      <family val="0"/>
      <charset val="1"/>
    </font>
    <font>
      <b val="true"/>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5FB"/>
        <bgColor rgb="FFFFFFFF"/>
      </patternFill>
    </fill>
    <fill>
      <patternFill patternType="solid">
        <fgColor rgb="FFFFFF00"/>
        <bgColor rgb="FFFFFF00"/>
      </patternFill>
    </fill>
    <fill>
      <patternFill patternType="solid">
        <fgColor rgb="FFD9E1F2"/>
        <bgColor rgb="FFD0D7E5"/>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10" fillId="0" borderId="0" xfId="0" applyFont="true" applyBorder="false" applyAlignment="true" applyProtection="false">
      <alignment horizontal="general" vertical="center" textRotation="0" wrapText="false" indent="0" shrinkToFit="false"/>
      <protection locked="true" hidden="false"/>
    </xf>
    <xf numFmtId="164" fontId="11" fillId="4" borderId="1" xfId="0" applyFont="true" applyBorder="true" applyAlignment="true" applyProtection="false">
      <alignment horizontal="general"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4" fontId="20" fillId="5" borderId="1" xfId="0" applyFont="true" applyBorder="true" applyAlignment="true" applyProtection="false">
      <alignment horizontal="general" vertical="center" textRotation="0" wrapText="false" indent="0" shrinkToFit="false"/>
      <protection locked="true" hidden="false"/>
    </xf>
    <xf numFmtId="169" fontId="19"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20" fillId="6" borderId="1" xfId="0" applyFont="true" applyBorder="true" applyAlignment="true" applyProtection="false">
      <alignment horizontal="general" vertical="center" textRotation="0" wrapText="false" indent="0" shrinkToFit="false"/>
      <protection locked="true" hidden="false"/>
    </xf>
    <xf numFmtId="165" fontId="20" fillId="6" borderId="1"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70" fontId="19"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70" fontId="19" fillId="6"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general" vertical="center" textRotation="0" wrapText="false" indent="0"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70" fontId="23" fillId="0" borderId="1" xfId="0" applyFont="true" applyBorder="true" applyAlignment="true" applyProtection="false">
      <alignment horizontal="center" vertical="center" textRotation="0" wrapText="false" indent="0" shrinkToFit="false"/>
      <protection locked="true" hidden="false"/>
    </xf>
    <xf numFmtId="166" fontId="23"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70" fontId="25" fillId="0" borderId="1" xfId="0" applyFont="true" applyBorder="true" applyAlignment="true" applyProtection="false">
      <alignment horizontal="center" vertical="center" textRotation="0" wrapText="false" indent="0" shrinkToFit="false"/>
      <protection locked="true" hidden="false"/>
    </xf>
    <xf numFmtId="166" fontId="25" fillId="0" borderId="1" xfId="0" applyFont="true" applyBorder="true" applyAlignment="true" applyProtection="false">
      <alignment horizontal="center" vertical="center" textRotation="0" wrapText="false" indent="0" shrinkToFit="false"/>
      <protection locked="true" hidden="false"/>
    </xf>
    <xf numFmtId="170" fontId="11" fillId="0"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false" indent="0" shrinkToFit="false"/>
      <protection locked="true" hidden="false"/>
    </xf>
    <xf numFmtId="170" fontId="20" fillId="6" borderId="1" xfId="0" applyFont="true" applyBorder="true" applyAlignment="true" applyProtection="false">
      <alignment horizontal="general" vertical="center" textRotation="0" wrapText="false" indent="0" shrinkToFit="false"/>
      <protection locked="true" hidden="false"/>
    </xf>
    <xf numFmtId="166" fontId="20" fillId="6" borderId="1" xfId="0" applyFont="true" applyBorder="true" applyAlignment="true" applyProtection="false">
      <alignment horizontal="general"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70" fontId="24"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general"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9" fontId="25" fillId="0"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9" fontId="20"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9" fontId="27" fillId="2" borderId="1" xfId="0" applyFont="true" applyBorder="true" applyAlignment="true" applyProtection="false">
      <alignment horizontal="center" vertical="center" textRotation="0" wrapText="false" indent="0" shrinkToFit="false"/>
      <protection locked="true" hidden="false"/>
    </xf>
    <xf numFmtId="166" fontId="27"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2F5FB"/>
      <rgbColor rgb="FFD9E1F2"/>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National uplift estimates ($B)</a:t>
            </a:r>
          </a:p>
        </c:rich>
      </c:tx>
      <c:overlay val="0"/>
      <c:spPr>
        <a:noFill/>
        <a:ln w="0">
          <a:noFill/>
        </a:ln>
      </c:spPr>
    </c:title>
    <c:autoTitleDeleted val="0"/>
    <c:plotArea>
      <c:barChart>
        <c:barDir val="bar"/>
        <c:grouping val="clustered"/>
        <c:varyColors val="0"/>
        <c:ser>
          <c:idx val="0"/>
          <c:order val="0"/>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Summary!$K$6:$K$8</c:f>
              <c:strCache>
                <c:ptCount val="3"/>
                <c:pt idx="0">
                  <c:v>NY scaled (upper)</c:v>
                </c:pt>
                <c:pt idx="1">
                  <c:v>Adjusted (central)</c:v>
                </c:pt>
                <c:pt idx="2">
                  <c:v>Third party (central)</c:v>
                </c:pt>
              </c:strCache>
            </c:strRef>
          </c:cat>
          <c:val>
            <c:numRef>
              <c:f>Summary!$L$6:$L$8</c:f>
              <c:numCache>
                <c:formatCode>\$#,##0.00;"($"#,##0.00\);\-</c:formatCode>
                <c:ptCount val="3"/>
                <c:pt idx="0">
                  <c:v>5.33438956813701</c:v>
                </c:pt>
                <c:pt idx="1">
                  <c:v>3.20063374088221</c:v>
                </c:pt>
                <c:pt idx="2">
                  <c:v>3.284</c:v>
                </c:pt>
              </c:numCache>
            </c:numRef>
          </c:val>
        </c:ser>
        <c:gapWidth val="150"/>
        <c:overlap val="0"/>
        <c:axId val="94094753"/>
        <c:axId val="87172010"/>
      </c:barChart>
      <c:catAx>
        <c:axId val="94094753"/>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7172010"/>
        <c:crosses val="autoZero"/>
        <c:auto val="1"/>
        <c:lblAlgn val="ctr"/>
        <c:lblOffset val="100"/>
        <c:noMultiLvlLbl val="0"/>
      </c:catAx>
      <c:valAx>
        <c:axId val="87172010"/>
        <c:scaling>
          <c:orientation val="minMax"/>
        </c:scaling>
        <c:delete val="0"/>
        <c:axPos val="l"/>
        <c:majorGridlines>
          <c:spPr>
            <a:ln w="0">
              <a:solidFill>
                <a:srgbClr val="b3b3b3"/>
              </a:solidFill>
            </a:ln>
          </c:spPr>
        </c:majorGridlines>
        <c:numFmt formatCode="\$#,##0.00;&quot;($&quot;#,##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0947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NY weekly handle: actual 2026 vs counterfactual ($M)</a:t>
            </a:r>
          </a:p>
        </c:rich>
      </c:tx>
      <c:overlay val="0"/>
      <c:spPr>
        <a:noFill/>
        <a:ln w="0">
          <a:noFill/>
        </a:ln>
      </c:spPr>
    </c:title>
    <c:autoTitleDeleted val="0"/>
    <c:plotArea>
      <c:barChart>
        <c:barDir val="col"/>
        <c:grouping val="clustered"/>
        <c:varyColors val="0"/>
        <c:ser>
          <c:idx val="0"/>
          <c:order val="0"/>
          <c:tx>
            <c:strRef>
              <c:f>'Uplift Calc'!C16</c:f>
              <c:strCache>
                <c:ptCount val="1"/>
                <c:pt idx="0">
                  <c:v>Actual 2026</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'Uplift Calc'!$B$17:$B$25</c:f>
              <c:strCache>
                <c:ptCount val="9"/>
                <c:pt idx="0">
                  <c:v>18</c:v>
                </c:pt>
                <c:pt idx="1">
                  <c:v>19</c:v>
                </c:pt>
                <c:pt idx="2">
                  <c:v>20</c:v>
                </c:pt>
                <c:pt idx="3">
                  <c:v>21</c:v>
                </c:pt>
                <c:pt idx="4">
                  <c:v>22</c:v>
                </c:pt>
                <c:pt idx="5">
                  <c:v>23</c:v>
                </c:pt>
                <c:pt idx="6">
                  <c:v>24</c:v>
                </c:pt>
                <c:pt idx="7">
                  <c:v>25</c:v>
                </c:pt>
                <c:pt idx="8">
                  <c:v>26</c:v>
                </c:pt>
              </c:strCache>
            </c:strRef>
          </c:cat>
          <c:val>
            <c:numRef>
              <c:f>'Uplift Calc'!$C$17:$C$25</c:f>
              <c:numCache>
                <c:formatCode>\$#,##0.0;"($"#,##0.0\);\-</c:formatCode>
                <c:ptCount val="9"/>
                <c:pt idx="0">
                  <c:v>493.585</c:v>
                </c:pt>
                <c:pt idx="1">
                  <c:v>513.47</c:v>
                </c:pt>
                <c:pt idx="2">
                  <c:v>423.404</c:v>
                </c:pt>
                <c:pt idx="3">
                  <c:v>486.587</c:v>
                </c:pt>
                <c:pt idx="4">
                  <c:v>482.926</c:v>
                </c:pt>
                <c:pt idx="5">
                  <c:v>448.604</c:v>
                </c:pt>
                <c:pt idx="6">
                  <c:v>587.58</c:v>
                </c:pt>
                <c:pt idx="7">
                  <c:v>551.32</c:v>
                </c:pt>
                <c:pt idx="8">
                  <c:v>512.508</c:v>
                </c:pt>
              </c:numCache>
            </c:numRef>
          </c:val>
        </c:ser>
        <c:gapWidth val="150"/>
        <c:overlap val="0"/>
        <c:axId val="79079476"/>
        <c:axId val="24106251"/>
      </c:barChart>
      <c:lineChart>
        <c:grouping val="standard"/>
        <c:varyColors val="0"/>
        <c:ser>
          <c:idx val="1"/>
          <c:order val="1"/>
          <c:tx>
            <c:strRef>
              <c:f>'Uplift Calc'!D16</c:f>
              <c:strCache>
                <c:ptCount val="1"/>
                <c:pt idx="0">
                  <c:v>Counterfactual</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'Uplift Calc'!$B$17:$B$25</c:f>
              <c:strCache>
                <c:ptCount val="9"/>
                <c:pt idx="0">
                  <c:v>18</c:v>
                </c:pt>
                <c:pt idx="1">
                  <c:v>19</c:v>
                </c:pt>
                <c:pt idx="2">
                  <c:v>20</c:v>
                </c:pt>
                <c:pt idx="3">
                  <c:v>21</c:v>
                </c:pt>
                <c:pt idx="4">
                  <c:v>22</c:v>
                </c:pt>
                <c:pt idx="5">
                  <c:v>23</c:v>
                </c:pt>
                <c:pt idx="6">
                  <c:v>24</c:v>
                </c:pt>
                <c:pt idx="7">
                  <c:v>25</c:v>
                </c:pt>
                <c:pt idx="8">
                  <c:v>26</c:v>
                </c:pt>
              </c:strCache>
            </c:strRef>
          </c:cat>
          <c:val>
            <c:numRef>
              <c:f>'Uplift Calc'!$D$17:$D$25</c:f>
              <c:numCache>
                <c:formatCode>\$#,##0.0;"($"#,##0.0\);\-</c:formatCode>
                <c:ptCount val="9"/>
                <c:pt idx="0">
                  <c:v>469.933403219263</c:v>
                </c:pt>
                <c:pt idx="1">
                  <c:v>509.887116658969</c:v>
                </c:pt>
                <c:pt idx="2">
                  <c:v>490.072204039781</c:v>
                </c:pt>
                <c:pt idx="3">
                  <c:v>467.956804528361</c:v>
                </c:pt>
                <c:pt idx="4">
                  <c:v>482.714755744291</c:v>
                </c:pt>
                <c:pt idx="5">
                  <c:v>391.607255292572</c:v>
                </c:pt>
                <c:pt idx="6">
                  <c:v>382.433684635541</c:v>
                </c:pt>
                <c:pt idx="7">
                  <c:v>389.781347788996</c:v>
                </c:pt>
                <c:pt idx="8">
                  <c:v>342.162932593927</c:v>
                </c:pt>
              </c:numCache>
            </c:numRef>
          </c:val>
          <c:smooth val="1"/>
        </c:ser>
        <c:hiLowLines>
          <c:spPr>
            <a:ln w="0">
              <a:noFill/>
            </a:ln>
          </c:spPr>
        </c:hiLowLines>
        <c:marker val="0"/>
        <c:axId val="79079476"/>
        <c:axId val="24106251"/>
      </c:lineChart>
      <c:catAx>
        <c:axId val="790794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ISO week</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106251"/>
        <c:crosses val="autoZero"/>
        <c:auto val="1"/>
        <c:lblAlgn val="ctr"/>
        <c:lblOffset val="100"/>
        <c:noMultiLvlLbl val="0"/>
      </c:catAx>
      <c:valAx>
        <c:axId val="2410625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quot;($&quot;#,##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0794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xdr:row>
      <xdr:rowOff>0</xdr:rowOff>
    </xdr:from>
    <xdr:to>
      <xdr:col>12</xdr:col>
      <xdr:colOff>219240</xdr:colOff>
      <xdr:row>11</xdr:row>
      <xdr:rowOff>135000</xdr:rowOff>
    </xdr:to>
    <xdr:graphicFrame>
      <xdr:nvGraphicFramePr>
        <xdr:cNvPr id="0" name="Chart 1"/>
        <xdr:cNvGraphicFramePr/>
      </xdr:nvGraphicFramePr>
      <xdr:xfrm>
        <a:off x="8294400" y="1066680"/>
        <a:ext cx="4499640" cy="208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5</xdr:row>
      <xdr:rowOff>0</xdr:rowOff>
    </xdr:from>
    <xdr:to>
      <xdr:col>20</xdr:col>
      <xdr:colOff>4680</xdr:colOff>
      <xdr:row>18</xdr:row>
      <xdr:rowOff>70920</xdr:rowOff>
    </xdr:to>
    <xdr:graphicFrame>
      <xdr:nvGraphicFramePr>
        <xdr:cNvPr id="1" name="Chart 1"/>
        <xdr:cNvGraphicFramePr/>
      </xdr:nvGraphicFramePr>
      <xdr:xfrm>
        <a:off x="7941960" y="1066680"/>
        <a:ext cx="6119640" cy="302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3"/>
    <col collapsed="false" customWidth="true" hidden="false" outlineLevel="0" max="4" min="4" style="1" width="52"/>
  </cols>
  <sheetData>
    <row r="2" customFormat="false" ht="24" hidden="false" customHeight="true" outlineLevel="0" collapsed="false">
      <c r="B2" s="2" t="s">
        <v>0</v>
      </c>
      <c r="C2" s="2"/>
      <c r="D2" s="2"/>
    </row>
    <row r="3" customFormat="false" ht="15" hidden="false" customHeight="true" outlineLevel="0" collapsed="false">
      <c r="B3" s="3" t="s">
        <v>1</v>
      </c>
      <c r="C3" s="3"/>
      <c r="D3" s="3"/>
    </row>
    <row r="5" customFormat="false" ht="15" hidden="false" customHeight="true" outlineLevel="0" collapsed="false">
      <c r="B5" s="4" t="s">
        <v>2</v>
      </c>
      <c r="C5" s="4"/>
      <c r="D5" s="4"/>
      <c r="K5" s="5" t="s">
        <v>3</v>
      </c>
    </row>
    <row r="6" customFormat="false" ht="15" hidden="false" customHeight="true" outlineLevel="0" collapsed="false">
      <c r="B6" s="6" t="s">
        <v>4</v>
      </c>
      <c r="C6" s="7" t="s">
        <v>5</v>
      </c>
      <c r="D6" s="6" t="s">
        <v>6</v>
      </c>
      <c r="K6" s="8" t="s">
        <v>7</v>
      </c>
      <c r="L6" s="9" t="n">
        <f aca="false">National!C15</f>
        <v>5.33438956813701</v>
      </c>
    </row>
    <row r="7" customFormat="false" ht="27.75" hidden="false" customHeight="true" outlineLevel="0" collapsed="false">
      <c r="B7" s="10" t="s">
        <v>8</v>
      </c>
      <c r="C7" s="11" t="n">
        <f aca="false">National!C6</f>
        <v>0.537030034981536</v>
      </c>
      <c r="D7" s="12" t="s">
        <v>9</v>
      </c>
      <c r="K7" s="8" t="s">
        <v>10</v>
      </c>
      <c r="L7" s="9" t="n">
        <f aca="false">National!C16</f>
        <v>3.20063374088221</v>
      </c>
    </row>
    <row r="8" customFormat="false" ht="27.75" hidden="false" customHeight="true" outlineLevel="0" collapsed="false">
      <c r="B8" s="10" t="s">
        <v>11</v>
      </c>
      <c r="C8" s="13" t="n">
        <f aca="false">'Uplift Calc'!I11</f>
        <v>0.481910134478151</v>
      </c>
      <c r="D8" s="12" t="s">
        <v>12</v>
      </c>
      <c r="K8" s="8" t="s">
        <v>13</v>
      </c>
      <c r="L8" s="9" t="n">
        <f aca="false">National!C19</f>
        <v>3.284</v>
      </c>
    </row>
    <row r="9" customFormat="false" ht="27.75" hidden="false" customHeight="true" outlineLevel="0" collapsed="false">
      <c r="B9" s="14" t="s">
        <v>14</v>
      </c>
      <c r="C9" s="15" t="n">
        <f aca="false">National!C10</f>
        <v>2.04295770694609</v>
      </c>
      <c r="D9" s="16" t="s">
        <v>15</v>
      </c>
    </row>
    <row r="10" customFormat="false" ht="27.75" hidden="false" customHeight="true" outlineLevel="0" collapsed="false">
      <c r="B10" s="14" t="s">
        <v>16</v>
      </c>
      <c r="C10" s="15" t="n">
        <f aca="false">National!C16</f>
        <v>3.20063374088221</v>
      </c>
      <c r="D10" s="16" t="s">
        <v>17</v>
      </c>
    </row>
    <row r="11" customFormat="false" ht="27.75" hidden="false" customHeight="true" outlineLevel="0" collapsed="false">
      <c r="B11" s="14" t="s">
        <v>18</v>
      </c>
      <c r="C11" s="15" t="n">
        <f aca="false">National!C19</f>
        <v>3.284</v>
      </c>
      <c r="D11" s="16" t="s">
        <v>19</v>
      </c>
    </row>
    <row r="13" customFormat="false" ht="15" hidden="false" customHeight="true" outlineLevel="0" collapsed="false">
      <c r="B13" s="4" t="s">
        <v>20</v>
      </c>
      <c r="C13" s="4"/>
      <c r="D13" s="4"/>
    </row>
    <row r="14" customFormat="false" ht="45.75" hidden="false" customHeight="true" outlineLevel="0" collapsed="false">
      <c r="B14" s="17" t="s">
        <v>21</v>
      </c>
      <c r="C14" s="17"/>
      <c r="D14" s="17"/>
    </row>
    <row r="16" customFormat="false" ht="15" hidden="false" customHeight="true" outlineLevel="0" collapsed="false">
      <c r="B16" s="3" t="s">
        <v>22</v>
      </c>
      <c r="C16" s="3"/>
      <c r="D16" s="3"/>
    </row>
  </sheetData>
  <mergeCells count="6">
    <mergeCell ref="B2:D2"/>
    <mergeCell ref="B3:D3"/>
    <mergeCell ref="B5:D5"/>
    <mergeCell ref="B13:D13"/>
    <mergeCell ref="B14:D14"/>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8"/>
  </cols>
  <sheetData>
    <row r="2" customFormat="false" ht="24" hidden="false" customHeight="true" outlineLevel="0" collapsed="false">
      <c r="B2" s="18" t="s">
        <v>23</v>
      </c>
    </row>
    <row r="3" customFormat="false" ht="15" hidden="false" customHeight="true" outlineLevel="0" collapsed="false">
      <c r="B3" s="19" t="s">
        <v>24</v>
      </c>
    </row>
    <row r="5" customFormat="false" ht="15" hidden="false" customHeight="true" outlineLevel="0" collapsed="false">
      <c r="B5" s="20" t="s">
        <v>25</v>
      </c>
    </row>
    <row r="6" customFormat="false" ht="66" hidden="false" customHeight="true" outlineLevel="0" collapsed="false">
      <c r="B6" s="21" t="s">
        <v>26</v>
      </c>
    </row>
    <row r="7" customFormat="false" ht="66" hidden="false" customHeight="true" outlineLevel="0" collapsed="false">
      <c r="B7" s="21" t="s">
        <v>27</v>
      </c>
    </row>
    <row r="8" customFormat="false" ht="39.75" hidden="false" customHeight="true" outlineLevel="0" collapsed="false">
      <c r="B8" s="21" t="s">
        <v>28</v>
      </c>
    </row>
    <row r="9" customFormat="false" ht="52.5" hidden="false" customHeight="true" outlineLevel="0" collapsed="false">
      <c r="B9" s="21" t="s">
        <v>29</v>
      </c>
    </row>
    <row r="11" customFormat="false" ht="15" hidden="false" customHeight="true" outlineLevel="0" collapsed="false">
      <c r="B11" s="20" t="s">
        <v>30</v>
      </c>
    </row>
    <row r="12" customFormat="false" ht="66" hidden="false" customHeight="true" outlineLevel="0" collapsed="false">
      <c r="B12" s="21" t="s">
        <v>31</v>
      </c>
    </row>
    <row r="14" customFormat="false" ht="15" hidden="false" customHeight="true" outlineLevel="0" collapsed="false">
      <c r="B14" s="20" t="s">
        <v>32</v>
      </c>
    </row>
    <row r="15" customFormat="false" ht="39.75" hidden="false" customHeight="true" outlineLevel="0" collapsed="false">
      <c r="B15" s="21" t="s">
        <v>33</v>
      </c>
    </row>
    <row r="16" customFormat="false" ht="78.75" hidden="false" customHeight="true" outlineLevel="0" collapsed="false">
      <c r="B16" s="21" t="s">
        <v>34</v>
      </c>
    </row>
    <row r="17" customFormat="false" ht="52.5" hidden="false" customHeight="true" outlineLevel="0" collapsed="false">
      <c r="B17" s="21" t="s">
        <v>35</v>
      </c>
    </row>
    <row r="18" customFormat="false" ht="39.75" hidden="false" customHeight="true" outlineLevel="0" collapsed="false">
      <c r="B18" s="21" t="s">
        <v>36</v>
      </c>
    </row>
    <row r="20" customFormat="false" ht="15" hidden="false" customHeight="true" outlineLevel="0" collapsed="false">
      <c r="B20" s="20" t="s">
        <v>37</v>
      </c>
    </row>
    <row r="21" customFormat="false" ht="78.75" hidden="false" customHeight="true" outlineLevel="0" collapsed="false">
      <c r="B21" s="21" t="s">
        <v>38</v>
      </c>
    </row>
    <row r="23" customFormat="false" ht="15" hidden="false" customHeight="true" outlineLevel="0" collapsed="false">
      <c r="B23" s="19"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3" min="3" style="1" width="13"/>
    <col collapsed="false" customWidth="true" hidden="false" outlineLevel="0" max="4" min="4" style="1" width="9"/>
    <col collapsed="false" customWidth="true" hidden="false" outlineLevel="0" max="5" min="5" style="1" width="50"/>
  </cols>
  <sheetData>
    <row r="2" customFormat="false" ht="24" hidden="false" customHeight="true" outlineLevel="0" collapsed="false">
      <c r="B2" s="2" t="s">
        <v>40</v>
      </c>
      <c r="C2" s="2"/>
      <c r="D2" s="2"/>
      <c r="E2" s="2"/>
    </row>
    <row r="3" customFormat="false" ht="15" hidden="false" customHeight="true" outlineLevel="0" collapsed="false">
      <c r="B3" s="3" t="s">
        <v>41</v>
      </c>
      <c r="C3" s="3"/>
      <c r="D3" s="3"/>
      <c r="E3" s="3"/>
    </row>
    <row r="4" customFormat="false" ht="15" hidden="false" customHeight="true" outlineLevel="0" collapsed="false">
      <c r="B4" s="4" t="s">
        <v>42</v>
      </c>
      <c r="C4" s="4"/>
      <c r="D4" s="4"/>
      <c r="E4" s="4"/>
    </row>
    <row r="5" customFormat="false" ht="33.75" hidden="false" customHeight="true" outlineLevel="0" collapsed="false">
      <c r="B5" s="14" t="s">
        <v>43</v>
      </c>
      <c r="C5" s="22" t="n">
        <f aca="false">SUM('NY Data'!D15:D26)/SUM('NY Data'!C15:C26)-1</f>
        <v>-0.0214857965833302</v>
      </c>
      <c r="D5" s="23" t="s">
        <v>44</v>
      </c>
      <c r="E5" s="16" t="s">
        <v>45</v>
      </c>
    </row>
    <row r="6" customFormat="false" ht="21.75" hidden="false" customHeight="true" outlineLevel="0" collapsed="false">
      <c r="B6" s="14" t="s">
        <v>46</v>
      </c>
      <c r="C6" s="24" t="n">
        <v>26.33</v>
      </c>
      <c r="D6" s="23" t="s">
        <v>47</v>
      </c>
      <c r="E6" s="16" t="s">
        <v>48</v>
      </c>
    </row>
    <row r="7" customFormat="false" ht="21.75" hidden="false" customHeight="true" outlineLevel="0" collapsed="false">
      <c r="B7" s="14" t="s">
        <v>49</v>
      </c>
      <c r="C7" s="24" t="n">
        <v>166.94</v>
      </c>
      <c r="D7" s="23" t="s">
        <v>47</v>
      </c>
      <c r="E7" s="16" t="s">
        <v>50</v>
      </c>
    </row>
    <row r="8" customFormat="false" ht="21.75" hidden="false" customHeight="true" outlineLevel="0" collapsed="false">
      <c r="B8" s="14" t="s">
        <v>51</v>
      </c>
      <c r="C8" s="22" t="n">
        <f aca="false">C6/C7</f>
        <v>0.157721337007308</v>
      </c>
      <c r="D8" s="23" t="s">
        <v>44</v>
      </c>
      <c r="E8" s="16" t="s">
        <v>52</v>
      </c>
    </row>
    <row r="9" customFormat="false" ht="21.75" hidden="false" customHeight="true" outlineLevel="0" collapsed="false">
      <c r="B9" s="14" t="s">
        <v>53</v>
      </c>
      <c r="C9" s="25" t="s">
        <v>54</v>
      </c>
      <c r="D9" s="23" t="s">
        <v>55</v>
      </c>
      <c r="E9" s="16" t="s">
        <v>56</v>
      </c>
    </row>
    <row r="10" customFormat="false" ht="21.75" hidden="false" customHeight="true" outlineLevel="0" collapsed="false">
      <c r="B10" s="14" t="s">
        <v>57</v>
      </c>
      <c r="C10" s="25" t="s">
        <v>58</v>
      </c>
      <c r="D10" s="23" t="s">
        <v>55</v>
      </c>
      <c r="E10" s="16" t="s">
        <v>56</v>
      </c>
    </row>
    <row r="11" customFormat="false" ht="21.75" hidden="false" customHeight="true" outlineLevel="0" collapsed="false">
      <c r="B11" s="14" t="s">
        <v>59</v>
      </c>
      <c r="C11" s="26" t="n">
        <f aca="false">(DATE(2026,7,19)-DATE(2026,6,11))/7</f>
        <v>5.42857142857143</v>
      </c>
      <c r="D11" s="23" t="s">
        <v>60</v>
      </c>
      <c r="E11" s="16" t="s">
        <v>61</v>
      </c>
    </row>
    <row r="12" customFormat="false" ht="21.75" hidden="false" customHeight="true" outlineLevel="0" collapsed="false">
      <c r="B12" s="14" t="s">
        <v>62</v>
      </c>
      <c r="C12" s="27" t="n">
        <v>3</v>
      </c>
      <c r="D12" s="23" t="s">
        <v>60</v>
      </c>
      <c r="E12" s="16" t="s">
        <v>63</v>
      </c>
    </row>
    <row r="13" customFormat="false" ht="33.75" hidden="false" customHeight="true" outlineLevel="0" collapsed="false">
      <c r="B13" s="28" t="s">
        <v>64</v>
      </c>
      <c r="C13" s="29" t="n">
        <v>0.6</v>
      </c>
      <c r="D13" s="23" t="s">
        <v>65</v>
      </c>
      <c r="E13" s="16" t="s">
        <v>66</v>
      </c>
    </row>
    <row r="14" customFormat="false" ht="33.75" hidden="false" customHeight="true" outlineLevel="0" collapsed="false">
      <c r="B14" s="28" t="s">
        <v>67</v>
      </c>
      <c r="C14" s="29" t="n">
        <v>0.7</v>
      </c>
      <c r="D14" s="23" t="s">
        <v>65</v>
      </c>
      <c r="E14" s="16" t="s">
        <v>68</v>
      </c>
    </row>
    <row r="16" customFormat="false" ht="15" hidden="false" customHeight="true" outlineLevel="0" collapsed="false">
      <c r="B16" s="4" t="s">
        <v>69</v>
      </c>
      <c r="C16" s="4"/>
      <c r="D16" s="4"/>
      <c r="E16" s="4"/>
    </row>
    <row r="17" customFormat="false" ht="15" hidden="false" customHeight="true" outlineLevel="0" collapsed="false">
      <c r="B17" s="14" t="s">
        <v>70</v>
      </c>
      <c r="C17" s="24" t="n">
        <v>2.82</v>
      </c>
      <c r="D17" s="23" t="s">
        <v>47</v>
      </c>
      <c r="E17" s="30" t="s">
        <v>71</v>
      </c>
    </row>
    <row r="18" customFormat="false" ht="15" hidden="false" customHeight="true" outlineLevel="0" collapsed="false">
      <c r="B18" s="14" t="s">
        <v>72</v>
      </c>
      <c r="C18" s="24" t="n">
        <v>4.3</v>
      </c>
      <c r="D18" s="23" t="s">
        <v>47</v>
      </c>
      <c r="E18" s="30" t="s">
        <v>71</v>
      </c>
    </row>
    <row r="19" customFormat="false" ht="15" hidden="false" customHeight="true" outlineLevel="0" collapsed="false">
      <c r="B19" s="14" t="s">
        <v>73</v>
      </c>
      <c r="C19" s="24" t="n">
        <v>2.9</v>
      </c>
      <c r="D19" s="23" t="s">
        <v>47</v>
      </c>
      <c r="E19" s="30" t="s">
        <v>71</v>
      </c>
    </row>
    <row r="20" customFormat="false" ht="15" hidden="false" customHeight="true" outlineLevel="0" collapsed="false">
      <c r="B20" s="14" t="s">
        <v>74</v>
      </c>
      <c r="C20" s="24" t="n">
        <v>3.3</v>
      </c>
      <c r="D20" s="23" t="s">
        <v>47</v>
      </c>
      <c r="E20" s="30" t="s">
        <v>71</v>
      </c>
    </row>
    <row r="21" customFormat="false" ht="15" hidden="false" customHeight="true" outlineLevel="0" collapsed="false">
      <c r="B21" s="14" t="s">
        <v>75</v>
      </c>
      <c r="C21" s="24" t="n">
        <v>3.1</v>
      </c>
      <c r="D21" s="23" t="s">
        <v>47</v>
      </c>
      <c r="E21" s="30" t="s">
        <v>71</v>
      </c>
    </row>
    <row r="22" customFormat="false" ht="15" hidden="false" customHeight="true" outlineLevel="0" collapsed="false">
      <c r="B22" s="31" t="s">
        <v>76</v>
      </c>
      <c r="C22" s="32" t="n">
        <f aca="false">AVERAGE(C17:C21)</f>
        <v>3.284</v>
      </c>
      <c r="D22" s="33" t="s">
        <v>47</v>
      </c>
      <c r="E22" s="34" t="s">
        <v>77</v>
      </c>
    </row>
  </sheetData>
  <mergeCells count="4">
    <mergeCell ref="B2:E2"/>
    <mergeCell ref="B3:E3"/>
    <mergeCell ref="B4:E4"/>
    <mergeCell ref="B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4" min="3" style="1" width="16"/>
    <col collapsed="false" customWidth="true" hidden="false" outlineLevel="0" max="5" min="5" style="1" width="46"/>
  </cols>
  <sheetData>
    <row r="2" customFormat="false" ht="24" hidden="false" customHeight="true" outlineLevel="0" collapsed="false">
      <c r="B2" s="2" t="s">
        <v>78</v>
      </c>
      <c r="C2" s="2"/>
      <c r="D2" s="2"/>
      <c r="E2" s="2"/>
    </row>
    <row r="3" customFormat="false" ht="15" hidden="false" customHeight="true" outlineLevel="0" collapsed="false">
      <c r="B3" s="3" t="s">
        <v>79</v>
      </c>
      <c r="C3" s="3"/>
      <c r="D3" s="3"/>
      <c r="E3" s="3"/>
    </row>
    <row r="4" customFormat="false" ht="15" hidden="false" customHeight="true" outlineLevel="0" collapsed="false">
      <c r="B4" s="4" t="s">
        <v>80</v>
      </c>
      <c r="C4" s="4"/>
      <c r="D4" s="4"/>
      <c r="E4" s="4"/>
    </row>
    <row r="5" customFormat="false" ht="15" hidden="false" customHeight="true" outlineLevel="0" collapsed="false">
      <c r="B5" s="7" t="s">
        <v>81</v>
      </c>
      <c r="C5" s="7" t="s">
        <v>82</v>
      </c>
      <c r="D5" s="7" t="s">
        <v>83</v>
      </c>
      <c r="E5" s="6" t="s">
        <v>84</v>
      </c>
    </row>
    <row r="6" customFormat="false" ht="15" hidden="false" customHeight="true" outlineLevel="0" collapsed="false">
      <c r="B6" s="35" t="n">
        <v>1</v>
      </c>
      <c r="C6" s="36" t="n">
        <v>600.838</v>
      </c>
      <c r="D6" s="36" t="n">
        <v>575.862</v>
      </c>
      <c r="E6" s="30"/>
    </row>
    <row r="7" customFormat="false" ht="15" hidden="false" customHeight="true" outlineLevel="0" collapsed="false">
      <c r="B7" s="35" t="n">
        <v>2</v>
      </c>
      <c r="C7" s="36" t="n">
        <v>561.041</v>
      </c>
      <c r="D7" s="36" t="n">
        <v>549.592</v>
      </c>
      <c r="E7" s="30"/>
    </row>
    <row r="8" customFormat="false" ht="15" hidden="false" customHeight="true" outlineLevel="0" collapsed="false">
      <c r="B8" s="35" t="n">
        <v>3</v>
      </c>
      <c r="C8" s="36" t="n">
        <v>593.664</v>
      </c>
      <c r="D8" s="36" t="n">
        <v>545.143</v>
      </c>
      <c r="E8" s="30"/>
    </row>
    <row r="9" customFormat="false" ht="15" hidden="false" customHeight="true" outlineLevel="0" collapsed="false">
      <c r="B9" s="35" t="n">
        <v>4</v>
      </c>
      <c r="C9" s="36" t="n">
        <v>541.118</v>
      </c>
      <c r="D9" s="36" t="n">
        <v>552.471</v>
      </c>
      <c r="E9" s="30"/>
    </row>
    <row r="10" customFormat="false" ht="15" hidden="false" customHeight="true" outlineLevel="0" collapsed="false">
      <c r="B10" s="35" t="n">
        <v>5</v>
      </c>
      <c r="C10" s="36" t="n">
        <v>518.991</v>
      </c>
      <c r="D10" s="36" t="n">
        <v>510.012</v>
      </c>
      <c r="E10" s="30"/>
    </row>
    <row r="11" customFormat="false" ht="15" hidden="false" customHeight="true" outlineLevel="0" collapsed="false">
      <c r="B11" s="35" t="n">
        <v>6</v>
      </c>
      <c r="C11" s="36" t="n">
        <v>557.879</v>
      </c>
      <c r="D11" s="36" t="n">
        <v>572.48</v>
      </c>
      <c r="E11" s="30"/>
    </row>
    <row r="12" customFormat="false" ht="15" hidden="false" customHeight="true" outlineLevel="0" collapsed="false">
      <c r="B12" s="35" t="n">
        <v>7</v>
      </c>
      <c r="C12" s="36" t="n">
        <v>434.077</v>
      </c>
      <c r="D12" s="36" t="n">
        <v>459.448</v>
      </c>
      <c r="E12" s="30"/>
    </row>
    <row r="13" customFormat="false" ht="15" hidden="false" customHeight="true" outlineLevel="0" collapsed="false">
      <c r="B13" s="35" t="n">
        <v>8</v>
      </c>
      <c r="C13" s="36" t="n">
        <v>428.242</v>
      </c>
      <c r="D13" s="36" t="n">
        <v>475.323</v>
      </c>
      <c r="E13" s="30"/>
    </row>
    <row r="14" customFormat="false" ht="15" hidden="false" customHeight="true" outlineLevel="0" collapsed="false">
      <c r="B14" s="35" t="n">
        <v>9</v>
      </c>
      <c r="C14" s="36" t="n">
        <v>549.865</v>
      </c>
      <c r="D14" s="36" t="n">
        <v>494.613</v>
      </c>
      <c r="E14" s="30"/>
    </row>
    <row r="15" customFormat="false" ht="15" hidden="false" customHeight="true" outlineLevel="0" collapsed="false">
      <c r="B15" s="35" t="n">
        <v>10</v>
      </c>
      <c r="C15" s="36" t="n">
        <v>562.183</v>
      </c>
      <c r="D15" s="36" t="n">
        <v>526.526</v>
      </c>
      <c r="E15" s="30" t="s">
        <v>85</v>
      </c>
    </row>
    <row r="16" customFormat="false" ht="15" hidden="false" customHeight="true" outlineLevel="0" collapsed="false">
      <c r="B16" s="35" t="n">
        <v>11</v>
      </c>
      <c r="C16" s="36" t="n">
        <v>550.832</v>
      </c>
      <c r="D16" s="36" t="n">
        <v>549.272</v>
      </c>
      <c r="E16" s="30"/>
    </row>
    <row r="17" customFormat="false" ht="15" hidden="false" customHeight="true" outlineLevel="0" collapsed="false">
      <c r="B17" s="35" t="n">
        <v>12</v>
      </c>
      <c r="C17" s="36" t="n">
        <v>555.343</v>
      </c>
      <c r="D17" s="36" t="n">
        <v>554.68</v>
      </c>
      <c r="E17" s="30"/>
    </row>
    <row r="18" customFormat="false" ht="15" hidden="false" customHeight="true" outlineLevel="0" collapsed="false">
      <c r="B18" s="35" t="n">
        <v>13</v>
      </c>
      <c r="C18" s="36" t="n">
        <v>522.371</v>
      </c>
      <c r="D18" s="36" t="n">
        <v>492.134</v>
      </c>
      <c r="E18" s="30"/>
    </row>
    <row r="19" customFormat="false" ht="15" hidden="false" customHeight="true" outlineLevel="0" collapsed="false">
      <c r="B19" s="35" t="n">
        <v>14</v>
      </c>
      <c r="C19" s="36" t="n">
        <v>562.485</v>
      </c>
      <c r="D19" s="36" t="n">
        <v>511.436</v>
      </c>
      <c r="E19" s="30"/>
    </row>
    <row r="20" customFormat="false" ht="15" hidden="false" customHeight="true" outlineLevel="0" collapsed="false">
      <c r="B20" s="35" t="n">
        <v>15</v>
      </c>
      <c r="C20" s="36" t="n">
        <v>474.43</v>
      </c>
      <c r="D20" s="36" t="n">
        <v>492.053</v>
      </c>
      <c r="E20" s="30"/>
    </row>
    <row r="21" customFormat="false" ht="15" hidden="false" customHeight="true" outlineLevel="0" collapsed="false">
      <c r="B21" s="35" t="n">
        <v>16</v>
      </c>
      <c r="C21" s="36" t="n">
        <v>462.115</v>
      </c>
      <c r="D21" s="36" t="n">
        <v>484.512</v>
      </c>
      <c r="E21" s="30"/>
    </row>
    <row r="22" customFormat="false" ht="15" hidden="false" customHeight="true" outlineLevel="0" collapsed="false">
      <c r="B22" s="35" t="n">
        <v>17</v>
      </c>
      <c r="C22" s="36" t="n">
        <v>526.167</v>
      </c>
      <c r="D22" s="36" t="n">
        <v>535.534</v>
      </c>
      <c r="E22" s="30"/>
    </row>
    <row r="23" customFormat="false" ht="15" hidden="false" customHeight="true" outlineLevel="0" collapsed="false">
      <c r="B23" s="35" t="n">
        <v>18</v>
      </c>
      <c r="C23" s="36" t="n">
        <v>480.252</v>
      </c>
      <c r="D23" s="36" t="n">
        <v>493.585</v>
      </c>
      <c r="E23" s="30"/>
    </row>
    <row r="24" customFormat="false" ht="15" hidden="false" customHeight="true" outlineLevel="0" collapsed="false">
      <c r="B24" s="35" t="n">
        <v>19</v>
      </c>
      <c r="C24" s="36" t="n">
        <v>521.083</v>
      </c>
      <c r="D24" s="36" t="n">
        <v>513.47</v>
      </c>
      <c r="E24" s="30"/>
    </row>
    <row r="25" customFormat="false" ht="15" hidden="false" customHeight="true" outlineLevel="0" collapsed="false">
      <c r="B25" s="35" t="n">
        <v>20</v>
      </c>
      <c r="C25" s="36" t="n">
        <v>500.833</v>
      </c>
      <c r="D25" s="36" t="n">
        <v>423.404</v>
      </c>
      <c r="E25" s="30"/>
    </row>
    <row r="26" customFormat="false" ht="15" hidden="false" customHeight="true" outlineLevel="0" collapsed="false">
      <c r="B26" s="35" t="n">
        <v>21</v>
      </c>
      <c r="C26" s="36" t="n">
        <v>478.232</v>
      </c>
      <c r="D26" s="36" t="n">
        <v>486.587</v>
      </c>
      <c r="E26" s="30" t="s">
        <v>86</v>
      </c>
    </row>
    <row r="27" customFormat="false" ht="15" hidden="false" customHeight="true" outlineLevel="0" collapsed="false">
      <c r="B27" s="35" t="n">
        <v>22</v>
      </c>
      <c r="C27" s="36" t="n">
        <v>493.314</v>
      </c>
      <c r="D27" s="36" t="n">
        <v>482.926</v>
      </c>
      <c r="E27" s="30"/>
    </row>
    <row r="28" customFormat="false" ht="15" hidden="false" customHeight="true" outlineLevel="0" collapsed="false">
      <c r="B28" s="35" t="n">
        <v>23</v>
      </c>
      <c r="C28" s="36" t="n">
        <v>400.206</v>
      </c>
      <c r="D28" s="36" t="n">
        <v>448.604</v>
      </c>
      <c r="E28" s="30" t="s">
        <v>87</v>
      </c>
    </row>
    <row r="29" customFormat="false" ht="15" hidden="false" customHeight="true" outlineLevel="0" collapsed="false">
      <c r="B29" s="37" t="n">
        <v>24</v>
      </c>
      <c r="C29" s="36" t="n">
        <v>390.831</v>
      </c>
      <c r="D29" s="38" t="n">
        <v>587.58</v>
      </c>
      <c r="E29" s="39" t="s">
        <v>88</v>
      </c>
    </row>
    <row r="30" customFormat="false" ht="15" hidden="false" customHeight="true" outlineLevel="0" collapsed="false">
      <c r="B30" s="37" t="n">
        <v>25</v>
      </c>
      <c r="C30" s="36" t="n">
        <v>398.34</v>
      </c>
      <c r="D30" s="38" t="n">
        <v>551.32</v>
      </c>
      <c r="E30" s="39" t="s">
        <v>88</v>
      </c>
    </row>
    <row r="31" customFormat="false" ht="15" hidden="false" customHeight="true" outlineLevel="0" collapsed="false">
      <c r="B31" s="37" t="n">
        <v>26</v>
      </c>
      <c r="C31" s="36" t="n">
        <v>349.676</v>
      </c>
      <c r="D31" s="38" t="n">
        <v>512.508</v>
      </c>
      <c r="E31" s="39" t="s">
        <v>88</v>
      </c>
    </row>
    <row r="33" customFormat="false" ht="15" hidden="false" customHeight="true" outlineLevel="0" collapsed="false">
      <c r="B33" s="3" t="s">
        <v>89</v>
      </c>
      <c r="C33" s="3"/>
      <c r="D33" s="3"/>
      <c r="E33" s="3"/>
    </row>
  </sheetData>
  <mergeCells count="4">
    <mergeCell ref="B2:E2"/>
    <mergeCell ref="B3:E3"/>
    <mergeCell ref="B4:E4"/>
    <mergeCell ref="B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13"/>
    <col collapsed="false" customWidth="true" hidden="false" outlineLevel="0" max="4" min="4" style="1" width="14"/>
    <col collapsed="false" customWidth="true" hidden="false" outlineLevel="0" max="5" min="5" style="1" width="13"/>
    <col collapsed="false" customWidth="true" hidden="false" outlineLevel="0" max="6" min="6" style="1" width="12"/>
    <col collapsed="false" customWidth="true" hidden="false" outlineLevel="0" max="7" min="7" style="1" width="15"/>
    <col collapsed="false" customWidth="true" hidden="false" outlineLevel="0" max="8" min="8" style="1" width="13"/>
    <col collapsed="false" customWidth="true" hidden="false" outlineLevel="0" max="9" min="9" style="1" width="11"/>
  </cols>
  <sheetData>
    <row r="2" customFormat="false" ht="24" hidden="false" customHeight="true" outlineLevel="0" collapsed="false">
      <c r="B2" s="2" t="s">
        <v>90</v>
      </c>
      <c r="C2" s="2"/>
      <c r="D2" s="2"/>
      <c r="E2" s="2"/>
      <c r="F2" s="2"/>
      <c r="G2" s="2"/>
      <c r="H2" s="2"/>
      <c r="I2" s="2"/>
    </row>
    <row r="3" customFormat="false" ht="15" hidden="false" customHeight="true" outlineLevel="0" collapsed="false">
      <c r="B3" s="3" t="s">
        <v>91</v>
      </c>
      <c r="C3" s="3"/>
      <c r="D3" s="3"/>
      <c r="E3" s="3"/>
      <c r="F3" s="3"/>
      <c r="G3" s="3"/>
      <c r="H3" s="3"/>
      <c r="I3" s="3"/>
    </row>
    <row r="4" customFormat="false" ht="15" hidden="false" customHeight="true" outlineLevel="0" collapsed="false">
      <c r="B4" s="4" t="s">
        <v>92</v>
      </c>
      <c r="C4" s="4"/>
      <c r="D4" s="4"/>
      <c r="E4" s="4"/>
      <c r="F4" s="4"/>
      <c r="G4" s="4"/>
      <c r="H4" s="4"/>
      <c r="I4" s="4"/>
    </row>
    <row r="6" customFormat="false" ht="25.5" hidden="false" customHeight="true" outlineLevel="0" collapsed="false">
      <c r="B6" s="40" t="s">
        <v>93</v>
      </c>
      <c r="C6" s="40" t="s">
        <v>94</v>
      </c>
      <c r="D6" s="40" t="s">
        <v>95</v>
      </c>
      <c r="E6" s="40" t="s">
        <v>96</v>
      </c>
      <c r="F6" s="40" t="s">
        <v>97</v>
      </c>
      <c r="G6" s="40" t="s">
        <v>98</v>
      </c>
      <c r="H6" s="40" t="s">
        <v>99</v>
      </c>
      <c r="I6" s="40" t="s">
        <v>100</v>
      </c>
    </row>
    <row r="7" customFormat="false" ht="15" hidden="false" customHeight="true" outlineLevel="0" collapsed="false">
      <c r="B7" s="41" t="n">
        <v>23</v>
      </c>
      <c r="C7" s="42" t="s">
        <v>101</v>
      </c>
      <c r="D7" s="43" t="n">
        <f aca="false">'NY Data'!D28</f>
        <v>448.604</v>
      </c>
      <c r="E7" s="43" t="n">
        <f aca="false">'NY Data'!C28</f>
        <v>400.206</v>
      </c>
      <c r="F7" s="44" t="n">
        <f aca="false">Inputs!C5</f>
        <v>-0.0214857965833302</v>
      </c>
      <c r="G7" s="43" t="n">
        <f aca="false">E7*(1+F7)</f>
        <v>391.607255292572</v>
      </c>
      <c r="H7" s="43" t="n">
        <f aca="false">D7-G7</f>
        <v>56.9967447074282</v>
      </c>
      <c r="I7" s="44" t="n">
        <f aca="false">D7/G7-1</f>
        <v>0.145545681131075</v>
      </c>
      <c r="J7" s="19" t="s">
        <v>102</v>
      </c>
    </row>
    <row r="8" customFormat="false" ht="15" hidden="false" customHeight="true" outlineLevel="0" collapsed="false">
      <c r="B8" s="35" t="n">
        <v>24</v>
      </c>
      <c r="C8" s="45" t="s">
        <v>103</v>
      </c>
      <c r="D8" s="46" t="n">
        <f aca="false">'NY Data'!D29</f>
        <v>587.58</v>
      </c>
      <c r="E8" s="46" t="n">
        <f aca="false">'NY Data'!C29</f>
        <v>390.831</v>
      </c>
      <c r="F8" s="47" t="n">
        <f aca="false">Inputs!C5</f>
        <v>-0.0214857965833302</v>
      </c>
      <c r="G8" s="48" t="n">
        <f aca="false">E8*(1+F8)</f>
        <v>382.433684635541</v>
      </c>
      <c r="H8" s="48" t="n">
        <f aca="false">D8-G8</f>
        <v>205.14631536446</v>
      </c>
      <c r="I8" s="22" t="n">
        <f aca="false">D8/G8-1</f>
        <v>0.536423237822171</v>
      </c>
    </row>
    <row r="9" customFormat="false" ht="15" hidden="false" customHeight="true" outlineLevel="0" collapsed="false">
      <c r="B9" s="35" t="n">
        <v>25</v>
      </c>
      <c r="C9" s="45" t="s">
        <v>104</v>
      </c>
      <c r="D9" s="46" t="n">
        <f aca="false">'NY Data'!D30</f>
        <v>551.32</v>
      </c>
      <c r="E9" s="46" t="n">
        <f aca="false">'NY Data'!C30</f>
        <v>398.34</v>
      </c>
      <c r="F9" s="47" t="n">
        <f aca="false">Inputs!C5</f>
        <v>-0.0214857965833302</v>
      </c>
      <c r="G9" s="48" t="n">
        <f aca="false">E9*(1+F9)</f>
        <v>389.781347788996</v>
      </c>
      <c r="H9" s="48" t="n">
        <f aca="false">D9-G9</f>
        <v>161.538652211004</v>
      </c>
      <c r="I9" s="22" t="n">
        <f aca="false">D9/G9-1</f>
        <v>0.414434023401374</v>
      </c>
    </row>
    <row r="10" customFormat="false" ht="15" hidden="false" customHeight="true" outlineLevel="0" collapsed="false">
      <c r="B10" s="35" t="n">
        <v>26</v>
      </c>
      <c r="C10" s="45" t="s">
        <v>105</v>
      </c>
      <c r="D10" s="46" t="n">
        <f aca="false">'NY Data'!D31</f>
        <v>512.508</v>
      </c>
      <c r="E10" s="46" t="n">
        <f aca="false">'NY Data'!C31</f>
        <v>349.676</v>
      </c>
      <c r="F10" s="47" t="n">
        <f aca="false">Inputs!C5</f>
        <v>-0.0214857965833302</v>
      </c>
      <c r="G10" s="48" t="n">
        <f aca="false">E10*(1+F10)</f>
        <v>342.162932593927</v>
      </c>
      <c r="H10" s="48" t="n">
        <f aca="false">D10-G10</f>
        <v>170.345067406073</v>
      </c>
      <c r="I10" s="22" t="n">
        <f aca="false">D10/G10-1</f>
        <v>0.497847812194885</v>
      </c>
    </row>
    <row r="11" customFormat="false" ht="15" hidden="false" customHeight="true" outlineLevel="0" collapsed="false">
      <c r="B11" s="31" t="s">
        <v>106</v>
      </c>
      <c r="C11" s="49"/>
      <c r="D11" s="50" t="n">
        <f aca="false">SUM(D8:D10)</f>
        <v>1651.408</v>
      </c>
      <c r="E11" s="50" t="n">
        <f aca="false">SUM(E8:E10)</f>
        <v>1138.847</v>
      </c>
      <c r="F11" s="49"/>
      <c r="G11" s="50" t="n">
        <f aca="false">SUM(G8:G10)</f>
        <v>1114.37796501846</v>
      </c>
      <c r="H11" s="50" t="n">
        <f aca="false">SUM(H8:H10)</f>
        <v>537.030034981536</v>
      </c>
      <c r="I11" s="51" t="n">
        <f aca="false">D11/G11-1</f>
        <v>0.481910134478151</v>
      </c>
    </row>
    <row r="13" customFormat="false" ht="42" hidden="false" customHeight="true" outlineLevel="0" collapsed="false">
      <c r="B13" s="17" t="s">
        <v>107</v>
      </c>
      <c r="C13" s="17"/>
      <c r="D13" s="17"/>
      <c r="E13" s="17"/>
      <c r="F13" s="17"/>
      <c r="G13" s="17"/>
      <c r="H13" s="17"/>
      <c r="I13" s="17"/>
    </row>
    <row r="15" customFormat="false" ht="15" hidden="false" customHeight="true" outlineLevel="0" collapsed="false">
      <c r="B15" s="4" t="s">
        <v>108</v>
      </c>
      <c r="C15" s="4"/>
      <c r="D15" s="4"/>
      <c r="E15" s="4"/>
      <c r="F15" s="4"/>
      <c r="G15" s="4"/>
      <c r="H15" s="4"/>
      <c r="I15" s="4"/>
    </row>
    <row r="16" customFormat="false" ht="15" hidden="false" customHeight="true" outlineLevel="0" collapsed="false">
      <c r="B16" s="52" t="s">
        <v>93</v>
      </c>
      <c r="C16" s="52" t="s">
        <v>109</v>
      </c>
      <c r="D16" s="52" t="s">
        <v>98</v>
      </c>
    </row>
    <row r="17" customFormat="false" ht="15" hidden="false" customHeight="true" outlineLevel="0" collapsed="false">
      <c r="B17" s="45" t="n">
        <v>18</v>
      </c>
      <c r="C17" s="53" t="n">
        <f aca="false">'NY Data'!D23</f>
        <v>493.585</v>
      </c>
      <c r="D17" s="53" t="n">
        <f aca="false">'NY Data'!C23*(1+Inputs!C5)</f>
        <v>469.933403219263</v>
      </c>
    </row>
    <row r="18" customFormat="false" ht="15" hidden="false" customHeight="true" outlineLevel="0" collapsed="false">
      <c r="B18" s="45" t="n">
        <v>19</v>
      </c>
      <c r="C18" s="53" t="n">
        <f aca="false">'NY Data'!D24</f>
        <v>513.47</v>
      </c>
      <c r="D18" s="53" t="n">
        <f aca="false">'NY Data'!C24*(1+Inputs!C5)</f>
        <v>509.887116658969</v>
      </c>
    </row>
    <row r="19" customFormat="false" ht="15" hidden="false" customHeight="true" outlineLevel="0" collapsed="false">
      <c r="B19" s="45" t="n">
        <v>20</v>
      </c>
      <c r="C19" s="53" t="n">
        <f aca="false">'NY Data'!D25</f>
        <v>423.404</v>
      </c>
      <c r="D19" s="53" t="n">
        <f aca="false">'NY Data'!C25*(1+Inputs!C5)</f>
        <v>490.072204039781</v>
      </c>
    </row>
    <row r="20" customFormat="false" ht="15" hidden="false" customHeight="true" outlineLevel="0" collapsed="false">
      <c r="B20" s="45" t="n">
        <v>21</v>
      </c>
      <c r="C20" s="53" t="n">
        <f aca="false">'NY Data'!D26</f>
        <v>486.587</v>
      </c>
      <c r="D20" s="53" t="n">
        <f aca="false">'NY Data'!C26*(1+Inputs!C5)</f>
        <v>467.956804528361</v>
      </c>
    </row>
    <row r="21" customFormat="false" ht="15" hidden="false" customHeight="true" outlineLevel="0" collapsed="false">
      <c r="B21" s="45" t="n">
        <v>22</v>
      </c>
      <c r="C21" s="53" t="n">
        <f aca="false">'NY Data'!D27</f>
        <v>482.926</v>
      </c>
      <c r="D21" s="53" t="n">
        <f aca="false">'NY Data'!C27*(1+Inputs!C5)</f>
        <v>482.714755744291</v>
      </c>
    </row>
    <row r="22" customFormat="false" ht="15" hidden="false" customHeight="true" outlineLevel="0" collapsed="false">
      <c r="B22" s="45" t="n">
        <v>23</v>
      </c>
      <c r="C22" s="53" t="n">
        <f aca="false">'NY Data'!D28</f>
        <v>448.604</v>
      </c>
      <c r="D22" s="53" t="n">
        <f aca="false">'NY Data'!C28*(1+Inputs!C5)</f>
        <v>391.607255292572</v>
      </c>
    </row>
    <row r="23" customFormat="false" ht="15" hidden="false" customHeight="true" outlineLevel="0" collapsed="false">
      <c r="B23" s="45" t="n">
        <v>24</v>
      </c>
      <c r="C23" s="53" t="n">
        <f aca="false">'NY Data'!D29</f>
        <v>587.58</v>
      </c>
      <c r="D23" s="53" t="n">
        <f aca="false">'NY Data'!C29*(1+Inputs!C5)</f>
        <v>382.433684635541</v>
      </c>
    </row>
    <row r="24" customFormat="false" ht="15" hidden="false" customHeight="true" outlineLevel="0" collapsed="false">
      <c r="B24" s="45" t="n">
        <v>25</v>
      </c>
      <c r="C24" s="53" t="n">
        <f aca="false">'NY Data'!D30</f>
        <v>551.32</v>
      </c>
      <c r="D24" s="53" t="n">
        <f aca="false">'NY Data'!C30*(1+Inputs!C5)</f>
        <v>389.781347788996</v>
      </c>
    </row>
    <row r="25" customFormat="false" ht="15" hidden="false" customHeight="true" outlineLevel="0" collapsed="false">
      <c r="B25" s="45" t="n">
        <v>26</v>
      </c>
      <c r="C25" s="53" t="n">
        <f aca="false">'NY Data'!D31</f>
        <v>512.508</v>
      </c>
      <c r="D25" s="53" t="n">
        <f aca="false">'NY Data'!C31*(1+Inputs!C5)</f>
        <v>342.162932593927</v>
      </c>
    </row>
  </sheetData>
  <mergeCells count="5">
    <mergeCell ref="B2:I2"/>
    <mergeCell ref="B3:I3"/>
    <mergeCell ref="B4:I4"/>
    <mergeCell ref="B13:I13"/>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3"/>
    <col collapsed="false" customWidth="true" hidden="false" outlineLevel="0" max="4" min="4" style="1" width="9"/>
    <col collapsed="false" customWidth="true" hidden="false" outlineLevel="0" max="5" min="5" style="1" width="50"/>
  </cols>
  <sheetData>
    <row r="2" customFormat="false" ht="24" hidden="false" customHeight="true" outlineLevel="0" collapsed="false">
      <c r="B2" s="2" t="s">
        <v>110</v>
      </c>
      <c r="C2" s="2"/>
      <c r="D2" s="2"/>
      <c r="E2" s="2"/>
    </row>
    <row r="3" customFormat="false" ht="15" hidden="false" customHeight="true" outlineLevel="0" collapsed="false">
      <c r="B3" s="3" t="s">
        <v>111</v>
      </c>
      <c r="C3" s="3"/>
      <c r="D3" s="3"/>
      <c r="E3" s="3"/>
    </row>
    <row r="4" customFormat="false" ht="15" hidden="false" customHeight="true" outlineLevel="0" collapsed="false">
      <c r="B4" s="4" t="s">
        <v>112</v>
      </c>
      <c r="C4" s="4"/>
      <c r="D4" s="4"/>
      <c r="E4" s="4"/>
    </row>
    <row r="6" customFormat="false" ht="21.75" hidden="false" customHeight="true" outlineLevel="0" collapsed="false">
      <c r="B6" s="54" t="s">
        <v>113</v>
      </c>
      <c r="C6" s="15" t="n">
        <f aca="false">'Uplift Calc'!H11/1000</f>
        <v>0.537030034981536</v>
      </c>
      <c r="D6" s="23" t="s">
        <v>47</v>
      </c>
      <c r="E6" s="16" t="s">
        <v>114</v>
      </c>
    </row>
    <row r="7" customFormat="false" ht="21.75" hidden="false" customHeight="true" outlineLevel="0" collapsed="false">
      <c r="B7" s="14" t="s">
        <v>51</v>
      </c>
      <c r="C7" s="47" t="n">
        <f aca="false">Inputs!C8</f>
        <v>0.157721337007308</v>
      </c>
      <c r="D7" s="23" t="s">
        <v>44</v>
      </c>
      <c r="E7" s="16" t="s">
        <v>115</v>
      </c>
    </row>
    <row r="8" customFormat="false" ht="21.75" hidden="false" customHeight="true" outlineLevel="0" collapsed="false">
      <c r="B8" s="14" t="s">
        <v>116</v>
      </c>
      <c r="C8" s="55" t="n">
        <f aca="false">C6/C7</f>
        <v>3.40492951157682</v>
      </c>
      <c r="D8" s="23" t="s">
        <v>47</v>
      </c>
      <c r="E8" s="16" t="s">
        <v>117</v>
      </c>
    </row>
    <row r="9" customFormat="false" ht="21.75" hidden="false" customHeight="true" outlineLevel="0" collapsed="false">
      <c r="B9" s="14" t="s">
        <v>64</v>
      </c>
      <c r="C9" s="56" t="n">
        <f aca="false">Inputs!C13</f>
        <v>0.6</v>
      </c>
      <c r="D9" s="23" t="s">
        <v>65</v>
      </c>
      <c r="E9" s="16" t="s">
        <v>118</v>
      </c>
    </row>
    <row r="10" customFormat="false" ht="21.75" hidden="false" customHeight="true" outlineLevel="0" collapsed="false">
      <c r="B10" s="31" t="s">
        <v>119</v>
      </c>
      <c r="C10" s="32" t="n">
        <f aca="false">C8*C9</f>
        <v>2.04295770694609</v>
      </c>
      <c r="D10" s="33" t="s">
        <v>47</v>
      </c>
      <c r="E10" s="57" t="s">
        <v>120</v>
      </c>
    </row>
    <row r="12" customFormat="false" ht="15" hidden="false" customHeight="true" outlineLevel="0" collapsed="false">
      <c r="B12" s="4" t="s">
        <v>121</v>
      </c>
      <c r="C12" s="4"/>
      <c r="D12" s="4"/>
      <c r="E12" s="4"/>
    </row>
    <row r="13" customFormat="false" ht="21.75" hidden="false" customHeight="true" outlineLevel="0" collapsed="false">
      <c r="B13" s="14" t="s">
        <v>122</v>
      </c>
      <c r="C13" s="58" t="str">
        <f aca="false">ROUND(Inputs!C11,1)&amp;" / "&amp;Inputs!C12</f>
        <v>5.4 / 3</v>
      </c>
      <c r="D13" s="23" t="s">
        <v>60</v>
      </c>
      <c r="E13" s="16" t="s">
        <v>123</v>
      </c>
    </row>
    <row r="14" customFormat="false" ht="21.75" hidden="false" customHeight="true" outlineLevel="0" collapsed="false">
      <c r="B14" s="14" t="s">
        <v>124</v>
      </c>
      <c r="C14" s="55" t="n">
        <f aca="false">('Uplift Calc'!H11/Inputs!C12)*(Inputs!C11-Inputs!C12)*Inputs!C14/1000</f>
        <v>0.30431701982287</v>
      </c>
      <c r="D14" s="23" t="s">
        <v>47</v>
      </c>
      <c r="E14" s="16" t="s">
        <v>125</v>
      </c>
    </row>
    <row r="15" customFormat="false" ht="21.75" hidden="false" customHeight="true" outlineLevel="0" collapsed="false">
      <c r="B15" s="14" t="s">
        <v>126</v>
      </c>
      <c r="C15" s="55" t="n">
        <f aca="false">(C6+C14)/C7</f>
        <v>5.33438956813701</v>
      </c>
      <c r="D15" s="23" t="s">
        <v>47</v>
      </c>
      <c r="E15" s="16" t="s">
        <v>127</v>
      </c>
    </row>
    <row r="16" customFormat="false" ht="21.75" hidden="false" customHeight="true" outlineLevel="0" collapsed="false">
      <c r="B16" s="31" t="s">
        <v>128</v>
      </c>
      <c r="C16" s="32" t="n">
        <f aca="false">C15*C9</f>
        <v>3.20063374088221</v>
      </c>
      <c r="D16" s="33" t="s">
        <v>47</v>
      </c>
      <c r="E16" s="57" t="s">
        <v>120</v>
      </c>
    </row>
    <row r="18" customFormat="false" ht="15" hidden="false" customHeight="true" outlineLevel="0" collapsed="false">
      <c r="B18" s="4" t="s">
        <v>129</v>
      </c>
      <c r="C18" s="4"/>
      <c r="D18" s="4"/>
      <c r="E18" s="4"/>
    </row>
    <row r="19" customFormat="false" ht="21.75" hidden="false" customHeight="true" outlineLevel="0" collapsed="false">
      <c r="B19" s="54" t="s">
        <v>130</v>
      </c>
      <c r="C19" s="15" t="n">
        <f aca="false">Inputs!C22</f>
        <v>3.284</v>
      </c>
      <c r="D19" s="23" t="s">
        <v>47</v>
      </c>
      <c r="E19" s="16" t="s">
        <v>131</v>
      </c>
    </row>
    <row r="20" customFormat="false" ht="21.75" hidden="false" customHeight="true" outlineLevel="0" collapsed="false">
      <c r="B20" s="14" t="s">
        <v>132</v>
      </c>
      <c r="C20" s="35" t="str">
        <f aca="false">"$"&amp;Inputs!C17&amp;" to $"&amp;Inputs!C18</f>
        <v>$2.82 to $4.3</v>
      </c>
      <c r="D20" s="23" t="s">
        <v>47</v>
      </c>
      <c r="E20" s="16" t="s">
        <v>133</v>
      </c>
    </row>
    <row r="21" customFormat="false" ht="21.75" hidden="false" customHeight="true" outlineLevel="0" collapsed="false">
      <c r="B21" s="54" t="s">
        <v>134</v>
      </c>
      <c r="C21" s="59" t="n">
        <f aca="false">C19/C15</f>
        <v>0.615628078536999</v>
      </c>
      <c r="D21" s="23" t="s">
        <v>65</v>
      </c>
      <c r="E21" s="16" t="s">
        <v>135</v>
      </c>
    </row>
    <row r="23" customFormat="false" ht="30" hidden="false" customHeight="true" outlineLevel="0" collapsed="false">
      <c r="B23" s="60" t="s">
        <v>136</v>
      </c>
      <c r="C23" s="60"/>
      <c r="D23" s="60"/>
      <c r="E23" s="60"/>
    </row>
  </sheetData>
  <mergeCells count="6">
    <mergeCell ref="B2:E2"/>
    <mergeCell ref="B3:E3"/>
    <mergeCell ref="B4:E4"/>
    <mergeCell ref="B12:E12"/>
    <mergeCell ref="B18:E18"/>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7" min="3" style="1" width="12"/>
  </cols>
  <sheetData>
    <row r="2" customFormat="false" ht="24" hidden="false" customHeight="true" outlineLevel="0" collapsed="false">
      <c r="B2" s="2" t="s">
        <v>137</v>
      </c>
      <c r="C2" s="2"/>
      <c r="D2" s="2"/>
      <c r="E2" s="2"/>
      <c r="F2" s="2"/>
      <c r="G2" s="2"/>
    </row>
    <row r="3" customFormat="false" ht="15" hidden="false" customHeight="true" outlineLevel="0" collapsed="false">
      <c r="B3" s="3" t="s">
        <v>138</v>
      </c>
      <c r="C3" s="3"/>
      <c r="D3" s="3"/>
      <c r="E3" s="3"/>
      <c r="F3" s="3"/>
      <c r="G3" s="3"/>
    </row>
    <row r="4" customFormat="false" ht="15" hidden="false" customHeight="true" outlineLevel="0" collapsed="false">
      <c r="B4" s="4" t="s">
        <v>139</v>
      </c>
      <c r="C4" s="4"/>
      <c r="D4" s="4"/>
      <c r="E4" s="4"/>
      <c r="F4" s="4"/>
      <c r="G4" s="4"/>
    </row>
    <row r="6" customFormat="false" ht="15" hidden="false" customHeight="true" outlineLevel="0" collapsed="false">
      <c r="B6" s="61"/>
      <c r="C6" s="62" t="n">
        <v>0.5</v>
      </c>
      <c r="D6" s="62" t="n">
        <v>0.6</v>
      </c>
      <c r="E6" s="62" t="n">
        <v>0.7</v>
      </c>
      <c r="F6" s="62" t="n">
        <v>0.85</v>
      </c>
      <c r="G6" s="62" t="n">
        <v>1</v>
      </c>
    </row>
    <row r="7" customFormat="false" ht="15" hidden="false" customHeight="true" outlineLevel="0" collapsed="false">
      <c r="B7" s="63" t="n">
        <v>-0.02</v>
      </c>
      <c r="C7" s="55" t="n">
        <f aca="false">((SUM('NY Data'!D29:D31)-SUM('NY Data'!C29:C31)*(1+$B7))*(1+((Inputs!C11-Inputs!C12)/Inputs!C12)*Inputs!C14))/Inputs!C8*C$6/1000</f>
        <v>2.65879088369996</v>
      </c>
      <c r="D7" s="55" t="n">
        <f aca="false">((SUM('NY Data'!D29:D31)-SUM('NY Data'!C29:C31)*(1+$B7))*(1+((Inputs!C11-Inputs!C12)/Inputs!C12)*Inputs!C14))/Inputs!C8*D$6/1000</f>
        <v>3.19054906043996</v>
      </c>
      <c r="E7" s="55" t="n">
        <f aca="false">((SUM('NY Data'!D29:D31)-SUM('NY Data'!C29:C31)*(1+$B7))*(1+((Inputs!C11-Inputs!C12)/Inputs!C12)*Inputs!C14))/Inputs!C8*E$6/1000</f>
        <v>3.72230723717995</v>
      </c>
      <c r="F7" s="55" t="n">
        <f aca="false">((SUM('NY Data'!D29:D31)-SUM('NY Data'!C29:C31)*(1+$B7))*(1+((Inputs!C11-Inputs!C12)/Inputs!C12)*Inputs!C14))/Inputs!C8*F$6/1000</f>
        <v>4.51994450228994</v>
      </c>
      <c r="G7" s="55" t="n">
        <f aca="false">((SUM('NY Data'!D29:D31)-SUM('NY Data'!C29:C31)*(1+$B7))*(1+((Inputs!C11-Inputs!C12)/Inputs!C12)*Inputs!C14))/Inputs!C8*G$6/1000</f>
        <v>5.31758176739993</v>
      </c>
    </row>
    <row r="8" customFormat="false" ht="15" hidden="false" customHeight="true" outlineLevel="0" collapsed="false">
      <c r="B8" s="63" t="n">
        <v>0</v>
      </c>
      <c r="C8" s="55" t="n">
        <f aca="false">((SUM('NY Data'!D29:D31)-SUM('NY Data'!C29:C31)*(1+$B8))*(1+((Inputs!C11-Inputs!C12)/Inputs!C12)*Inputs!C14))/Inputs!C8*C$6/1000</f>
        <v>2.54566772185087</v>
      </c>
      <c r="D8" s="55" t="n">
        <f aca="false">((SUM('NY Data'!D29:D31)-SUM('NY Data'!C29:C31)*(1+$B8))*(1+((Inputs!C11-Inputs!C12)/Inputs!C12)*Inputs!C14))/Inputs!C8*D$6/1000</f>
        <v>3.05480126622104</v>
      </c>
      <c r="E8" s="55" t="n">
        <f aca="false">((SUM('NY Data'!D29:D31)-SUM('NY Data'!C29:C31)*(1+$B8))*(1+((Inputs!C11-Inputs!C12)/Inputs!C12)*Inputs!C14))/Inputs!C8*E$6/1000</f>
        <v>3.56393481059122</v>
      </c>
      <c r="F8" s="55" t="n">
        <f aca="false">((SUM('NY Data'!D29:D31)-SUM('NY Data'!C29:C31)*(1+$B8))*(1+((Inputs!C11-Inputs!C12)/Inputs!C12)*Inputs!C14))/Inputs!C8*F$6/1000</f>
        <v>4.32763512714648</v>
      </c>
      <c r="G8" s="55" t="n">
        <f aca="false">((SUM('NY Data'!D29:D31)-SUM('NY Data'!C29:C31)*(1+$B8))*(1+((Inputs!C11-Inputs!C12)/Inputs!C12)*Inputs!C14))/Inputs!C8*G$6/1000</f>
        <v>5.09133544370174</v>
      </c>
    </row>
    <row r="9" customFormat="false" ht="15" hidden="false" customHeight="true" outlineLevel="0" collapsed="false">
      <c r="B9" s="63" t="n">
        <v>0.05</v>
      </c>
      <c r="C9" s="55" t="n">
        <f aca="false">((SUM('NY Data'!D29:D31)-SUM('NY Data'!C29:C31)*(1+$B9))*(1+((Inputs!C11-Inputs!C12)/Inputs!C12)*Inputs!C14))/Inputs!C8*C$6/1000</f>
        <v>2.26285981722813</v>
      </c>
      <c r="D9" s="55" t="n">
        <f aca="false">((SUM('NY Data'!D29:D31)-SUM('NY Data'!C29:C31)*(1+$B9))*(1+((Inputs!C11-Inputs!C12)/Inputs!C12)*Inputs!C14))/Inputs!C8*D$6/1000</f>
        <v>2.71543178067376</v>
      </c>
      <c r="E9" s="55" t="n">
        <f aca="false">((SUM('NY Data'!D29:D31)-SUM('NY Data'!C29:C31)*(1+$B9))*(1+((Inputs!C11-Inputs!C12)/Inputs!C12)*Inputs!C14))/Inputs!C8*E$6/1000</f>
        <v>3.16800374411938</v>
      </c>
      <c r="F9" s="55" t="n">
        <f aca="false">((SUM('NY Data'!D29:D31)-SUM('NY Data'!C29:C31)*(1+$B9))*(1+((Inputs!C11-Inputs!C12)/Inputs!C12)*Inputs!C14))/Inputs!C8*F$6/1000</f>
        <v>3.84686168928782</v>
      </c>
      <c r="G9" s="55" t="n">
        <f aca="false">((SUM('NY Data'!D29:D31)-SUM('NY Data'!C29:C31)*(1+$B9))*(1+((Inputs!C11-Inputs!C12)/Inputs!C12)*Inputs!C14))/Inputs!C8*G$6/1000</f>
        <v>4.52571963445626</v>
      </c>
    </row>
    <row r="10" customFormat="false" ht="15" hidden="false" customHeight="true" outlineLevel="0" collapsed="false">
      <c r="B10" s="63" t="n">
        <v>0.1</v>
      </c>
      <c r="C10" s="55" t="n">
        <f aca="false">((SUM('NY Data'!D29:D31)-SUM('NY Data'!C29:C31)*(1+$B10))*(1+((Inputs!C11-Inputs!C12)/Inputs!C12)*Inputs!C14))/Inputs!C8*C$6/1000</f>
        <v>1.98005191260539</v>
      </c>
      <c r="D10" s="55" t="n">
        <f aca="false">((SUM('NY Data'!D29:D31)-SUM('NY Data'!C29:C31)*(1+$B10))*(1+((Inputs!C11-Inputs!C12)/Inputs!C12)*Inputs!C14))/Inputs!C8*D$6/1000</f>
        <v>2.37606229512647</v>
      </c>
      <c r="E10" s="55" t="n">
        <f aca="false">((SUM('NY Data'!D29:D31)-SUM('NY Data'!C29:C31)*(1+$B10))*(1+((Inputs!C11-Inputs!C12)/Inputs!C12)*Inputs!C14))/Inputs!C8*E$6/1000</f>
        <v>2.77207267764755</v>
      </c>
      <c r="F10" s="55" t="n">
        <f aca="false">((SUM('NY Data'!D29:D31)-SUM('NY Data'!C29:C31)*(1+$B10))*(1+((Inputs!C11-Inputs!C12)/Inputs!C12)*Inputs!C14))/Inputs!C8*F$6/1000</f>
        <v>3.36608825142917</v>
      </c>
      <c r="G10" s="55" t="n">
        <f aca="false">((SUM('NY Data'!D29:D31)-SUM('NY Data'!C29:C31)*(1+$B10))*(1+((Inputs!C11-Inputs!C12)/Inputs!C12)*Inputs!C14))/Inputs!C8*G$6/1000</f>
        <v>3.96010382521079</v>
      </c>
    </row>
    <row r="11" customFormat="false" ht="15" hidden="false" customHeight="true" outlineLevel="0" collapsed="false">
      <c r="B11" s="63" t="n">
        <v>0.15</v>
      </c>
      <c r="C11" s="55" t="n">
        <f aca="false">((SUM('NY Data'!D29:D31)-SUM('NY Data'!C29:C31)*(1+$B11))*(1+((Inputs!C11-Inputs!C12)/Inputs!C12)*Inputs!C14))/Inputs!C8*C$6/1000</f>
        <v>1.69724400798266</v>
      </c>
      <c r="D11" s="55" t="n">
        <f aca="false">((SUM('NY Data'!D29:D31)-SUM('NY Data'!C29:C31)*(1+$B11))*(1+((Inputs!C11-Inputs!C12)/Inputs!C12)*Inputs!C14))/Inputs!C8*D$6/1000</f>
        <v>2.03669280957919</v>
      </c>
      <c r="E11" s="55" t="n">
        <f aca="false">((SUM('NY Data'!D29:D31)-SUM('NY Data'!C29:C31)*(1+$B11))*(1+((Inputs!C11-Inputs!C12)/Inputs!C12)*Inputs!C14))/Inputs!C8*E$6/1000</f>
        <v>2.37614161117572</v>
      </c>
      <c r="F11" s="55" t="n">
        <f aca="false">((SUM('NY Data'!D29:D31)-SUM('NY Data'!C29:C31)*(1+$B11))*(1+((Inputs!C11-Inputs!C12)/Inputs!C12)*Inputs!C14))/Inputs!C8*F$6/1000</f>
        <v>2.88531481357052</v>
      </c>
      <c r="G11" s="55" t="n">
        <f aca="false">((SUM('NY Data'!D29:D31)-SUM('NY Data'!C29:C31)*(1+$B11))*(1+((Inputs!C11-Inputs!C12)/Inputs!C12)*Inputs!C14))/Inputs!C8*G$6/1000</f>
        <v>3.39448801596532</v>
      </c>
    </row>
    <row r="13" customFormat="false" ht="15" hidden="false" customHeight="true" outlineLevel="0" collapsed="false">
      <c r="B13" s="3" t="s">
        <v>140</v>
      </c>
      <c r="C13" s="3"/>
      <c r="D13" s="3"/>
      <c r="E13" s="3"/>
      <c r="F13" s="3"/>
      <c r="G13" s="3"/>
    </row>
    <row r="15" customFormat="false" ht="30" hidden="false" customHeight="true" outlineLevel="0" collapsed="false">
      <c r="B15" s="60" t="s">
        <v>141</v>
      </c>
      <c r="C15" s="60"/>
      <c r="D15" s="60"/>
      <c r="E15" s="60"/>
      <c r="F15" s="60"/>
      <c r="G15" s="60"/>
    </row>
  </sheetData>
  <mergeCells count="5">
    <mergeCell ref="B2:G2"/>
    <mergeCell ref="B3:G3"/>
    <mergeCell ref="B4:G4"/>
    <mergeCell ref="B13:G13"/>
    <mergeCell ref="B15:G15"/>
  </mergeCells>
  <conditionalFormatting sqref="C7:G11">
    <cfRule type="colorScale" priority="2">
      <colorScale>
        <cfvo type="min" val="0"/>
        <cfvo type="max" val="0"/>
        <color rgb="FFDCE6F5"/>
        <color rgb="FF2E549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2026-07-08T21:00:20Z</dcterms:created>
  <dc:creator>openpyxl</dc:creator>
  <dc:description/>
  <dc:language>en-US</dc:language>
  <cp:lastModifiedBy/>
  <dcterms:modified xsi:type="dcterms:W3CDTF">2026-07-08T21:00:58Z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