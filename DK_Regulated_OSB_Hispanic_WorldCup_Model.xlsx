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ate Detail" sheetId="2" state="visible" r:id="rId4"/>
    <sheet name="Spanish-App TAM Funnel" sheetId="3" state="visible" r:id="rId5"/>
    <sheet name="Factors &amp; Counter-Analysis" sheetId="4" state="visible" r:id="rId6"/>
    <sheet name="Representation Index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<sst xmlns="http://schemas.openxmlformats.org/spreadsheetml/2006/main" count="414" uniqueCount="303">
  <si>
    <t xml:space="preserve">Regulated Sportsbooks &amp; the Underserved Spanish-Speaking Bettor — A Structural-Access Thesis</t>
  </si>
  <si>
    <t xml:space="preserve">Equity research support model  |  Regulated (non-tribal) OSB industry, with DraftKings as a labeled subset  |  Prediction Markets &amp; FIFA World Cup 2026</t>
  </si>
  <si>
    <t xml:space="preserve">THESIS</t>
  </si>
  <si>
    <t xml:space="preserve">The under-representation of Spanish-speaking consumers in U.S. sportsbooks is an INDUSTRY-WIDE structural-access problem, not a DraftKings-specific one. The largest Hispanic states — California and Texas (no legal OSB) and Florida (a tribal Seminole/Hard Rock compact, outside the regulated commercial market) — leave the majority of the U.S. Hispanic population beyond the reach of any regulated, non-tribal online sportsbook. CFTC-regulated Prediction markets (≈nationwide) plus newly launched Spanish-language apps are the first vehicles into this base, with FIFA World Cup 2026 — co-hosted across high-Hispanic U.S. metros — as the catalyst. Counter-case: 72% English proficiency shrinks the incremental Spanish-only TAM, and soccer/Spanish-dominant cohorts may monetize below the NFL-driven core. Both sides quantified herein.</t>
  </si>
  <si>
    <t xml:space="preserve">KEY FINDINGS  (calculated live from 'State Detail')</t>
  </si>
  <si>
    <t xml:space="preserve">Metric</t>
  </si>
  <si>
    <t xml:space="preserve">Hispanic Population</t>
  </si>
  <si>
    <t xml:space="preserve">% of U.S. Hispanic Pop.</t>
  </si>
  <si>
    <t xml:space="preserve">Read-through</t>
  </si>
  <si>
    <t xml:space="preserve">Total U.S. Hispanic population</t>
  </si>
  <si>
    <t xml:space="preserve">—</t>
  </si>
  <si>
    <t xml:space="preserve">Census ACS 2024 (~64.8m; Pew cites ~68m broader basis).</t>
  </si>
  <si>
    <t xml:space="preserve">Reachable by ANY regulated (non-tribal) OSB</t>
  </si>
  <si>
    <t xml:space="preserve">Whole industry reaches only ~1/3 of Hispanics.</t>
  </si>
  <si>
    <t xml:space="preserve">UNREACHABLE by regulated OSB — Predictions/Spanish wedge</t>
  </si>
  <si>
    <t xml:space="preserve">Core opportunity set; served only via Predictions + Spanish app.</t>
  </si>
  <si>
    <t xml:space="preserve">Of which: California + Texas + Florida</t>
  </si>
  <si>
    <t xml:space="preserve">3 largest Hispanic states — none in the regulated commercial market.</t>
  </si>
  <si>
    <t xml:space="preserve">Subset: reachable by DraftKings specifically</t>
  </si>
  <si>
    <t xml:space="preserve">DK ⊂ industry; gap is ~industry-wide, not DK-specific.</t>
  </si>
  <si>
    <t xml:space="preserve">Reachable by DK iCasino (online casino)</t>
  </si>
  <si>
    <t xml:space="preserve">Confirms '~90% of country not present for iGaming'.</t>
  </si>
  <si>
    <t xml:space="preserve">Live in a World Cup 2026 U.S. host state</t>
  </si>
  <si>
    <t xml:space="preserve">WC reaches the Hispanic base at unprecedented scale.</t>
  </si>
  <si>
    <t xml:space="preserve">Live in a WC host state with NO regulated OSB</t>
  </si>
  <si>
    <t xml:space="preserve">Bullseye: WC engagement in Predictions-only territory.</t>
  </si>
  <si>
    <t xml:space="preserve">TAB GUIDE</t>
  </si>
  <si>
    <t xml:space="preserve">•  State Detail — 51-row workhorse. 'Reg. OSB' flag (non-tribal mobile market) drives all headline math; 'DK OSB' flag retained as the operator subset.</t>
  </si>
  <si>
    <t xml:space="preserve">•  Spanish-App TAM Funnel — sizes the INCREMENTAL Spanish-only TAM after the 72% English-proficiency haircut. Yellow cells are flexible assumptions.</t>
  </si>
  <si>
    <t xml:space="preserve">•  Factors &amp; Counter-Analysis — every supporting vs. challenging analysis with data point + source.</t>
  </si>
  <si>
    <t xml:space="preserve">•  Representation Index — Hispanic share of the regulated-OSB footprint vs. national (coverage, evidenced) and a placeholder for customer-mix (participation, needs data).</t>
  </si>
  <si>
    <t xml:space="preserve">•  Sources — citations with publishers, dates, URLs, plus the OSB classification rules.</t>
  </si>
  <si>
    <t xml:space="preserve">Color key: blue = input/assumption • black = formula • green = cross-tab link. Built for analyst use; not investment advice.</t>
  </si>
  <si>
    <t xml:space="preserve">State-Level Detail — Hispanic Population vs. Regulated (Non-Tribal) OSB Access, DraftKings Footprint &amp; World Cup 2026</t>
  </si>
  <si>
    <t xml:space="preserve">Hispanic &amp; total population: Census ACS 2024 (via World Population Review). 'Regulated OSB' = legal statewide-mobile commercial/lottery online sportsbook, EXCLUDING tribal-compact markets (incl. Florida), tribal-on-land-only, and retail/on-premise-only states. 'DK OSB' = DraftKings operates there. Flags: 1=yes,0=no. See Sources.</t>
  </si>
  <si>
    <t xml:space="preserve">State</t>
  </si>
  <si>
    <t xml:space="preserve">Hispanic
Pop. 2024</t>
  </si>
  <si>
    <t xml:space="preserve">Total
Pop. 2024</t>
  </si>
  <si>
    <t xml:space="preserve">Hispanic
% of State</t>
  </si>
  <si>
    <t xml:space="preserve">OSB Market Type (regulated = non-tribal mobile)</t>
  </si>
  <si>
    <t xml:space="preserve">Reg.
OSB</t>
  </si>
  <si>
    <t xml:space="preserve">DK
OSB</t>
  </si>
  <si>
    <t xml:space="preserve">iGaming
Legal</t>
  </si>
  <si>
    <t xml:space="preserve">DK
iCasino</t>
  </si>
  <si>
    <t xml:space="preserve">Predictions
Access</t>
  </si>
  <si>
    <t xml:space="preserve">World Cup 2026
U.S. Host City</t>
  </si>
  <si>
    <t xml:space="preserve">Hispanic Pop.
Reachable via
Regulated OSB</t>
  </si>
  <si>
    <t xml:space="preserve">Hispanic Pop.
Unreachable
(Predictions-only)</t>
  </si>
  <si>
    <t xml:space="preserve">California</t>
  </si>
  <si>
    <t xml:space="preserve">Not legalized (excluded)</t>
  </si>
  <si>
    <t xml:space="preserve">Yes (national, CFTC)</t>
  </si>
  <si>
    <t xml:space="preserve">Los Angeles; SF Bay Area</t>
  </si>
  <si>
    <t xml:space="preserve">Texas</t>
  </si>
  <si>
    <t xml:space="preserve">Dallas; Houston</t>
  </si>
  <si>
    <t xml:space="preserve">Florida</t>
  </si>
  <si>
    <t xml:space="preserve">Tribal compact – Hard Rock (excluded as tribal)</t>
  </si>
  <si>
    <t xml:space="preserve">Miami</t>
  </si>
  <si>
    <t xml:space="preserve">New York</t>
  </si>
  <si>
    <t xml:space="preserve">Open commercial (statewide mobile)</t>
  </si>
  <si>
    <t xml:space="preserve">Illinois</t>
  </si>
  <si>
    <t xml:space="preserve">Arizona</t>
  </si>
  <si>
    <t xml:space="preserve">New Jersey</t>
  </si>
  <si>
    <t xml:space="preserve">New York/New Jersey</t>
  </si>
  <si>
    <t xml:space="preserve">Colorado</t>
  </si>
  <si>
    <t xml:space="preserve">North Carolina</t>
  </si>
  <si>
    <t xml:space="preserve">Georgia</t>
  </si>
  <si>
    <t xml:space="preserve">Atlanta</t>
  </si>
  <si>
    <t xml:space="preserve">Pennsylvania</t>
  </si>
  <si>
    <t xml:space="preserve">Philadelphia</t>
  </si>
  <si>
    <t xml:space="preserve">Washington</t>
  </si>
  <si>
    <t xml:space="preserve">Tribal – on-land only (excluded)</t>
  </si>
  <si>
    <t xml:space="preserve">Seattle</t>
  </si>
  <si>
    <t xml:space="preserve">New Mexico</t>
  </si>
  <si>
    <t xml:space="preserve">Virginia</t>
  </si>
  <si>
    <t xml:space="preserve">Nevada</t>
  </si>
  <si>
    <t xml:space="preserve">Open commercial (in-person registration)</t>
  </si>
  <si>
    <t xml:space="preserve">Massachusetts</t>
  </si>
  <si>
    <t xml:space="preserve">Boston (Foxborough)</t>
  </si>
  <si>
    <t xml:space="preserve">Maryland</t>
  </si>
  <si>
    <t xml:space="preserve">Connecticut</t>
  </si>
  <si>
    <t xml:space="preserve">Oregon</t>
  </si>
  <si>
    <t xml:space="preserve">Lottery-operated mobile (commercial)</t>
  </si>
  <si>
    <t xml:space="preserve">Michigan</t>
  </si>
  <si>
    <t xml:space="preserve">Indiana</t>
  </si>
  <si>
    <t xml:space="preserve">Ohio</t>
  </si>
  <si>
    <t xml:space="preserve">Utah</t>
  </si>
  <si>
    <t xml:space="preserve">All gambling banned (excluded)</t>
  </si>
  <si>
    <t xml:space="preserve">Tennessee</t>
  </si>
  <si>
    <t xml:space="preserve">Oklahoma</t>
  </si>
  <si>
    <t xml:space="preserve">Wisconsin</t>
  </si>
  <si>
    <t xml:space="preserve">Kansas</t>
  </si>
  <si>
    <t xml:space="preserve">South Carolina</t>
  </si>
  <si>
    <t xml:space="preserve">Minnesota</t>
  </si>
  <si>
    <t xml:space="preserve">Louisiana</t>
  </si>
  <si>
    <t xml:space="preserve">Missouri</t>
  </si>
  <si>
    <t xml:space="preserve">Open commercial (launched Dec 2025)</t>
  </si>
  <si>
    <t xml:space="preserve">Kansas City</t>
  </si>
  <si>
    <t xml:space="preserve">Alabama</t>
  </si>
  <si>
    <t xml:space="preserve">Arkansas</t>
  </si>
  <si>
    <t xml:space="preserve">Open commercial (launched 2026)</t>
  </si>
  <si>
    <t xml:space="preserve">Idaho</t>
  </si>
  <si>
    <t xml:space="preserve">Nebraska</t>
  </si>
  <si>
    <t xml:space="preserve">Retail/on-premise only (excluded)</t>
  </si>
  <si>
    <t xml:space="preserve">Iowa</t>
  </si>
  <si>
    <t xml:space="preserve">Kentucky</t>
  </si>
  <si>
    <t xml:space="preserve">Rhode Island</t>
  </si>
  <si>
    <t xml:space="preserve">Lottery-operated mobile – Bally's (commercial)</t>
  </si>
  <si>
    <t xml:space="preserve">Hawaii</t>
  </si>
  <si>
    <t xml:space="preserve">Delaware</t>
  </si>
  <si>
    <t xml:space="preserve">Lottery-operated mobile – BetRivers (commercial)</t>
  </si>
  <si>
    <t xml:space="preserve">Mississippi</t>
  </si>
  <si>
    <t xml:space="preserve">District of Columbia</t>
  </si>
  <si>
    <t xml:space="preserve">Lottery/commercial mobile – FanDuel</t>
  </si>
  <si>
    <t xml:space="preserve">New Hampshire</t>
  </si>
  <si>
    <t xml:space="preserve">Lottery-operated mobile – DraftKings</t>
  </si>
  <si>
    <t xml:space="preserve">Wyoming</t>
  </si>
  <si>
    <t xml:space="preserve">Alaska</t>
  </si>
  <si>
    <t xml:space="preserve">Montana</t>
  </si>
  <si>
    <t xml:space="preserve">Lottery on-premise only (excluded)</t>
  </si>
  <si>
    <t xml:space="preserve">South Dakota</t>
  </si>
  <si>
    <t xml:space="preserve">West Virginia</t>
  </si>
  <si>
    <t xml:space="preserve">North Dakota</t>
  </si>
  <si>
    <t xml:space="preserve">Maine</t>
  </si>
  <si>
    <t xml:space="preserve">Statewide mobile (tribal-licensed; DK/Caesars)</t>
  </si>
  <si>
    <t xml:space="preserve">Vermont</t>
  </si>
  <si>
    <t xml:space="preserve">UNITED STATES TOTAL</t>
  </si>
  <si>
    <t xml:space="preserve">(count of flagged states →)</t>
  </si>
  <si>
    <t xml:space="preserve">Notes: 'Reachable via Regulated OSB' = Hispanic pop. in states with a legal non-tribal statewide-mobile sportsbook (any operator). 'Unreachable' = pop. reachable only via CFTC Prediction markets (≈nationwide) + Spanish app. Florida excluded as a tribal compact per scope. Nevada/DC/Delaware/Rhode Island are regulated non-tribal markets where DK is NOT present (Reg.OSB=1 but DK OSB=0).</t>
  </si>
  <si>
    <t xml:space="preserve">Spanish-Language App — Incremental Addressable Market (language counter-analysis)</t>
  </si>
  <si>
    <t xml:space="preserve">Separates the bullish '68m Hispanics' headline from the realistic incremental reach of a Spanish-NATIVE app. Most U.S. Hispanics are English-proficient and can already use English apps, so the app's unique ACCESS value concentrates in the Spanish-dependent segment. Yellow = flexible assumptions.</t>
  </si>
  <si>
    <t xml:space="preserve">Funnel step</t>
  </si>
  <si>
    <t xml:space="preserve">Value</t>
  </si>
  <si>
    <t xml:space="preserve">Source / Logic</t>
  </si>
  <si>
    <t xml:space="preserve">Link to State Detail (Census ACS 2024).</t>
  </si>
  <si>
    <t xml:space="preserve">  x Betting-eligible age (21+) share</t>
  </si>
  <si>
    <t xml:space="preserve">Analyst assumption — Hispanics skew young (median age ~31).</t>
  </si>
  <si>
    <t xml:space="preserve">≡ Betting-age (21+) Hispanic adults</t>
  </si>
  <si>
    <t xml:space="preserve">Calc.</t>
  </si>
  <si>
    <t xml:space="preserve">  x English-proficient share</t>
  </si>
  <si>
    <t xml:space="preserve">Pew/ACS 2021: 72% all / 91% U.S.-born / 38% foreign-born.</t>
  </si>
  <si>
    <t xml:space="preserve">≡ English-capable adults (already addressable in English)</t>
  </si>
  <si>
    <t xml:space="preserve">Do NOT need a Spanish app for ACCESS — preference lever only.</t>
  </si>
  <si>
    <t xml:space="preserve">≡ Spanish-dependent adults [LOW / access-driven TAM]</t>
  </si>
  <si>
    <t xml:space="preserve">Incremental ACCESS market the Spanish app uniquely unlocks.</t>
  </si>
  <si>
    <t xml:space="preserve">  Memo: 'mainly-Spanish' language-use share</t>
  </si>
  <si>
    <t xml:space="preserve">Pew: 38% mainly Spanish / 36% bilingual / 25% mainly English.</t>
  </si>
  <si>
    <t xml:space="preserve">≡ Spanish-preferring adults [HIGH / preference TAM]</t>
  </si>
  <si>
    <t xml:space="preserve">Upper bound incl. bilinguals preferring Spanish UX.</t>
  </si>
  <si>
    <t xml:space="preserve">Incremental Spanish-only TAM as % of '68m headline'</t>
  </si>
  <si>
    <t xml:space="preserve">Reality-check on the bullish framing.</t>
  </si>
  <si>
    <t xml:space="preserve">STRATEGIC WEDGE — Spanish-dependent bettors reachable ONLY via Predictions + Spanish app</t>
  </si>
  <si>
    <t xml:space="preserve">Hispanic pop. in states with NO regulated OSB</t>
  </si>
  <si>
    <t xml:space="preserve">Link to State Detail (Predictions-only).</t>
  </si>
  <si>
    <t xml:space="preserve">  x 21+ share x Spanish-dependent share</t>
  </si>
  <si>
    <t xml:space="preserve">Same two haircuts.</t>
  </si>
  <si>
    <t xml:space="preserve">≡ Spanish-dependent betting-age Hispanics, Predictions-only</t>
  </si>
  <si>
    <t xml:space="preserve">Intersection the combo uniquely serves.</t>
  </si>
  <si>
    <t xml:space="preserve">Interpretation: the access-driven incremental TAM is a fraction of the 68m headline, so a Spanish app is best read as a conversion/retention enhancer on the Predictions base (the real unlock = nationwide Prediction-market legality), not a fix for a representation deficit. Attribution between the two will be hard to isolate.</t>
  </si>
  <si>
    <t xml:space="preserve">Analytical Factors — Supports vs. Challenges the 'Underserved Spanish Bettor' Thesis (industry-wide)</t>
  </si>
  <si>
    <t xml:space="preserve">Analysis / Factor</t>
  </si>
  <si>
    <t xml:space="preserve">Direction</t>
  </si>
  <si>
    <t xml:space="preserve">Key data point</t>
  </si>
  <si>
    <t xml:space="preserve">Implication for the note</t>
  </si>
  <si>
    <t xml:space="preserve">Src #</t>
  </si>
  <si>
    <t xml:space="preserve">Legalization geography (industry)</t>
  </si>
  <si>
    <t xml:space="preserve">SUPPORTS</t>
  </si>
  <si>
    <t xml:space="preserve">~63% of U.S. Hispanics live in states with no regulated non-tribal OSB; CA+TX+FL ≈52%.</t>
  </si>
  <si>
    <t xml:space="preserve">Backbone of the thesis; not DK-specific. Lead with this.</t>
  </si>
  <si>
    <t xml:space="preserve">1,2,3</t>
  </si>
  <si>
    <t xml:space="preserve">DK vs. industry footprint</t>
  </si>
  <si>
    <t xml:space="preserve">DK reaches ~35% of Hispanics; whole regulated industry only ~37%.</t>
  </si>
  <si>
    <t xml:space="preserve">The gap is structural/legal, not a DK execution miss.</t>
  </si>
  <si>
    <t xml:space="preserve">3,7</t>
  </si>
  <si>
    <t xml:space="preserve">iGaming access gap</t>
  </si>
  <si>
    <t xml:space="preserve">Only ~7% of Hispanics in DK-iCasino states.</t>
  </si>
  <si>
    <t xml:space="preserve">Validates '~90% not present for iGaming' — second underserved layer.</t>
  </si>
  <si>
    <t xml:space="preserve">4</t>
  </si>
  <si>
    <t xml:space="preserve">World Cup host-city overlap</t>
  </si>
  <si>
    <t xml:space="preserve">7 of 11 U.S. host cities sit in non-regulated-OSB states (LA, SF, Dallas, Houston, Atlanta, Miami, Seattle).</t>
  </si>
  <si>
    <t xml:space="preserve">Engagement mega-event lands in Predictions-only territory.</t>
  </si>
  <si>
    <t xml:space="preserve">5,6</t>
  </si>
  <si>
    <t xml:space="preserve">Spanish-language product gap</t>
  </si>
  <si>
    <t xml:space="preserve">Robins frames the Spanish app as a 'differentiator' (implies incumbents lack one).</t>
  </si>
  <si>
    <t xml:space="preserve">Product-level underservice independent of geography. VERIFY peers.</t>
  </si>
  <si>
    <t xml:space="preserve">7</t>
  </si>
  <si>
    <t xml:space="preserve">Sport-mix mismatch</t>
  </si>
  <si>
    <t xml:space="preserve">Soccer is #1 for U.S. Hispanics but small share of U.S. handle (NFL/NBA dominate).</t>
  </si>
  <si>
    <t xml:space="preserve">Favorite sport under-weighted; WC 2026 flips it for one window.</t>
  </si>
  <si>
    <t xml:space="preserve">Spanish-language media underspend</t>
  </si>
  <si>
    <t xml:space="preserve">SUPPORTS (soft)</t>
  </si>
  <si>
    <t xml:space="preserve">Industry ad spend on Telemundo/Univision historically low vs. pop. share.</t>
  </si>
  <si>
    <t xml:space="preserve">Directional; quantify if data available.</t>
  </si>
  <si>
    <t xml:space="preserve">English proficiency</t>
  </si>
  <si>
    <t xml:space="preserve">CHALLENGES</t>
  </si>
  <si>
    <t xml:space="preserve">72% of Hispanics English-proficient (91% U.S.-born).</t>
  </si>
  <si>
    <t xml:space="preserve">Shrinks Spanish-only incremental TAM; app is conversion lever.</t>
  </si>
  <si>
    <t xml:space="preserve">8,9</t>
  </si>
  <si>
    <t xml:space="preserve">Within-legal-state participation</t>
  </si>
  <si>
    <t xml:space="preserve">If Hispanic participation in legal states tracks pop. share, gap is pure geography.</t>
  </si>
  <si>
    <t xml:space="preserve">Reframes thesis as ACCESS, not language. Test w/ customer-mix data.</t>
  </si>
  <si>
    <t xml:space="preserve">Income constraint</t>
  </si>
  <si>
    <t xml:space="preserve">Hispanic median HH income $70,950 vs. U.S. $83,730 (2024); ratio to non-Hisp. White ~0.74.</t>
  </si>
  <si>
    <t xml:space="preserve">Lower disposable income caps spend/LTV.</t>
  </si>
  <si>
    <t xml:space="preserve">10,11</t>
  </si>
  <si>
    <t xml:space="preserve">Age / eligibility</t>
  </si>
  <si>
    <t xml:space="preserve">Hispanic median age ~31; large under-21 (ineligible) share.</t>
  </si>
  <si>
    <t xml:space="preserve">Betting-age base smaller than headline pop.</t>
  </si>
  <si>
    <t xml:space="preserve">12</t>
  </si>
  <si>
    <t xml:space="preserve">Soccer monetization</t>
  </si>
  <si>
    <t xml:space="preserve">Lower hold, fewer SGP/parlay markets; Robins: 'not as sure it will be a huge revenue opportunity.'</t>
  </si>
  <si>
    <t xml:space="preserve">Acquisition ≠ LTV; one-month spike, post-WC retention risk.</t>
  </si>
  <si>
    <t xml:space="preserve">Predictions vs. app attribution</t>
  </si>
  <si>
    <t xml:space="preserve">Real legal unlock = CFTC Prediction structure, not language.</t>
  </si>
  <si>
    <t xml:space="preserve">Hard to isolate Spanish-app ROI from Predictions-access ROI.</t>
  </si>
  <si>
    <t xml:space="preserve">Hispanic Representation Index — Coverage (evidenced) vs. Participation (requires data)</t>
  </si>
  <si>
    <t xml:space="preserve">Section A (coverage) is fully evidenced by the state data, measured on the REGULATED non-tribal OSB footprint, with DK shown as a subset. Section B (participation) is NOT in the data — it needs operators' actual customer mix. Keep the two distinct in the note.</t>
  </si>
  <si>
    <t xml:space="preserve">A.  COVERAGE / ACCESS REPRESENTATION  —  EVIDENCED</t>
  </si>
  <si>
    <t xml:space="preserve">Note / Source</t>
  </si>
  <si>
    <t xml:space="preserve">National Hispanic share of population</t>
  </si>
  <si>
    <t xml:space="preserve">Census ACS 2024: ~64.8m of ~334.9m.</t>
  </si>
  <si>
    <t xml:space="preserve">Hispanic share of REGULATED (non-tribal) OSB footprint</t>
  </si>
  <si>
    <t xml:space="preserve">Pop-weighted across all regulated non-tribal mobile states.</t>
  </si>
  <si>
    <t xml:space="preserve">Hispanic share of NON-regulated-OSB states</t>
  </si>
  <si>
    <t xml:space="preserve">States with no regulated OSB are far more Hispanic.</t>
  </si>
  <si>
    <t xml:space="preserve">REPRESENTATION INDEX — industry (footprint ÷ national)</t>
  </si>
  <si>
    <t xml:space="preserve">Below 1.00x = regulated market under-indexes Hispanics.</t>
  </si>
  <si>
    <t xml:space="preserve">Memo: Hispanic share of DraftKings footprint</t>
  </si>
  <si>
    <t xml:space="preserve">DK subset of the regulated market.</t>
  </si>
  <si>
    <t xml:space="preserve">Memo: REPRESENTATION INDEX — DraftKings only</t>
  </si>
  <si>
    <t xml:space="preserve">Nearly identical to industry — confirms gap is structural.</t>
  </si>
  <si>
    <t xml:space="preserve">Read: the regulated non-tribal OSB market is ~13% Hispanic vs. ~19% nationally (~0.69x), essentially the same as DK alone (~0.67x) — because CA/TX/FL sit outside it. This is a COVERAGE deficit (where Hispanics live vs. where regulated OSB is legal), NOT evidence that operators serve Hispanic customers worse where they run.</t>
  </si>
  <si>
    <t xml:space="preserve">B.  PARTICIPATION / CUSTOMER-MIX REPRESENTATION  —  REQUIRES DATA</t>
  </si>
  <si>
    <t xml:space="preserve">Hispanic share of regulated-OSB CUSTOMERS (enter actual)</t>
  </si>
  <si>
    <t xml:space="preserve">PLACEHOLDER (illustrative = footprint share). REPLACE with operator disclosures / 3rd-party panel.</t>
  </si>
  <si>
    <t xml:space="preserve">Expected if proportional to footprint</t>
  </si>
  <si>
    <t xml:space="preserve">Benchmark = Hispanic share of regulated-OSB footprint (Section A).</t>
  </si>
  <si>
    <t xml:space="preserve">PARTICIPATION INDEX (actual ÷ expected)</t>
  </si>
  <si>
    <t xml:space="preserve">&gt;1.00x = Hispanics over-index among customers; &lt;1.00x = under-index; =1.00x = proportional (no language/product gap).</t>
  </si>
  <si>
    <t xml:space="preserve">Sensitivity — participation index at various assumed Hispanic customer shares</t>
  </si>
  <si>
    <t xml:space="preserve">Scenario</t>
  </si>
  <si>
    <t xml:space="preserve">Assumed Hisp. customer %</t>
  </si>
  <si>
    <t xml:space="preserve">Participation index</t>
  </si>
  <si>
    <t xml:space="preserve">Deeply under-indexed</t>
  </si>
  <si>
    <t xml:space="preserve">Mild under-index</t>
  </si>
  <si>
    <t xml:space="preserve">Proportional to footprint</t>
  </si>
  <si>
    <t xml:space="preserve">Above footprint</t>
  </si>
  <si>
    <t xml:space="preserve">At national pop. share</t>
  </si>
  <si>
    <t xml:space="preserve">To populate Section B you need operators' actual Hispanic customer share within the regulated footprint. Sources: investor disclosures; consumer panels (comScore, MRI-Simmons, Nielsen Scarborough); or geolocated handle by ZIP mapped to ACS tracts. Until then, claim only the COVERAGE deficit (~0.69x industry / ~0.67x DK) and treat any language/product 'underservice' as a hypothesis.</t>
  </si>
  <si>
    <t xml:space="preserve">Sources &amp; Classification Rules</t>
  </si>
  <si>
    <t xml:space="preserve">#</t>
  </si>
  <si>
    <t xml:space="preserve">Publisher</t>
  </si>
  <si>
    <t xml:space="preserve">Date</t>
  </si>
  <si>
    <t xml:space="preserve">Data used in model</t>
  </si>
  <si>
    <t xml:space="preserve">URL</t>
  </si>
  <si>
    <t xml:space="preserve">World Population Review</t>
  </si>
  <si>
    <t xml:space="preserve">2026 (ACS 2024 est.)</t>
  </si>
  <si>
    <t xml:space="preserve">Hispanic &amp; total population by state</t>
  </si>
  <si>
    <t xml:space="preserve">https://worldpopulationreview.com/state-rankings/hispanic-population-by-state</t>
  </si>
  <si>
    <t xml:space="preserve">Pew Research Center</t>
  </si>
  <si>
    <t xml:space="preserve">Oct 2025</t>
  </si>
  <si>
    <t xml:space="preserve">U.S. Hispanic ~68m; CA 16.1m, TX 12.6m, FL 6.7m</t>
  </si>
  <si>
    <t xml:space="preserve">https://www.pewresearch.org/short-reads/2025/10/22/key-facts-about-us-latinos/</t>
  </si>
  <si>
    <t xml:space="preserve">Legal Sports Report</t>
  </si>
  <si>
    <t xml:space="preserve">Nov 2025</t>
  </si>
  <si>
    <t xml:space="preserve">OSB legal status / mobile vs tribal vs retail by state</t>
  </si>
  <si>
    <t xml:space="preserve">https://www.legalsportsreport.com/sports-betting-states/</t>
  </si>
  <si>
    <t xml:space="preserve">CasinoBeats / SportsLine</t>
  </si>
  <si>
    <t xml:space="preserve">2026</t>
  </si>
  <si>
    <t xml:space="preserve">iGaming legal states; DK iCasino footprint</t>
  </si>
  <si>
    <t xml:space="preserve">https://casinobeats.com/features/us-online-casino-gambling-legal-tracker/</t>
  </si>
  <si>
    <t xml:space="preserve">Al Jazeera</t>
  </si>
  <si>
    <t xml:space="preserve">Jun 2026</t>
  </si>
  <si>
    <t xml:space="preserve">FIFA World Cup 2026 U.S. host cities &amp; venues</t>
  </si>
  <si>
    <t xml:space="preserve">https://www.aljazeera.com/sports/2026/6/3/fifa-world-cup-2026-stadiums-matches-us-canada-mexico</t>
  </si>
  <si>
    <t xml:space="preserve">CBS Sports</t>
  </si>
  <si>
    <t xml:space="preserve">2024</t>
  </si>
  <si>
    <t xml:space="preserve">World Cup 2026 host-city/state list</t>
  </si>
  <si>
    <t xml:space="preserve">https://www.cbssports.com/soccer/news/fifa-world-cup-2026-host-cities-los-angeles-new-york-new-jersey-among-top-venues-washington-d-c-snubbed</t>
  </si>
  <si>
    <t xml:space="preserve">DraftKings Q1 2026 Earnings Call</t>
  </si>
  <si>
    <t xml:space="preserve">May 8, 2026</t>
  </si>
  <si>
    <t xml:space="preserve">Mgmt commentary: Spanish app, Predictions, World Cup, iGaming</t>
  </si>
  <si>
    <t xml:space="preserve">Company transcript (S&amp;P Global Market Intelligence)</t>
  </si>
  <si>
    <t xml:space="preserve">2021 ACS</t>
  </si>
  <si>
    <t xml:space="preserve">Hispanic English proficiency 72% / 91% U.S.-born / 38% foreign-born</t>
  </si>
  <si>
    <t xml:space="preserve">https://www.pewresearch.org/chart/us-hispanics-english-proficiency/</t>
  </si>
  <si>
    <t xml:space="preserve">2015 Nat'l Survey of Latinos</t>
  </si>
  <si>
    <t xml:space="preserve">Language use 36% bilingual / 25% mainly English / 38% mainly Spanish</t>
  </si>
  <si>
    <t xml:space="preserve">https://www.pewresearch.org/short-reads/2015/03/24/a-majority-of-english-speaking-hispanics-in-the-u-s-are-bilingual/</t>
  </si>
  <si>
    <t xml:space="preserve">U.S. Census Bureau</t>
  </si>
  <si>
    <t xml:space="preserve">Sep 2025</t>
  </si>
  <si>
    <t xml:space="preserve">Hispanic median HH income $70,950 (2024)</t>
  </si>
  <si>
    <t xml:space="preserve">https://www.census.gov/library/stories/2025/09/median-household-income.html</t>
  </si>
  <si>
    <t xml:space="preserve">Sep 2024</t>
  </si>
  <si>
    <t xml:space="preserve">U.S. median HH income $83,730; Hisp/White ratio 0.74</t>
  </si>
  <si>
    <t xml:space="preserve">https://www.census.gov/library/stories/2024/09/household-income-race-hispanic.html</t>
  </si>
  <si>
    <t xml:space="preserve">Hispanic median age ~31</t>
  </si>
  <si>
    <t xml:space="preserve">https://www.census.gov/newsroom/facts-for-features/2024/hispanic-heritage-month.html</t>
  </si>
  <si>
    <t xml:space="preserve">CLASSIFICATION RULES — 'Regulated (non-tribal) OSB'</t>
  </si>
  <si>
    <t xml:space="preserve">•  INCLUDED (Reg. OSB = 1): states with a legal, statewide-mobile online sportsbook run under a state commercial or lottery framework — open multi-operator markets, plus single/lottery-operator mobile markets (OR, DE, RI, NH, DC) and Nevada.</t>
  </si>
  <si>
    <t xml:space="preserve">•  EXCLUDED — tribal: Florida (Seminole/Hard Rock compact) and on-land-only tribal markets (Washington, New Mexico, North Dakota, Wisconsin).</t>
  </si>
  <si>
    <t xml:space="preserve">•  EXCLUDED — retail/on-premise only: Nebraska, South Dakota, Mississippi, Montana.</t>
  </si>
  <si>
    <t xml:space="preserve">•  EXCLUDED — no legal OSB: California, Texas, Georgia, Alabama, Alaska, Hawaii, Idaho, Minnesota, Oklahoma, South Carolina, Utah.</t>
  </si>
  <si>
    <t xml:space="preserve">•  Judgment calls that swing the result: Florida (largest excluded state — flip to included if you count tribal mobile) and the lottery-mobile states (OR/DE/RI/NH/DC — flip to excluded under a stricter 'open commercial only' definition).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</si>
</sst>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General"/>
    <numFmt numFmtId="168" formatCode="0.00\x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sz val="8"/>
      <color rgb="FF0563C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375623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6" min="5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10" customFormat="false" ht="15" hidden="false" customHeight="false" outlineLevel="0" collapsed="false">
      <c r="A10" s="3" t="s">
        <v>4</v>
      </c>
      <c r="B10" s="3"/>
      <c r="C10" s="3"/>
      <c r="D10" s="3"/>
      <c r="E10" s="3"/>
      <c r="F10" s="3"/>
    </row>
    <row r="11" customFormat="false" ht="22.35" hidden="false" customHeight="true" outlineLevel="0" collapsed="false">
      <c r="A11" s="5" t="s">
        <v>5</v>
      </c>
      <c r="B11" s="5" t="s">
        <v>6</v>
      </c>
      <c r="C11" s="5" t="s">
        <v>7</v>
      </c>
      <c r="D11" s="5" t="s">
        <v>8</v>
      </c>
      <c r="E11" s="5"/>
      <c r="F11" s="5"/>
    </row>
    <row r="12" customFormat="false" ht="30" hidden="false" customHeight="true" outlineLevel="0" collapsed="false">
      <c r="A12" s="6" t="s">
        <v>9</v>
      </c>
      <c r="B12" s="7" t="n">
        <f aca="false">'State Detail'!$B$55</f>
        <v>64759437</v>
      </c>
      <c r="C12" s="8" t="s">
        <v>10</v>
      </c>
      <c r="D12" s="9" t="s">
        <v>11</v>
      </c>
      <c r="E12" s="9"/>
      <c r="F12" s="9"/>
    </row>
    <row r="13" customFormat="false" ht="30" hidden="false" customHeight="true" outlineLevel="0" collapsed="false">
      <c r="A13" s="6" t="s">
        <v>12</v>
      </c>
      <c r="B13" s="7" t="n">
        <f aca="false">'State Detail'!$L$55</f>
        <v>23970649</v>
      </c>
      <c r="C13" s="10" t="n">
        <f aca="false">'State Detail'!$L$55/'State Detail'!$B$55</f>
        <v>0.370149125910406</v>
      </c>
      <c r="D13" s="9" t="s">
        <v>13</v>
      </c>
      <c r="E13" s="9"/>
      <c r="F13" s="9"/>
    </row>
    <row r="14" customFormat="false" ht="30" hidden="false" customHeight="true" outlineLevel="0" collapsed="false">
      <c r="A14" s="11" t="s">
        <v>14</v>
      </c>
      <c r="B14" s="12" t="n">
        <f aca="false">'State Detail'!$M$55</f>
        <v>40788788</v>
      </c>
      <c r="C14" s="13" t="n">
        <f aca="false">'State Detail'!$M$55/'State Detail'!$B$55</f>
        <v>0.629850874089594</v>
      </c>
      <c r="D14" s="14" t="s">
        <v>15</v>
      </c>
      <c r="E14" s="14"/>
      <c r="F14" s="14"/>
    </row>
    <row r="15" customFormat="false" ht="30" hidden="false" customHeight="true" outlineLevel="0" collapsed="false">
      <c r="A15" s="11" t="s">
        <v>16</v>
      </c>
      <c r="B15" s="12" t="n">
        <f aca="false">'State Detail'!$B$4+'State Detail'!$B$5+'State Detail'!$B$6</f>
        <v>33916660</v>
      </c>
      <c r="C15" s="13" t="n">
        <f aca="false">('State Detail'!$B$4+'State Detail'!$B$5+'State Detail'!$B$6)/'State Detail'!$B$55</f>
        <v>0.523733089279328</v>
      </c>
      <c r="D15" s="14" t="s">
        <v>17</v>
      </c>
      <c r="E15" s="14"/>
      <c r="F15" s="14"/>
    </row>
    <row r="16" customFormat="false" ht="30" hidden="false" customHeight="true" outlineLevel="0" collapsed="false">
      <c r="A16" s="6" t="s">
        <v>18</v>
      </c>
      <c r="B16" s="7" t="n">
        <f aca="false">SUMIF('State Detail'!$G$4:$G$54,1,'State Detail'!$B$4:$B$54)</f>
        <v>22638178</v>
      </c>
      <c r="C16" s="10" t="n">
        <f aca="false">SUMIF('State Detail'!$G$4:$G$54,1,'State Detail'!$B$4:$B$54)/'State Detail'!$B$55</f>
        <v>0.349573422017242</v>
      </c>
      <c r="D16" s="9" t="s">
        <v>19</v>
      </c>
      <c r="E16" s="9"/>
      <c r="F16" s="9"/>
    </row>
    <row r="17" customFormat="false" ht="30" hidden="false" customHeight="true" outlineLevel="0" collapsed="false">
      <c r="A17" s="6" t="s">
        <v>20</v>
      </c>
      <c r="B17" s="7" t="n">
        <f aca="false">SUMIF('State Detail'!$I$4:$I$54,1,'State Detail'!$B$4:$B$54)</f>
        <v>4526971</v>
      </c>
      <c r="C17" s="10" t="n">
        <f aca="false">SUMIF('State Detail'!$I$4:$I$54,1,'State Detail'!$B$4:$B$54)/'State Detail'!$B$55</f>
        <v>0.0699044218065083</v>
      </c>
      <c r="D17" s="9" t="s">
        <v>21</v>
      </c>
      <c r="E17" s="9"/>
      <c r="F17" s="9"/>
    </row>
    <row r="18" customFormat="false" ht="30" hidden="false" customHeight="true" outlineLevel="0" collapsed="false">
      <c r="A18" s="6" t="s">
        <v>22</v>
      </c>
      <c r="B18" s="7" t="n">
        <f aca="false">SUMIF('State Detail'!$K$4:$K$54,"&lt;&gt;",'State Detail'!$B$4:$B$54)</f>
        <v>40740362</v>
      </c>
      <c r="C18" s="10" t="n">
        <f aca="false">SUMIF('State Detail'!$K$4:$K$54,"&lt;&gt;",'State Detail'!$B$4:$B$54)/'State Detail'!$B$55</f>
        <v>0.629103091183452</v>
      </c>
      <c r="D18" s="9" t="s">
        <v>23</v>
      </c>
      <c r="E18" s="9"/>
      <c r="F18" s="9"/>
    </row>
    <row r="19" customFormat="false" ht="30" hidden="false" customHeight="true" outlineLevel="0" collapsed="false">
      <c r="A19" s="6" t="s">
        <v>24</v>
      </c>
      <c r="B19" s="7" t="n">
        <f aca="false">SUMIFS('State Detail'!$B$4:$B$54,'State Detail'!$K$4:$K$54,"&lt;&gt;",'State Detail'!$F$4:$F$54,0)</f>
        <v>36244890</v>
      </c>
      <c r="C19" s="10" t="n">
        <f aca="false">SUMIFS('State Detail'!$B$4:$B$54,'State Detail'!$K$4:$K$54,"&lt;&gt;",'State Detail'!$F$4:$F$54,0)/'State Detail'!$B$55</f>
        <v>0.55968506952894</v>
      </c>
      <c r="D19" s="9" t="s">
        <v>25</v>
      </c>
      <c r="E19" s="9"/>
      <c r="F19" s="9"/>
    </row>
    <row r="21" customFormat="false" ht="15" hidden="false" customHeight="false" outlineLevel="0" collapsed="false">
      <c r="A21" s="3" t="s">
        <v>26</v>
      </c>
      <c r="B21" s="3"/>
      <c r="C21" s="3"/>
      <c r="D21" s="3"/>
      <c r="E21" s="3"/>
      <c r="F21" s="3"/>
    </row>
    <row r="22" customFormat="false" ht="24" hidden="false" customHeight="true" outlineLevel="0" collapsed="false">
      <c r="A22" s="15" t="s">
        <v>27</v>
      </c>
      <c r="B22" s="15"/>
      <c r="C22" s="15"/>
      <c r="D22" s="15"/>
      <c r="E22" s="15"/>
      <c r="F22" s="15"/>
    </row>
    <row r="23" customFormat="false" ht="24" hidden="false" customHeight="true" outlineLevel="0" collapsed="false">
      <c r="A23" s="15" t="s">
        <v>28</v>
      </c>
      <c r="B23" s="15"/>
      <c r="C23" s="15"/>
      <c r="D23" s="15"/>
      <c r="E23" s="15"/>
      <c r="F23" s="15"/>
    </row>
    <row r="24" customFormat="false" ht="24" hidden="false" customHeight="true" outlineLevel="0" collapsed="false">
      <c r="A24" s="15" t="s">
        <v>29</v>
      </c>
      <c r="B24" s="15"/>
      <c r="C24" s="15"/>
      <c r="D24" s="15"/>
      <c r="E24" s="15"/>
      <c r="F24" s="15"/>
    </row>
    <row r="25" customFormat="false" ht="24" hidden="false" customHeight="true" outlineLevel="0" collapsed="false">
      <c r="A25" s="15" t="s">
        <v>30</v>
      </c>
      <c r="B25" s="15"/>
      <c r="C25" s="15"/>
      <c r="D25" s="15"/>
      <c r="E25" s="15"/>
      <c r="F25" s="15"/>
    </row>
    <row r="26" customFormat="false" ht="24" hidden="false" customHeight="true" outlineLevel="0" collapsed="false">
      <c r="A26" s="15" t="s">
        <v>31</v>
      </c>
      <c r="B26" s="15"/>
      <c r="C26" s="15"/>
      <c r="D26" s="15"/>
      <c r="E26" s="15"/>
      <c r="F26" s="15"/>
    </row>
    <row r="28" customFormat="false" ht="15" hidden="false" customHeight="false" outlineLevel="0" collapsed="false">
      <c r="A28" s="16" t="s">
        <v>32</v>
      </c>
      <c r="B28" s="16"/>
      <c r="C28" s="16"/>
      <c r="D28" s="16"/>
      <c r="E28" s="16"/>
      <c r="F28" s="16"/>
    </row>
  </sheetData>
  <mergeCells count="21">
    <mergeCell ref="A1:F1"/>
    <mergeCell ref="A2:F2"/>
    <mergeCell ref="A4:F4"/>
    <mergeCell ref="A5:F8"/>
    <mergeCell ref="A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1:F21"/>
    <mergeCell ref="A22:F22"/>
    <mergeCell ref="A23:F23"/>
    <mergeCell ref="A24:F24"/>
    <mergeCell ref="A25:F25"/>
    <mergeCell ref="A26:F26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40"/>
    <col collapsed="false" customWidth="true" hidden="false" outlineLevel="0" max="7" min="6" style="0" width="7"/>
    <col collapsed="false" customWidth="true" hidden="false" outlineLevel="0" max="9" min="8" style="0" width="8"/>
    <col collapsed="false" customWidth="true" hidden="false" outlineLevel="0" max="10" min="10" style="0" width="17"/>
    <col collapsed="false" customWidth="true" hidden="false" outlineLevel="0" max="11" min="11" style="0" width="21"/>
    <col collapsed="false" customWidth="true" hidden="false" outlineLevel="0" max="13" min="12" style="0" width="15"/>
  </cols>
  <sheetData>
    <row r="1" customFormat="false" ht="24" hidden="false" customHeight="true" outlineLevel="0" collapsed="false">
      <c r="A1" s="17" t="s">
        <v>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30" hidden="false" customHeight="true" outlineLevel="0" collapsed="false">
      <c r="A2" s="18" t="s">
        <v>34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42" hidden="false" customHeight="true" outlineLevel="0" collapsed="false">
      <c r="A3" s="5" t="s">
        <v>35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</row>
    <row r="4" customFormat="false" ht="15" hidden="false" customHeight="false" outlineLevel="0" collapsed="false">
      <c r="A4" s="19" t="s">
        <v>48</v>
      </c>
      <c r="B4" s="20" t="n">
        <v>15779000</v>
      </c>
      <c r="C4" s="20" t="n">
        <v>39287400</v>
      </c>
      <c r="D4" s="21" t="n">
        <f aca="false">B4/C4</f>
        <v>0.401630039147411</v>
      </c>
      <c r="E4" s="22" t="s">
        <v>49</v>
      </c>
      <c r="F4" s="23" t="n">
        <v>0</v>
      </c>
      <c r="G4" s="23" t="n">
        <v>0</v>
      </c>
      <c r="H4" s="23" t="n">
        <v>0</v>
      </c>
      <c r="I4" s="23" t="n">
        <v>0</v>
      </c>
      <c r="J4" s="24" t="s">
        <v>50</v>
      </c>
      <c r="K4" s="25" t="s">
        <v>51</v>
      </c>
      <c r="L4" s="26" t="n">
        <f aca="false">IF(F4=1,B4,0)</f>
        <v>0</v>
      </c>
      <c r="M4" s="26" t="n">
        <f aca="false">IF(F4=0,B4,0)</f>
        <v>15779000</v>
      </c>
    </row>
    <row r="5" customFormat="false" ht="15" hidden="false" customHeight="false" outlineLevel="0" collapsed="false">
      <c r="A5" s="27" t="s">
        <v>52</v>
      </c>
      <c r="B5" s="28" t="n">
        <v>11991500</v>
      </c>
      <c r="C5" s="28" t="n">
        <v>30188400</v>
      </c>
      <c r="D5" s="29" t="n">
        <f aca="false">B5/C5</f>
        <v>0.397222111804534</v>
      </c>
      <c r="E5" s="30" t="s">
        <v>49</v>
      </c>
      <c r="F5" s="31" t="n">
        <v>0</v>
      </c>
      <c r="G5" s="31" t="n">
        <v>0</v>
      </c>
      <c r="H5" s="31" t="n">
        <v>0</v>
      </c>
      <c r="I5" s="31" t="n">
        <v>0</v>
      </c>
      <c r="J5" s="32" t="s">
        <v>50</v>
      </c>
      <c r="K5" s="25" t="s">
        <v>53</v>
      </c>
      <c r="L5" s="33" t="n">
        <f aca="false">IF(F5=1,B5,0)</f>
        <v>0</v>
      </c>
      <c r="M5" s="33" t="n">
        <f aca="false">IF(F5=0,B5,0)</f>
        <v>11991500</v>
      </c>
    </row>
    <row r="6" customFormat="false" ht="15" hidden="false" customHeight="false" outlineLevel="0" collapsed="false">
      <c r="A6" s="19" t="s">
        <v>54</v>
      </c>
      <c r="B6" s="20" t="n">
        <v>6146160</v>
      </c>
      <c r="C6" s="20" t="n">
        <v>22416100</v>
      </c>
      <c r="D6" s="21" t="n">
        <f aca="false">B6/C6</f>
        <v>0.274185072336401</v>
      </c>
      <c r="E6" s="22" t="s">
        <v>55</v>
      </c>
      <c r="F6" s="23" t="n">
        <v>0</v>
      </c>
      <c r="G6" s="23" t="n">
        <v>0</v>
      </c>
      <c r="H6" s="23" t="n">
        <v>0</v>
      </c>
      <c r="I6" s="23" t="n">
        <v>0</v>
      </c>
      <c r="J6" s="24" t="s">
        <v>50</v>
      </c>
      <c r="K6" s="25" t="s">
        <v>56</v>
      </c>
      <c r="L6" s="26" t="n">
        <f aca="false">IF(F6=1,B6,0)</f>
        <v>0</v>
      </c>
      <c r="M6" s="26" t="n">
        <f aca="false">IF(F6=0,B6,0)</f>
        <v>6146160</v>
      </c>
    </row>
    <row r="7" customFormat="false" ht="15" hidden="false" customHeight="false" outlineLevel="0" collapsed="false">
      <c r="A7" s="27" t="s">
        <v>57</v>
      </c>
      <c r="B7" s="28" t="n">
        <v>3936080</v>
      </c>
      <c r="C7" s="28" t="n">
        <v>19852400</v>
      </c>
      <c r="D7" s="29" t="n">
        <f aca="false">B7/C7</f>
        <v>0.198267212024743</v>
      </c>
      <c r="E7" s="30" t="s">
        <v>58</v>
      </c>
      <c r="F7" s="34" t="n">
        <v>1</v>
      </c>
      <c r="G7" s="31" t="n">
        <v>1</v>
      </c>
      <c r="H7" s="31" t="n">
        <v>0</v>
      </c>
      <c r="I7" s="31" t="n">
        <v>0</v>
      </c>
      <c r="J7" s="32" t="s">
        <v>50</v>
      </c>
      <c r="K7" s="32"/>
      <c r="L7" s="33" t="n">
        <f aca="false">IF(F7=1,B7,0)</f>
        <v>3936080</v>
      </c>
      <c r="M7" s="33" t="n">
        <f aca="false">IF(F7=0,B7,0)</f>
        <v>0</v>
      </c>
    </row>
    <row r="8" customFormat="false" ht="15" hidden="false" customHeight="false" outlineLevel="0" collapsed="false">
      <c r="A8" s="19" t="s">
        <v>59</v>
      </c>
      <c r="B8" s="20" t="n">
        <v>2387050</v>
      </c>
      <c r="C8" s="20" t="n">
        <v>12694800</v>
      </c>
      <c r="D8" s="21" t="n">
        <f aca="false">B8/C8</f>
        <v>0.188033683082837</v>
      </c>
      <c r="E8" s="22" t="s">
        <v>58</v>
      </c>
      <c r="F8" s="34" t="n">
        <v>1</v>
      </c>
      <c r="G8" s="23" t="n">
        <v>1</v>
      </c>
      <c r="H8" s="23" t="n">
        <v>0</v>
      </c>
      <c r="I8" s="23" t="n">
        <v>0</v>
      </c>
      <c r="J8" s="24" t="s">
        <v>50</v>
      </c>
      <c r="K8" s="24"/>
      <c r="L8" s="26" t="n">
        <f aca="false">IF(F8=1,B8,0)</f>
        <v>2387050</v>
      </c>
      <c r="M8" s="26" t="n">
        <f aca="false">IF(F8=0,B8,0)</f>
        <v>0</v>
      </c>
    </row>
    <row r="9" customFormat="false" ht="15" hidden="false" customHeight="false" outlineLevel="0" collapsed="false">
      <c r="A9" s="27" t="s">
        <v>60</v>
      </c>
      <c r="B9" s="28" t="n">
        <v>2313810</v>
      </c>
      <c r="C9" s="28" t="n">
        <v>7378840</v>
      </c>
      <c r="D9" s="29" t="n">
        <f aca="false">B9/C9</f>
        <v>0.313573678247529</v>
      </c>
      <c r="E9" s="30" t="s">
        <v>58</v>
      </c>
      <c r="F9" s="34" t="n">
        <v>1</v>
      </c>
      <c r="G9" s="31" t="n">
        <v>1</v>
      </c>
      <c r="H9" s="31" t="n">
        <v>0</v>
      </c>
      <c r="I9" s="31" t="n">
        <v>0</v>
      </c>
      <c r="J9" s="32" t="s">
        <v>50</v>
      </c>
      <c r="K9" s="32"/>
      <c r="L9" s="33" t="n">
        <f aca="false">IF(F9=1,B9,0)</f>
        <v>2313810</v>
      </c>
      <c r="M9" s="33" t="n">
        <f aca="false">IF(F9=0,B9,0)</f>
        <v>0</v>
      </c>
    </row>
    <row r="10" customFormat="false" ht="15" hidden="false" customHeight="false" outlineLevel="0" collapsed="false">
      <c r="A10" s="19" t="s">
        <v>61</v>
      </c>
      <c r="B10" s="20" t="n">
        <v>2098960</v>
      </c>
      <c r="C10" s="20" t="n">
        <v>9343810</v>
      </c>
      <c r="D10" s="21" t="n">
        <f aca="false">B10/C10</f>
        <v>0.224636417050432</v>
      </c>
      <c r="E10" s="22" t="s">
        <v>58</v>
      </c>
      <c r="F10" s="34" t="n">
        <v>1</v>
      </c>
      <c r="G10" s="23" t="n">
        <v>1</v>
      </c>
      <c r="H10" s="23" t="n">
        <v>1</v>
      </c>
      <c r="I10" s="23" t="n">
        <v>1</v>
      </c>
      <c r="J10" s="24" t="s">
        <v>50</v>
      </c>
      <c r="K10" s="25" t="s">
        <v>62</v>
      </c>
      <c r="L10" s="26" t="n">
        <f aca="false">IF(F10=1,B10,0)</f>
        <v>2098960</v>
      </c>
      <c r="M10" s="26" t="n">
        <f aca="false">IF(F10=0,B10,0)</f>
        <v>0</v>
      </c>
    </row>
    <row r="11" customFormat="false" ht="15" hidden="false" customHeight="false" outlineLevel="0" collapsed="false">
      <c r="A11" s="27" t="s">
        <v>63</v>
      </c>
      <c r="B11" s="28" t="n">
        <v>1320940</v>
      </c>
      <c r="C11" s="28" t="n">
        <v>5862190</v>
      </c>
      <c r="D11" s="29" t="n">
        <f aca="false">B11/C11</f>
        <v>0.225332171082821</v>
      </c>
      <c r="E11" s="30" t="s">
        <v>58</v>
      </c>
      <c r="F11" s="34" t="n">
        <v>1</v>
      </c>
      <c r="G11" s="31" t="n">
        <v>1</v>
      </c>
      <c r="H11" s="31" t="n">
        <v>0</v>
      </c>
      <c r="I11" s="31" t="n">
        <v>0</v>
      </c>
      <c r="J11" s="32" t="s">
        <v>50</v>
      </c>
      <c r="K11" s="32"/>
      <c r="L11" s="33" t="n">
        <f aca="false">IF(F11=1,B11,0)</f>
        <v>1320940</v>
      </c>
      <c r="M11" s="33" t="n">
        <f aca="false">IF(F11=0,B11,0)</f>
        <v>0</v>
      </c>
    </row>
    <row r="12" customFormat="false" ht="15" hidden="false" customHeight="false" outlineLevel="0" collapsed="false">
      <c r="A12" s="19" t="s">
        <v>64</v>
      </c>
      <c r="B12" s="20" t="n">
        <v>1213850</v>
      </c>
      <c r="C12" s="20" t="n">
        <v>10730400</v>
      </c>
      <c r="D12" s="21" t="n">
        <f aca="false">B12/C12</f>
        <v>0.113122530380974</v>
      </c>
      <c r="E12" s="22" t="s">
        <v>58</v>
      </c>
      <c r="F12" s="34" t="n">
        <v>1</v>
      </c>
      <c r="G12" s="23" t="n">
        <v>1</v>
      </c>
      <c r="H12" s="23" t="n">
        <v>0</v>
      </c>
      <c r="I12" s="23" t="n">
        <v>0</v>
      </c>
      <c r="J12" s="24" t="s">
        <v>50</v>
      </c>
      <c r="K12" s="24"/>
      <c r="L12" s="26" t="n">
        <f aca="false">IF(F12=1,B12,0)</f>
        <v>1213850</v>
      </c>
      <c r="M12" s="26" t="n">
        <f aca="false">IF(F12=0,B12,0)</f>
        <v>0</v>
      </c>
    </row>
    <row r="13" customFormat="false" ht="15" hidden="false" customHeight="false" outlineLevel="0" collapsed="false">
      <c r="A13" s="27" t="s">
        <v>65</v>
      </c>
      <c r="B13" s="28" t="n">
        <v>1204620</v>
      </c>
      <c r="C13" s="28" t="n">
        <v>10940400</v>
      </c>
      <c r="D13" s="29" t="n">
        <f aca="false">B13/C13</f>
        <v>0.110107491499397</v>
      </c>
      <c r="E13" s="30" t="s">
        <v>49</v>
      </c>
      <c r="F13" s="31" t="n">
        <v>0</v>
      </c>
      <c r="G13" s="31" t="n">
        <v>0</v>
      </c>
      <c r="H13" s="31" t="n">
        <v>0</v>
      </c>
      <c r="I13" s="31" t="n">
        <v>0</v>
      </c>
      <c r="J13" s="32" t="s">
        <v>50</v>
      </c>
      <c r="K13" s="25" t="s">
        <v>66</v>
      </c>
      <c r="L13" s="33" t="n">
        <f aca="false">IF(F13=1,B13,0)</f>
        <v>0</v>
      </c>
      <c r="M13" s="33" t="n">
        <f aca="false">IF(F13=0,B13,0)</f>
        <v>1204620</v>
      </c>
    </row>
    <row r="14" customFormat="false" ht="15" hidden="false" customHeight="false" outlineLevel="0" collapsed="false">
      <c r="A14" s="19" t="s">
        <v>67</v>
      </c>
      <c r="B14" s="20" t="n">
        <v>1135280</v>
      </c>
      <c r="C14" s="20" t="n">
        <v>13018600</v>
      </c>
      <c r="D14" s="21" t="n">
        <f aca="false">B14/C14</f>
        <v>0.0872044613092038</v>
      </c>
      <c r="E14" s="22" t="s">
        <v>58</v>
      </c>
      <c r="F14" s="34" t="n">
        <v>1</v>
      </c>
      <c r="G14" s="23" t="n">
        <v>1</v>
      </c>
      <c r="H14" s="23" t="n">
        <v>1</v>
      </c>
      <c r="I14" s="23" t="n">
        <v>1</v>
      </c>
      <c r="J14" s="24" t="s">
        <v>50</v>
      </c>
      <c r="K14" s="25" t="s">
        <v>68</v>
      </c>
      <c r="L14" s="26" t="n">
        <f aca="false">IF(F14=1,B14,0)</f>
        <v>1135280</v>
      </c>
      <c r="M14" s="26" t="n">
        <f aca="false">IF(F14=0,B14,0)</f>
        <v>0</v>
      </c>
    </row>
    <row r="15" customFormat="false" ht="15" hidden="false" customHeight="false" outlineLevel="0" collapsed="false">
      <c r="A15" s="27" t="s">
        <v>69</v>
      </c>
      <c r="B15" s="28" t="n">
        <v>1123610</v>
      </c>
      <c r="C15" s="28" t="n">
        <v>7816120</v>
      </c>
      <c r="D15" s="29" t="n">
        <f aca="false">B15/C15</f>
        <v>0.143755469465668</v>
      </c>
      <c r="E15" s="30" t="s">
        <v>70</v>
      </c>
      <c r="F15" s="31" t="n">
        <v>0</v>
      </c>
      <c r="G15" s="31" t="n">
        <v>0</v>
      </c>
      <c r="H15" s="31" t="n">
        <v>0</v>
      </c>
      <c r="I15" s="31" t="n">
        <v>0</v>
      </c>
      <c r="J15" s="32" t="s">
        <v>50</v>
      </c>
      <c r="K15" s="25" t="s">
        <v>71</v>
      </c>
      <c r="L15" s="33" t="n">
        <f aca="false">IF(F15=1,B15,0)</f>
        <v>0</v>
      </c>
      <c r="M15" s="33" t="n">
        <f aca="false">IF(F15=0,B15,0)</f>
        <v>1123610</v>
      </c>
    </row>
    <row r="16" customFormat="false" ht="15" hidden="false" customHeight="false" outlineLevel="0" collapsed="false">
      <c r="A16" s="19" t="s">
        <v>72</v>
      </c>
      <c r="B16" s="20" t="n">
        <v>1026610</v>
      </c>
      <c r="C16" s="20" t="n">
        <v>2120250</v>
      </c>
      <c r="D16" s="21" t="n">
        <f aca="false">B16/C16</f>
        <v>0.48419290178045</v>
      </c>
      <c r="E16" s="22" t="s">
        <v>70</v>
      </c>
      <c r="F16" s="23" t="n">
        <v>0</v>
      </c>
      <c r="G16" s="23" t="n">
        <v>0</v>
      </c>
      <c r="H16" s="23" t="n">
        <v>0</v>
      </c>
      <c r="I16" s="23" t="n">
        <v>0</v>
      </c>
      <c r="J16" s="24" t="s">
        <v>50</v>
      </c>
      <c r="K16" s="24"/>
      <c r="L16" s="26" t="n">
        <f aca="false">IF(F16=1,B16,0)</f>
        <v>0</v>
      </c>
      <c r="M16" s="26" t="n">
        <f aca="false">IF(F16=0,B16,0)</f>
        <v>1026610</v>
      </c>
    </row>
    <row r="17" customFormat="false" ht="15" hidden="false" customHeight="false" outlineLevel="0" collapsed="false">
      <c r="A17" s="27" t="s">
        <v>73</v>
      </c>
      <c r="B17" s="28" t="n">
        <v>959089</v>
      </c>
      <c r="C17" s="28" t="n">
        <v>8705170</v>
      </c>
      <c r="D17" s="29" t="n">
        <f aca="false">B17/C17</f>
        <v>0.110174643344128</v>
      </c>
      <c r="E17" s="30" t="s">
        <v>58</v>
      </c>
      <c r="F17" s="34" t="n">
        <v>1</v>
      </c>
      <c r="G17" s="31" t="n">
        <v>1</v>
      </c>
      <c r="H17" s="31" t="n">
        <v>0</v>
      </c>
      <c r="I17" s="31" t="n">
        <v>0</v>
      </c>
      <c r="J17" s="32" t="s">
        <v>50</v>
      </c>
      <c r="K17" s="32"/>
      <c r="L17" s="33" t="n">
        <f aca="false">IF(F17=1,B17,0)</f>
        <v>959089</v>
      </c>
      <c r="M17" s="33" t="n">
        <f aca="false">IF(F17=0,B17,0)</f>
        <v>0</v>
      </c>
    </row>
    <row r="18" customFormat="false" ht="15" hidden="false" customHeight="false" outlineLevel="0" collapsed="false">
      <c r="A18" s="19" t="s">
        <v>74</v>
      </c>
      <c r="B18" s="20" t="n">
        <v>943569</v>
      </c>
      <c r="C18" s="20" t="n">
        <v>3184610</v>
      </c>
      <c r="D18" s="21" t="n">
        <f aca="false">B18/C18</f>
        <v>0.296290283582605</v>
      </c>
      <c r="E18" s="22" t="s">
        <v>75</v>
      </c>
      <c r="F18" s="34" t="n">
        <v>1</v>
      </c>
      <c r="G18" s="23" t="n">
        <v>0</v>
      </c>
      <c r="H18" s="23" t="n">
        <v>0</v>
      </c>
      <c r="I18" s="23" t="n">
        <v>0</v>
      </c>
      <c r="J18" s="24" t="s">
        <v>50</v>
      </c>
      <c r="K18" s="24"/>
      <c r="L18" s="26" t="n">
        <f aca="false">IF(F18=1,B18,0)</f>
        <v>943569</v>
      </c>
      <c r="M18" s="26" t="n">
        <f aca="false">IF(F18=0,B18,0)</f>
        <v>0</v>
      </c>
    </row>
    <row r="19" customFormat="false" ht="15" hidden="false" customHeight="false" outlineLevel="0" collapsed="false">
      <c r="A19" s="27" t="s">
        <v>76</v>
      </c>
      <c r="B19" s="28" t="n">
        <v>936853</v>
      </c>
      <c r="C19" s="28" t="n">
        <v>7044060</v>
      </c>
      <c r="D19" s="29" t="n">
        <f aca="false">B19/C19</f>
        <v>0.132999009094187</v>
      </c>
      <c r="E19" s="30" t="s">
        <v>58</v>
      </c>
      <c r="F19" s="34" t="n">
        <v>1</v>
      </c>
      <c r="G19" s="31" t="n">
        <v>1</v>
      </c>
      <c r="H19" s="31" t="n">
        <v>0</v>
      </c>
      <c r="I19" s="31" t="n">
        <v>0</v>
      </c>
      <c r="J19" s="32" t="s">
        <v>50</v>
      </c>
      <c r="K19" s="25" t="s">
        <v>77</v>
      </c>
      <c r="L19" s="33" t="n">
        <f aca="false">IF(F19=1,B19,0)</f>
        <v>936853</v>
      </c>
      <c r="M19" s="33" t="n">
        <f aca="false">IF(F19=0,B19,0)</f>
        <v>0</v>
      </c>
    </row>
    <row r="20" customFormat="false" ht="15" hidden="false" customHeight="false" outlineLevel="0" collapsed="false">
      <c r="A20" s="19" t="s">
        <v>78</v>
      </c>
      <c r="B20" s="20" t="n">
        <v>774946</v>
      </c>
      <c r="C20" s="20" t="n">
        <v>6206010</v>
      </c>
      <c r="D20" s="21" t="n">
        <f aca="false">B20/C20</f>
        <v>0.124870246744688</v>
      </c>
      <c r="E20" s="22" t="s">
        <v>58</v>
      </c>
      <c r="F20" s="34" t="n">
        <v>1</v>
      </c>
      <c r="G20" s="23" t="n">
        <v>1</v>
      </c>
      <c r="H20" s="23" t="n">
        <v>0</v>
      </c>
      <c r="I20" s="23" t="n">
        <v>0</v>
      </c>
      <c r="J20" s="24" t="s">
        <v>50</v>
      </c>
      <c r="K20" s="24"/>
      <c r="L20" s="26" t="n">
        <f aca="false">IF(F20=1,B20,0)</f>
        <v>774946</v>
      </c>
      <c r="M20" s="26" t="n">
        <f aca="false">IF(F20=0,B20,0)</f>
        <v>0</v>
      </c>
    </row>
    <row r="21" customFormat="false" ht="15" hidden="false" customHeight="false" outlineLevel="0" collapsed="false">
      <c r="A21" s="27" t="s">
        <v>79</v>
      </c>
      <c r="B21" s="28" t="n">
        <v>662511</v>
      </c>
      <c r="C21" s="28" t="n">
        <v>3624510</v>
      </c>
      <c r="D21" s="29" t="n">
        <f aca="false">B21/C21</f>
        <v>0.182786362846288</v>
      </c>
      <c r="E21" s="30" t="s">
        <v>58</v>
      </c>
      <c r="F21" s="34" t="n">
        <v>1</v>
      </c>
      <c r="G21" s="31" t="n">
        <v>1</v>
      </c>
      <c r="H21" s="31" t="n">
        <v>1</v>
      </c>
      <c r="I21" s="31" t="n">
        <v>1</v>
      </c>
      <c r="J21" s="32" t="s">
        <v>50</v>
      </c>
      <c r="K21" s="32"/>
      <c r="L21" s="33" t="n">
        <f aca="false">IF(F21=1,B21,0)</f>
        <v>662511</v>
      </c>
      <c r="M21" s="33" t="n">
        <f aca="false">IF(F21=0,B21,0)</f>
        <v>0</v>
      </c>
    </row>
    <row r="22" customFormat="false" ht="15" hidden="false" customHeight="false" outlineLevel="0" collapsed="false">
      <c r="A22" s="19" t="s">
        <v>80</v>
      </c>
      <c r="B22" s="20" t="n">
        <v>624598</v>
      </c>
      <c r="C22" s="20" t="n">
        <v>4254290</v>
      </c>
      <c r="D22" s="21" t="n">
        <f aca="false">B22/C22</f>
        <v>0.146816037458659</v>
      </c>
      <c r="E22" s="22" t="s">
        <v>81</v>
      </c>
      <c r="F22" s="34" t="n">
        <v>1</v>
      </c>
      <c r="G22" s="23" t="n">
        <v>1</v>
      </c>
      <c r="H22" s="23" t="n">
        <v>0</v>
      </c>
      <c r="I22" s="23" t="n">
        <v>0</v>
      </c>
      <c r="J22" s="24" t="s">
        <v>50</v>
      </c>
      <c r="K22" s="24"/>
      <c r="L22" s="26" t="n">
        <f aca="false">IF(F22=1,B22,0)</f>
        <v>624598</v>
      </c>
      <c r="M22" s="26" t="n">
        <f aca="false">IF(F22=0,B22,0)</f>
        <v>0</v>
      </c>
    </row>
    <row r="23" customFormat="false" ht="15" hidden="false" customHeight="false" outlineLevel="0" collapsed="false">
      <c r="A23" s="27" t="s">
        <v>82</v>
      </c>
      <c r="B23" s="28" t="n">
        <v>592045</v>
      </c>
      <c r="C23" s="28" t="n">
        <v>10077800</v>
      </c>
      <c r="D23" s="29" t="n">
        <f aca="false">B23/C23</f>
        <v>0.0587474448788426</v>
      </c>
      <c r="E23" s="30" t="s">
        <v>58</v>
      </c>
      <c r="F23" s="34" t="n">
        <v>1</v>
      </c>
      <c r="G23" s="31" t="n">
        <v>1</v>
      </c>
      <c r="H23" s="31" t="n">
        <v>1</v>
      </c>
      <c r="I23" s="31" t="n">
        <v>1</v>
      </c>
      <c r="J23" s="32" t="s">
        <v>50</v>
      </c>
      <c r="K23" s="32"/>
      <c r="L23" s="33" t="n">
        <f aca="false">IF(F23=1,B23,0)</f>
        <v>592045</v>
      </c>
      <c r="M23" s="33" t="n">
        <f aca="false">IF(F23=0,B23,0)</f>
        <v>0</v>
      </c>
    </row>
    <row r="24" customFormat="false" ht="15" hidden="false" customHeight="false" outlineLevel="0" collapsed="false">
      <c r="A24" s="19" t="s">
        <v>83</v>
      </c>
      <c r="B24" s="20" t="n">
        <v>590348</v>
      </c>
      <c r="C24" s="20" t="n">
        <v>6851070</v>
      </c>
      <c r="D24" s="21" t="n">
        <f aca="false">B24/C24</f>
        <v>0.0861687298480383</v>
      </c>
      <c r="E24" s="22" t="s">
        <v>58</v>
      </c>
      <c r="F24" s="34" t="n">
        <v>1</v>
      </c>
      <c r="G24" s="23" t="n">
        <v>1</v>
      </c>
      <c r="H24" s="23" t="n">
        <v>0</v>
      </c>
      <c r="I24" s="23" t="n">
        <v>0</v>
      </c>
      <c r="J24" s="24" t="s">
        <v>50</v>
      </c>
      <c r="K24" s="24"/>
      <c r="L24" s="26" t="n">
        <f aca="false">IF(F24=1,B24,0)</f>
        <v>590348</v>
      </c>
      <c r="M24" s="26" t="n">
        <f aca="false">IF(F24=0,B24,0)</f>
        <v>0</v>
      </c>
    </row>
    <row r="25" customFormat="false" ht="15" hidden="false" customHeight="false" outlineLevel="0" collapsed="false">
      <c r="A25" s="27" t="s">
        <v>84</v>
      </c>
      <c r="B25" s="28" t="n">
        <v>562740</v>
      </c>
      <c r="C25" s="28" t="n">
        <v>11810300</v>
      </c>
      <c r="D25" s="29" t="n">
        <f aca="false">B25/C25</f>
        <v>0.0476482392487913</v>
      </c>
      <c r="E25" s="30" t="s">
        <v>58</v>
      </c>
      <c r="F25" s="34" t="n">
        <v>1</v>
      </c>
      <c r="G25" s="31" t="n">
        <v>1</v>
      </c>
      <c r="H25" s="31" t="n">
        <v>0</v>
      </c>
      <c r="I25" s="31" t="n">
        <v>0</v>
      </c>
      <c r="J25" s="32" t="s">
        <v>50</v>
      </c>
      <c r="K25" s="32"/>
      <c r="L25" s="33" t="n">
        <f aca="false">IF(F25=1,B25,0)</f>
        <v>562740</v>
      </c>
      <c r="M25" s="33" t="n">
        <f aca="false">IF(F25=0,B25,0)</f>
        <v>0</v>
      </c>
    </row>
    <row r="26" customFormat="false" ht="15" hidden="false" customHeight="false" outlineLevel="0" collapsed="false">
      <c r="A26" s="19" t="s">
        <v>85</v>
      </c>
      <c r="B26" s="20" t="n">
        <v>539620</v>
      </c>
      <c r="C26" s="20" t="n">
        <v>3392330</v>
      </c>
      <c r="D26" s="21" t="n">
        <f aca="false">B26/C26</f>
        <v>0.159070609286243</v>
      </c>
      <c r="E26" s="22" t="s">
        <v>86</v>
      </c>
      <c r="F26" s="23" t="n">
        <v>0</v>
      </c>
      <c r="G26" s="23" t="n">
        <v>0</v>
      </c>
      <c r="H26" s="23" t="n">
        <v>0</v>
      </c>
      <c r="I26" s="23" t="n">
        <v>0</v>
      </c>
      <c r="J26" s="24" t="s">
        <v>50</v>
      </c>
      <c r="K26" s="24"/>
      <c r="L26" s="26" t="n">
        <f aca="false">IF(F26=1,B26,0)</f>
        <v>0</v>
      </c>
      <c r="M26" s="26" t="n">
        <f aca="false">IF(F26=0,B26,0)</f>
        <v>539620</v>
      </c>
    </row>
    <row r="27" customFormat="false" ht="15" hidden="false" customHeight="false" outlineLevel="0" collapsed="false">
      <c r="A27" s="27" t="s">
        <v>87</v>
      </c>
      <c r="B27" s="28" t="n">
        <v>523528</v>
      </c>
      <c r="C27" s="28" t="n">
        <v>7066380</v>
      </c>
      <c r="D27" s="29" t="n">
        <f aca="false">B27/C27</f>
        <v>0.0740871563657771</v>
      </c>
      <c r="E27" s="30" t="s">
        <v>58</v>
      </c>
      <c r="F27" s="34" t="n">
        <v>1</v>
      </c>
      <c r="G27" s="31" t="n">
        <v>1</v>
      </c>
      <c r="H27" s="31" t="n">
        <v>0</v>
      </c>
      <c r="I27" s="31" t="n">
        <v>0</v>
      </c>
      <c r="J27" s="32" t="s">
        <v>50</v>
      </c>
      <c r="K27" s="32"/>
      <c r="L27" s="33" t="n">
        <f aca="false">IF(F27=1,B27,0)</f>
        <v>523528</v>
      </c>
      <c r="M27" s="33" t="n">
        <f aca="false">IF(F27=0,B27,0)</f>
        <v>0</v>
      </c>
    </row>
    <row r="28" customFormat="false" ht="15" hidden="false" customHeight="false" outlineLevel="0" collapsed="false">
      <c r="A28" s="19" t="s">
        <v>88</v>
      </c>
      <c r="B28" s="20" t="n">
        <v>510804</v>
      </c>
      <c r="C28" s="20" t="n">
        <v>4028630</v>
      </c>
      <c r="D28" s="21" t="n">
        <f aca="false">B28/C28</f>
        <v>0.126793475697694</v>
      </c>
      <c r="E28" s="22" t="s">
        <v>49</v>
      </c>
      <c r="F28" s="23" t="n">
        <v>0</v>
      </c>
      <c r="G28" s="23" t="n">
        <v>0</v>
      </c>
      <c r="H28" s="23" t="n">
        <v>0</v>
      </c>
      <c r="I28" s="23" t="n">
        <v>0</v>
      </c>
      <c r="J28" s="24" t="s">
        <v>50</v>
      </c>
      <c r="K28" s="24"/>
      <c r="L28" s="26" t="n">
        <f aca="false">IF(F28=1,B28,0)</f>
        <v>0</v>
      </c>
      <c r="M28" s="26" t="n">
        <f aca="false">IF(F28=0,B28,0)</f>
        <v>510804</v>
      </c>
    </row>
    <row r="29" customFormat="false" ht="15" hidden="false" customHeight="false" outlineLevel="0" collapsed="false">
      <c r="A29" s="27" t="s">
        <v>89</v>
      </c>
      <c r="B29" s="28" t="n">
        <v>471930</v>
      </c>
      <c r="C29" s="28" t="n">
        <v>5914870</v>
      </c>
      <c r="D29" s="29" t="n">
        <f aca="false">B29/C29</f>
        <v>0.0797870451928783</v>
      </c>
      <c r="E29" s="30" t="s">
        <v>70</v>
      </c>
      <c r="F29" s="31" t="n">
        <v>0</v>
      </c>
      <c r="G29" s="31" t="n">
        <v>0</v>
      </c>
      <c r="H29" s="31" t="n">
        <v>0</v>
      </c>
      <c r="I29" s="31" t="n">
        <v>0</v>
      </c>
      <c r="J29" s="32" t="s">
        <v>50</v>
      </c>
      <c r="K29" s="32"/>
      <c r="L29" s="33" t="n">
        <f aca="false">IF(F29=1,B29,0)</f>
        <v>0</v>
      </c>
      <c r="M29" s="33" t="n">
        <f aca="false">IF(F29=0,B29,0)</f>
        <v>471930</v>
      </c>
    </row>
    <row r="30" customFormat="false" ht="15" hidden="false" customHeight="false" outlineLevel="0" collapsed="false">
      <c r="A30" s="19" t="s">
        <v>90</v>
      </c>
      <c r="B30" s="20" t="n">
        <v>400018</v>
      </c>
      <c r="C30" s="20" t="n">
        <v>2947200</v>
      </c>
      <c r="D30" s="21" t="n">
        <f aca="false">B30/C30</f>
        <v>0.135728148751357</v>
      </c>
      <c r="E30" s="22" t="s">
        <v>58</v>
      </c>
      <c r="F30" s="34" t="n">
        <v>1</v>
      </c>
      <c r="G30" s="23" t="n">
        <v>1</v>
      </c>
      <c r="H30" s="23" t="n">
        <v>0</v>
      </c>
      <c r="I30" s="23" t="n">
        <v>0</v>
      </c>
      <c r="J30" s="24" t="s">
        <v>50</v>
      </c>
      <c r="K30" s="24"/>
      <c r="L30" s="26" t="n">
        <f aca="false">IF(F30=1,B30,0)</f>
        <v>400018</v>
      </c>
      <c r="M30" s="26" t="n">
        <f aca="false">IF(F30=0,B30,0)</f>
        <v>0</v>
      </c>
    </row>
    <row r="31" customFormat="false" ht="15" hidden="false" customHeight="false" outlineLevel="0" collapsed="false">
      <c r="A31" s="27" t="s">
        <v>91</v>
      </c>
      <c r="B31" s="28" t="n">
        <v>390376</v>
      </c>
      <c r="C31" s="28" t="n">
        <v>5296220</v>
      </c>
      <c r="D31" s="29" t="n">
        <f aca="false">B31/C31</f>
        <v>0.0737084184569372</v>
      </c>
      <c r="E31" s="30" t="s">
        <v>49</v>
      </c>
      <c r="F31" s="31" t="n">
        <v>0</v>
      </c>
      <c r="G31" s="31" t="n">
        <v>0</v>
      </c>
      <c r="H31" s="31" t="n">
        <v>0</v>
      </c>
      <c r="I31" s="31" t="n">
        <v>0</v>
      </c>
      <c r="J31" s="32" t="s">
        <v>50</v>
      </c>
      <c r="K31" s="32"/>
      <c r="L31" s="33" t="n">
        <f aca="false">IF(F31=1,B31,0)</f>
        <v>0</v>
      </c>
      <c r="M31" s="33" t="n">
        <f aca="false">IF(F31=0,B31,0)</f>
        <v>390376</v>
      </c>
    </row>
    <row r="32" customFormat="false" ht="15" hidden="false" customHeight="false" outlineLevel="0" collapsed="false">
      <c r="A32" s="19" t="s">
        <v>92</v>
      </c>
      <c r="B32" s="20" t="n">
        <v>365831</v>
      </c>
      <c r="C32" s="20" t="n">
        <v>5739440</v>
      </c>
      <c r="D32" s="21" t="n">
        <f aca="false">B32/C32</f>
        <v>0.0637398422145715</v>
      </c>
      <c r="E32" s="22" t="s">
        <v>49</v>
      </c>
      <c r="F32" s="23" t="n">
        <v>0</v>
      </c>
      <c r="G32" s="23" t="n">
        <v>0</v>
      </c>
      <c r="H32" s="23" t="n">
        <v>0</v>
      </c>
      <c r="I32" s="23" t="n">
        <v>0</v>
      </c>
      <c r="J32" s="24" t="s">
        <v>50</v>
      </c>
      <c r="K32" s="24"/>
      <c r="L32" s="26" t="n">
        <f aca="false">IF(F32=1,B32,0)</f>
        <v>0</v>
      </c>
      <c r="M32" s="26" t="n">
        <f aca="false">IF(F32=0,B32,0)</f>
        <v>365831</v>
      </c>
    </row>
    <row r="33" customFormat="false" ht="15" hidden="false" customHeight="false" outlineLevel="0" collapsed="false">
      <c r="A33" s="27" t="s">
        <v>93</v>
      </c>
      <c r="B33" s="28" t="n">
        <v>332716</v>
      </c>
      <c r="C33" s="28" t="n">
        <v>4611960</v>
      </c>
      <c r="D33" s="29" t="n">
        <f aca="false">B33/C33</f>
        <v>0.0721419960277192</v>
      </c>
      <c r="E33" s="30" t="s">
        <v>58</v>
      </c>
      <c r="F33" s="34" t="n">
        <v>1</v>
      </c>
      <c r="G33" s="31" t="n">
        <v>1</v>
      </c>
      <c r="H33" s="31" t="n">
        <v>0</v>
      </c>
      <c r="I33" s="31" t="n">
        <v>0</v>
      </c>
      <c r="J33" s="32" t="s">
        <v>50</v>
      </c>
      <c r="K33" s="32"/>
      <c r="L33" s="33" t="n">
        <f aca="false">IF(F33=1,B33,0)</f>
        <v>332716</v>
      </c>
      <c r="M33" s="33" t="n">
        <f aca="false">IF(F33=0,B33,0)</f>
        <v>0</v>
      </c>
    </row>
    <row r="34" customFormat="false" ht="15" hidden="false" customHeight="false" outlineLevel="0" collapsed="false">
      <c r="A34" s="19" t="s">
        <v>94</v>
      </c>
      <c r="B34" s="20" t="n">
        <v>324379</v>
      </c>
      <c r="C34" s="20" t="n">
        <v>6191810</v>
      </c>
      <c r="D34" s="21" t="n">
        <f aca="false">B34/C34</f>
        <v>0.0523883969307844</v>
      </c>
      <c r="E34" s="22" t="s">
        <v>95</v>
      </c>
      <c r="F34" s="34" t="n">
        <v>1</v>
      </c>
      <c r="G34" s="23" t="n">
        <v>1</v>
      </c>
      <c r="H34" s="23" t="n">
        <v>0</v>
      </c>
      <c r="I34" s="23" t="n">
        <v>0</v>
      </c>
      <c r="J34" s="24" t="s">
        <v>50</v>
      </c>
      <c r="K34" s="25" t="s">
        <v>96</v>
      </c>
      <c r="L34" s="26" t="n">
        <f aca="false">IF(F34=1,B34,0)</f>
        <v>324379</v>
      </c>
      <c r="M34" s="26" t="n">
        <f aca="false">IF(F34=0,B34,0)</f>
        <v>0</v>
      </c>
    </row>
    <row r="35" customFormat="false" ht="15" hidden="false" customHeight="false" outlineLevel="0" collapsed="false">
      <c r="A35" s="27" t="s">
        <v>97</v>
      </c>
      <c r="B35" s="28" t="n">
        <v>284135</v>
      </c>
      <c r="C35" s="28" t="n">
        <v>5086770</v>
      </c>
      <c r="D35" s="29" t="n">
        <f aca="false">B35/C35</f>
        <v>0.0558576464042998</v>
      </c>
      <c r="E35" s="30" t="s">
        <v>49</v>
      </c>
      <c r="F35" s="31" t="n">
        <v>0</v>
      </c>
      <c r="G35" s="31" t="n">
        <v>0</v>
      </c>
      <c r="H35" s="31" t="n">
        <v>0</v>
      </c>
      <c r="I35" s="31" t="n">
        <v>0</v>
      </c>
      <c r="J35" s="32" t="s">
        <v>50</v>
      </c>
      <c r="K35" s="32"/>
      <c r="L35" s="33" t="n">
        <f aca="false">IF(F35=1,B35,0)</f>
        <v>0</v>
      </c>
      <c r="M35" s="33" t="n">
        <f aca="false">IF(F35=0,B35,0)</f>
        <v>284135</v>
      </c>
    </row>
    <row r="36" customFormat="false" ht="15" hidden="false" customHeight="false" outlineLevel="0" collapsed="false">
      <c r="A36" s="19" t="s">
        <v>98</v>
      </c>
      <c r="B36" s="20" t="n">
        <v>275571</v>
      </c>
      <c r="C36" s="20" t="n">
        <v>3049390</v>
      </c>
      <c r="D36" s="21" t="n">
        <f aca="false">B36/C36</f>
        <v>0.0903692213852607</v>
      </c>
      <c r="E36" s="22" t="s">
        <v>99</v>
      </c>
      <c r="F36" s="34" t="n">
        <v>1</v>
      </c>
      <c r="G36" s="23" t="n">
        <v>1</v>
      </c>
      <c r="H36" s="23" t="n">
        <v>0</v>
      </c>
      <c r="I36" s="23" t="n">
        <v>0</v>
      </c>
      <c r="J36" s="24" t="s">
        <v>50</v>
      </c>
      <c r="K36" s="24"/>
      <c r="L36" s="26" t="n">
        <f aca="false">IF(F36=1,B36,0)</f>
        <v>275571</v>
      </c>
      <c r="M36" s="26" t="n">
        <f aca="false">IF(F36=0,B36,0)</f>
        <v>0</v>
      </c>
    </row>
    <row r="37" customFormat="false" ht="15" hidden="false" customHeight="false" outlineLevel="0" collapsed="false">
      <c r="A37" s="27" t="s">
        <v>100</v>
      </c>
      <c r="B37" s="28" t="n">
        <v>263935</v>
      </c>
      <c r="C37" s="28" t="n">
        <v>1934260</v>
      </c>
      <c r="D37" s="29" t="n">
        <f aca="false">B37/C37</f>
        <v>0.136452700257463</v>
      </c>
      <c r="E37" s="30" t="s">
        <v>49</v>
      </c>
      <c r="F37" s="31" t="n">
        <v>0</v>
      </c>
      <c r="G37" s="31" t="n">
        <v>0</v>
      </c>
      <c r="H37" s="31" t="n">
        <v>0</v>
      </c>
      <c r="I37" s="31" t="n">
        <v>0</v>
      </c>
      <c r="J37" s="32" t="s">
        <v>50</v>
      </c>
      <c r="K37" s="32"/>
      <c r="L37" s="33" t="n">
        <f aca="false">IF(F37=1,B37,0)</f>
        <v>0</v>
      </c>
      <c r="M37" s="33" t="n">
        <f aca="false">IF(F37=0,B37,0)</f>
        <v>263935</v>
      </c>
    </row>
    <row r="38" customFormat="false" ht="15" hidden="false" customHeight="false" outlineLevel="0" collapsed="false">
      <c r="A38" s="19" t="s">
        <v>101</v>
      </c>
      <c r="B38" s="20" t="n">
        <v>252023</v>
      </c>
      <c r="C38" s="20" t="n">
        <v>1978710</v>
      </c>
      <c r="D38" s="21" t="n">
        <f aca="false">B38/C38</f>
        <v>0.127367325176504</v>
      </c>
      <c r="E38" s="22" t="s">
        <v>102</v>
      </c>
      <c r="F38" s="23" t="n">
        <v>0</v>
      </c>
      <c r="G38" s="23" t="n">
        <v>0</v>
      </c>
      <c r="H38" s="23" t="n">
        <v>0</v>
      </c>
      <c r="I38" s="23" t="n">
        <v>0</v>
      </c>
      <c r="J38" s="24" t="s">
        <v>50</v>
      </c>
      <c r="K38" s="24"/>
      <c r="L38" s="26" t="n">
        <f aca="false">IF(F38=1,B38,0)</f>
        <v>0</v>
      </c>
      <c r="M38" s="26" t="n">
        <f aca="false">IF(F38=0,B38,0)</f>
        <v>252023</v>
      </c>
    </row>
    <row r="39" customFormat="false" ht="15" hidden="false" customHeight="false" outlineLevel="0" collapsed="false">
      <c r="A39" s="27" t="s">
        <v>103</v>
      </c>
      <c r="B39" s="28" t="n">
        <v>233706</v>
      </c>
      <c r="C39" s="28" t="n">
        <v>3210510</v>
      </c>
      <c r="D39" s="29" t="n">
        <f aca="false">B39/C39</f>
        <v>0.0727940420680826</v>
      </c>
      <c r="E39" s="30" t="s">
        <v>58</v>
      </c>
      <c r="F39" s="34" t="n">
        <v>1</v>
      </c>
      <c r="G39" s="31" t="n">
        <v>1</v>
      </c>
      <c r="H39" s="31" t="n">
        <v>0</v>
      </c>
      <c r="I39" s="31" t="n">
        <v>0</v>
      </c>
      <c r="J39" s="32" t="s">
        <v>50</v>
      </c>
      <c r="K39" s="32"/>
      <c r="L39" s="33" t="n">
        <f aca="false">IF(F39=1,B39,0)</f>
        <v>233706</v>
      </c>
      <c r="M39" s="33" t="n">
        <f aca="false">IF(F39=0,B39,0)</f>
        <v>0</v>
      </c>
    </row>
    <row r="40" customFormat="false" ht="15" hidden="false" customHeight="false" outlineLevel="0" collapsed="false">
      <c r="A40" s="19" t="s">
        <v>104</v>
      </c>
      <c r="B40" s="20" t="n">
        <v>226744</v>
      </c>
      <c r="C40" s="20" t="n">
        <v>4534820</v>
      </c>
      <c r="D40" s="21" t="n">
        <f aca="false">B40/C40</f>
        <v>0.0500006615477571</v>
      </c>
      <c r="E40" s="22" t="s">
        <v>58</v>
      </c>
      <c r="F40" s="34" t="n">
        <v>1</v>
      </c>
      <c r="G40" s="23" t="n">
        <v>1</v>
      </c>
      <c r="H40" s="23" t="n">
        <v>0</v>
      </c>
      <c r="I40" s="23" t="n">
        <v>0</v>
      </c>
      <c r="J40" s="24" t="s">
        <v>50</v>
      </c>
      <c r="K40" s="24"/>
      <c r="L40" s="26" t="n">
        <f aca="false">IF(F40=1,B40,0)</f>
        <v>226744</v>
      </c>
      <c r="M40" s="26" t="n">
        <f aca="false">IF(F40=0,B40,0)</f>
        <v>0</v>
      </c>
    </row>
    <row r="41" customFormat="false" ht="15" hidden="false" customHeight="false" outlineLevel="0" collapsed="false">
      <c r="A41" s="27" t="s">
        <v>105</v>
      </c>
      <c r="B41" s="28" t="n">
        <v>194915</v>
      </c>
      <c r="C41" s="28" t="n">
        <v>1101800</v>
      </c>
      <c r="D41" s="29" t="n">
        <f aca="false">B41/C41</f>
        <v>0.176905972045743</v>
      </c>
      <c r="E41" s="30" t="s">
        <v>106</v>
      </c>
      <c r="F41" s="34" t="n">
        <v>1</v>
      </c>
      <c r="G41" s="31" t="n">
        <v>0</v>
      </c>
      <c r="H41" s="31" t="n">
        <v>1</v>
      </c>
      <c r="I41" s="31" t="n">
        <v>0</v>
      </c>
      <c r="J41" s="32" t="s">
        <v>50</v>
      </c>
      <c r="K41" s="32"/>
      <c r="L41" s="33" t="n">
        <f aca="false">IF(F41=1,B41,0)</f>
        <v>194915</v>
      </c>
      <c r="M41" s="33" t="n">
        <f aca="false">IF(F41=0,B41,0)</f>
        <v>0</v>
      </c>
    </row>
    <row r="42" customFormat="false" ht="15" hidden="false" customHeight="false" outlineLevel="0" collapsed="false">
      <c r="A42" s="19" t="s">
        <v>107</v>
      </c>
      <c r="B42" s="20" t="n">
        <v>143591</v>
      </c>
      <c r="C42" s="20" t="n">
        <v>1445240</v>
      </c>
      <c r="D42" s="21" t="n">
        <f aca="false">B42/C42</f>
        <v>0.0993544324818023</v>
      </c>
      <c r="E42" s="22" t="s">
        <v>49</v>
      </c>
      <c r="F42" s="23" t="n">
        <v>0</v>
      </c>
      <c r="G42" s="23" t="n">
        <v>0</v>
      </c>
      <c r="H42" s="23" t="n">
        <v>0</v>
      </c>
      <c r="I42" s="23" t="n">
        <v>0</v>
      </c>
      <c r="J42" s="24" t="s">
        <v>50</v>
      </c>
      <c r="K42" s="24"/>
      <c r="L42" s="26" t="n">
        <f aca="false">IF(F42=1,B42,0)</f>
        <v>0</v>
      </c>
      <c r="M42" s="26" t="n">
        <f aca="false">IF(F42=0,B42,0)</f>
        <v>143591</v>
      </c>
    </row>
    <row r="43" customFormat="false" ht="15" hidden="false" customHeight="false" outlineLevel="0" collapsed="false">
      <c r="A43" s="27" t="s">
        <v>108</v>
      </c>
      <c r="B43" s="28" t="n">
        <v>112835</v>
      </c>
      <c r="C43" s="28" t="n">
        <v>1021190</v>
      </c>
      <c r="D43" s="29" t="n">
        <f aca="false">B43/C43</f>
        <v>0.110493639773206</v>
      </c>
      <c r="E43" s="30" t="s">
        <v>109</v>
      </c>
      <c r="F43" s="34" t="n">
        <v>1</v>
      </c>
      <c r="G43" s="31" t="n">
        <v>0</v>
      </c>
      <c r="H43" s="31" t="n">
        <v>1</v>
      </c>
      <c r="I43" s="31" t="n">
        <v>0</v>
      </c>
      <c r="J43" s="32" t="s">
        <v>50</v>
      </c>
      <c r="K43" s="32"/>
      <c r="L43" s="33" t="n">
        <f aca="false">IF(F43=1,B43,0)</f>
        <v>112835</v>
      </c>
      <c r="M43" s="33" t="n">
        <f aca="false">IF(F43=0,B43,0)</f>
        <v>0</v>
      </c>
    </row>
    <row r="44" customFormat="false" ht="15" hidden="false" customHeight="false" outlineLevel="0" collapsed="false">
      <c r="A44" s="19" t="s">
        <v>110</v>
      </c>
      <c r="B44" s="20" t="n">
        <v>109956</v>
      </c>
      <c r="C44" s="20" t="n">
        <v>2946780</v>
      </c>
      <c r="D44" s="21" t="n">
        <f aca="false">B44/C44</f>
        <v>0.0373139494634822</v>
      </c>
      <c r="E44" s="22" t="s">
        <v>102</v>
      </c>
      <c r="F44" s="23" t="n">
        <v>0</v>
      </c>
      <c r="G44" s="23" t="n">
        <v>0</v>
      </c>
      <c r="H44" s="23" t="n">
        <v>0</v>
      </c>
      <c r="I44" s="23" t="n">
        <v>0</v>
      </c>
      <c r="J44" s="24" t="s">
        <v>50</v>
      </c>
      <c r="K44" s="24"/>
      <c r="L44" s="26" t="n">
        <f aca="false">IF(F44=1,B44,0)</f>
        <v>0</v>
      </c>
      <c r="M44" s="26" t="n">
        <f aca="false">IF(F44=0,B44,0)</f>
        <v>109956</v>
      </c>
    </row>
    <row r="45" customFormat="false" ht="15" hidden="false" customHeight="false" outlineLevel="0" collapsed="false">
      <c r="A45" s="27" t="s">
        <v>111</v>
      </c>
      <c r="B45" s="28" t="n">
        <v>81152</v>
      </c>
      <c r="C45" s="28" t="n">
        <v>681294</v>
      </c>
      <c r="D45" s="29" t="n">
        <f aca="false">B45/C45</f>
        <v>0.11911450856752</v>
      </c>
      <c r="E45" s="30" t="s">
        <v>112</v>
      </c>
      <c r="F45" s="34" t="n">
        <v>1</v>
      </c>
      <c r="G45" s="31" t="n">
        <v>0</v>
      </c>
      <c r="H45" s="31" t="n">
        <v>0</v>
      </c>
      <c r="I45" s="31" t="n">
        <v>0</v>
      </c>
      <c r="J45" s="32" t="s">
        <v>50</v>
      </c>
      <c r="K45" s="32"/>
      <c r="L45" s="33" t="n">
        <f aca="false">IF(F45=1,B45,0)</f>
        <v>81152</v>
      </c>
      <c r="M45" s="33" t="n">
        <f aca="false">IF(F45=0,B45,0)</f>
        <v>0</v>
      </c>
    </row>
    <row r="46" customFormat="false" ht="15" hidden="false" customHeight="false" outlineLevel="0" collapsed="false">
      <c r="A46" s="19" t="s">
        <v>113</v>
      </c>
      <c r="B46" s="20" t="n">
        <v>65383</v>
      </c>
      <c r="C46" s="20" t="n">
        <v>1394870</v>
      </c>
      <c r="D46" s="21" t="n">
        <f aca="false">B46/C46</f>
        <v>0.0468739022274477</v>
      </c>
      <c r="E46" s="22" t="s">
        <v>114</v>
      </c>
      <c r="F46" s="34" t="n">
        <v>1</v>
      </c>
      <c r="G46" s="23" t="n">
        <v>1</v>
      </c>
      <c r="H46" s="23" t="n">
        <v>0</v>
      </c>
      <c r="I46" s="23" t="n">
        <v>0</v>
      </c>
      <c r="J46" s="24" t="s">
        <v>50</v>
      </c>
      <c r="K46" s="24"/>
      <c r="L46" s="26" t="n">
        <f aca="false">IF(F46=1,B46,0)</f>
        <v>65383</v>
      </c>
      <c r="M46" s="26" t="n">
        <f aca="false">IF(F46=0,B46,0)</f>
        <v>0</v>
      </c>
    </row>
    <row r="47" customFormat="false" ht="15" hidden="false" customHeight="false" outlineLevel="0" collapsed="false">
      <c r="A47" s="27" t="s">
        <v>115</v>
      </c>
      <c r="B47" s="28" t="n">
        <v>62047</v>
      </c>
      <c r="C47" s="28" t="n">
        <v>582397</v>
      </c>
      <c r="D47" s="29" t="n">
        <f aca="false">B47/C47</f>
        <v>0.106537293289629</v>
      </c>
      <c r="E47" s="30" t="s">
        <v>58</v>
      </c>
      <c r="F47" s="34" t="n">
        <v>1</v>
      </c>
      <c r="G47" s="31" t="n">
        <v>1</v>
      </c>
      <c r="H47" s="31" t="n">
        <v>0</v>
      </c>
      <c r="I47" s="31" t="n">
        <v>0</v>
      </c>
      <c r="J47" s="32" t="s">
        <v>50</v>
      </c>
      <c r="K47" s="32"/>
      <c r="L47" s="33" t="n">
        <f aca="false">IF(F47=1,B47,0)</f>
        <v>62047</v>
      </c>
      <c r="M47" s="33" t="n">
        <f aca="false">IF(F47=0,B47,0)</f>
        <v>0</v>
      </c>
    </row>
    <row r="48" customFormat="false" ht="15" hidden="false" customHeight="false" outlineLevel="0" collapsed="false">
      <c r="A48" s="19" t="s">
        <v>116</v>
      </c>
      <c r="B48" s="20" t="n">
        <v>53803</v>
      </c>
      <c r="C48" s="20" t="n">
        <v>735706</v>
      </c>
      <c r="D48" s="21" t="n">
        <f aca="false">B48/C48</f>
        <v>0.0731311148746918</v>
      </c>
      <c r="E48" s="22" t="s">
        <v>49</v>
      </c>
      <c r="F48" s="23" t="n">
        <v>0</v>
      </c>
      <c r="G48" s="23" t="n">
        <v>0</v>
      </c>
      <c r="H48" s="23" t="n">
        <v>0</v>
      </c>
      <c r="I48" s="23" t="n">
        <v>0</v>
      </c>
      <c r="J48" s="24" t="s">
        <v>50</v>
      </c>
      <c r="K48" s="24"/>
      <c r="L48" s="26" t="n">
        <f aca="false">IF(F48=1,B48,0)</f>
        <v>0</v>
      </c>
      <c r="M48" s="26" t="n">
        <f aca="false">IF(F48=0,B48,0)</f>
        <v>53803</v>
      </c>
    </row>
    <row r="49" customFormat="false" ht="15" hidden="false" customHeight="false" outlineLevel="0" collapsed="false">
      <c r="A49" s="27" t="s">
        <v>117</v>
      </c>
      <c r="B49" s="28" t="n">
        <v>50932</v>
      </c>
      <c r="C49" s="28" t="n">
        <v>1116880</v>
      </c>
      <c r="D49" s="29" t="n">
        <f aca="false">B49/C49</f>
        <v>0.0456020342382351</v>
      </c>
      <c r="E49" s="30" t="s">
        <v>118</v>
      </c>
      <c r="F49" s="31" t="n">
        <v>0</v>
      </c>
      <c r="G49" s="31" t="n">
        <v>0</v>
      </c>
      <c r="H49" s="31" t="n">
        <v>0</v>
      </c>
      <c r="I49" s="31" t="n">
        <v>0</v>
      </c>
      <c r="J49" s="32" t="s">
        <v>50</v>
      </c>
      <c r="K49" s="32"/>
      <c r="L49" s="33" t="n">
        <f aca="false">IF(F49=1,B49,0)</f>
        <v>0</v>
      </c>
      <c r="M49" s="33" t="n">
        <f aca="false">IF(F49=0,B49,0)</f>
        <v>50932</v>
      </c>
    </row>
    <row r="50" customFormat="false" ht="15" hidden="false" customHeight="false" outlineLevel="0" collapsed="false">
      <c r="A50" s="19" t="s">
        <v>119</v>
      </c>
      <c r="B50" s="20" t="n">
        <v>43777</v>
      </c>
      <c r="C50" s="20" t="n">
        <v>907428</v>
      </c>
      <c r="D50" s="21" t="n">
        <f aca="false">B50/C50</f>
        <v>0.0482429459968174</v>
      </c>
      <c r="E50" s="22" t="s">
        <v>102</v>
      </c>
      <c r="F50" s="23" t="n">
        <v>0</v>
      </c>
      <c r="G50" s="23" t="n">
        <v>0</v>
      </c>
      <c r="H50" s="23" t="n">
        <v>0</v>
      </c>
      <c r="I50" s="23" t="n">
        <v>0</v>
      </c>
      <c r="J50" s="24" t="s">
        <v>50</v>
      </c>
      <c r="K50" s="24"/>
      <c r="L50" s="26" t="n">
        <f aca="false">IF(F50=1,B50,0)</f>
        <v>0</v>
      </c>
      <c r="M50" s="26" t="n">
        <f aca="false">IF(F50=0,B50,0)</f>
        <v>43777</v>
      </c>
    </row>
    <row r="51" customFormat="false" ht="15" hidden="false" customHeight="false" outlineLevel="0" collapsed="false">
      <c r="A51" s="27" t="s">
        <v>120</v>
      </c>
      <c r="B51" s="28" t="n">
        <v>38175</v>
      </c>
      <c r="C51" s="28" t="n">
        <v>1778370</v>
      </c>
      <c r="D51" s="29" t="n">
        <f aca="false">B51/C51</f>
        <v>0.0214662865432953</v>
      </c>
      <c r="E51" s="30" t="s">
        <v>58</v>
      </c>
      <c r="F51" s="34" t="n">
        <v>1</v>
      </c>
      <c r="G51" s="31" t="n">
        <v>1</v>
      </c>
      <c r="H51" s="31" t="n">
        <v>1</v>
      </c>
      <c r="I51" s="31" t="n">
        <v>1</v>
      </c>
      <c r="J51" s="32" t="s">
        <v>50</v>
      </c>
      <c r="K51" s="32"/>
      <c r="L51" s="33" t="n">
        <f aca="false">IF(F51=1,B51,0)</f>
        <v>38175</v>
      </c>
      <c r="M51" s="33" t="n">
        <f aca="false">IF(F51=0,B51,0)</f>
        <v>0</v>
      </c>
    </row>
    <row r="52" customFormat="false" ht="15" hidden="false" customHeight="false" outlineLevel="0" collapsed="false">
      <c r="A52" s="19" t="s">
        <v>121</v>
      </c>
      <c r="B52" s="20" t="n">
        <v>36575</v>
      </c>
      <c r="C52" s="20" t="n">
        <v>784841</v>
      </c>
      <c r="D52" s="21" t="n">
        <f aca="false">B52/C52</f>
        <v>0.0466017957777435</v>
      </c>
      <c r="E52" s="22" t="s">
        <v>70</v>
      </c>
      <c r="F52" s="23" t="n">
        <v>0</v>
      </c>
      <c r="G52" s="23" t="n">
        <v>0</v>
      </c>
      <c r="H52" s="23" t="n">
        <v>0</v>
      </c>
      <c r="I52" s="23" t="n">
        <v>0</v>
      </c>
      <c r="J52" s="24" t="s">
        <v>50</v>
      </c>
      <c r="K52" s="24"/>
      <c r="L52" s="26" t="n">
        <f aca="false">IF(F52=1,B52,0)</f>
        <v>0</v>
      </c>
      <c r="M52" s="26" t="n">
        <f aca="false">IF(F52=0,B52,0)</f>
        <v>36575</v>
      </c>
    </row>
    <row r="53" customFormat="false" ht="15" hidden="false" customHeight="false" outlineLevel="0" collapsed="false">
      <c r="A53" s="27" t="s">
        <v>122</v>
      </c>
      <c r="B53" s="28" t="n">
        <v>30266</v>
      </c>
      <c r="C53" s="28" t="n">
        <v>1387820</v>
      </c>
      <c r="D53" s="29" t="n">
        <f aca="false">B53/C53</f>
        <v>0.0218083036705048</v>
      </c>
      <c r="E53" s="30" t="s">
        <v>123</v>
      </c>
      <c r="F53" s="34" t="n">
        <v>1</v>
      </c>
      <c r="G53" s="31" t="n">
        <v>1</v>
      </c>
      <c r="H53" s="31" t="n">
        <v>0</v>
      </c>
      <c r="I53" s="31" t="n">
        <v>0</v>
      </c>
      <c r="J53" s="32" t="s">
        <v>50</v>
      </c>
      <c r="K53" s="32"/>
      <c r="L53" s="33" t="n">
        <f aca="false">IF(F53=1,B53,0)</f>
        <v>30266</v>
      </c>
      <c r="M53" s="33" t="n">
        <f aca="false">IF(F53=0,B53,0)</f>
        <v>0</v>
      </c>
    </row>
    <row r="54" customFormat="false" ht="15" hidden="false" customHeight="false" outlineLevel="0" collapsed="false">
      <c r="A54" s="19" t="s">
        <v>124</v>
      </c>
      <c r="B54" s="20" t="n">
        <v>16545</v>
      </c>
      <c r="C54" s="20" t="n">
        <v>647106</v>
      </c>
      <c r="D54" s="21" t="n">
        <f aca="false">B54/C54</f>
        <v>0.0255676813381424</v>
      </c>
      <c r="E54" s="22" t="s">
        <v>58</v>
      </c>
      <c r="F54" s="34" t="n">
        <v>1</v>
      </c>
      <c r="G54" s="23" t="n">
        <v>1</v>
      </c>
      <c r="H54" s="23" t="n">
        <v>0</v>
      </c>
      <c r="I54" s="23" t="n">
        <v>0</v>
      </c>
      <c r="J54" s="24" t="s">
        <v>50</v>
      </c>
      <c r="K54" s="24"/>
      <c r="L54" s="26" t="n">
        <f aca="false">IF(F54=1,B54,0)</f>
        <v>16545</v>
      </c>
      <c r="M54" s="26" t="n">
        <f aca="false">IF(F54=0,B54,0)</f>
        <v>0</v>
      </c>
    </row>
    <row r="55" customFormat="false" ht="15" hidden="false" customHeight="false" outlineLevel="0" collapsed="false">
      <c r="A55" s="35" t="s">
        <v>125</v>
      </c>
      <c r="B55" s="36" t="n">
        <f aca="false">SUM(B4:B54)</f>
        <v>64759437</v>
      </c>
      <c r="C55" s="36" t="n">
        <f aca="false">SUM(C4:C54)</f>
        <v>334922552</v>
      </c>
      <c r="D55" s="37" t="n">
        <f aca="false">B55/C55</f>
        <v>0.193356453942224</v>
      </c>
      <c r="E55" s="38" t="s">
        <v>126</v>
      </c>
      <c r="F55" s="39" t="n">
        <f aca="false">SUM(F4:F54)</f>
        <v>31</v>
      </c>
      <c r="G55" s="39" t="n">
        <f aca="false">SUM(G4:G54)</f>
        <v>27</v>
      </c>
      <c r="H55" s="39" t="n">
        <f aca="false">SUM(H4:H54)</f>
        <v>7</v>
      </c>
      <c r="I55" s="39" t="n">
        <f aca="false">SUM(I4:I54)</f>
        <v>5</v>
      </c>
      <c r="L55" s="36" t="n">
        <f aca="false">SUM(L4:L54)</f>
        <v>23970649</v>
      </c>
      <c r="M55" s="36" t="n">
        <f aca="false">SUM(M4:M54)</f>
        <v>40788788</v>
      </c>
    </row>
    <row r="57" customFormat="false" ht="39.75" hidden="false" customHeight="true" outlineLevel="0" collapsed="false">
      <c r="A57" s="18" t="s">
        <v>127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</row>
  </sheetData>
  <mergeCells count="3">
    <mergeCell ref="A1:M1"/>
    <mergeCell ref="A2:M2"/>
    <mergeCell ref="A57:M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24" hidden="false" customHeight="true" outlineLevel="0" collapsed="false">
      <c r="A1" s="40" t="s">
        <v>128</v>
      </c>
      <c r="B1" s="40"/>
      <c r="C1" s="40"/>
    </row>
    <row r="2" customFormat="false" ht="33.75" hidden="false" customHeight="true" outlineLevel="0" collapsed="false">
      <c r="A2" s="18" t="s">
        <v>129</v>
      </c>
      <c r="B2" s="18"/>
      <c r="C2" s="18"/>
    </row>
    <row r="4" customFormat="false" ht="15" hidden="false" customHeight="false" outlineLevel="0" collapsed="false">
      <c r="A4" s="41" t="s">
        <v>130</v>
      </c>
      <c r="B4" s="41" t="s">
        <v>131</v>
      </c>
      <c r="C4" s="41" t="s">
        <v>132</v>
      </c>
    </row>
    <row r="5" customFormat="false" ht="24" hidden="false" customHeight="true" outlineLevel="0" collapsed="false">
      <c r="A5" s="42" t="s">
        <v>9</v>
      </c>
      <c r="B5" s="43" t="n">
        <f aca="false">'State Detail'!$B$55</f>
        <v>64759437</v>
      </c>
      <c r="C5" s="44" t="s">
        <v>133</v>
      </c>
    </row>
    <row r="6" customFormat="false" ht="24" hidden="false" customHeight="true" outlineLevel="0" collapsed="false">
      <c r="A6" s="42" t="s">
        <v>134</v>
      </c>
      <c r="B6" s="45" t="n">
        <v>0.62</v>
      </c>
      <c r="C6" s="44" t="s">
        <v>135</v>
      </c>
    </row>
    <row r="7" customFormat="false" ht="24" hidden="false" customHeight="true" outlineLevel="0" collapsed="false">
      <c r="A7" s="42" t="s">
        <v>136</v>
      </c>
      <c r="B7" s="46" t="n">
        <f aca="false">B5*B6</f>
        <v>40150850.94</v>
      </c>
      <c r="C7" s="44" t="s">
        <v>137</v>
      </c>
    </row>
    <row r="8" customFormat="false" ht="24" hidden="false" customHeight="true" outlineLevel="0" collapsed="false">
      <c r="A8" s="42" t="s">
        <v>138</v>
      </c>
      <c r="B8" s="45" t="n">
        <v>0.72</v>
      </c>
      <c r="C8" s="44" t="s">
        <v>139</v>
      </c>
    </row>
    <row r="9" customFormat="false" ht="24" hidden="false" customHeight="true" outlineLevel="0" collapsed="false">
      <c r="A9" s="42" t="s">
        <v>140</v>
      </c>
      <c r="B9" s="46" t="n">
        <f aca="false">B7*B8</f>
        <v>28908612.6768</v>
      </c>
      <c r="C9" s="44" t="s">
        <v>141</v>
      </c>
    </row>
    <row r="10" customFormat="false" ht="24" hidden="false" customHeight="true" outlineLevel="0" collapsed="false">
      <c r="A10" s="47" t="s">
        <v>142</v>
      </c>
      <c r="B10" s="48" t="n">
        <f aca="false">B7*(1-B8)</f>
        <v>11242238.2632</v>
      </c>
      <c r="C10" s="44" t="s">
        <v>143</v>
      </c>
    </row>
    <row r="11" customFormat="false" ht="24" hidden="false" customHeight="true" outlineLevel="0" collapsed="false">
      <c r="A11" s="42" t="s">
        <v>144</v>
      </c>
      <c r="B11" s="45" t="n">
        <v>0.38</v>
      </c>
      <c r="C11" s="44" t="s">
        <v>145</v>
      </c>
    </row>
    <row r="12" customFormat="false" ht="24" hidden="false" customHeight="true" outlineLevel="0" collapsed="false">
      <c r="A12" s="42" t="s">
        <v>146</v>
      </c>
      <c r="B12" s="46" t="n">
        <f aca="false">B7*B11</f>
        <v>15257323.3572</v>
      </c>
      <c r="C12" s="44" t="s">
        <v>147</v>
      </c>
    </row>
    <row r="13" customFormat="false" ht="24" hidden="false" customHeight="true" outlineLevel="0" collapsed="false">
      <c r="A13" s="42" t="s">
        <v>148</v>
      </c>
      <c r="B13" s="49" t="n">
        <f aca="false">B10/B5</f>
        <v>0.1736</v>
      </c>
      <c r="C13" s="44" t="s">
        <v>149</v>
      </c>
    </row>
    <row r="15" customFormat="false" ht="15" hidden="false" customHeight="false" outlineLevel="0" collapsed="false">
      <c r="A15" s="50" t="s">
        <v>150</v>
      </c>
      <c r="B15" s="50"/>
      <c r="C15" s="50"/>
    </row>
    <row r="16" customFormat="false" ht="24" hidden="false" customHeight="true" outlineLevel="0" collapsed="false">
      <c r="A16" s="42" t="s">
        <v>151</v>
      </c>
      <c r="B16" s="43" t="n">
        <f aca="false">'State Detail'!$M$55</f>
        <v>40788788</v>
      </c>
      <c r="C16" s="44" t="s">
        <v>152</v>
      </c>
    </row>
    <row r="17" customFormat="false" ht="24" hidden="false" customHeight="true" outlineLevel="0" collapsed="false">
      <c r="A17" s="42" t="s">
        <v>153</v>
      </c>
      <c r="B17" s="46" t="n">
        <f aca="false">B6*(1-B8)</f>
        <v>0.1736</v>
      </c>
      <c r="C17" s="44" t="s">
        <v>154</v>
      </c>
    </row>
    <row r="18" customFormat="false" ht="24" hidden="false" customHeight="true" outlineLevel="0" collapsed="false">
      <c r="A18" s="51" t="s">
        <v>155</v>
      </c>
      <c r="B18" s="52" t="n">
        <f aca="false">B16*B17</f>
        <v>7080933.5968</v>
      </c>
      <c r="C18" s="53" t="s">
        <v>156</v>
      </c>
    </row>
    <row r="20" customFormat="false" ht="15" hidden="false" customHeight="true" outlineLevel="0" collapsed="false">
      <c r="A20" s="54" t="s">
        <v>157</v>
      </c>
      <c r="B20" s="54"/>
      <c r="C20" s="54"/>
    </row>
    <row r="21" customFormat="false" ht="15" hidden="false" customHeight="false" outlineLevel="0" collapsed="false">
      <c r="A21" s="54"/>
      <c r="B21" s="54"/>
      <c r="C21" s="54"/>
    </row>
    <row r="22" customFormat="false" ht="15" hidden="false" customHeight="false" outlineLevel="0" collapsed="false">
      <c r="A22" s="54"/>
      <c r="B22" s="54"/>
      <c r="C22" s="54"/>
    </row>
  </sheetData>
  <mergeCells count="4">
    <mergeCell ref="A1:C1"/>
    <mergeCell ref="A2:C2"/>
    <mergeCell ref="A15:C15"/>
    <mergeCell ref="A20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4" min="3" style="0" width="42"/>
    <col collapsed="false" customWidth="true" hidden="false" outlineLevel="0" max="5" min="5" style="0" width="8"/>
  </cols>
  <sheetData>
    <row r="1" customFormat="false" ht="24" hidden="false" customHeight="true" outlineLevel="0" collapsed="false">
      <c r="A1" s="17" t="s">
        <v>158</v>
      </c>
      <c r="B1" s="17"/>
      <c r="C1" s="17"/>
      <c r="D1" s="17"/>
      <c r="E1" s="17"/>
    </row>
    <row r="2" customFormat="false" ht="19.5" hidden="false" customHeight="true" outlineLevel="0" collapsed="false">
      <c r="A2" s="55" t="s">
        <v>159</v>
      </c>
      <c r="B2" s="55" t="s">
        <v>160</v>
      </c>
      <c r="C2" s="55" t="s">
        <v>161</v>
      </c>
      <c r="D2" s="55" t="s">
        <v>162</v>
      </c>
      <c r="E2" s="55" t="s">
        <v>163</v>
      </c>
    </row>
    <row r="3" customFormat="false" ht="37.5" hidden="false" customHeight="true" outlineLevel="0" collapsed="false">
      <c r="A3" s="56" t="s">
        <v>164</v>
      </c>
      <c r="B3" s="57" t="s">
        <v>165</v>
      </c>
      <c r="C3" s="58" t="s">
        <v>166</v>
      </c>
      <c r="D3" s="58" t="s">
        <v>167</v>
      </c>
      <c r="E3" s="59" t="s">
        <v>168</v>
      </c>
    </row>
    <row r="4" customFormat="false" ht="37.5" hidden="false" customHeight="true" outlineLevel="0" collapsed="false">
      <c r="A4" s="60" t="s">
        <v>169</v>
      </c>
      <c r="B4" s="57" t="s">
        <v>165</v>
      </c>
      <c r="C4" s="61" t="s">
        <v>170</v>
      </c>
      <c r="D4" s="61" t="s">
        <v>171</v>
      </c>
      <c r="E4" s="62" t="s">
        <v>172</v>
      </c>
    </row>
    <row r="5" customFormat="false" ht="37.5" hidden="false" customHeight="true" outlineLevel="0" collapsed="false">
      <c r="A5" s="56" t="s">
        <v>173</v>
      </c>
      <c r="B5" s="57" t="s">
        <v>165</v>
      </c>
      <c r="C5" s="58" t="s">
        <v>174</v>
      </c>
      <c r="D5" s="58" t="s">
        <v>175</v>
      </c>
      <c r="E5" s="59" t="s">
        <v>176</v>
      </c>
    </row>
    <row r="6" customFormat="false" ht="37.5" hidden="false" customHeight="true" outlineLevel="0" collapsed="false">
      <c r="A6" s="60" t="s">
        <v>177</v>
      </c>
      <c r="B6" s="57" t="s">
        <v>165</v>
      </c>
      <c r="C6" s="61" t="s">
        <v>178</v>
      </c>
      <c r="D6" s="61" t="s">
        <v>179</v>
      </c>
      <c r="E6" s="62" t="s">
        <v>180</v>
      </c>
    </row>
    <row r="7" customFormat="false" ht="37.5" hidden="false" customHeight="true" outlineLevel="0" collapsed="false">
      <c r="A7" s="56" t="s">
        <v>181</v>
      </c>
      <c r="B7" s="57" t="s">
        <v>165</v>
      </c>
      <c r="C7" s="58" t="s">
        <v>182</v>
      </c>
      <c r="D7" s="58" t="s">
        <v>183</v>
      </c>
      <c r="E7" s="59" t="s">
        <v>184</v>
      </c>
    </row>
    <row r="8" customFormat="false" ht="37.5" hidden="false" customHeight="true" outlineLevel="0" collapsed="false">
      <c r="A8" s="60" t="s">
        <v>185</v>
      </c>
      <c r="B8" s="57" t="s">
        <v>165</v>
      </c>
      <c r="C8" s="61" t="s">
        <v>186</v>
      </c>
      <c r="D8" s="61" t="s">
        <v>187</v>
      </c>
      <c r="E8" s="62" t="s">
        <v>180</v>
      </c>
    </row>
    <row r="9" customFormat="false" ht="37.5" hidden="false" customHeight="true" outlineLevel="0" collapsed="false">
      <c r="A9" s="56" t="s">
        <v>188</v>
      </c>
      <c r="B9" s="57" t="s">
        <v>189</v>
      </c>
      <c r="C9" s="58" t="s">
        <v>190</v>
      </c>
      <c r="D9" s="58" t="s">
        <v>191</v>
      </c>
      <c r="E9" s="59" t="s">
        <v>10</v>
      </c>
    </row>
    <row r="10" customFormat="false" ht="37.5" hidden="false" customHeight="true" outlineLevel="0" collapsed="false">
      <c r="A10" s="60" t="s">
        <v>192</v>
      </c>
      <c r="B10" s="63" t="s">
        <v>193</v>
      </c>
      <c r="C10" s="61" t="s">
        <v>194</v>
      </c>
      <c r="D10" s="61" t="s">
        <v>195</v>
      </c>
      <c r="E10" s="62" t="s">
        <v>196</v>
      </c>
    </row>
    <row r="11" customFormat="false" ht="37.5" hidden="false" customHeight="true" outlineLevel="0" collapsed="false">
      <c r="A11" s="56" t="s">
        <v>197</v>
      </c>
      <c r="B11" s="63" t="s">
        <v>193</v>
      </c>
      <c r="C11" s="58" t="s">
        <v>198</v>
      </c>
      <c r="D11" s="58" t="s">
        <v>199</v>
      </c>
      <c r="E11" s="59" t="s">
        <v>10</v>
      </c>
    </row>
    <row r="12" customFormat="false" ht="37.5" hidden="false" customHeight="true" outlineLevel="0" collapsed="false">
      <c r="A12" s="60" t="s">
        <v>200</v>
      </c>
      <c r="B12" s="63" t="s">
        <v>193</v>
      </c>
      <c r="C12" s="61" t="s">
        <v>201</v>
      </c>
      <c r="D12" s="61" t="s">
        <v>202</v>
      </c>
      <c r="E12" s="62" t="s">
        <v>203</v>
      </c>
    </row>
    <row r="13" customFormat="false" ht="37.5" hidden="false" customHeight="true" outlineLevel="0" collapsed="false">
      <c r="A13" s="56" t="s">
        <v>204</v>
      </c>
      <c r="B13" s="63" t="s">
        <v>193</v>
      </c>
      <c r="C13" s="58" t="s">
        <v>205</v>
      </c>
      <c r="D13" s="58" t="s">
        <v>206</v>
      </c>
      <c r="E13" s="59" t="s">
        <v>207</v>
      </c>
    </row>
    <row r="14" customFormat="false" ht="37.5" hidden="false" customHeight="true" outlineLevel="0" collapsed="false">
      <c r="A14" s="60" t="s">
        <v>208</v>
      </c>
      <c r="B14" s="63" t="s">
        <v>193</v>
      </c>
      <c r="C14" s="61" t="s">
        <v>209</v>
      </c>
      <c r="D14" s="61" t="s">
        <v>210</v>
      </c>
      <c r="E14" s="62" t="s">
        <v>184</v>
      </c>
    </row>
    <row r="15" customFormat="false" ht="37.5" hidden="false" customHeight="true" outlineLevel="0" collapsed="false">
      <c r="A15" s="56" t="s">
        <v>211</v>
      </c>
      <c r="B15" s="63" t="s">
        <v>193</v>
      </c>
      <c r="C15" s="58" t="s">
        <v>212</v>
      </c>
      <c r="D15" s="58" t="s">
        <v>213</v>
      </c>
      <c r="E15" s="59" t="s">
        <v>184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24" hidden="false" customHeight="true" outlineLevel="0" collapsed="false">
      <c r="A1" s="17" t="s">
        <v>214</v>
      </c>
      <c r="B1" s="17"/>
      <c r="C1" s="17"/>
      <c r="D1" s="17"/>
      <c r="E1" s="17"/>
    </row>
    <row r="2" customFormat="false" ht="30" hidden="false" customHeight="true" outlineLevel="0" collapsed="false">
      <c r="A2" s="18" t="s">
        <v>215</v>
      </c>
      <c r="B2" s="18"/>
      <c r="C2" s="18"/>
      <c r="D2" s="18"/>
      <c r="E2" s="18"/>
    </row>
    <row r="4" customFormat="false" ht="15" hidden="false" customHeight="false" outlineLevel="0" collapsed="false">
      <c r="A4" s="3" t="s">
        <v>216</v>
      </c>
      <c r="B4" s="3"/>
      <c r="C4" s="3"/>
      <c r="D4" s="3"/>
      <c r="E4" s="3"/>
    </row>
    <row r="5" customFormat="false" ht="15" hidden="false" customHeight="false" outlineLevel="0" collapsed="false">
      <c r="A5" s="64" t="s">
        <v>5</v>
      </c>
      <c r="B5" s="64" t="s">
        <v>131</v>
      </c>
      <c r="C5" s="64" t="s">
        <v>217</v>
      </c>
      <c r="D5" s="64"/>
      <c r="E5" s="64"/>
    </row>
    <row r="6" customFormat="false" ht="25.5" hidden="false" customHeight="true" outlineLevel="0" collapsed="false">
      <c r="A6" s="42" t="s">
        <v>218</v>
      </c>
      <c r="B6" s="65" t="n">
        <f aca="false">'State Detail'!$B$55/'State Detail'!$C$55</f>
        <v>0.193356453942224</v>
      </c>
      <c r="C6" s="9" t="s">
        <v>219</v>
      </c>
      <c r="D6" s="9"/>
      <c r="E6" s="9"/>
    </row>
    <row r="7" customFormat="false" ht="25.5" hidden="false" customHeight="true" outlineLevel="0" collapsed="false">
      <c r="A7" s="42" t="s">
        <v>220</v>
      </c>
      <c r="B7" s="65" t="n">
        <f aca="false">SUMIF('State Detail'!$F$4:$F$54,1,'State Detail'!$B$4:$B$54)/SUMIF('State Detail'!$F$4:$F$54,1,'State Detail'!$C$4:$C$54)</f>
        <v>0.132547463356029</v>
      </c>
      <c r="C7" s="9" t="s">
        <v>221</v>
      </c>
      <c r="D7" s="9"/>
      <c r="E7" s="9"/>
    </row>
    <row r="8" customFormat="false" ht="25.5" hidden="false" customHeight="true" outlineLevel="0" collapsed="false">
      <c r="A8" s="42" t="s">
        <v>222</v>
      </c>
      <c r="B8" s="65" t="n">
        <f aca="false">SUMIF('State Detail'!$F$4:$F$54,0,'State Detail'!$B$4:$B$54)/SUMIF('State Detail'!$F$4:$F$54,0,'State Detail'!$C$4:$C$54)</f>
        <v>0.264730281380825</v>
      </c>
      <c r="C8" s="9" t="s">
        <v>223</v>
      </c>
      <c r="D8" s="9"/>
      <c r="E8" s="9"/>
    </row>
    <row r="9" customFormat="false" ht="25.5" hidden="false" customHeight="true" outlineLevel="0" collapsed="false">
      <c r="A9" s="47" t="s">
        <v>224</v>
      </c>
      <c r="B9" s="66" t="n">
        <f aca="false">B7/B6</f>
        <v>0.685508348201476</v>
      </c>
      <c r="C9" s="9" t="s">
        <v>225</v>
      </c>
      <c r="D9" s="9"/>
      <c r="E9" s="9"/>
    </row>
    <row r="10" customFormat="false" ht="25.5" hidden="false" customHeight="true" outlineLevel="0" collapsed="false">
      <c r="A10" s="42" t="s">
        <v>226</v>
      </c>
      <c r="B10" s="65" t="n">
        <f aca="false">SUMIF('State Detail'!$G$4:$G$54,1,'State Detail'!$B$4:$B$54)/SUMIF('State Detail'!$G$4:$G$54,1,'State Detail'!$C$4:$C$54)</f>
        <v>0.12946689665056</v>
      </c>
      <c r="C10" s="9" t="s">
        <v>227</v>
      </c>
      <c r="D10" s="9"/>
      <c r="E10" s="9"/>
    </row>
    <row r="11" customFormat="false" ht="25.5" hidden="false" customHeight="true" outlineLevel="0" collapsed="false">
      <c r="A11" s="42" t="s">
        <v>228</v>
      </c>
      <c r="B11" s="67" t="n">
        <f aca="false">B10/B6</f>
        <v>0.669576287788384</v>
      </c>
      <c r="C11" s="9" t="s">
        <v>229</v>
      </c>
      <c r="D11" s="9"/>
      <c r="E11" s="9"/>
    </row>
    <row r="13" customFormat="false" ht="15" hidden="false" customHeight="true" outlineLevel="0" collapsed="false">
      <c r="A13" s="54" t="s">
        <v>230</v>
      </c>
      <c r="B13" s="54"/>
      <c r="C13" s="54"/>
      <c r="D13" s="54"/>
      <c r="E13" s="54"/>
    </row>
    <row r="14" customFormat="false" ht="15" hidden="false" customHeight="false" outlineLevel="0" collapsed="false">
      <c r="A14" s="54"/>
      <c r="B14" s="54"/>
      <c r="C14" s="54"/>
      <c r="D14" s="54"/>
      <c r="E14" s="54"/>
    </row>
    <row r="16" customFormat="false" ht="15" hidden="false" customHeight="false" outlineLevel="0" collapsed="false">
      <c r="A16" s="68" t="s">
        <v>231</v>
      </c>
      <c r="B16" s="68"/>
      <c r="C16" s="68"/>
      <c r="D16" s="68"/>
      <c r="E16" s="68"/>
    </row>
    <row r="17" customFormat="false" ht="15" hidden="false" customHeight="false" outlineLevel="0" collapsed="false">
      <c r="A17" s="64" t="s">
        <v>5</v>
      </c>
      <c r="B17" s="64" t="s">
        <v>131</v>
      </c>
      <c r="C17" s="64" t="s">
        <v>217</v>
      </c>
      <c r="D17" s="64"/>
      <c r="E17" s="64"/>
    </row>
    <row r="18" customFormat="false" ht="27.75" hidden="false" customHeight="true" outlineLevel="0" collapsed="false">
      <c r="A18" s="42" t="s">
        <v>232</v>
      </c>
      <c r="B18" s="69" t="n">
        <v>0.132</v>
      </c>
      <c r="C18" s="70" t="s">
        <v>233</v>
      </c>
      <c r="D18" s="70"/>
      <c r="E18" s="70"/>
    </row>
    <row r="19" customFormat="false" ht="15" hidden="false" customHeight="true" outlineLevel="0" collapsed="false">
      <c r="A19" s="71" t="s">
        <v>234</v>
      </c>
      <c r="B19" s="65" t="n">
        <f aca="false">B7</f>
        <v>0.132547463356029</v>
      </c>
      <c r="C19" s="9" t="s">
        <v>235</v>
      </c>
      <c r="D19" s="9"/>
      <c r="E19" s="9"/>
    </row>
    <row r="20" customFormat="false" ht="27.75" hidden="false" customHeight="true" outlineLevel="0" collapsed="false">
      <c r="A20" s="72" t="s">
        <v>236</v>
      </c>
      <c r="B20" s="66" t="n">
        <f aca="false">IFERROR(B18/B19,"—")</f>
        <v>0.995869680624834</v>
      </c>
      <c r="C20" s="9" t="s">
        <v>237</v>
      </c>
      <c r="D20" s="9"/>
      <c r="E20" s="9"/>
    </row>
    <row r="22" customFormat="false" ht="15" hidden="false" customHeight="false" outlineLevel="0" collapsed="false">
      <c r="A22" s="73" t="s">
        <v>238</v>
      </c>
      <c r="B22" s="73"/>
      <c r="C22" s="73"/>
      <c r="D22" s="73"/>
      <c r="E22" s="73"/>
    </row>
    <row r="23" customFormat="false" ht="22.35" hidden="false" customHeight="false" outlineLevel="0" collapsed="false">
      <c r="A23" s="74" t="s">
        <v>239</v>
      </c>
      <c r="B23" s="75" t="s">
        <v>240</v>
      </c>
      <c r="C23" s="76" t="s">
        <v>241</v>
      </c>
      <c r="D23" s="76"/>
      <c r="E23" s="76"/>
    </row>
    <row r="24" customFormat="false" ht="15" hidden="false" customHeight="false" outlineLevel="0" collapsed="false">
      <c r="A24" s="77" t="s">
        <v>242</v>
      </c>
      <c r="B24" s="78" t="n">
        <v>0.08</v>
      </c>
      <c r="C24" s="79" t="n">
        <f aca="false">B24/$B$7</f>
        <v>0.603557382196869</v>
      </c>
      <c r="D24" s="79"/>
      <c r="E24" s="79"/>
    </row>
    <row r="25" customFormat="false" ht="15" hidden="false" customHeight="false" outlineLevel="0" collapsed="false">
      <c r="A25" s="77" t="s">
        <v>243</v>
      </c>
      <c r="B25" s="78" t="n">
        <v>0.1</v>
      </c>
      <c r="C25" s="79" t="n">
        <f aca="false">B25/$B$7</f>
        <v>0.754446727746087</v>
      </c>
      <c r="D25" s="79"/>
      <c r="E25" s="79"/>
    </row>
    <row r="26" customFormat="false" ht="15" hidden="false" customHeight="false" outlineLevel="0" collapsed="false">
      <c r="A26" s="77" t="s">
        <v>244</v>
      </c>
      <c r="B26" s="78" t="n">
        <v>0.132</v>
      </c>
      <c r="C26" s="79" t="n">
        <f aca="false">B26/$B$7</f>
        <v>0.995869680624834</v>
      </c>
      <c r="D26" s="79"/>
      <c r="E26" s="79"/>
    </row>
    <row r="27" customFormat="false" ht="15" hidden="false" customHeight="false" outlineLevel="0" collapsed="false">
      <c r="A27" s="77" t="s">
        <v>245</v>
      </c>
      <c r="B27" s="78" t="n">
        <v>0.16</v>
      </c>
      <c r="C27" s="79" t="n">
        <f aca="false">B27/$B$7</f>
        <v>1.20711476439374</v>
      </c>
      <c r="D27" s="79"/>
      <c r="E27" s="79"/>
    </row>
    <row r="28" customFormat="false" ht="15" hidden="false" customHeight="false" outlineLevel="0" collapsed="false">
      <c r="A28" s="77" t="s">
        <v>246</v>
      </c>
      <c r="B28" s="78" t="n">
        <v>0.193</v>
      </c>
      <c r="C28" s="79" t="n">
        <f aca="false">B28/$B$7</f>
        <v>1.45608218454995</v>
      </c>
      <c r="D28" s="79"/>
      <c r="E28" s="79"/>
    </row>
    <row r="30" customFormat="false" ht="15" hidden="false" customHeight="true" outlineLevel="0" collapsed="false">
      <c r="A30" s="54" t="s">
        <v>247</v>
      </c>
      <c r="B30" s="54"/>
      <c r="C30" s="54"/>
      <c r="D30" s="54"/>
      <c r="E30" s="54"/>
    </row>
    <row r="31" customFormat="false" ht="15" hidden="false" customHeight="false" outlineLevel="0" collapsed="false">
      <c r="A31" s="54"/>
      <c r="B31" s="54"/>
      <c r="C31" s="54"/>
      <c r="D31" s="54"/>
      <c r="E31" s="54"/>
    </row>
    <row r="32" customFormat="false" ht="15" hidden="false" customHeight="false" outlineLevel="0" collapsed="false">
      <c r="A32" s="54"/>
      <c r="B32" s="54"/>
      <c r="C32" s="54"/>
      <c r="D32" s="54"/>
      <c r="E32" s="54"/>
    </row>
  </sheetData>
  <mergeCells count="24">
    <mergeCell ref="A1:E1"/>
    <mergeCell ref="A2:E2"/>
    <mergeCell ref="A4:E4"/>
    <mergeCell ref="C5:E5"/>
    <mergeCell ref="C6:E6"/>
    <mergeCell ref="C7:E7"/>
    <mergeCell ref="C8:E8"/>
    <mergeCell ref="C9:E9"/>
    <mergeCell ref="C10:E10"/>
    <mergeCell ref="C11:E11"/>
    <mergeCell ref="A13:E14"/>
    <mergeCell ref="A16:E16"/>
    <mergeCell ref="C17:E17"/>
    <mergeCell ref="C18:E18"/>
    <mergeCell ref="C19:E19"/>
    <mergeCell ref="C20:E20"/>
    <mergeCell ref="A22:E22"/>
    <mergeCell ref="C23:E23"/>
    <mergeCell ref="C24:E24"/>
    <mergeCell ref="C25:E25"/>
    <mergeCell ref="C26:E26"/>
    <mergeCell ref="C27:E27"/>
    <mergeCell ref="C28:E28"/>
    <mergeCell ref="A30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50"/>
  </cols>
  <sheetData>
    <row r="1" customFormat="false" ht="24" hidden="false" customHeight="true" outlineLevel="0" collapsed="false">
      <c r="A1" s="40" t="s">
        <v>248</v>
      </c>
      <c r="B1" s="40"/>
      <c r="C1" s="40"/>
      <c r="D1" s="40"/>
      <c r="E1" s="40"/>
    </row>
    <row r="2" customFormat="false" ht="15" hidden="false" customHeight="false" outlineLevel="0" collapsed="false">
      <c r="A2" s="41" t="s">
        <v>249</v>
      </c>
      <c r="B2" s="41" t="s">
        <v>250</v>
      </c>
      <c r="C2" s="41" t="s">
        <v>251</v>
      </c>
      <c r="D2" s="41" t="s">
        <v>252</v>
      </c>
      <c r="E2" s="41" t="s">
        <v>253</v>
      </c>
    </row>
    <row r="3" customFormat="false" ht="27.75" hidden="false" customHeight="true" outlineLevel="0" collapsed="false">
      <c r="A3" s="59" t="n">
        <v>1</v>
      </c>
      <c r="B3" s="27" t="s">
        <v>254</v>
      </c>
      <c r="C3" s="27" t="s">
        <v>255</v>
      </c>
      <c r="D3" s="58" t="s">
        <v>256</v>
      </c>
      <c r="E3" s="80" t="s">
        <v>257</v>
      </c>
    </row>
    <row r="4" customFormat="false" ht="27.75" hidden="false" customHeight="true" outlineLevel="0" collapsed="false">
      <c r="A4" s="62" t="n">
        <v>2</v>
      </c>
      <c r="B4" s="19" t="s">
        <v>258</v>
      </c>
      <c r="C4" s="19" t="s">
        <v>259</v>
      </c>
      <c r="D4" s="61" t="s">
        <v>260</v>
      </c>
      <c r="E4" s="81" t="s">
        <v>261</v>
      </c>
    </row>
    <row r="5" customFormat="false" ht="27.75" hidden="false" customHeight="true" outlineLevel="0" collapsed="false">
      <c r="A5" s="59" t="n">
        <v>3</v>
      </c>
      <c r="B5" s="27" t="s">
        <v>262</v>
      </c>
      <c r="C5" s="27" t="s">
        <v>263</v>
      </c>
      <c r="D5" s="58" t="s">
        <v>264</v>
      </c>
      <c r="E5" s="80" t="s">
        <v>265</v>
      </c>
    </row>
    <row r="6" customFormat="false" ht="27.75" hidden="false" customHeight="true" outlineLevel="0" collapsed="false">
      <c r="A6" s="62" t="n">
        <v>4</v>
      </c>
      <c r="B6" s="19" t="s">
        <v>266</v>
      </c>
      <c r="C6" s="19" t="s">
        <v>267</v>
      </c>
      <c r="D6" s="61" t="s">
        <v>268</v>
      </c>
      <c r="E6" s="81" t="s">
        <v>269</v>
      </c>
    </row>
    <row r="7" customFormat="false" ht="27.75" hidden="false" customHeight="true" outlineLevel="0" collapsed="false">
      <c r="A7" s="59" t="n">
        <v>5</v>
      </c>
      <c r="B7" s="27" t="s">
        <v>270</v>
      </c>
      <c r="C7" s="27" t="s">
        <v>271</v>
      </c>
      <c r="D7" s="58" t="s">
        <v>272</v>
      </c>
      <c r="E7" s="80" t="s">
        <v>273</v>
      </c>
    </row>
    <row r="8" customFormat="false" ht="27.75" hidden="false" customHeight="true" outlineLevel="0" collapsed="false">
      <c r="A8" s="62" t="n">
        <v>6</v>
      </c>
      <c r="B8" s="19" t="s">
        <v>274</v>
      </c>
      <c r="C8" s="19" t="s">
        <v>275</v>
      </c>
      <c r="D8" s="61" t="s">
        <v>276</v>
      </c>
      <c r="E8" s="81" t="s">
        <v>277</v>
      </c>
    </row>
    <row r="9" customFormat="false" ht="27.75" hidden="false" customHeight="true" outlineLevel="0" collapsed="false">
      <c r="A9" s="59" t="n">
        <v>7</v>
      </c>
      <c r="B9" s="27" t="s">
        <v>278</v>
      </c>
      <c r="C9" s="27" t="s">
        <v>279</v>
      </c>
      <c r="D9" s="58" t="s">
        <v>280</v>
      </c>
      <c r="E9" s="80" t="s">
        <v>281</v>
      </c>
    </row>
    <row r="10" customFormat="false" ht="27.75" hidden="false" customHeight="true" outlineLevel="0" collapsed="false">
      <c r="A10" s="62" t="n">
        <v>8</v>
      </c>
      <c r="B10" s="19" t="s">
        <v>258</v>
      </c>
      <c r="C10" s="19" t="s">
        <v>282</v>
      </c>
      <c r="D10" s="61" t="s">
        <v>283</v>
      </c>
      <c r="E10" s="81" t="s">
        <v>284</v>
      </c>
    </row>
    <row r="11" customFormat="false" ht="27.75" hidden="false" customHeight="true" outlineLevel="0" collapsed="false">
      <c r="A11" s="59" t="n">
        <v>9</v>
      </c>
      <c r="B11" s="27" t="s">
        <v>258</v>
      </c>
      <c r="C11" s="27" t="s">
        <v>285</v>
      </c>
      <c r="D11" s="58" t="s">
        <v>286</v>
      </c>
      <c r="E11" s="80" t="s">
        <v>287</v>
      </c>
    </row>
    <row r="12" customFormat="false" ht="27.75" hidden="false" customHeight="true" outlineLevel="0" collapsed="false">
      <c r="A12" s="62" t="n">
        <v>10</v>
      </c>
      <c r="B12" s="19" t="s">
        <v>288</v>
      </c>
      <c r="C12" s="19" t="s">
        <v>289</v>
      </c>
      <c r="D12" s="61" t="s">
        <v>290</v>
      </c>
      <c r="E12" s="81" t="s">
        <v>291</v>
      </c>
    </row>
    <row r="13" customFormat="false" ht="27.75" hidden="false" customHeight="true" outlineLevel="0" collapsed="false">
      <c r="A13" s="59" t="n">
        <v>11</v>
      </c>
      <c r="B13" s="27" t="s">
        <v>288</v>
      </c>
      <c r="C13" s="27" t="s">
        <v>292</v>
      </c>
      <c r="D13" s="58" t="s">
        <v>293</v>
      </c>
      <c r="E13" s="80" t="s">
        <v>294</v>
      </c>
    </row>
    <row r="14" customFormat="false" ht="27.75" hidden="false" customHeight="true" outlineLevel="0" collapsed="false">
      <c r="A14" s="62" t="n">
        <v>12</v>
      </c>
      <c r="B14" s="19" t="s">
        <v>288</v>
      </c>
      <c r="C14" s="19" t="s">
        <v>275</v>
      </c>
      <c r="D14" s="61" t="s">
        <v>295</v>
      </c>
      <c r="E14" s="81" t="s">
        <v>296</v>
      </c>
    </row>
    <row r="16" customFormat="false" ht="15" hidden="false" customHeight="false" outlineLevel="0" collapsed="false">
      <c r="A16" s="50" t="s">
        <v>297</v>
      </c>
      <c r="B16" s="50"/>
      <c r="C16" s="50"/>
      <c r="D16" s="50"/>
      <c r="E16" s="50"/>
    </row>
    <row r="17" customFormat="false" ht="25.5" hidden="false" customHeight="true" outlineLevel="0" collapsed="false">
      <c r="A17" s="18" t="s">
        <v>298</v>
      </c>
      <c r="B17" s="18"/>
      <c r="C17" s="18"/>
      <c r="D17" s="18"/>
      <c r="E17" s="18"/>
    </row>
    <row r="18" customFormat="false" ht="25.5" hidden="false" customHeight="true" outlineLevel="0" collapsed="false">
      <c r="A18" s="18" t="s">
        <v>299</v>
      </c>
      <c r="B18" s="18"/>
      <c r="C18" s="18"/>
      <c r="D18" s="18"/>
      <c r="E18" s="18"/>
    </row>
    <row r="19" customFormat="false" ht="25.5" hidden="false" customHeight="true" outlineLevel="0" collapsed="false">
      <c r="A19" s="18" t="s">
        <v>300</v>
      </c>
      <c r="B19" s="18"/>
      <c r="C19" s="18"/>
      <c r="D19" s="18"/>
      <c r="E19" s="18"/>
    </row>
    <row r="20" customFormat="false" ht="25.5" hidden="false" customHeight="true" outlineLevel="0" collapsed="false">
      <c r="A20" s="18" t="s">
        <v>301</v>
      </c>
      <c r="B20" s="18"/>
      <c r="C20" s="18"/>
      <c r="D20" s="18"/>
      <c r="E20" s="18"/>
    </row>
    <row r="21" customFormat="false" ht="25.5" hidden="false" customHeight="true" outlineLevel="0" collapsed="false">
      <c r="A21" s="18" t="s">
        <v>302</v>
      </c>
      <c r="B21" s="18"/>
      <c r="C21" s="18"/>
      <c r="D21" s="18"/>
      <c r="E21" s="18"/>
    </row>
  </sheetData>
  <mergeCells count="7">
    <mergeCell ref="A1:E1"/>
    <mergeCell ref="A16:E16"/>
    <mergeCell ref="A17:E17"/>
    <mergeCell ref="A18:E18"/>
    <mergeCell ref="A19:E19"/>
    <mergeCell ref="A20:E20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2026-06-05T13:59:40Z</dcterms:created>
  <dc:creator>openpyxl</dc:creator>
  <dc:description/>
  <dc:language>en-US</dc:language>
  <cp:lastModifiedBy/>
  <dcterms:modified xsi:type="dcterms:W3CDTF">2026-06-05T13:59:40Z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