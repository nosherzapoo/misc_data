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 Exposure Mode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<sst xmlns="http://schemas.openxmlformats.org/spreadsheetml/2006/main" count="76" uniqueCount="72">
  <si>
    <t xml:space="preserve">LYV 2026E Middle East AOI Exposure: Top-Down Estimate</t>
  </si>
  <si>
    <t xml:space="preserve">ME is &lt;1% of total AOI; even full cancellation is immaterial vs. DOJ settlement</t>
  </si>
  <si>
    <t xml:space="preserve">GLOBAL CONTEXT</t>
  </si>
  <si>
    <t xml:space="preserve">FY24</t>
  </si>
  <si>
    <t xml:space="preserve">FY25</t>
  </si>
  <si>
    <t xml:space="preserve">FY26E</t>
  </si>
  <si>
    <t xml:space="preserve">Source</t>
  </si>
  <si>
    <t xml:space="preserve">Total Revenue ($M)</t>
  </si>
  <si>
    <t xml:space="preserve">Press release</t>
  </si>
  <si>
    <t xml:space="preserve">Total AOI ($M)</t>
  </si>
  <si>
    <t xml:space="preserve">International % of Revenue</t>
  </si>
  <si>
    <t xml:space="preserve">10-K: "~38% in FY24"; est. ~40% FY25</t>
  </si>
  <si>
    <t xml:space="preserve">International Revenue ($M)</t>
  </si>
  <si>
    <t xml:space="preserve">Calculated</t>
  </si>
  <si>
    <t xml:space="preserve">International AOI Share</t>
  </si>
  <si>
    <t xml:space="preserve">Est.: below rev share (US has more operated venues)</t>
  </si>
  <si>
    <t xml:space="preserve">International AOI ($M)</t>
  </si>
  <si>
    <t xml:space="preserve">MIDDLE EAST SHARE OF INTERNATIONAL</t>
  </si>
  <si>
    <t xml:space="preserve">Region</t>
  </si>
  <si>
    <t xml:space="preserve">Share of Intl Rev</t>
  </si>
  <si>
    <t xml:space="preserve">FY25E Rev ($M)</t>
  </si>
  <si>
    <t xml:space="preserve">FY26E Rev ($M)</t>
  </si>
  <si>
    <t xml:space="preserve">Basis</t>
  </si>
  <si>
    <t xml:space="preserve">Europe (UK + Continental)</t>
  </si>
  <si>
    <t xml:space="preserve">LYV largest intl markets: UK, Germany, France, Nordics, etc.</t>
  </si>
  <si>
    <t xml:space="preserve">Latin America (OCESA + Brazil + Chile)</t>
  </si>
  <si>
    <t xml:space="preserve">OCESA acquisition; Rock in Rio; Estadio GNP; BeLive Chile</t>
  </si>
  <si>
    <t xml:space="preserve">Asia-Pacific (AUS, NZ, Japan, SE Asia)</t>
  </si>
  <si>
    <t xml:space="preserve">Growing presence; Impact Arena Bangkok takeover in 2025</t>
  </si>
  <si>
    <t xml:space="preserve">Middle East (UAE, Saudi, Israel, Egypt)</t>
  </si>
  <si>
    <t xml:space="preserve">LN ME since 2007; no owned venues; TM ME since 2012</t>
  </si>
  <si>
    <t xml:space="preserve">Canada &amp; Other</t>
  </si>
  <si>
    <t xml:space="preserve">Rogers Stadium Toronto; established market</t>
  </si>
  <si>
    <t xml:space="preserve">Total</t>
  </si>
  <si>
    <t xml:space="preserve">ME AOI ESTIMATE</t>
  </si>
  <si>
    <t xml:space="preserve">FY25E</t>
  </si>
  <si>
    <t xml:space="preserve">ME Revenue ($M)</t>
  </si>
  <si>
    <t xml:space="preserve">From regional allocation above</t>
  </si>
  <si>
    <t xml:space="preserve">ME AOI Margin</t>
  </si>
  <si>
    <t xml:space="preserve">No operated venues = pure promotion. Lower than intl avg (8.9%)</t>
  </si>
  <si>
    <t xml:space="preserve">ME AOI ($M)</t>
  </si>
  <si>
    <t xml:space="preserve">As % of Total AOI</t>
  </si>
  <si>
    <t xml:space="preserve">As % of Concerts AOI</t>
  </si>
  <si>
    <t xml:space="preserve">FY26E ME AOI SENSITIVITY ($M)</t>
  </si>
  <si>
    <t xml:space="preserve">ME Share of Intl Rev ↓ / ME AOI Margin →</t>
  </si>
  <si>
    <t xml:space="preserve">...as % of 2026E Total AOI ($2,600M)</t>
  </si>
  <si>
    <t xml:space="preserve">POLLSTAR CROSS-CHECK</t>
  </si>
  <si>
    <t xml:space="preserve">LN ME Pollstar-Reported Gross (2023, best year)</t>
  </si>
  <si>
    <t xml:space="preserve">$28M</t>
  </si>
  <si>
    <t xml:space="preserve">Pollstar: 12 events reported</t>
  </si>
  <si>
    <t xml:space="preserve">Estimated Pollstar Coverage Rate</t>
  </si>
  <si>
    <t xml:space="preserve">30-50%</t>
  </si>
  <si>
    <t xml:space="preserve">BSB 12-show tour, only 3 in Pollstar; known missing events</t>
  </si>
  <si>
    <t xml:space="preserve">Est. True LN ME Gross (2023)</t>
  </si>
  <si>
    <t xml:space="preserve">$56-93M</t>
  </si>
  <si>
    <t xml:space="preserve">Grossed up for coverage</t>
  </si>
  <si>
    <t xml:space="preserve">Promotion Margin (~6%)</t>
  </si>
  <si>
    <t xml:space="preserve">$3-6M</t>
  </si>
  <si>
    <t xml:space="preserve">Concerts segment-level margin</t>
  </si>
  <si>
    <t xml:space="preserve">Add: TM + Sponsorship AOI</t>
  </si>
  <si>
    <t xml:space="preserve">$2-4M</t>
  </si>
  <si>
    <t xml:space="preserve">TM ME small; allocation-based; limited sponsorship</t>
  </si>
  <si>
    <t xml:space="preserve">Bottom-Up ME AOI Est.</t>
  </si>
  <si>
    <t xml:space="preserve">$5-10M</t>
  </si>
  <si>
    <t xml:space="preserve">Consistent with top-down base case of ~$12M</t>
  </si>
  <si>
    <t xml:space="preserve">CONCLUSION</t>
  </si>
  <si>
    <t xml:space="preserve">LYV 2026E ME AOI: $10-15M (base case ~$13M), representing ~0.5% of total AOI</t>
  </si>
  <si>
    <t xml:space="preserve">LN ME has ZERO operated venues. All events in third-party buildings. Pure promotion = low margin.</t>
  </si>
  <si>
    <t xml:space="preserve">Saudi PIF owns 5.7% of LYV (strategic relationship), but LN ME economics are de minimis.</t>
  </si>
  <si>
    <t xml:space="preserve">Even 100% cancellation of all ME events = &lt;1% AOI hit. Immaterial vs. DOJ settlement ($50-60M = ~2%).</t>
  </si>
  <si>
    <t xml:space="preserve">ME exposure is roughly 1/4 to 1/5 of the total DOJ settlement AOI impact.</t>
  </si>
  <si>
    <t xml:space="preserve">For comparison: a single bad weather weekend at US amphitheaters has larger AOI impact than full ME shutdown.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</si>
</sst>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.0%"/>
    <numFmt numFmtId="167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4E7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F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4" min="2" style="0" width="16"/>
    <col collapsed="false" customWidth="true" hidden="false" outlineLevel="0" max="5" min="5" style="0" width="55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/>
      <c r="B5" s="4" t="s">
        <v>3</v>
      </c>
      <c r="C5" s="4" t="s">
        <v>4</v>
      </c>
      <c r="D5" s="4" t="s">
        <v>5</v>
      </c>
      <c r="E5" s="4" t="s">
        <v>6</v>
      </c>
    </row>
    <row r="6" customFormat="false" ht="15" hidden="false" customHeight="false" outlineLevel="0" collapsed="false">
      <c r="A6" s="5" t="s">
        <v>7</v>
      </c>
      <c r="B6" s="6" t="n">
        <v>23160</v>
      </c>
      <c r="C6" s="6" t="n">
        <v>25200</v>
      </c>
      <c r="D6" s="7" t="n">
        <v>27200</v>
      </c>
      <c r="E6" s="2" t="s">
        <v>8</v>
      </c>
    </row>
    <row r="7" customFormat="false" ht="15" hidden="false" customHeight="false" outlineLevel="0" collapsed="false">
      <c r="A7" s="5" t="s">
        <v>9</v>
      </c>
      <c r="B7" s="6" t="n">
        <v>2150</v>
      </c>
      <c r="C7" s="6" t="n">
        <v>2370</v>
      </c>
      <c r="D7" s="7" t="n">
        <v>2600</v>
      </c>
      <c r="E7" s="2" t="s">
        <v>8</v>
      </c>
    </row>
    <row r="8" customFormat="false" ht="15" hidden="false" customHeight="false" outlineLevel="0" collapsed="false">
      <c r="A8" s="5" t="s">
        <v>10</v>
      </c>
      <c r="B8" s="8" t="n">
        <v>0.38</v>
      </c>
      <c r="C8" s="8" t="n">
        <v>0.4</v>
      </c>
      <c r="D8" s="9" t="n">
        <v>0.41</v>
      </c>
      <c r="E8" s="2" t="s">
        <v>11</v>
      </c>
    </row>
    <row r="9" customFormat="false" ht="15" hidden="false" customHeight="false" outlineLevel="0" collapsed="false">
      <c r="A9" s="5" t="s">
        <v>12</v>
      </c>
      <c r="B9" s="10" t="n">
        <f aca="false">B6*B8</f>
        <v>8800.8</v>
      </c>
      <c r="C9" s="10" t="n">
        <f aca="false">C6*C8</f>
        <v>10080</v>
      </c>
      <c r="D9" s="10" t="n">
        <f aca="false">D6*D8</f>
        <v>11152</v>
      </c>
      <c r="E9" s="2" t="s">
        <v>13</v>
      </c>
    </row>
    <row r="10" customFormat="false" ht="15" hidden="false" customHeight="false" outlineLevel="0" collapsed="false">
      <c r="A10" s="5" t="s">
        <v>14</v>
      </c>
      <c r="B10" s="8" t="n">
        <v>0.36</v>
      </c>
      <c r="C10" s="8" t="n">
        <v>0.38</v>
      </c>
      <c r="D10" s="9" t="n">
        <v>0.39</v>
      </c>
      <c r="E10" s="2" t="s">
        <v>15</v>
      </c>
    </row>
    <row r="11" customFormat="false" ht="15" hidden="false" customHeight="false" outlineLevel="0" collapsed="false">
      <c r="A11" s="5" t="s">
        <v>16</v>
      </c>
      <c r="B11" s="10" t="n">
        <f aca="false">B7*B10</f>
        <v>774</v>
      </c>
      <c r="C11" s="10" t="n">
        <f aca="false">C7*C10</f>
        <v>900.6</v>
      </c>
      <c r="D11" s="10" t="n">
        <f aca="false">D7*D10</f>
        <v>1014</v>
      </c>
      <c r="E11" s="2" t="s">
        <v>13</v>
      </c>
    </row>
    <row r="13" customFormat="false" ht="15" hidden="false" customHeight="false" outlineLevel="0" collapsed="false">
      <c r="A13" s="3" t="s">
        <v>17</v>
      </c>
    </row>
    <row r="14" customFormat="false" ht="15" hidden="false" customHeight="false" outlineLevel="0" collapsed="false">
      <c r="A14" s="4" t="s">
        <v>18</v>
      </c>
      <c r="B14" s="4" t="s">
        <v>19</v>
      </c>
      <c r="C14" s="4" t="s">
        <v>20</v>
      </c>
      <c r="D14" s="4" t="s">
        <v>21</v>
      </c>
      <c r="E14" s="4" t="s">
        <v>22</v>
      </c>
    </row>
    <row r="15" customFormat="false" ht="15" hidden="false" customHeight="false" outlineLevel="0" collapsed="false">
      <c r="A15" s="5" t="s">
        <v>23</v>
      </c>
      <c r="B15" s="9" t="n">
        <v>0.58</v>
      </c>
      <c r="C15" s="10" t="n">
        <f aca="false">B15*C9</f>
        <v>5846.4</v>
      </c>
      <c r="D15" s="10" t="n">
        <f aca="false">B15*D9</f>
        <v>6468.16</v>
      </c>
      <c r="E15" s="2" t="s">
        <v>24</v>
      </c>
    </row>
    <row r="16" customFormat="false" ht="15" hidden="false" customHeight="false" outlineLevel="0" collapsed="false">
      <c r="A16" s="5" t="s">
        <v>25</v>
      </c>
      <c r="B16" s="9" t="n">
        <v>0.23</v>
      </c>
      <c r="C16" s="10" t="n">
        <f aca="false">B16*C9</f>
        <v>2318.4</v>
      </c>
      <c r="D16" s="10" t="n">
        <f aca="false">B16*D9</f>
        <v>2564.96</v>
      </c>
      <c r="E16" s="2" t="s">
        <v>26</v>
      </c>
    </row>
    <row r="17" customFormat="false" ht="15" hidden="false" customHeight="false" outlineLevel="0" collapsed="false">
      <c r="A17" s="5" t="s">
        <v>27</v>
      </c>
      <c r="B17" s="9" t="n">
        <v>0.09</v>
      </c>
      <c r="C17" s="10" t="n">
        <f aca="false">B17*C9</f>
        <v>907.2</v>
      </c>
      <c r="D17" s="10" t="n">
        <f aca="false">B17*D9</f>
        <v>1003.68</v>
      </c>
      <c r="E17" s="2" t="s">
        <v>28</v>
      </c>
    </row>
    <row r="18" customFormat="false" ht="15" hidden="false" customHeight="false" outlineLevel="0" collapsed="false">
      <c r="A18" s="5" t="s">
        <v>29</v>
      </c>
      <c r="B18" s="9" t="n">
        <v>0.04</v>
      </c>
      <c r="C18" s="10" t="n">
        <f aca="false">B18*C9</f>
        <v>403.2</v>
      </c>
      <c r="D18" s="10" t="n">
        <f aca="false">B18*D9</f>
        <v>446.08</v>
      </c>
      <c r="E18" s="2" t="s">
        <v>30</v>
      </c>
    </row>
    <row r="19" customFormat="false" ht="15" hidden="false" customHeight="false" outlineLevel="0" collapsed="false">
      <c r="A19" s="5" t="s">
        <v>31</v>
      </c>
      <c r="B19" s="9" t="n">
        <v>0.06</v>
      </c>
      <c r="C19" s="10" t="n">
        <f aca="false">B19*C9</f>
        <v>604.8</v>
      </c>
      <c r="D19" s="10" t="n">
        <f aca="false">B19*D9</f>
        <v>669.12</v>
      </c>
      <c r="E19" s="2" t="s">
        <v>32</v>
      </c>
    </row>
    <row r="20" customFormat="false" ht="15" hidden="false" customHeight="false" outlineLevel="0" collapsed="false">
      <c r="A20" s="11" t="s">
        <v>33</v>
      </c>
      <c r="B20" s="12" t="n">
        <f aca="false">SUM(B15:B19)</f>
        <v>1</v>
      </c>
      <c r="C20" s="13" t="n">
        <f aca="false">SUM(C15:C19)</f>
        <v>10080</v>
      </c>
      <c r="D20" s="13" t="n">
        <f aca="false">SUM(D15:D19)</f>
        <v>11152</v>
      </c>
      <c r="E20" s="14"/>
    </row>
    <row r="22" customFormat="false" ht="15" hidden="false" customHeight="false" outlineLevel="0" collapsed="false">
      <c r="A22" s="3" t="s">
        <v>34</v>
      </c>
    </row>
    <row r="23" customFormat="false" ht="15" hidden="false" customHeight="false" outlineLevel="0" collapsed="false">
      <c r="A23" s="4"/>
      <c r="B23" s="4" t="s">
        <v>35</v>
      </c>
      <c r="C23" s="4" t="s">
        <v>5</v>
      </c>
      <c r="D23" s="4" t="s">
        <v>6</v>
      </c>
    </row>
    <row r="24" customFormat="false" ht="15" hidden="false" customHeight="false" outlineLevel="0" collapsed="false">
      <c r="A24" s="5" t="s">
        <v>36</v>
      </c>
      <c r="B24" s="15" t="n">
        <f aca="false">C18</f>
        <v>403.2</v>
      </c>
      <c r="C24" s="15" t="n">
        <f aca="false">D18</f>
        <v>446.08</v>
      </c>
      <c r="D24" s="2" t="s">
        <v>37</v>
      </c>
    </row>
    <row r="25" customFormat="false" ht="15" hidden="false" customHeight="false" outlineLevel="0" collapsed="false">
      <c r="A25" s="5" t="s">
        <v>38</v>
      </c>
      <c r="B25" s="9" t="n">
        <v>0.03</v>
      </c>
      <c r="C25" s="9" t="n">
        <v>0.03</v>
      </c>
      <c r="D25" s="2" t="s">
        <v>39</v>
      </c>
    </row>
    <row r="26" customFormat="false" ht="15" hidden="false" customHeight="false" outlineLevel="0" collapsed="false">
      <c r="A26" s="16" t="s">
        <v>40</v>
      </c>
      <c r="B26" s="17" t="n">
        <f aca="false">B24*B25</f>
        <v>12.096</v>
      </c>
      <c r="C26" s="17" t="n">
        <f aca="false">C24*C25</f>
        <v>13.3824</v>
      </c>
    </row>
    <row r="28" customFormat="false" ht="15" hidden="false" customHeight="false" outlineLevel="0" collapsed="false">
      <c r="A28" s="5" t="s">
        <v>41</v>
      </c>
      <c r="B28" s="18" t="n">
        <f aca="false">B26/C7</f>
        <v>0.00510379746835443</v>
      </c>
      <c r="C28" s="18" t="n">
        <f aca="false">C26/D7</f>
        <v>0.00514707692307692</v>
      </c>
    </row>
    <row r="29" customFormat="false" ht="15" hidden="false" customHeight="false" outlineLevel="0" collapsed="false">
      <c r="A29" s="5" t="s">
        <v>42</v>
      </c>
      <c r="B29" s="18" t="n">
        <f aca="false">B26/687</f>
        <v>0.0176069868995633</v>
      </c>
      <c r="C29" s="18" t="n">
        <f aca="false">C26/800</f>
        <v>0.016728</v>
      </c>
    </row>
    <row r="32" customFormat="false" ht="15" hidden="false" customHeight="false" outlineLevel="0" collapsed="false">
      <c r="A32" s="3" t="s">
        <v>43</v>
      </c>
    </row>
    <row r="33" customFormat="false" ht="15" hidden="false" customHeight="false" outlineLevel="0" collapsed="false">
      <c r="A33" s="16" t="s">
        <v>44</v>
      </c>
      <c r="B33" s="19" t="n">
        <v>0.02</v>
      </c>
      <c r="C33" s="19" t="n">
        <v>0.025</v>
      </c>
      <c r="D33" s="19" t="n">
        <v>0.03</v>
      </c>
      <c r="E33" s="19" t="n">
        <v>0.035</v>
      </c>
      <c r="F33" s="19" t="n">
        <v>0.04</v>
      </c>
    </row>
    <row r="34" customFormat="false" ht="15" hidden="false" customHeight="false" outlineLevel="0" collapsed="false">
      <c r="A34" s="20" t="n">
        <v>0.02</v>
      </c>
      <c r="B34" s="15" t="n">
        <v>4</v>
      </c>
      <c r="C34" s="15" t="n">
        <v>6</v>
      </c>
      <c r="D34" s="15" t="n">
        <v>7</v>
      </c>
      <c r="E34" s="15" t="n">
        <v>8</v>
      </c>
      <c r="F34" s="15" t="n">
        <v>9</v>
      </c>
    </row>
    <row r="35" customFormat="false" ht="15" hidden="false" customHeight="false" outlineLevel="0" collapsed="false">
      <c r="A35" s="20" t="n">
        <v>0.03</v>
      </c>
      <c r="B35" s="15" t="n">
        <v>7</v>
      </c>
      <c r="C35" s="15" t="n">
        <v>8</v>
      </c>
      <c r="D35" s="15" t="n">
        <v>10</v>
      </c>
      <c r="E35" s="15" t="n">
        <v>12</v>
      </c>
      <c r="F35" s="15" t="n">
        <v>13</v>
      </c>
    </row>
    <row r="36" customFormat="false" ht="15" hidden="false" customHeight="false" outlineLevel="0" collapsed="false">
      <c r="A36" s="21" t="n">
        <v>0.04</v>
      </c>
      <c r="B36" s="15" t="n">
        <v>9</v>
      </c>
      <c r="C36" s="15" t="n">
        <v>11</v>
      </c>
      <c r="D36" s="22" t="n">
        <v>13</v>
      </c>
      <c r="E36" s="15" t="n">
        <v>16</v>
      </c>
      <c r="F36" s="15" t="n">
        <v>18</v>
      </c>
    </row>
    <row r="37" customFormat="false" ht="15" hidden="false" customHeight="false" outlineLevel="0" collapsed="false">
      <c r="A37" s="20" t="n">
        <v>0.05</v>
      </c>
      <c r="B37" s="15" t="n">
        <v>11</v>
      </c>
      <c r="C37" s="15" t="n">
        <v>14</v>
      </c>
      <c r="D37" s="15" t="n">
        <v>17</v>
      </c>
      <c r="E37" s="15" t="n">
        <v>20</v>
      </c>
      <c r="F37" s="15" t="n">
        <v>22</v>
      </c>
    </row>
    <row r="38" customFormat="false" ht="15" hidden="false" customHeight="false" outlineLevel="0" collapsed="false">
      <c r="A38" s="20" t="n">
        <v>0.06</v>
      </c>
      <c r="B38" s="15" t="n">
        <v>13</v>
      </c>
      <c r="C38" s="15" t="n">
        <v>17</v>
      </c>
      <c r="D38" s="15" t="n">
        <v>20</v>
      </c>
      <c r="E38" s="15" t="n">
        <v>23</v>
      </c>
      <c r="F38" s="15" t="n">
        <v>27</v>
      </c>
    </row>
    <row r="40" customFormat="false" ht="15" hidden="false" customHeight="false" outlineLevel="0" collapsed="false">
      <c r="A40" s="3" t="s">
        <v>45</v>
      </c>
      <c r="B40" s="19" t="n">
        <v>0.02</v>
      </c>
      <c r="C40" s="19" t="n">
        <v>0.025</v>
      </c>
      <c r="D40" s="19" t="n">
        <v>0.03</v>
      </c>
      <c r="E40" s="19" t="n">
        <v>0.035</v>
      </c>
      <c r="F40" s="19" t="n">
        <v>0.04</v>
      </c>
    </row>
    <row r="41" customFormat="false" ht="15" hidden="false" customHeight="false" outlineLevel="0" collapsed="false">
      <c r="A41" s="20" t="n">
        <v>0.02</v>
      </c>
      <c r="B41" s="18" t="n">
        <f aca="false">B34/2600</f>
        <v>0.00153846153846154</v>
      </c>
      <c r="C41" s="18" t="n">
        <f aca="false">C34/2600</f>
        <v>0.00230769230769231</v>
      </c>
      <c r="D41" s="18" t="n">
        <f aca="false">D34/2600</f>
        <v>0.00269230769230769</v>
      </c>
      <c r="E41" s="18" t="n">
        <f aca="false">E34/2600</f>
        <v>0.00307692307692308</v>
      </c>
      <c r="F41" s="18" t="n">
        <f aca="false">F34/2600</f>
        <v>0.00346153846153846</v>
      </c>
    </row>
    <row r="42" customFormat="false" ht="15" hidden="false" customHeight="false" outlineLevel="0" collapsed="false">
      <c r="A42" s="20" t="n">
        <v>0.03</v>
      </c>
      <c r="B42" s="18" t="n">
        <f aca="false">B35/2600</f>
        <v>0.00269230769230769</v>
      </c>
      <c r="C42" s="18" t="n">
        <f aca="false">C35/2600</f>
        <v>0.00307692307692308</v>
      </c>
      <c r="D42" s="18" t="n">
        <f aca="false">D35/2600</f>
        <v>0.00384615384615385</v>
      </c>
      <c r="E42" s="18" t="n">
        <f aca="false">E35/2600</f>
        <v>0.00461538461538462</v>
      </c>
      <c r="F42" s="18" t="n">
        <f aca="false">F35/2600</f>
        <v>0.005</v>
      </c>
    </row>
    <row r="43" customFormat="false" ht="15" hidden="false" customHeight="false" outlineLevel="0" collapsed="false">
      <c r="A43" s="20" t="n">
        <v>0.04</v>
      </c>
      <c r="B43" s="18" t="n">
        <f aca="false">B36/2600</f>
        <v>0.00346153846153846</v>
      </c>
      <c r="C43" s="18" t="n">
        <f aca="false">C36/2600</f>
        <v>0.00423076923076923</v>
      </c>
      <c r="D43" s="23" t="n">
        <f aca="false">D36/2600</f>
        <v>0.005</v>
      </c>
      <c r="E43" s="18" t="n">
        <f aca="false">E36/2600</f>
        <v>0.00615384615384615</v>
      </c>
      <c r="F43" s="18" t="n">
        <f aca="false">F36/2600</f>
        <v>0.00692307692307692</v>
      </c>
    </row>
    <row r="44" customFormat="false" ht="15" hidden="false" customHeight="false" outlineLevel="0" collapsed="false">
      <c r="A44" s="20" t="n">
        <v>0.05</v>
      </c>
      <c r="B44" s="18" t="n">
        <f aca="false">B37/2600</f>
        <v>0.00423076923076923</v>
      </c>
      <c r="C44" s="18" t="n">
        <f aca="false">C37/2600</f>
        <v>0.00538461538461538</v>
      </c>
      <c r="D44" s="18" t="n">
        <f aca="false">D37/2600</f>
        <v>0.00653846153846154</v>
      </c>
      <c r="E44" s="18" t="n">
        <f aca="false">E37/2600</f>
        <v>0.00769230769230769</v>
      </c>
      <c r="F44" s="18" t="n">
        <f aca="false">F37/2600</f>
        <v>0.00846153846153846</v>
      </c>
    </row>
    <row r="45" customFormat="false" ht="15" hidden="false" customHeight="false" outlineLevel="0" collapsed="false">
      <c r="A45" s="20" t="n">
        <v>0.06</v>
      </c>
      <c r="B45" s="18" t="n">
        <f aca="false">B38/2600</f>
        <v>0.005</v>
      </c>
      <c r="C45" s="18" t="n">
        <f aca="false">C38/2600</f>
        <v>0.00653846153846154</v>
      </c>
      <c r="D45" s="18" t="n">
        <f aca="false">D38/2600</f>
        <v>0.00769230769230769</v>
      </c>
      <c r="E45" s="18" t="n">
        <f aca="false">E38/2600</f>
        <v>0.00884615384615385</v>
      </c>
      <c r="F45" s="18" t="n">
        <f aca="false">F38/2600</f>
        <v>0.0103846153846154</v>
      </c>
    </row>
    <row r="47" customFormat="false" ht="15" hidden="false" customHeight="false" outlineLevel="0" collapsed="false">
      <c r="A47" s="3" t="s">
        <v>46</v>
      </c>
    </row>
    <row r="48" customFormat="false" ht="15" hidden="false" customHeight="false" outlineLevel="0" collapsed="false">
      <c r="A48" s="5" t="s">
        <v>47</v>
      </c>
      <c r="B48" s="16" t="s">
        <v>48</v>
      </c>
      <c r="D48" s="2" t="s">
        <v>49</v>
      </c>
    </row>
    <row r="49" customFormat="false" ht="15" hidden="false" customHeight="false" outlineLevel="0" collapsed="false">
      <c r="A49" s="5" t="s">
        <v>50</v>
      </c>
      <c r="B49" s="16" t="s">
        <v>51</v>
      </c>
      <c r="D49" s="2" t="s">
        <v>52</v>
      </c>
    </row>
    <row r="50" customFormat="false" ht="15" hidden="false" customHeight="false" outlineLevel="0" collapsed="false">
      <c r="A50" s="5" t="s">
        <v>53</v>
      </c>
      <c r="B50" s="16" t="s">
        <v>54</v>
      </c>
      <c r="D50" s="2" t="s">
        <v>55</v>
      </c>
    </row>
    <row r="51" customFormat="false" ht="15" hidden="false" customHeight="false" outlineLevel="0" collapsed="false">
      <c r="A51" s="5" t="s">
        <v>56</v>
      </c>
      <c r="B51" s="16" t="s">
        <v>57</v>
      </c>
      <c r="D51" s="2" t="s">
        <v>58</v>
      </c>
    </row>
    <row r="52" customFormat="false" ht="15" hidden="false" customHeight="false" outlineLevel="0" collapsed="false">
      <c r="A52" s="5" t="s">
        <v>59</v>
      </c>
      <c r="B52" s="16" t="s">
        <v>60</v>
      </c>
      <c r="D52" s="2" t="s">
        <v>61</v>
      </c>
    </row>
    <row r="53" customFormat="false" ht="15" hidden="false" customHeight="false" outlineLevel="0" collapsed="false">
      <c r="A53" s="5" t="s">
        <v>62</v>
      </c>
      <c r="B53" s="16" t="s">
        <v>63</v>
      </c>
      <c r="D53" s="2" t="s">
        <v>64</v>
      </c>
    </row>
    <row r="55" customFormat="false" ht="15" hidden="false" customHeight="false" outlineLevel="0" collapsed="false">
      <c r="A55" s="3" t="s">
        <v>65</v>
      </c>
    </row>
    <row r="56" customFormat="false" ht="15" hidden="false" customHeight="false" outlineLevel="0" collapsed="false">
      <c r="A56" s="5" t="s">
        <v>66</v>
      </c>
    </row>
    <row r="57" customFormat="false" ht="15" hidden="false" customHeight="false" outlineLevel="0" collapsed="false">
      <c r="A57" s="5" t="s">
        <v>67</v>
      </c>
    </row>
    <row r="58" customFormat="false" ht="15" hidden="false" customHeight="false" outlineLevel="0" collapsed="false">
      <c r="A58" s="5" t="s">
        <v>68</v>
      </c>
    </row>
    <row r="59" customFormat="false" ht="15" hidden="false" customHeight="false" outlineLevel="0" collapsed="false">
      <c r="A59" s="5" t="s">
        <v>69</v>
      </c>
    </row>
    <row r="60" customFormat="false" ht="15" hidden="false" customHeight="false" outlineLevel="0" collapsed="false">
      <c r="A60" s="5" t="s">
        <v>70</v>
      </c>
    </row>
    <row r="61" customFormat="false" ht="15" hidden="false" customHeight="false" outlineLevel="0" collapsed="false">
      <c r="A61" s="5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2026-03-13T22:14:42Z</dcterms:created>
  <dc:creator>openpyxl</dc:creator>
  <dc:description/>
  <dc:language>en-US</dc:language>
  <cp:lastModifiedBy/>
  <dcterms:modified xsi:type="dcterms:W3CDTF">2026-03-13T22:14:42Z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