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 Fees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<sst xmlns="http://schemas.openxmlformats.org/spreadsheetml/2006/main" count="156" uniqueCount="113">
  <si>
    <t xml:space="preserve">Gulf Site Fees / FIPs vs Other Regions: F1, MotoGP, WWE</t>
  </si>
  <si>
    <t xml:space="preserve">Race Promotion Fees (F1/MotoGP) &amp; Financial Incentive Packages (WWE)  |  All figures $M USD, annual</t>
  </si>
  <si>
    <t xml:space="preserve">FORMULA 1 — Race Promotion Fees (paid by circuit/govt to Liberty Media/FWONK)</t>
  </si>
  <si>
    <t xml:space="preserve">Circuit</t>
  </si>
  <si>
    <t xml:space="preserve">Region</t>
  </si>
  <si>
    <t xml:space="preserve">Annual Fee ($M)</t>
  </si>
  <si>
    <t xml:space="preserve">Contract Term</t>
  </si>
  <si>
    <t xml:space="preserve">Total Commitment</t>
  </si>
  <si>
    <t xml:space="preserve">Source / Notes</t>
  </si>
  <si>
    <t xml:space="preserve">Qatar (Lusail)</t>
  </si>
  <si>
    <t xml:space="preserve">Gulf</t>
  </si>
  <si>
    <t xml:space="preserve">2023-2032 (10yr)</t>
  </si>
  <si>
    <t xml:space="preserve">RacingNews365 (Feb 2023); arthnova.com (Feb 2025). Highest individual fee on calendar.</t>
  </si>
  <si>
    <t xml:space="preserve">Saudi Arabia (Jeddah)</t>
  </si>
  <si>
    <t xml:space="preserve">2021-2030+ (10yr)</t>
  </si>
  <si>
    <t xml:space="preserve">RacingNews365; Yahoo Sports (Mar 2026). Joint-highest w/ Qatar. Total Saudi F1 spend &gt;$100M/yr incl. Aramco sponsorship.</t>
  </si>
  <si>
    <t xml:space="preserve">Bahrain (Sakhir)</t>
  </si>
  <si>
    <t xml:space="preserve">Through 2036</t>
  </si>
  <si>
    <t xml:space="preserve">Yahoo Sports (Mar 7, 2026); Formulapedia. Longest contract on calendar. Bahrain SWF owns McLaren Racing.</t>
  </si>
  <si>
    <t xml:space="preserve">Abu Dhabi (Yas Marina)</t>
  </si>
  <si>
    <t xml:space="preserve">Through 2030</t>
  </si>
  <si>
    <t xml:space="preserve">Total Motorsport (Jun 2025); arthnova.com. Part of $40B Yas Island investment.</t>
  </si>
  <si>
    <t xml:space="preserve">Azerbaijan (Baku)</t>
  </si>
  <si>
    <t xml:space="preserve">Gulf/CIS</t>
  </si>
  <si>
    <t xml:space="preserve">Through 2026</t>
  </si>
  <si>
    <t xml:space="preserve">Statista/RacingNews365. Highest single circuit fee reported.</t>
  </si>
  <si>
    <t xml:space="preserve">Singapore (Marina Bay)</t>
  </si>
  <si>
    <t xml:space="preserve">Asia</t>
  </si>
  <si>
    <t xml:space="preserve">Through 2028</t>
  </si>
  <si>
    <t xml:space="preserve">Total Motorsport. Generates $150-200M in tourism ROI per race weekend.</t>
  </si>
  <si>
    <t xml:space="preserve">China (Shanghai)</t>
  </si>
  <si>
    <t xml:space="preserve">Through 2025+</t>
  </si>
  <si>
    <t xml:space="preserve">RacingNews365. Returned to calendar in 2024 after COVID hiatus.</t>
  </si>
  <si>
    <t xml:space="preserve">Japan (Suzuka)</t>
  </si>
  <si>
    <t xml:space="preserve">Through 2029</t>
  </si>
  <si>
    <t xml:space="preserve">Estimated; Total Motorsport. Honda/Suzuka heritage circuit.</t>
  </si>
  <si>
    <t xml:space="preserve">Monaco (Monte Carlo)</t>
  </si>
  <si>
    <t xml:space="preserve">Europe</t>
  </si>
  <si>
    <t xml:space="preserve">2026+ (renewed)</t>
  </si>
  <si>
    <t xml:space="preserve">BlackBook Motorsport (May 2024). Was $20M, renegotiated upward after 2025 expiry. Lowest legacy fee.</t>
  </si>
  <si>
    <t xml:space="preserve">Silverstone (UK)</t>
  </si>
  <si>
    <t xml:space="preserve">Through 2026+</t>
  </si>
  <si>
    <t xml:space="preserve">RacingNews365 (Feb 2023). First-ever F1 race venue (1950). Under commercial pressure.</t>
  </si>
  <si>
    <t xml:space="preserve">Spain (Barcelona→Madrid)</t>
  </si>
  <si>
    <t xml:space="preserve">Through 2031</t>
  </si>
  <si>
    <t xml:space="preserve">Estimated; RacingNews365. Madrid replaces Barcelona from 2026.</t>
  </si>
  <si>
    <t xml:space="preserve">Italy (Monza)</t>
  </si>
  <si>
    <t xml:space="preserve">Estimated; arthnova.com. Heritage circuit, lower tier fees.</t>
  </si>
  <si>
    <t xml:space="preserve">Miami</t>
  </si>
  <si>
    <t xml:space="preserve">US</t>
  </si>
  <si>
    <t xml:space="preserve">Through 2031 (10yr)</t>
  </si>
  <si>
    <t xml:space="preserve">arthnova.com. Co-promotion model — Liberty invests directly, no standard hosting fee.</t>
  </si>
  <si>
    <t xml:space="preserve">Las Vegas</t>
  </si>
  <si>
    <t xml:space="preserve">Through 2032+</t>
  </si>
  <si>
    <t xml:space="preserve">arthnova.com. Co-promotion model — Liberty takes direct financial participation.</t>
  </si>
  <si>
    <t xml:space="preserve">F1 Gulf Subtotal (4 races)</t>
  </si>
  <si>
    <t xml:space="preserve">F1 European Avg (sample)</t>
  </si>
  <si>
    <t xml:space="preserve">Gulf Premium vs European Avg</t>
  </si>
  <si>
    <t xml:space="preserve">MotoGP — Race Hosting Fees (paid by circuit/govt to Dorna/Liberty Media)</t>
  </si>
  <si>
    <t xml:space="preserve">Long-term</t>
  </si>
  <si>
    <t xml:space="preserve">MotoMatters (Dec 2022): "Qatar pay a lot of money...enough to cover transport costs for most flyaway races." Est. $15M+ (well above avg). Night race since 2008.</t>
  </si>
  <si>
    <t xml:space="preserve">Indonesia (Mandalika)</t>
  </si>
  <si>
    <t xml:space="preserve">2022-2026+</t>
  </si>
  <si>
    <t xml:space="preserve">VOI.id (Sep 2024): Hosting fee €12.85M (~$14M) incl. taxes per ITDC filings. Govt-subsidized.</t>
  </si>
  <si>
    <t xml:space="preserve">Thailand (Buriram)</t>
  </si>
  <si>
    <t xml:space="preserve">2018-2026+</t>
  </si>
  <si>
    <t xml:space="preserve">Estimated. Govt-backed; AMW Group: $8-15M range for non-European circuits.</t>
  </si>
  <si>
    <t xml:space="preserve">Japan (Motegi)</t>
  </si>
  <si>
    <t xml:space="preserve">Estimated. Honda heritage venue. MotoMatters: avg €5-8M for est. circuits.</t>
  </si>
  <si>
    <t xml:space="preserve">Malaysia (Sepang)</t>
  </si>
  <si>
    <t xml:space="preserve">Estimated. Govt-backed tourism circuit. MotoMatters avg range.</t>
  </si>
  <si>
    <t xml:space="preserve">Spain (Jerez)</t>
  </si>
  <si>
    <t xml:space="preserve">Asphalt &amp; Rubber (2011): Jerez/Valencia ~€8M. Likely similar today. Regional govt subsidy.</t>
  </si>
  <si>
    <t xml:space="preserve">Spain (Barcelona)</t>
  </si>
  <si>
    <t xml:space="preserve">Asphalt &amp; Rubber: comparable to Jerez. Multiple Spanish GPs keep fees competitive.</t>
  </si>
  <si>
    <t xml:space="preserve">Italy (Mugello)</t>
  </si>
  <si>
    <t xml:space="preserve">MotoMatters: European races avg €5-8M. Ferrari-owned circuit.</t>
  </si>
  <si>
    <t xml:space="preserve">Netherlands (Assen)</t>
  </si>
  <si>
    <t xml:space="preserve">MotoMatters: "Assen, Le Mans bring massive crowds...profitable without subsidy." Lower range.</t>
  </si>
  <si>
    <t xml:space="preserve">Germany (Sachsenring)</t>
  </si>
  <si>
    <t xml:space="preserve">MotoMatters: "Sachsenring...barely breaks even" despite large crowds due to temp infrastructure.</t>
  </si>
  <si>
    <t xml:space="preserve">MotoGP Qatar vs European Avg</t>
  </si>
  <si>
    <t xml:space="preserve">WWE — Site Fees / FIPs (paid by Saudi govt to TKO/WWE)</t>
  </si>
  <si>
    <t xml:space="preserve">Event / Venue</t>
  </si>
  <si>
    <t xml:space="preserve">Fee Per Event ($M)</t>
  </si>
  <si>
    <t xml:space="preserve">Frequency</t>
  </si>
  <si>
    <t xml:space="preserve">Annual Total ($M)</t>
  </si>
  <si>
    <t xml:space="preserve">Saudi Arabia PLEs (standard)</t>
  </si>
  <si>
    <t xml:space="preserve">2x/yr (typical)</t>
  </si>
  <si>
    <t xml:space="preserve">Wrestlenomics (Thurston, 2020/2021): $50-55M per event confirmed via WWE CAO declaration under penalty of perjury. Wrestling Observer (Meltzer, Nov 2025): $55M per PLE.</t>
  </si>
  <si>
    <t xml:space="preserve">Royal Rumble 2026 (Riyadh)</t>
  </si>
  <si>
    <t xml:space="preserve">1x (2026)</t>
  </si>
  <si>
    <t xml:space="preserve">Wrestling Observer (Meltzer, Nov 2025): "well over" $55M for Royal Rumble — first Big Five PLE in Saudi. Est. $60-70M.</t>
  </si>
  <si>
    <t xml:space="preserve">2026 Saudi Total (3 PLEs)</t>
  </si>
  <si>
    <t xml:space="preserve">3 PLEs in 2026</t>
  </si>
  <si>
    <t xml:space="preserve">Fightful Select (Jul 2025); PWInsider (Feb 2026). 3 PLEs confirmed for 2026 — up from typical 2/yr.</t>
  </si>
  <si>
    <t xml:space="preserve">WrestleMania (US, typical)</t>
  </si>
  <si>
    <t xml:space="preserve">1x/yr</t>
  </si>
  <si>
    <t xml:space="preserve">No FIP — gate/ticket revenue model. Largest gate ever: $20.8M at WM 39 (2023). WWE pays venue rental.</t>
  </si>
  <si>
    <t xml:space="preserve">SummerSlam (US, typical)</t>
  </si>
  <si>
    <t xml:space="preserve">No FIP — gate/ticket revenue model. Typical gate $8-15M.</t>
  </si>
  <si>
    <t xml:space="preserve">Typical US PLE</t>
  </si>
  <si>
    <t xml:space="preserve">~10/yr</t>
  </si>
  <si>
    <t xml:space="preserve">No FIP. WWE generates revenue from tickets ($5-17M gate), merch, sponsorship. No govt site fee.</t>
  </si>
  <si>
    <t xml:space="preserve">KEY TAKEAWAYS &amp; CAVEATS</t>
  </si>
  <si>
    <t xml:space="preserve">1. F1 Gulf races pay ~$49M avg vs ~$26M European avg — a ~88% premium. The 4 Gulf races alone generate ~$197M in hosting fees, or ~18% of F1's total ~$1.07B in race promotion revenue from just 4 of 24 races.</t>
  </si>
  <si>
    <t xml:space="preserve">2. WWE Saudi FIPs ($50-55M/event) dwarf all other WWE revenue per event. For context: the largest WrestleMania gate ever was $20.8M. Each Saudi PLE generates ~3x WrestleMania's best gate.</t>
  </si>
  <si>
    <t xml:space="preserve">3. MotoGP fees are ~10x smaller than F1 fees. Qatar pays ~$15M vs European avg of ~$6M — a ~2.3x premium. MotoMatters: "Qatar needs MotoGP more than MotoGP needs Qatar."</t>
  </si>
  <si>
    <t xml:space="preserve">4. All F1 figures are estimates based on RacingNews365 (2023), arthnova.com (2025), Total Motorsport (2025), Yahoo Sports (Mar 2026). Exact fees are commercially confidential.</t>
  </si>
  <si>
    <t xml:space="preserve">5. MotoGP fees even less transparent than F1. Ranges from MotoMatters (Dec 2022), AMW Group, and Indonesian ITDC public filings. Dorna/Liberty do not disclose.</t>
  </si>
  <si>
    <t xml:space="preserve">6. WWE Saudi fees are best-documented: confirmed via WWE CAO Mark Kowal's declaration under penalty of perjury (Wrestlenomics, 2020) and WWE quarterly filings.</t>
  </si>
  <si>
    <t xml:space="preserve">7. F1 contracts typically include 5% annual escalators, so actual 2026 fees may be higher than base figures shown. Most data anchored to 2022-2023 reporting.</t>
  </si>
  <si>
    <t xml:space="preserve">8. Blue text = hardcoded input assumptions. All other values are formulas or text.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</si>
</sst>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9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10600"/>
        <bgColor rgb="FFBE0A17"/>
      </patternFill>
    </fill>
    <fill>
      <patternFill patternType="solid">
        <fgColor rgb="FF1B2A4A"/>
        <bgColor rgb="FF003366"/>
      </patternFill>
    </fill>
    <fill>
      <patternFill patternType="solid">
        <fgColor rgb="FFFFF3E0"/>
        <bgColor rgb="FFFEF9E7"/>
      </patternFill>
    </fill>
    <fill>
      <patternFill patternType="solid">
        <fgColor rgb="FFE0F2F1"/>
        <bgColor rgb="FFE8F8F5"/>
      </patternFill>
    </fill>
    <fill>
      <patternFill patternType="solid">
        <fgColor rgb="FFE8EAF6"/>
        <bgColor rgb="FFE0F2F1"/>
      </patternFill>
    </fill>
    <fill>
      <patternFill patternType="solid">
        <fgColor rgb="FFFCE4EC"/>
        <bgColor rgb="FFFADBD8"/>
      </patternFill>
    </fill>
    <fill>
      <patternFill patternType="solid">
        <fgColor rgb="FFE8F8F5"/>
        <bgColor rgb="FFE0F2F1"/>
      </patternFill>
    </fill>
    <fill>
      <patternFill patternType="solid">
        <fgColor rgb="FFFADBD8"/>
        <bgColor rgb="FFFCE4EC"/>
      </patternFill>
    </fill>
    <fill>
      <patternFill patternType="solid">
        <fgColor rgb="FFBE0A17"/>
        <bgColor rgb="FFE10600"/>
      </patternFill>
    </fill>
    <fill>
      <patternFill patternType="solid">
        <fgColor rgb="FF005DAA"/>
        <bgColor rgb="FF008080"/>
      </patternFill>
    </fill>
    <fill>
      <patternFill patternType="solid">
        <fgColor rgb="FFFEF9E7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0600"/>
      <rgbColor rgb="FF00FF00"/>
      <rgbColor rgb="FF0000FF"/>
      <rgbColor rgb="FFFFFF00"/>
      <rgbColor rgb="FFFF00FF"/>
      <rgbColor rgb="FF00FFFF"/>
      <rgbColor rgb="FFBE0A17"/>
      <rgbColor rgb="FF008000"/>
      <rgbColor rgb="FF000080"/>
      <rgbColor rgb="FF808000"/>
      <rgbColor rgb="FF800080"/>
      <rgbColor rgb="FF008080"/>
      <rgbColor rgb="FFCCCCCC"/>
      <rgbColor rgb="FF7F8C8D"/>
      <rgbColor rgb="FF9999FF"/>
      <rgbColor rgb="FF993366"/>
      <rgbColor rgb="FFFEF9E7"/>
      <rgbColor rgb="FFE0F2F1"/>
      <rgbColor rgb="FF660066"/>
      <rgbColor rgb="FFFF8080"/>
      <rgbColor rgb="FF005DAA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F5"/>
      <rgbColor rgb="FFE8EAF6"/>
      <rgbColor rgb="FFFFF3E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555555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5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36" hidden="false" customHeight="true" outlineLevel="0" collapsed="false">
      <c r="A6" s="6" t="s">
        <v>9</v>
      </c>
      <c r="B6" s="6" t="s">
        <v>10</v>
      </c>
      <c r="C6" s="7" t="n">
        <v>55</v>
      </c>
      <c r="D6" s="8" t="s">
        <v>11</v>
      </c>
      <c r="E6" s="9" t="n">
        <f aca="false">C6*10</f>
        <v>550</v>
      </c>
      <c r="F6" s="10" t="s">
        <v>12</v>
      </c>
    </row>
    <row r="7" customFormat="false" ht="36" hidden="false" customHeight="true" outlineLevel="0" collapsed="false">
      <c r="A7" s="6" t="s">
        <v>13</v>
      </c>
      <c r="B7" s="6" t="s">
        <v>10</v>
      </c>
      <c r="C7" s="7" t="n">
        <v>55</v>
      </c>
      <c r="D7" s="8" t="s">
        <v>14</v>
      </c>
      <c r="E7" s="9" t="n">
        <f aca="false">C7*10</f>
        <v>550</v>
      </c>
      <c r="F7" s="10" t="s">
        <v>15</v>
      </c>
    </row>
    <row r="8" customFormat="false" ht="36" hidden="false" customHeight="true" outlineLevel="0" collapsed="false">
      <c r="A8" s="6" t="s">
        <v>16</v>
      </c>
      <c r="B8" s="6" t="s">
        <v>10</v>
      </c>
      <c r="C8" s="7" t="n">
        <v>45</v>
      </c>
      <c r="D8" s="8" t="s">
        <v>17</v>
      </c>
      <c r="E8" s="9" t="n">
        <f aca="false">C8*14</f>
        <v>630</v>
      </c>
      <c r="F8" s="10" t="s">
        <v>18</v>
      </c>
    </row>
    <row r="9" customFormat="false" ht="36" hidden="false" customHeight="true" outlineLevel="0" collapsed="false">
      <c r="A9" s="6" t="s">
        <v>19</v>
      </c>
      <c r="B9" s="6" t="s">
        <v>10</v>
      </c>
      <c r="C9" s="7" t="n">
        <v>42</v>
      </c>
      <c r="D9" s="8" t="s">
        <v>20</v>
      </c>
      <c r="E9" s="9" t="n">
        <f aca="false">C9*8</f>
        <v>336</v>
      </c>
      <c r="F9" s="10" t="s">
        <v>21</v>
      </c>
    </row>
    <row r="10" customFormat="false" ht="36" hidden="false" customHeight="true" outlineLevel="0" collapsed="false">
      <c r="A10" s="6" t="s">
        <v>22</v>
      </c>
      <c r="B10" s="6" t="s">
        <v>23</v>
      </c>
      <c r="C10" s="7" t="n">
        <v>57</v>
      </c>
      <c r="D10" s="8" t="s">
        <v>24</v>
      </c>
      <c r="E10" s="9" t="n">
        <f aca="false">C10*5</f>
        <v>285</v>
      </c>
      <c r="F10" s="10" t="s">
        <v>25</v>
      </c>
    </row>
    <row r="11" customFormat="false" ht="36" hidden="false" customHeight="true" outlineLevel="0" collapsed="false">
      <c r="A11" s="11" t="s">
        <v>26</v>
      </c>
      <c r="B11" s="11" t="s">
        <v>27</v>
      </c>
      <c r="C11" s="12" t="n">
        <v>38</v>
      </c>
      <c r="D11" s="13" t="s">
        <v>28</v>
      </c>
      <c r="E11" s="14" t="n">
        <f aca="false">C11*7</f>
        <v>266</v>
      </c>
      <c r="F11" s="15" t="s">
        <v>29</v>
      </c>
    </row>
    <row r="12" customFormat="false" ht="36" hidden="false" customHeight="true" outlineLevel="0" collapsed="false">
      <c r="A12" s="11" t="s">
        <v>30</v>
      </c>
      <c r="B12" s="11" t="s">
        <v>27</v>
      </c>
      <c r="C12" s="12" t="n">
        <v>40</v>
      </c>
      <c r="D12" s="13" t="s">
        <v>31</v>
      </c>
      <c r="E12" s="14"/>
      <c r="F12" s="15" t="s">
        <v>32</v>
      </c>
    </row>
    <row r="13" customFormat="false" ht="36" hidden="false" customHeight="true" outlineLevel="0" collapsed="false">
      <c r="A13" s="11" t="s">
        <v>33</v>
      </c>
      <c r="B13" s="11" t="s">
        <v>27</v>
      </c>
      <c r="C13" s="12" t="n">
        <v>30</v>
      </c>
      <c r="D13" s="13" t="s">
        <v>34</v>
      </c>
      <c r="E13" s="14"/>
      <c r="F13" s="15" t="s">
        <v>35</v>
      </c>
    </row>
    <row r="14" customFormat="false" ht="36" hidden="false" customHeight="true" outlineLevel="0" collapsed="false">
      <c r="A14" s="16" t="s">
        <v>36</v>
      </c>
      <c r="B14" s="16" t="s">
        <v>37</v>
      </c>
      <c r="C14" s="17" t="n">
        <v>32</v>
      </c>
      <c r="D14" s="18" t="s">
        <v>38</v>
      </c>
      <c r="E14" s="19"/>
      <c r="F14" s="20" t="s">
        <v>39</v>
      </c>
    </row>
    <row r="15" customFormat="false" ht="36" hidden="false" customHeight="true" outlineLevel="0" collapsed="false">
      <c r="A15" s="16" t="s">
        <v>40</v>
      </c>
      <c r="B15" s="16" t="s">
        <v>37</v>
      </c>
      <c r="C15" s="17" t="n">
        <v>26</v>
      </c>
      <c r="D15" s="18" t="s">
        <v>41</v>
      </c>
      <c r="E15" s="19"/>
      <c r="F15" s="20" t="s">
        <v>42</v>
      </c>
    </row>
    <row r="16" customFormat="false" ht="36" hidden="false" customHeight="true" outlineLevel="0" collapsed="false">
      <c r="A16" s="16" t="s">
        <v>43</v>
      </c>
      <c r="B16" s="16" t="s">
        <v>37</v>
      </c>
      <c r="C16" s="17" t="n">
        <v>25</v>
      </c>
      <c r="D16" s="18" t="s">
        <v>44</v>
      </c>
      <c r="E16" s="19"/>
      <c r="F16" s="20" t="s">
        <v>45</v>
      </c>
    </row>
    <row r="17" customFormat="false" ht="36" hidden="false" customHeight="true" outlineLevel="0" collapsed="false">
      <c r="A17" s="16" t="s">
        <v>46</v>
      </c>
      <c r="B17" s="16" t="s">
        <v>37</v>
      </c>
      <c r="C17" s="17" t="n">
        <v>22</v>
      </c>
      <c r="D17" s="18" t="s">
        <v>31</v>
      </c>
      <c r="E17" s="19"/>
      <c r="F17" s="20" t="s">
        <v>47</v>
      </c>
    </row>
    <row r="18" customFormat="false" ht="36" hidden="false" customHeight="true" outlineLevel="0" collapsed="false">
      <c r="A18" s="21" t="s">
        <v>48</v>
      </c>
      <c r="B18" s="21" t="s">
        <v>49</v>
      </c>
      <c r="C18" s="22" t="n">
        <v>0</v>
      </c>
      <c r="D18" s="23" t="s">
        <v>50</v>
      </c>
      <c r="E18" s="24"/>
      <c r="F18" s="25" t="s">
        <v>51</v>
      </c>
    </row>
    <row r="19" customFormat="false" ht="36" hidden="false" customHeight="true" outlineLevel="0" collapsed="false">
      <c r="A19" s="21" t="s">
        <v>52</v>
      </c>
      <c r="B19" s="21" t="s">
        <v>49</v>
      </c>
      <c r="C19" s="22" t="n">
        <v>0</v>
      </c>
      <c r="D19" s="23" t="s">
        <v>53</v>
      </c>
      <c r="E19" s="24"/>
      <c r="F19" s="25" t="s">
        <v>54</v>
      </c>
    </row>
    <row r="20" customFormat="false" ht="15" hidden="false" customHeight="true" outlineLevel="0" collapsed="false">
      <c r="A20" s="26" t="s">
        <v>55</v>
      </c>
      <c r="B20" s="27"/>
      <c r="C20" s="28" t="n">
        <f aca="false">SUM(C6:C9)</f>
        <v>197</v>
      </c>
      <c r="D20" s="27"/>
      <c r="E20" s="27"/>
      <c r="F20" s="27"/>
    </row>
    <row r="21" customFormat="false" ht="15" hidden="false" customHeight="true" outlineLevel="0" collapsed="false">
      <c r="A21" s="26" t="s">
        <v>56</v>
      </c>
      <c r="B21" s="27"/>
      <c r="C21" s="28" t="n">
        <f aca="false">AVERAGE(C14:C17)</f>
        <v>26.25</v>
      </c>
      <c r="D21" s="27"/>
      <c r="E21" s="27"/>
      <c r="F21" s="27"/>
    </row>
    <row r="22" customFormat="false" ht="15" hidden="false" customHeight="true" outlineLevel="0" collapsed="false">
      <c r="A22" s="29" t="s">
        <v>57</v>
      </c>
      <c r="B22" s="30"/>
      <c r="C22" s="31" t="n">
        <f aca="false">C20/4/C21-1</f>
        <v>0.876190476190476</v>
      </c>
      <c r="D22" s="30"/>
      <c r="E22" s="30"/>
      <c r="F22" s="30"/>
    </row>
    <row r="24" customFormat="false" ht="15" hidden="false" customHeight="true" outlineLevel="0" collapsed="false">
      <c r="A24" s="32" t="s">
        <v>58</v>
      </c>
      <c r="B24" s="32"/>
      <c r="C24" s="32"/>
      <c r="D24" s="32"/>
      <c r="E24" s="32"/>
      <c r="F24" s="32"/>
    </row>
    <row r="25" customFormat="false" ht="15" hidden="false" customHeight="true" outlineLevel="0" collapsed="false">
      <c r="A25" s="5" t="s">
        <v>3</v>
      </c>
      <c r="B25" s="5" t="s">
        <v>4</v>
      </c>
      <c r="C25" s="5" t="s">
        <v>5</v>
      </c>
      <c r="D25" s="5" t="s">
        <v>6</v>
      </c>
      <c r="E25" s="5" t="s">
        <v>7</v>
      </c>
      <c r="F25" s="5" t="s">
        <v>8</v>
      </c>
    </row>
    <row r="26" customFormat="false" ht="36" hidden="false" customHeight="true" outlineLevel="0" collapsed="false">
      <c r="A26" s="6" t="s">
        <v>9</v>
      </c>
      <c r="B26" s="6" t="s">
        <v>10</v>
      </c>
      <c r="C26" s="7" t="n">
        <v>15</v>
      </c>
      <c r="D26" s="8" t="s">
        <v>59</v>
      </c>
      <c r="E26" s="33"/>
      <c r="F26" s="10" t="s">
        <v>60</v>
      </c>
    </row>
    <row r="27" customFormat="false" ht="36" hidden="false" customHeight="true" outlineLevel="0" collapsed="false">
      <c r="A27" s="11" t="s">
        <v>61</v>
      </c>
      <c r="B27" s="11" t="s">
        <v>27</v>
      </c>
      <c r="C27" s="12" t="n">
        <v>14</v>
      </c>
      <c r="D27" s="13" t="s">
        <v>62</v>
      </c>
      <c r="E27" s="34"/>
      <c r="F27" s="15" t="s">
        <v>63</v>
      </c>
    </row>
    <row r="28" customFormat="false" ht="36" hidden="false" customHeight="true" outlineLevel="0" collapsed="false">
      <c r="A28" s="11" t="s">
        <v>64</v>
      </c>
      <c r="B28" s="11" t="s">
        <v>27</v>
      </c>
      <c r="C28" s="12" t="n">
        <v>10</v>
      </c>
      <c r="D28" s="13" t="s">
        <v>65</v>
      </c>
      <c r="E28" s="34"/>
      <c r="F28" s="15" t="s">
        <v>66</v>
      </c>
    </row>
    <row r="29" customFormat="false" ht="36" hidden="false" customHeight="true" outlineLevel="0" collapsed="false">
      <c r="A29" s="11" t="s">
        <v>67</v>
      </c>
      <c r="B29" s="11" t="s">
        <v>27</v>
      </c>
      <c r="C29" s="12" t="n">
        <v>8</v>
      </c>
      <c r="D29" s="13" t="s">
        <v>59</v>
      </c>
      <c r="E29" s="34"/>
      <c r="F29" s="15" t="s">
        <v>68</v>
      </c>
    </row>
    <row r="30" customFormat="false" ht="36" hidden="false" customHeight="true" outlineLevel="0" collapsed="false">
      <c r="A30" s="11" t="s">
        <v>69</v>
      </c>
      <c r="B30" s="11" t="s">
        <v>27</v>
      </c>
      <c r="C30" s="12" t="n">
        <v>8</v>
      </c>
      <c r="D30" s="13" t="s">
        <v>59</v>
      </c>
      <c r="E30" s="34"/>
      <c r="F30" s="15" t="s">
        <v>70</v>
      </c>
    </row>
    <row r="31" customFormat="false" ht="36" hidden="false" customHeight="true" outlineLevel="0" collapsed="false">
      <c r="A31" s="16" t="s">
        <v>71</v>
      </c>
      <c r="B31" s="16" t="s">
        <v>37</v>
      </c>
      <c r="C31" s="17" t="n">
        <v>8</v>
      </c>
      <c r="D31" s="18" t="s">
        <v>24</v>
      </c>
      <c r="E31" s="35"/>
      <c r="F31" s="20" t="s">
        <v>72</v>
      </c>
    </row>
    <row r="32" customFormat="false" ht="36" hidden="false" customHeight="true" outlineLevel="0" collapsed="false">
      <c r="A32" s="16" t="s">
        <v>73</v>
      </c>
      <c r="B32" s="16" t="s">
        <v>37</v>
      </c>
      <c r="C32" s="17" t="n">
        <v>8</v>
      </c>
      <c r="D32" s="18" t="s">
        <v>24</v>
      </c>
      <c r="E32" s="35"/>
      <c r="F32" s="20" t="s">
        <v>74</v>
      </c>
    </row>
    <row r="33" customFormat="false" ht="36" hidden="false" customHeight="true" outlineLevel="0" collapsed="false">
      <c r="A33" s="16" t="s">
        <v>75</v>
      </c>
      <c r="B33" s="16" t="s">
        <v>37</v>
      </c>
      <c r="C33" s="17" t="n">
        <v>6</v>
      </c>
      <c r="D33" s="18" t="s">
        <v>59</v>
      </c>
      <c r="E33" s="35"/>
      <c r="F33" s="20" t="s">
        <v>76</v>
      </c>
    </row>
    <row r="34" customFormat="false" ht="36" hidden="false" customHeight="true" outlineLevel="0" collapsed="false">
      <c r="A34" s="16" t="s">
        <v>77</v>
      </c>
      <c r="B34" s="16" t="s">
        <v>37</v>
      </c>
      <c r="C34" s="17" t="n">
        <v>5</v>
      </c>
      <c r="D34" s="18" t="s">
        <v>59</v>
      </c>
      <c r="E34" s="35"/>
      <c r="F34" s="20" t="s">
        <v>78</v>
      </c>
    </row>
    <row r="35" customFormat="false" ht="36" hidden="false" customHeight="true" outlineLevel="0" collapsed="false">
      <c r="A35" s="16" t="s">
        <v>79</v>
      </c>
      <c r="B35" s="16" t="s">
        <v>37</v>
      </c>
      <c r="C35" s="17" t="n">
        <v>5</v>
      </c>
      <c r="D35" s="18" t="s">
        <v>24</v>
      </c>
      <c r="E35" s="35"/>
      <c r="F35" s="20" t="s">
        <v>80</v>
      </c>
    </row>
    <row r="36" customFormat="false" ht="15" hidden="false" customHeight="true" outlineLevel="0" collapsed="false">
      <c r="A36" s="29" t="s">
        <v>81</v>
      </c>
      <c r="B36" s="30"/>
      <c r="C36" s="31" t="n">
        <f aca="false">C26/AVERAGE(C31:C35)-1</f>
        <v>1.34375</v>
      </c>
      <c r="D36" s="30"/>
      <c r="E36" s="30"/>
      <c r="F36" s="30"/>
    </row>
    <row r="38" customFormat="false" ht="15" hidden="false" customHeight="true" outlineLevel="0" collapsed="false">
      <c r="A38" s="36" t="s">
        <v>82</v>
      </c>
      <c r="B38" s="36"/>
      <c r="C38" s="36"/>
      <c r="D38" s="36"/>
      <c r="E38" s="36"/>
      <c r="F38" s="36"/>
    </row>
    <row r="39" customFormat="false" ht="15" hidden="false" customHeight="true" outlineLevel="0" collapsed="false">
      <c r="A39" s="5" t="s">
        <v>83</v>
      </c>
      <c r="B39" s="5" t="s">
        <v>4</v>
      </c>
      <c r="C39" s="5" t="s">
        <v>84</v>
      </c>
      <c r="D39" s="5" t="s">
        <v>85</v>
      </c>
      <c r="E39" s="5" t="s">
        <v>86</v>
      </c>
      <c r="F39" s="5" t="s">
        <v>8</v>
      </c>
    </row>
    <row r="40" customFormat="false" ht="42" hidden="false" customHeight="true" outlineLevel="0" collapsed="false">
      <c r="A40" s="6" t="s">
        <v>87</v>
      </c>
      <c r="B40" s="6" t="s">
        <v>10</v>
      </c>
      <c r="C40" s="7" t="n">
        <v>55</v>
      </c>
      <c r="D40" s="8" t="s">
        <v>88</v>
      </c>
      <c r="E40" s="9" t="n">
        <f aca="false">C40*2</f>
        <v>110</v>
      </c>
      <c r="F40" s="10" t="s">
        <v>89</v>
      </c>
    </row>
    <row r="41" customFormat="false" ht="42" hidden="false" customHeight="true" outlineLevel="0" collapsed="false">
      <c r="A41" s="6" t="s">
        <v>90</v>
      </c>
      <c r="B41" s="6" t="s">
        <v>10</v>
      </c>
      <c r="C41" s="7" t="n">
        <v>65</v>
      </c>
      <c r="D41" s="8" t="s">
        <v>91</v>
      </c>
      <c r="E41" s="9" t="n">
        <v>65</v>
      </c>
      <c r="F41" s="10" t="s">
        <v>92</v>
      </c>
    </row>
    <row r="42" customFormat="false" ht="42" hidden="false" customHeight="true" outlineLevel="0" collapsed="false">
      <c r="A42" s="26" t="s">
        <v>93</v>
      </c>
      <c r="B42" s="37" t="s">
        <v>10</v>
      </c>
      <c r="C42" s="27"/>
      <c r="D42" s="38" t="s">
        <v>94</v>
      </c>
      <c r="E42" s="39" t="n">
        <f aca="false">C40*2+C41</f>
        <v>175</v>
      </c>
      <c r="F42" s="40" t="s">
        <v>95</v>
      </c>
    </row>
    <row r="43" customFormat="false" ht="42" hidden="false" customHeight="true" outlineLevel="0" collapsed="false">
      <c r="A43" s="21" t="s">
        <v>96</v>
      </c>
      <c r="B43" s="21" t="s">
        <v>49</v>
      </c>
      <c r="C43" s="22" t="n">
        <v>0</v>
      </c>
      <c r="D43" s="23" t="s">
        <v>97</v>
      </c>
      <c r="E43" s="24" t="n">
        <v>0</v>
      </c>
      <c r="F43" s="25" t="s">
        <v>98</v>
      </c>
    </row>
    <row r="44" customFormat="false" ht="42" hidden="false" customHeight="true" outlineLevel="0" collapsed="false">
      <c r="A44" s="21" t="s">
        <v>99</v>
      </c>
      <c r="B44" s="21" t="s">
        <v>49</v>
      </c>
      <c r="C44" s="22" t="n">
        <v>0</v>
      </c>
      <c r="D44" s="23" t="s">
        <v>97</v>
      </c>
      <c r="E44" s="24" t="n">
        <v>0</v>
      </c>
      <c r="F44" s="25" t="s">
        <v>100</v>
      </c>
    </row>
    <row r="45" customFormat="false" ht="42" hidden="false" customHeight="true" outlineLevel="0" collapsed="false">
      <c r="A45" s="21" t="s">
        <v>101</v>
      </c>
      <c r="B45" s="21" t="s">
        <v>49</v>
      </c>
      <c r="C45" s="22" t="n">
        <v>0</v>
      </c>
      <c r="D45" s="23" t="s">
        <v>102</v>
      </c>
      <c r="E45" s="24" t="n">
        <v>0</v>
      </c>
      <c r="F45" s="25" t="s">
        <v>103</v>
      </c>
    </row>
    <row r="47" customFormat="false" ht="15" hidden="false" customHeight="true" outlineLevel="0" collapsed="false">
      <c r="A47" s="41" t="s">
        <v>104</v>
      </c>
      <c r="B47" s="41"/>
      <c r="C47" s="41"/>
      <c r="D47" s="41"/>
      <c r="E47" s="41"/>
      <c r="F47" s="41"/>
    </row>
    <row r="48" customFormat="false" ht="36" hidden="false" customHeight="true" outlineLevel="0" collapsed="false">
      <c r="A48" s="42" t="s">
        <v>105</v>
      </c>
      <c r="B48" s="42"/>
      <c r="C48" s="42"/>
      <c r="D48" s="42"/>
      <c r="E48" s="42"/>
      <c r="F48" s="42"/>
    </row>
    <row r="49" customFormat="false" ht="36" hidden="false" customHeight="true" outlineLevel="0" collapsed="false">
      <c r="A49" s="42" t="s">
        <v>106</v>
      </c>
      <c r="B49" s="42"/>
      <c r="C49" s="42"/>
      <c r="D49" s="42"/>
      <c r="E49" s="42"/>
      <c r="F49" s="42"/>
    </row>
    <row r="50" customFormat="false" ht="36" hidden="false" customHeight="true" outlineLevel="0" collapsed="false">
      <c r="A50" s="42" t="s">
        <v>107</v>
      </c>
      <c r="B50" s="42"/>
      <c r="C50" s="42"/>
      <c r="D50" s="42"/>
      <c r="E50" s="42"/>
      <c r="F50" s="42"/>
    </row>
    <row r="51" customFormat="false" ht="36" hidden="false" customHeight="true" outlineLevel="0" collapsed="false">
      <c r="A51" s="42" t="s">
        <v>108</v>
      </c>
      <c r="B51" s="42"/>
      <c r="C51" s="42"/>
      <c r="D51" s="42"/>
      <c r="E51" s="42"/>
      <c r="F51" s="42"/>
    </row>
    <row r="52" customFormat="false" ht="36" hidden="false" customHeight="true" outlineLevel="0" collapsed="false">
      <c r="A52" s="42" t="s">
        <v>109</v>
      </c>
      <c r="B52" s="42"/>
      <c r="C52" s="42"/>
      <c r="D52" s="42"/>
      <c r="E52" s="42"/>
      <c r="F52" s="42"/>
    </row>
    <row r="53" customFormat="false" ht="36" hidden="false" customHeight="true" outlineLevel="0" collapsed="false">
      <c r="A53" s="42" t="s">
        <v>110</v>
      </c>
      <c r="B53" s="42"/>
      <c r="C53" s="42"/>
      <c r="D53" s="42"/>
      <c r="E53" s="42"/>
      <c r="F53" s="42"/>
    </row>
    <row r="54" customFormat="false" ht="36" hidden="false" customHeight="true" outlineLevel="0" collapsed="false">
      <c r="A54" s="42" t="s">
        <v>111</v>
      </c>
      <c r="B54" s="42"/>
      <c r="C54" s="42"/>
      <c r="D54" s="42"/>
      <c r="E54" s="42"/>
      <c r="F54" s="42"/>
    </row>
    <row r="55" customFormat="false" ht="36" hidden="false" customHeight="true" outlineLevel="0" collapsed="false">
      <c r="A55" s="42" t="s">
        <v>112</v>
      </c>
      <c r="B55" s="42"/>
      <c r="C55" s="42"/>
      <c r="D55" s="42"/>
      <c r="E55" s="42"/>
      <c r="F55" s="42"/>
    </row>
  </sheetData>
  <mergeCells count="14">
    <mergeCell ref="A1:F1"/>
    <mergeCell ref="A2:F2"/>
    <mergeCell ref="A4:F4"/>
    <mergeCell ref="A24:F24"/>
    <mergeCell ref="A38:F38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2026-03-12T17:42:20Z</dcterms:created>
  <dc:creator>openpyxl</dc:creator>
  <dc:description/>
  <dc:language>en-US</dc:language>
  <cp:lastModifiedBy/>
  <dcterms:modified xsi:type="dcterms:W3CDTF">2026-03-12T17:42:58Z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