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-Me" sheetId="1" state="visible" r:id="rId3"/>
    <sheet name="Event Inventory" sheetId="2" state="visible" r:id="rId4"/>
    <sheet name="Build-Up by Property" sheetId="3" state="visible" r:id="rId5"/>
    <sheet name="Comp Benchmarks" sheetId="4" state="visible" r:id="rId6"/>
    <sheet name="Scenarios" sheetId="5" state="visible" r:id="rId7"/>
    <sheet name="Assumptions" sheetId="6" state="visible" r:id="rId8"/>
    <sheet name="Mgmt Bridg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<sst xmlns="http://schemas.openxmlformats.org/spreadsheetml/2006/main" count="291" uniqueCount="233">
  <si>
    <t xml:space="preserve">TKO FIP Build-Up Model: Bridging Mgmt Guidance from $240M (2026) to $400M (2030)</t>
  </si>
  <si>
    <t xml:space="preserve">Source data and methodology behind the model</t>
  </si>
  <si>
    <t xml:space="preserve">What is FIP?</t>
  </si>
  <si>
    <t xml:space="preserve">Financial Incentive Package. Mark Shapiro reframed the language during the 4Q25 earnings call. "Site fees" became "FIPs" reflecting that deals now include cash, government subsidies, and value-in-kind support. Roughly half of marquee UFC and WWE events in 2025 were supported by meaningful FIPs.</t>
  </si>
  <si>
    <t xml:space="preserve">Management guidance (set Q4 2025, reaffirmed 1Q26)</t>
  </si>
  <si>
    <t xml:space="preserve">2026 aggregate FIP: over $300M (one-time-heavy)</t>
  </si>
  <si>
    <t xml:space="preserve">2026 normalized FIP: ~$240M</t>
  </si>
  <si>
    <t xml:space="preserve">Long-term target: $380M to $420M by 2030</t>
  </si>
  <si>
    <t xml:space="preserve">Implied 2026-2030 CAGR (normalized base to midpoint): ~14%</t>
  </si>
  <si>
    <t xml:space="preserve">Per-event economics used in this model</t>
  </si>
  <si>
    <t xml:space="preserve">WWE Saudi PLE (Crown Jewel/Night of Champions/etc): $55M (Wrestlenomics, Meltzer)</t>
  </si>
  <si>
    <t xml:space="preserve">WWE Royal Rumble Saudi: $50M (1Q26 confirmed via $47M YoY uplift in WWE live events rev)</t>
  </si>
  <si>
    <t xml:space="preserve">WWE WrestleMania Saudi 2027: $200M base case ($150-250M range, Yahoo Sports)</t>
  </si>
  <si>
    <t xml:space="preserve">UFC numbered card Saudi: $25M (UFC COO Lawrence Epstein historical commentary)</t>
  </si>
  <si>
    <t xml:space="preserve">UFC Fight Night Saudi/UAE: $20M (DCT Abu Dhabi pattern)</t>
  </si>
  <si>
    <t xml:space="preserve">Australia (NSW) UFC events: $5M (3-yr $16M deal, 1 event/yr)</t>
  </si>
  <si>
    <t xml:space="preserve">WWE non-PLE Saudi (special tapings, K&amp;Q of Ring): $50M</t>
  </si>
  <si>
    <t xml:space="preserve">External benchmarks</t>
  </si>
  <si>
    <t xml:space="preserve">F1 Saudi Arabia hosting fee: ~$55M/race (Qatar tied at top)</t>
  </si>
  <si>
    <t xml:space="preserve">F1 Abu Dhabi: ~$42M/race</t>
  </si>
  <si>
    <t xml:space="preserve">F1 Bahrain: ~$45M/race</t>
  </si>
  <si>
    <t xml:space="preserve">F1 Aramco global sponsorship: $42-51M/yr (separate from race fee)</t>
  </si>
  <si>
    <t xml:space="preserve">PIF total LIV Golf spend through 2026: $5B+ (cut after 2026 season)</t>
  </si>
  <si>
    <t xml:space="preserve">PIF estimated annual sports budget pre-cuts: $2-3B+ across all sports IP</t>
  </si>
  <si>
    <t xml:space="preserve">PIF strategy shift (May 2026, after 1Q26 print)</t>
  </si>
  <si>
    <t xml:space="preserve">PIF announced 2026-2030 strategy reprioritizing toward 2034 World Cup ($25-30B) and Expo 2030 ($7.8B)</t>
  </si>
  <si>
    <t xml:space="preserve">LIV Golf cut after 2026 season ($5B+ spent, no profit)</t>
  </si>
  <si>
    <t xml:space="preserve">TKO/WWE/UFC explicitly protected: WrestleMania 43 Saudi confirmed Sept 2025; Royal Rumble 2026 executed; Night of Champions 2026 confirmed for Riyadh June 27</t>
  </si>
  <si>
    <t xml:space="preserve">Logic: WWE/UFC are profit-generating with global media reach; LIV required perpetual subsidy. PIF cuts effectively concentrate sports-IP wallet share onto fewer premium properties</t>
  </si>
  <si>
    <t xml:space="preserve">Three scenarios in this model</t>
  </si>
  <si>
    <t xml:space="preserve">Bear: Saudi cuts WWE/UFC by 50% post-2027 WrestleMania, no expansion to Singapore/Qatar, FIP plateaus around $230M</t>
  </si>
  <si>
    <t xml:space="preserve">Base: Mgmt guidance $400M by 2030. WrestleMania repeats every other year, gradual expansion to UAE/SE Asia</t>
  </si>
  <si>
    <t xml:space="preserve">Bull: $480M+. WrestleMania annual Saudi from 2028, Singapore comes online, premium FIPs creep into weekly TV tapings</t>
  </si>
  <si>
    <t xml:space="preserve">TKO FIP Event Inventory: 2025 Actual to 2030 Modeled</t>
  </si>
  <si>
    <t xml:space="preserve">Per-event $M FIP value by year. Confirmed events in blue (input). Modeled events follow scenario assumptions.</t>
  </si>
  <si>
    <t xml:space="preserve">Property</t>
  </si>
  <si>
    <t xml:space="preserve">Event</t>
  </si>
  <si>
    <t xml:space="preserve">Type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</si>
  <si>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</si>
  <si>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</si>
  <si>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</si>
  <si>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</si>
  <si>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</si>
  <si>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</si>
  <si>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WWE</t>
  </si>
  <si>
    <t xml:space="preserve">Royal Rumble Saudi (2026 confirmed)</t>
  </si>
  <si>
    <t xml:space="preserve">PLE</t>
  </si>
  <si>
    <t xml:space="preserve">Night of Champions Saudi (annual)</t>
  </si>
  <si>
    <t xml:space="preserve">Crown Jewel Saudi (annual ex-2025)</t>
  </si>
  <si>
    <t xml:space="preserve">WrestleMania 43 Saudi (one-time 2027)</t>
  </si>
  <si>
    <t xml:space="preserve">Mega</t>
  </si>
  <si>
    <t xml:space="preserve">Third Saudi PLE (post-WM cadence)</t>
  </si>
  <si>
    <t xml:space="preserve">Australia (Crown Jewel Perth, etc)</t>
  </si>
  <si>
    <t xml:space="preserve">Italy/Europe PLE (Clash in Italy etc)</t>
  </si>
  <si>
    <t xml:space="preserve">UFC</t>
  </si>
  <si>
    <t xml:space="preserve">Riyadh Season Fight Night</t>
  </si>
  <si>
    <t xml:space="preserve">Fight Night</t>
  </si>
  <si>
    <t xml:space="preserve">Saudi numbered card (occasional)</t>
  </si>
  <si>
    <t xml:space="preserve">Numbered</t>
  </si>
  <si>
    <t xml:space="preserve">Abu Dhabi Fight Night #1 (DCT)</t>
  </si>
  <si>
    <t xml:space="preserve">Abu Dhabi Fight Night #2 (DCT)</t>
  </si>
  <si>
    <t xml:space="preserve">Australia (NSW deal)</t>
  </si>
  <si>
    <t xml:space="preserve">Mexico/LatAm site fees</t>
  </si>
  <si>
    <t xml:space="preserve">UK/Europe site fees</t>
  </si>
  <si>
    <t xml:space="preserve">Asia (Singapore/Japan) ramp</t>
  </si>
  <si>
    <t xml:space="preserve">Boxing</t>
  </si>
  <si>
    <t xml:space="preserve">Zuffa Boxing Saudi inaugural (2026)</t>
  </si>
  <si>
    <t xml:space="preserve">Mega card</t>
  </si>
  <si>
    <t xml:space="preserve">Zuffa Boxing additional Saudi card</t>
  </si>
  <si>
    <t xml:space="preserve">White House Freedom 250 (1x 2026)</t>
  </si>
  <si>
    <t xml:space="preserve">WWE TV taping FIPs (premium markets)</t>
  </si>
  <si>
    <t xml:space="preserve">TV</t>
  </si>
  <si>
    <t xml:space="preserve">SUBTOTAL BY CATEGORY</t>
  </si>
  <si>
    <t xml:space="preserve">WWE subtotal</t>
  </si>
  <si>
    <t xml:space="preserve">UFC subtotal</t>
  </si>
  <si>
    <t xml:space="preserve">Boxing subtotal</t>
  </si>
  <si>
    <t xml:space="preserve">TOTAL FIP (BASE CASE)</t>
  </si>
  <si>
    <t xml:space="preserve">Mgmt 2026 normalized: ~$240M | 2026 aggregate: $300M+ | 2030 target: $380-420M</t>
  </si>
  <si>
    <t xml:space="preserve">Base case ties: 2026 ~$300M (with one-times); 2030 ~$400M (mgmt midpoint)</t>
  </si>
  <si>
    <t xml:space="preserve">FIP Build-Up by Property: WWE / UFC / Zuffa Boxing</t>
  </si>
  <si>
    <t xml:space="preserve">Year-over-year FIP totals by property and growth contribution</t>
  </si>
  <si>
    <t xml:space="preserve">5-yr CAGR</t>
  </si>
  <si>
    <t xml:space="preserve">Zuffa Boxing</t>
  </si>
  <si>
    <t xml:space="preserve">TOTAL FIP</t>
  </si>
  <si>
    <t xml:space="preserve">Mgmt 2026 normalized</t>
  </si>
  <si>
    <t xml:space="preserve">guidance</t>
  </si>
  <si>
    <t xml:space="preserve">Mgmt 2030 target (low)</t>
  </si>
  <si>
    <t xml:space="preserve">Mgmt 2030 target (high)</t>
  </si>
  <si>
    <t xml:space="preserve">vs Mgmt 2030 midpoint ($400M)</t>
  </si>
  <si>
    <t xml:space="preserve">Implied % vs midpoint</t>
  </si>
  <si>
    <t xml:space="preserve">FIP/Site Fee Comp Benchmarks (Per-Event Economics)</t>
  </si>
  <si>
    <t xml:space="preserve">External comparable site fees / hosting fees to sanity-check TKO unit economics</t>
  </si>
  <si>
    <t xml:space="preserve">Event Type</t>
  </si>
  <si>
    <t xml:space="preserve">Frequency</t>
  </si>
  <si>
    <t xml:space="preserve">Per-Event $M</t>
  </si>
  <si>
    <t xml:space="preserve">Total $M/Yr</t>
  </si>
  <si>
    <t xml:space="preserve">Source</t>
  </si>
  <si>
    <t xml:space="preserve">F1 Saudi Arabia GP</t>
  </si>
  <si>
    <t xml:space="preserve">F1 race hosting fee</t>
  </si>
  <si>
    <t xml:space="preserve">1x/yr</t>
  </si>
  <si>
    <t xml:space="preserve">Total Motorsport, Yahoo Sports</t>
  </si>
  <si>
    <t xml:space="preserve">F1 Qatar GP</t>
  </si>
  <si>
    <t xml:space="preserve">10-yr deal $550M total (2023-32)</t>
  </si>
  <si>
    <t xml:space="preserve">F1 Abu Dhabi GP</t>
  </si>
  <si>
    <t xml:space="preserve">Total Motorsport</t>
  </si>
  <si>
    <t xml:space="preserve">F1 Bahrain GP</t>
  </si>
  <si>
    <t xml:space="preserve">Yahoo Sports</t>
  </si>
  <si>
    <t xml:space="preserve">F1 Aramco global sponsor</t>
  </si>
  <si>
    <t xml:space="preserve">Title sponsor</t>
  </si>
  <si>
    <t xml:space="preserve">Annual</t>
  </si>
  <si>
    <t xml:space="preserve">10-yr deal $450M total</t>
  </si>
  <si>
    <t xml:space="preserve">LIV Golf</t>
  </si>
  <si>
    <t xml:space="preserve">Tournament series</t>
  </si>
  <si>
    <t xml:space="preserve">Multi/yr</t>
  </si>
  <si>
    <t xml:space="preserve">PIF spent $5B+ over 5 years; cut after 2026</t>
  </si>
  <si>
    <t xml:space="preserve">WWE Saudi PLE (historical)</t>
  </si>
  <si>
    <t xml:space="preserve">Premium Live Event</t>
  </si>
  <si>
    <t xml:space="preserve">~2x/yr</t>
  </si>
  <si>
    <t xml:space="preserve">Wrestlenomics, Meltzer</t>
  </si>
  <si>
    <t xml:space="preserve">WWE WrestleMania Saudi 2027</t>
  </si>
  <si>
    <t xml:space="preserve">Mega event</t>
  </si>
  <si>
    <t xml:space="preserve">1x</t>
  </si>
  <si>
    <t xml:space="preserve">Yahoo Sports, industry est ($150-250M range)</t>
  </si>
  <si>
    <t xml:space="preserve">UFC Saudi Fight Night</t>
  </si>
  <si>
    <t xml:space="preserve">Numbered/FN</t>
  </si>
  <si>
    <t xml:space="preserve">1-2x/yr</t>
  </si>
  <si>
    <t xml:space="preserve">UFC COO commentary</t>
  </si>
  <si>
    <t xml:space="preserve">UFC Abu Dhabi</t>
  </si>
  <si>
    <t xml:space="preserve">2x/yr DCT</t>
  </si>
  <si>
    <t xml:space="preserve">Old reports</t>
  </si>
  <si>
    <t xml:space="preserve">UFC Australia (NSW)</t>
  </si>
  <si>
    <t xml:space="preserve">1x/yr (3-yr deal)</t>
  </si>
  <si>
    <t xml:space="preserve">$16M / 3 years</t>
  </si>
  <si>
    <t xml:space="preserve">Boxing Riyadh card (Fury-Usyk)</t>
  </si>
  <si>
    <t xml:space="preserve">~Annual</t>
  </si>
  <si>
    <t xml:space="preserve">Industry estimates</t>
  </si>
  <si>
    <t xml:space="preserve">Key takeaway</t>
  </si>
  <si>
    <t xml:space="preserve">F1 hosting fees of $42-55M map almost 1:1 to WWE Saudi PLE economics ($50-55M). WrestleMania at $200M is ~3.5x F1. Validates per-event assumptions.</t>
  </si>
  <si>
    <t xml:space="preserve">Three Scenarios: Bear / Base / Bull</t>
  </si>
  <si>
    <t xml:space="preserve">Each scenario starts from same 2026 base and diverges based on key assumptions</t>
  </si>
  <si>
    <t xml:space="preserve">Scenario</t>
  </si>
  <si>
    <t xml:space="preserve">Notes</t>
  </si>
  <si>
    <t xml:space="preserve">Bear case</t>
  </si>
  <si>
    <t xml:space="preserve">Saudi cuts post-WM 43; no expansion</t>
  </si>
  <si>
    <t xml:space="preserve">Base case (matches mgmt)</t>
  </si>
  <si>
    <t xml:space="preserve">Mgmt $400M target by 2030</t>
  </si>
  <si>
    <t xml:space="preserve">Bull case</t>
  </si>
  <si>
    <t xml:space="preserve">Annual WM Saudi + Singapore + premium TV</t>
  </si>
  <si>
    <t xml:space="preserve">5-yr CAGR (2025 to 2030)</t>
  </si>
  <si>
    <t xml:space="preserve">Bear CAGR</t>
  </si>
  <si>
    <t xml:space="preserve">Base CAGR</t>
  </si>
  <si>
    <t xml:space="preserve">Bull CAGR</t>
  </si>
  <si>
    <t xml:space="preserve">EV impact at 14x EBITDA multiple</t>
  </si>
  <si>
    <t xml:space="preserve">Assumes 95% of FIP flows to EBITDA</t>
  </si>
  <si>
    <t xml:space="preserve">2030 FIP EV contribution at 14x EBITDA</t>
  </si>
  <si>
    <t xml:space="preserve">Labels</t>
  </si>
  <si>
    <t xml:space="preserve">Bear</t>
  </si>
  <si>
    <t xml:space="preserve">Base</t>
  </si>
  <si>
    <t xml:space="preserve">Bull</t>
  </si>
  <si>
    <t xml:space="preserve">Sensitivity Table: 2030 FIP ($M) by Key Drivers</t>
  </si>
  <si>
    <t xml:space="preserve">Rows: WrestleMania Saudi cadence | Cols: UFC intl FIP per Fight Night</t>
  </si>
  <si>
    <t xml:space="preserve">Low ($15M)</t>
  </si>
  <si>
    <t xml:space="preserve">Mid ($22M)</t>
  </si>
  <si>
    <t xml:space="preserve">High ($30M)</t>
  </si>
  <si>
    <t xml:space="preserve">Biennial (every 2 yrs)</t>
  </si>
  <si>
    <t xml:space="preserve">Annual + UAE second mega</t>
  </si>
  <si>
    <t xml:space="preserve">Key Model Assumptions</t>
  </si>
  <si>
    <t xml:space="preserve">Drivers and assumptions behind the FIP build-up. Adjust to test scenarios.</t>
  </si>
  <si>
    <t xml:space="preserve">Assumption</t>
  </si>
  <si>
    <t xml:space="preserve">Value</t>
  </si>
  <si>
    <t xml:space="preserve">Rationale / Source</t>
  </si>
  <si>
    <t xml:space="preserve">WWE Saudi PLE base FIP ($M/event)</t>
  </si>
  <si>
    <t xml:space="preserve">Wrestlenomics: $600M earned 2018-mid 2025 across 12 events. Meltzer cited $55M/event</t>
  </si>
  <si>
    <t xml:space="preserve">WWE Royal Rumble Saudi 2026 FIP ($M)</t>
  </si>
  <si>
    <t xml:space="preserve">1Q26 print: WWE LE&amp;H +$47M YoY; only variable was RR moving from US to Saudi</t>
  </si>
  <si>
    <t xml:space="preserve">WWE WrestleMania Saudi 2027 FIP ($M)</t>
  </si>
  <si>
    <t xml:space="preserve">Yahoo Sports speculation $150-250M; Vegas alt = $40M baseline; Saudi premium 4-6x</t>
  </si>
  <si>
    <t xml:space="preserve">UFC Saudi numbered card FIP ($M)</t>
  </si>
  <si>
    <t xml:space="preserve">UFC COO Lawrence Epstein historical commentary. Riyadh Season UFC partnership 2024-25</t>
  </si>
  <si>
    <t xml:space="preserve">UFC Abu Dhabi FIP ($M/event)</t>
  </si>
  <si>
    <t xml:space="preserve">DCT Abu Dhabi 5-yr deal. ~$25M/event historically per legacy reporting</t>
  </si>
  <si>
    <t xml:space="preserve">UFC Australia NSW FIP ($M/event)</t>
  </si>
  <si>
    <t xml:space="preserve">$16M / 3 years split across 1 event each year</t>
  </si>
  <si>
    <t xml:space="preserve">Zuffa Boxing Saudi inaugural FIP ($M)</t>
  </si>
  <si>
    <t xml:space="preserve">GEA + Sela multi-year deal. Inaugural lower then ramps</t>
  </si>
  <si>
    <t xml:space="preserve">Zuffa Boxing 2030 mature ($M/event)</t>
  </si>
  <si>
    <t xml:space="preserve">Mature card economics target. Below WM but above UFC</t>
  </si>
  <si>
    <t xml:space="preserve">UFC intl Fight Night FIP ($M base case)</t>
  </si>
  <si>
    <t xml:space="preserve">Mid-case for international site fees ex-AbuDhabi/Saudi</t>
  </si>
  <si>
    <t xml:space="preserve">Saudi WWE event count 2026</t>
  </si>
  <si>
    <t xml:space="preserve">Confirmed: Royal Rumble (Jan), Night of Champions (June), TBA (Nov)</t>
  </si>
  <si>
    <t xml:space="preserve">Saudi WWE event count 2027</t>
  </si>
  <si>
    <t xml:space="preserve">4-5</t>
  </si>
  <si>
    <t xml:space="preserve">WrestleMania 43 + 3 PLEs + potentially other</t>
  </si>
  <si>
    <t xml:space="preserve">Mgmt 2026 normalized FIP ($M)</t>
  </si>
  <si>
    <t xml:space="preserve">Mark Shapiro 4Q25 call</t>
  </si>
  <si>
    <t xml:space="preserve">Mgmt 2030 target FIP midpoint ($M)</t>
  </si>
  <si>
    <t xml:space="preserve">Mark Shapiro 4Q25 call ($380-420M range)</t>
  </si>
  <si>
    <t xml:space="preserve">Implied 2026-2030 CAGR</t>
  </si>
  <si>
    <t xml:space="preserve">14%</t>
  </si>
  <si>
    <t xml:space="preserve">Calculated from $240M → $400M over 4 yrs</t>
  </si>
  <si>
    <t xml:space="preserve">FIP-to-EBITDA flow-through</t>
  </si>
  <si>
    <t xml:space="preserve">95%</t>
  </si>
  <si>
    <t xml:space="preserve">FIPs are mostly cash with negligible incremental cost (event production sunk)</t>
  </si>
  <si>
    <t xml:space="preserve">TKO trading EV/2026E EBITDA</t>
  </si>
  <si>
    <t xml:space="preserve">~14x</t>
  </si>
  <si>
    <t xml:space="preserve">Per analyst consensus, used for EV impact translation</t>
  </si>
  <si>
    <t xml:space="preserve">Bridge: My Model vs Management Guidance</t>
  </si>
  <si>
    <t xml:space="preserve">Walking from $240M (2026 normalized) to $400M (2030 midpoint)</t>
  </si>
  <si>
    <t xml:space="preserve">Component</t>
  </si>
  <si>
    <t xml:space="preserve">$M</t>
  </si>
  <si>
    <t xml:space="preserve">Note</t>
  </si>
  <si>
    <t xml:space="preserve">2026 normalized FIP (mgmt guidance)</t>
  </si>
  <si>
    <t xml:space="preserve">Starting point per Mark Shapiro 4Q25 call</t>
  </si>
  <si>
    <t xml:space="preserve">+ Saudi PLE FIP escalation (escalators on existing 3-PLE cadence)</t>
  </si>
  <si>
    <t xml:space="preserve">Per-event $55M to $60-62M with annual 3-5% escalators</t>
  </si>
  <si>
    <t xml:space="preserve">+ Zuffa Boxing run-rate scale ($30M inaugural to $80M run-rate)</t>
  </si>
  <si>
    <t xml:space="preserve">New product line ramping with multi-year ME deal in place</t>
  </si>
  <si>
    <t xml:space="preserve">+ UFC intl market expansion (Asia/LatAm/Europe new sites)</t>
  </si>
  <si>
    <t xml:space="preserve">Per Shapiro JPM 2024: pursuing FIPs in UK, Mexico, Singapore</t>
  </si>
  <si>
    <t xml:space="preserve">+ UFC FIP escalators (Saudi/Abu Dhabi existing markets pay more)</t>
  </si>
  <si>
    <t xml:space="preserve">Annual 3-5% escalation standard in sports hosting deals</t>
  </si>
  <si>
    <t xml:space="preserve">+ Premium WWE TV taping FIPs (Raw/SmackDown in tier-1 markets)</t>
  </si>
  <si>
    <t xml:space="preserve">Per Shapiro JPM 2024 commentary on extending FIP model to TV</t>
  </si>
  <si>
    <t xml:space="preserve">+ Italy/Europe WWE PLE growth (Clash in Italy etc)</t>
  </si>
  <si>
    <t xml:space="preserve">New PLE international cadence introduced 2026</t>
  </si>
  <si>
    <t xml:space="preserve">Subtotal: my modeled 2030 FIP (run-rate)</t>
  </si>
  <si>
    <t xml:space="preserve">SUM of bridge components</t>
  </si>
  <si>
    <t xml:space="preserve">Mgmt 2030 midpoint target</t>
  </si>
  <si>
    <t xml:space="preserve">Variance vs mgmt midpoint</t>
  </si>
  <si>
    <t xml:space="preserve">Subtotal minus target</t>
  </si>
  <si>
    <t xml:space="preserve">Interpretation</t>
  </si>
  <si>
    <t xml:space="preserve">Bridge sums to ~$400M, matching mgmt 2030 midpoint. The lift is achievable through: (1) escalators on existing Saudi/UAE deals, (2) Zuffa Boxing scaling ($50M of bridge), (3) UFC international expansion to untapped markets ($50M). Execution risk concentrated in Zuffa Boxing scaling and Asia rollout.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</si>
</sst>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\M;&quot;($&quot;#,##0&quot;M)&quot;;\-"/>
    <numFmt numFmtId="166" formatCode="\+0%;\-0%;\-"/>
    <numFmt numFmtId="167" formatCode="\$#,##0\M;&quot;($&quot;#,##0&quot;M)&quot;;\-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34.5" hidden="false" customHeight="true" outlineLevel="0" collapsed="false">
      <c r="B6" s="5" t="s">
        <v>3</v>
      </c>
    </row>
    <row r="8" customFormat="false" ht="15" hidden="false" customHeight="true" outlineLevel="0" collapsed="false">
      <c r="B8" s="4" t="s">
        <v>4</v>
      </c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4" customFormat="false" ht="15" hidden="false" customHeight="true" outlineLevel="0" collapsed="false">
      <c r="B14" s="4" t="s">
        <v>9</v>
      </c>
    </row>
    <row r="15" customFormat="false" ht="15" hidden="false" customHeight="true" outlineLevel="0" collapsed="false">
      <c r="B15" s="5" t="s">
        <v>10</v>
      </c>
    </row>
    <row r="16" customFormat="false" ht="15" hidden="false" customHeight="true" outlineLevel="0" collapsed="false">
      <c r="B16" s="5" t="s">
        <v>11</v>
      </c>
    </row>
    <row r="17" customFormat="false" ht="15" hidden="false" customHeight="true" outlineLevel="0" collapsed="false">
      <c r="B17" s="5" t="s">
        <v>12</v>
      </c>
    </row>
    <row r="18" customFormat="false" ht="1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5" t="s">
        <v>14</v>
      </c>
    </row>
    <row r="20" customFormat="false" ht="15" hidden="false" customHeight="true" outlineLevel="0" collapsed="false">
      <c r="B20" s="5" t="s">
        <v>15</v>
      </c>
    </row>
    <row r="21" customFormat="false" ht="15" hidden="false" customHeight="true" outlineLevel="0" collapsed="false">
      <c r="B21" s="5" t="s">
        <v>16</v>
      </c>
    </row>
    <row r="23" customFormat="false" ht="15" hidden="false" customHeight="true" outlineLevel="0" collapsed="false">
      <c r="B23" s="4" t="s">
        <v>17</v>
      </c>
    </row>
    <row r="24" customFormat="false" ht="15" hidden="false" customHeight="true" outlineLevel="0" collapsed="false">
      <c r="B24" s="5" t="s">
        <v>18</v>
      </c>
    </row>
    <row r="25" customFormat="false" ht="15" hidden="false" customHeight="true" outlineLevel="0" collapsed="false">
      <c r="B25" s="5" t="s">
        <v>19</v>
      </c>
    </row>
    <row r="26" customFormat="false" ht="15" hidden="false" customHeight="true" outlineLevel="0" collapsed="false">
      <c r="B26" s="5" t="s">
        <v>20</v>
      </c>
    </row>
    <row r="27" customFormat="false" ht="15" hidden="false" customHeight="true" outlineLevel="0" collapsed="false">
      <c r="B27" s="5" t="s">
        <v>21</v>
      </c>
    </row>
    <row r="28" customFormat="false" ht="15" hidden="false" customHeight="true" outlineLevel="0" collapsed="false">
      <c r="B28" s="5" t="s">
        <v>22</v>
      </c>
    </row>
    <row r="29" customFormat="false" ht="15" hidden="false" customHeight="true" outlineLevel="0" collapsed="false">
      <c r="B29" s="5" t="s">
        <v>23</v>
      </c>
    </row>
    <row r="31" customFormat="false" ht="15" hidden="false" customHeight="true" outlineLevel="0" collapsed="false">
      <c r="B31" s="4" t="s">
        <v>24</v>
      </c>
    </row>
    <row r="32" customFormat="false" ht="15" hidden="false" customHeight="true" outlineLevel="0" collapsed="false">
      <c r="B32" s="5" t="s">
        <v>25</v>
      </c>
    </row>
    <row r="33" customFormat="false" ht="15" hidden="false" customHeight="true" outlineLevel="0" collapsed="false">
      <c r="B33" s="5" t="s">
        <v>26</v>
      </c>
    </row>
    <row r="34" customFormat="false" ht="23.25" hidden="false" customHeight="true" outlineLevel="0" collapsed="false">
      <c r="B34" s="5" t="s">
        <v>27</v>
      </c>
    </row>
    <row r="35" customFormat="false" ht="23.25" hidden="false" customHeight="true" outlineLevel="0" collapsed="false">
      <c r="B35" s="5" t="s">
        <v>28</v>
      </c>
    </row>
    <row r="37" customFormat="false" ht="15" hidden="false" customHeight="true" outlineLevel="0" collapsed="false">
      <c r="B37" s="4" t="s">
        <v>29</v>
      </c>
    </row>
    <row r="38" customFormat="false" ht="23.25" hidden="false" customHeight="true" outlineLevel="0" collapsed="false">
      <c r="B38" s="5" t="s">
        <v>30</v>
      </c>
    </row>
    <row r="39" customFormat="false" ht="15" hidden="false" customHeight="true" outlineLevel="0" collapsed="false">
      <c r="B39" s="5" t="s">
        <v>31</v>
      </c>
    </row>
    <row r="40" customFormat="false" ht="23.25" hidden="false" customHeight="true" outlineLevel="0" collapsed="false">
      <c r="B40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8" min="3" style="1" width="12"/>
  </cols>
  <sheetData>
    <row r="1" customFormat="false" ht="15" hidden="false" customHeight="true" outlineLevel="0" collapsed="false">
      <c r="A1" s="6" t="s">
        <v>33</v>
      </c>
    </row>
    <row r="2" customFormat="false" ht="15" hidden="false" customHeight="true" outlineLevel="0" collapsed="false">
      <c r="A2" s="3" t="s">
        <v>34</v>
      </c>
    </row>
    <row r="4" customFormat="false" ht="15" hidden="false" customHeight="true" outlineLevel="0" collapsed="false">
      <c r="A4" s="7" t="s">
        <v>35</v>
      </c>
      <c r="B4" s="7" t="s">
        <v>36</v>
      </c>
      <c r="C4" s="7" t="s">
        <v>37</v>
      </c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</row>
    <row r="5" customFormat="false" ht="15" hidden="false" customHeight="true" outlineLevel="0" collapsed="false">
      <c r="A5" s="9" t="s">
        <v>44</v>
      </c>
      <c r="B5" s="9" t="s">
        <v>45</v>
      </c>
      <c r="C5" s="10" t="s">
        <v>46</v>
      </c>
      <c r="D5" s="11"/>
      <c r="E5" s="11" t="n">
        <v>50</v>
      </c>
      <c r="F5" s="11"/>
      <c r="G5" s="11"/>
      <c r="H5" s="11"/>
      <c r="I5" s="11"/>
    </row>
    <row r="6" customFormat="false" ht="15" hidden="false" customHeight="true" outlineLevel="0" collapsed="false">
      <c r="A6" s="9" t="s">
        <v>44</v>
      </c>
      <c r="B6" s="9" t="s">
        <v>47</v>
      </c>
      <c r="C6" s="10" t="s">
        <v>46</v>
      </c>
      <c r="D6" s="11" t="n">
        <v>50</v>
      </c>
      <c r="E6" s="11" t="n">
        <v>55</v>
      </c>
      <c r="F6" s="11" t="n">
        <v>55</v>
      </c>
      <c r="G6" s="11" t="n">
        <v>58</v>
      </c>
      <c r="H6" s="11" t="n">
        <v>60</v>
      </c>
      <c r="I6" s="11" t="n">
        <v>62</v>
      </c>
    </row>
    <row r="7" customFormat="false" ht="15" hidden="false" customHeight="true" outlineLevel="0" collapsed="false">
      <c r="A7" s="9" t="s">
        <v>44</v>
      </c>
      <c r="B7" s="9" t="s">
        <v>48</v>
      </c>
      <c r="C7" s="10" t="s">
        <v>46</v>
      </c>
      <c r="D7" s="11"/>
      <c r="E7" s="11" t="n">
        <v>55</v>
      </c>
      <c r="F7" s="11" t="n">
        <v>55</v>
      </c>
      <c r="G7" s="11" t="n">
        <v>58</v>
      </c>
      <c r="H7" s="11" t="n">
        <v>60</v>
      </c>
      <c r="I7" s="11" t="n">
        <v>62</v>
      </c>
    </row>
    <row r="8" customFormat="false" ht="15" hidden="false" customHeight="true" outlineLevel="0" collapsed="false">
      <c r="A8" s="9" t="s">
        <v>44</v>
      </c>
      <c r="B8" s="9" t="s">
        <v>49</v>
      </c>
      <c r="C8" s="10" t="s">
        <v>50</v>
      </c>
      <c r="D8" s="11"/>
      <c r="E8" s="11"/>
      <c r="F8" s="11" t="n">
        <v>200</v>
      </c>
      <c r="G8" s="11"/>
      <c r="H8" s="11"/>
      <c r="I8" s="11"/>
    </row>
    <row r="9" customFormat="false" ht="15" hidden="false" customHeight="true" outlineLevel="0" collapsed="false">
      <c r="A9" s="9" t="s">
        <v>44</v>
      </c>
      <c r="B9" s="9" t="s">
        <v>51</v>
      </c>
      <c r="C9" s="10" t="s">
        <v>46</v>
      </c>
      <c r="D9" s="11"/>
      <c r="E9" s="11"/>
      <c r="F9" s="11" t="n">
        <v>55</v>
      </c>
      <c r="G9" s="11" t="n">
        <v>60</v>
      </c>
      <c r="H9" s="11" t="n">
        <v>62</v>
      </c>
      <c r="I9" s="11" t="n">
        <v>65</v>
      </c>
    </row>
    <row r="10" customFormat="false" ht="15" hidden="false" customHeight="true" outlineLevel="0" collapsed="false">
      <c r="A10" s="9" t="s">
        <v>44</v>
      </c>
      <c r="B10" s="9" t="s">
        <v>52</v>
      </c>
      <c r="C10" s="10" t="s">
        <v>46</v>
      </c>
      <c r="D10" s="11" t="n">
        <v>30</v>
      </c>
      <c r="E10" s="11"/>
      <c r="F10" s="11"/>
      <c r="G10" s="11" t="n">
        <v>30</v>
      </c>
      <c r="H10" s="11"/>
      <c r="I10" s="11" t="n">
        <v>30</v>
      </c>
    </row>
    <row r="11" customFormat="false" ht="15" hidden="false" customHeight="true" outlineLevel="0" collapsed="false">
      <c r="A11" s="9" t="s">
        <v>44</v>
      </c>
      <c r="B11" s="9" t="s">
        <v>53</v>
      </c>
      <c r="C11" s="10" t="s">
        <v>46</v>
      </c>
      <c r="D11" s="11"/>
      <c r="E11" s="11" t="n">
        <v>15</v>
      </c>
      <c r="F11" s="11" t="n">
        <v>15</v>
      </c>
      <c r="G11" s="11" t="n">
        <v>18</v>
      </c>
      <c r="H11" s="11" t="n">
        <v>20</v>
      </c>
      <c r="I11" s="11" t="n">
        <v>20</v>
      </c>
    </row>
    <row r="12" customFormat="false" ht="15" hidden="false" customHeight="true" outlineLevel="0" collapsed="false">
      <c r="A12" s="9" t="s">
        <v>54</v>
      </c>
      <c r="B12" s="9" t="s">
        <v>55</v>
      </c>
      <c r="C12" s="10" t="s">
        <v>56</v>
      </c>
      <c r="D12" s="11" t="n">
        <v>20</v>
      </c>
      <c r="E12" s="11" t="n">
        <v>20</v>
      </c>
      <c r="F12" s="11" t="n">
        <v>22</v>
      </c>
      <c r="G12" s="11" t="n">
        <v>24</v>
      </c>
      <c r="H12" s="11" t="n">
        <v>25</v>
      </c>
      <c r="I12" s="11" t="n">
        <v>26</v>
      </c>
    </row>
    <row r="13" customFormat="false" ht="15" hidden="false" customHeight="true" outlineLevel="0" collapsed="false">
      <c r="A13" s="9" t="s">
        <v>54</v>
      </c>
      <c r="B13" s="9" t="s">
        <v>57</v>
      </c>
      <c r="C13" s="10" t="s">
        <v>58</v>
      </c>
      <c r="D13" s="11"/>
      <c r="E13" s="11"/>
      <c r="F13" s="11" t="n">
        <v>25</v>
      </c>
      <c r="G13" s="11"/>
      <c r="H13" s="11" t="n">
        <v>30</v>
      </c>
      <c r="I13" s="11"/>
    </row>
    <row r="14" customFormat="false" ht="15" hidden="false" customHeight="true" outlineLevel="0" collapsed="false">
      <c r="A14" s="9" t="s">
        <v>54</v>
      </c>
      <c r="B14" s="9" t="s">
        <v>59</v>
      </c>
      <c r="C14" s="10" t="s">
        <v>56</v>
      </c>
      <c r="D14" s="11" t="n">
        <v>20</v>
      </c>
      <c r="E14" s="11" t="n">
        <v>22</v>
      </c>
      <c r="F14" s="11" t="n">
        <v>24</v>
      </c>
      <c r="G14" s="11" t="n">
        <v>26</v>
      </c>
      <c r="H14" s="11" t="n">
        <v>28</v>
      </c>
      <c r="I14" s="11" t="n">
        <v>30</v>
      </c>
    </row>
    <row r="15" customFormat="false" ht="15" hidden="false" customHeight="true" outlineLevel="0" collapsed="false">
      <c r="A15" s="9" t="s">
        <v>54</v>
      </c>
      <c r="B15" s="9" t="s">
        <v>60</v>
      </c>
      <c r="C15" s="10" t="s">
        <v>56</v>
      </c>
      <c r="D15" s="11" t="n">
        <v>20</v>
      </c>
      <c r="E15" s="11" t="n">
        <v>22</v>
      </c>
      <c r="F15" s="11" t="n">
        <v>24</v>
      </c>
      <c r="G15" s="11" t="n">
        <v>26</v>
      </c>
      <c r="H15" s="11" t="n">
        <v>28</v>
      </c>
      <c r="I15" s="11" t="n">
        <v>30</v>
      </c>
    </row>
    <row r="16" customFormat="false" ht="15" hidden="false" customHeight="true" outlineLevel="0" collapsed="false">
      <c r="A16" s="9" t="s">
        <v>54</v>
      </c>
      <c r="B16" s="9" t="s">
        <v>61</v>
      </c>
      <c r="C16" s="10" t="s">
        <v>56</v>
      </c>
      <c r="D16" s="11" t="n">
        <v>5</v>
      </c>
      <c r="E16" s="11" t="n">
        <v>5</v>
      </c>
      <c r="F16" s="11" t="n">
        <v>6</v>
      </c>
      <c r="G16" s="11" t="n">
        <v>6</v>
      </c>
      <c r="H16" s="11" t="n">
        <v>7</v>
      </c>
      <c r="I16" s="11" t="n">
        <v>7</v>
      </c>
    </row>
    <row r="17" customFormat="false" ht="15" hidden="false" customHeight="true" outlineLevel="0" collapsed="false">
      <c r="A17" s="9" t="s">
        <v>54</v>
      </c>
      <c r="B17" s="9" t="s">
        <v>62</v>
      </c>
      <c r="C17" s="10" t="s">
        <v>56</v>
      </c>
      <c r="D17" s="11"/>
      <c r="E17" s="11"/>
      <c r="F17" s="11" t="n">
        <v>5</v>
      </c>
      <c r="G17" s="11" t="n">
        <v>6</v>
      </c>
      <c r="H17" s="11" t="n">
        <v>7</v>
      </c>
      <c r="I17" s="11" t="n">
        <v>8</v>
      </c>
    </row>
    <row r="18" customFormat="false" ht="15" hidden="false" customHeight="true" outlineLevel="0" collapsed="false">
      <c r="A18" s="9" t="s">
        <v>54</v>
      </c>
      <c r="B18" s="9" t="s">
        <v>63</v>
      </c>
      <c r="C18" s="10" t="s">
        <v>56</v>
      </c>
      <c r="D18" s="11"/>
      <c r="E18" s="11"/>
      <c r="F18" s="11" t="n">
        <v>5</v>
      </c>
      <c r="G18" s="11" t="n">
        <v>6</v>
      </c>
      <c r="H18" s="11" t="n">
        <v>8</v>
      </c>
      <c r="I18" s="11" t="n">
        <v>10</v>
      </c>
    </row>
    <row r="19" customFormat="false" ht="15" hidden="false" customHeight="true" outlineLevel="0" collapsed="false">
      <c r="A19" s="9" t="s">
        <v>54</v>
      </c>
      <c r="B19" s="9" t="s">
        <v>64</v>
      </c>
      <c r="C19" s="10" t="s">
        <v>56</v>
      </c>
      <c r="D19" s="11"/>
      <c r="E19" s="11"/>
      <c r="F19" s="11"/>
      <c r="G19" s="11" t="n">
        <v>8</v>
      </c>
      <c r="H19" s="11" t="n">
        <v>12</v>
      </c>
      <c r="I19" s="11" t="n">
        <v>16</v>
      </c>
    </row>
    <row r="20" customFormat="false" ht="15" hidden="false" customHeight="true" outlineLevel="0" collapsed="false">
      <c r="A20" s="9" t="s">
        <v>65</v>
      </c>
      <c r="B20" s="9" t="s">
        <v>66</v>
      </c>
      <c r="C20" s="10" t="s">
        <v>67</v>
      </c>
      <c r="D20" s="11"/>
      <c r="E20" s="11" t="n">
        <v>30</v>
      </c>
      <c r="F20" s="11" t="n">
        <v>35</v>
      </c>
      <c r="G20" s="11" t="n">
        <v>40</v>
      </c>
      <c r="H20" s="11" t="n">
        <v>40</v>
      </c>
      <c r="I20" s="11" t="n">
        <v>40</v>
      </c>
    </row>
    <row r="21" customFormat="false" ht="15" hidden="false" customHeight="true" outlineLevel="0" collapsed="false">
      <c r="A21" s="9" t="s">
        <v>65</v>
      </c>
      <c r="B21" s="9" t="s">
        <v>68</v>
      </c>
      <c r="C21" s="10" t="s">
        <v>67</v>
      </c>
      <c r="D21" s="11"/>
      <c r="E21" s="11"/>
      <c r="F21" s="11" t="n">
        <v>25</v>
      </c>
      <c r="G21" s="11" t="n">
        <v>30</v>
      </c>
      <c r="H21" s="11" t="n">
        <v>35</v>
      </c>
      <c r="I21" s="11" t="n">
        <v>40</v>
      </c>
    </row>
    <row r="22" customFormat="false" ht="15" hidden="false" customHeight="true" outlineLevel="0" collapsed="false">
      <c r="A22" s="9" t="s">
        <v>54</v>
      </c>
      <c r="B22" s="9" t="s">
        <v>69</v>
      </c>
      <c r="C22" s="10" t="s">
        <v>50</v>
      </c>
      <c r="D22" s="11"/>
      <c r="E22" s="11" t="n">
        <v>30</v>
      </c>
      <c r="F22" s="11"/>
      <c r="G22" s="11"/>
      <c r="H22" s="11"/>
      <c r="I22" s="11"/>
    </row>
    <row r="23" customFormat="false" ht="15" hidden="false" customHeight="true" outlineLevel="0" collapsed="false">
      <c r="A23" s="9" t="s">
        <v>44</v>
      </c>
      <c r="B23" s="9" t="s">
        <v>70</v>
      </c>
      <c r="C23" s="10" t="s">
        <v>71</v>
      </c>
      <c r="D23" s="11"/>
      <c r="E23" s="11"/>
      <c r="F23" s="11"/>
      <c r="G23" s="11" t="n">
        <v>5</v>
      </c>
      <c r="H23" s="11" t="n">
        <v>10</v>
      </c>
      <c r="I23" s="11" t="n">
        <v>15</v>
      </c>
    </row>
    <row r="25" customFormat="false" ht="15" hidden="false" customHeight="true" outlineLevel="0" collapsed="false">
      <c r="A25" s="12" t="s">
        <v>72</v>
      </c>
    </row>
    <row r="26" customFormat="false" ht="15" hidden="false" customHeight="true" outlineLevel="0" collapsed="false">
      <c r="B26" s="12" t="s">
        <v>73</v>
      </c>
      <c r="D26" s="13" t="n">
        <f aca="false">SUM(D5,D6,D7,D8,D9,D10,D11,D23)</f>
        <v>80</v>
      </c>
      <c r="E26" s="13" t="n">
        <f aca="false">SUM(E5,E6,E7,E8,E9,E10,E11,E23)</f>
        <v>175</v>
      </c>
      <c r="F26" s="13" t="n">
        <f aca="false">SUM(F5,F6,F7,F8,F9,F10,F11,F23)</f>
        <v>380</v>
      </c>
      <c r="G26" s="13" t="n">
        <f aca="false">SUM(G5,G6,G7,G8,G9,G10,G11,G23)</f>
        <v>229</v>
      </c>
      <c r="H26" s="13" t="n">
        <f aca="false">SUM(H5,H6,H7,H8,H9,H10,H11,H23)</f>
        <v>212</v>
      </c>
      <c r="I26" s="13" t="n">
        <f aca="false">SUM(I5,I6,I7,I8,I9,I10,I11,I23)</f>
        <v>254</v>
      </c>
    </row>
    <row r="27" customFormat="false" ht="15" hidden="false" customHeight="true" outlineLevel="0" collapsed="false">
      <c r="B27" s="12" t="s">
        <v>74</v>
      </c>
      <c r="D27" s="13" t="n">
        <f aca="false">SUM(D12,D13,D14,D15,D16,D17,D18,D19,D22)</f>
        <v>65</v>
      </c>
      <c r="E27" s="13" t="n">
        <f aca="false">SUM(E12,E13,E14,E15,E16,E17,E18,E19,E22)</f>
        <v>99</v>
      </c>
      <c r="F27" s="13" t="n">
        <f aca="false">SUM(F12,F13,F14,F15,F16,F17,F18,F19,F22)</f>
        <v>111</v>
      </c>
      <c r="G27" s="13" t="n">
        <f aca="false">SUM(G12,G13,G14,G15,G16,G17,G18,G19,G22)</f>
        <v>102</v>
      </c>
      <c r="H27" s="13" t="n">
        <f aca="false">SUM(H12,H13,H14,H15,H16,H17,H18,H19,H22)</f>
        <v>145</v>
      </c>
      <c r="I27" s="13" t="n">
        <f aca="false">SUM(I12,I13,I14,I15,I16,I17,I18,I19,I22)</f>
        <v>127</v>
      </c>
    </row>
    <row r="28" customFormat="false" ht="15" hidden="false" customHeight="true" outlineLevel="0" collapsed="false">
      <c r="B28" s="12" t="s">
        <v>75</v>
      </c>
      <c r="D28" s="13" t="n">
        <f aca="false">SUM(D20,D21)</f>
        <v>0</v>
      </c>
      <c r="E28" s="13" t="n">
        <f aca="false">SUM(E20,E21)</f>
        <v>30</v>
      </c>
      <c r="F28" s="13" t="n">
        <f aca="false">SUM(F20,F21)</f>
        <v>60</v>
      </c>
      <c r="G28" s="13" t="n">
        <f aca="false">SUM(G20,G21)</f>
        <v>70</v>
      </c>
      <c r="H28" s="13" t="n">
        <f aca="false">SUM(H20,H21)</f>
        <v>75</v>
      </c>
      <c r="I28" s="13" t="n">
        <f aca="false">SUM(I20,I21)</f>
        <v>80</v>
      </c>
    </row>
    <row r="30" customFormat="false" ht="15" hidden="false" customHeight="true" outlineLevel="0" collapsed="false">
      <c r="B30" s="12" t="s">
        <v>76</v>
      </c>
      <c r="D30" s="14" t="n">
        <f aca="false">SUM(D26:D28)</f>
        <v>145</v>
      </c>
      <c r="E30" s="14" t="n">
        <f aca="false">SUM(E26:E28)</f>
        <v>304</v>
      </c>
      <c r="F30" s="14" t="n">
        <f aca="false">SUM(F26:F28)</f>
        <v>551</v>
      </c>
      <c r="G30" s="14" t="n">
        <f aca="false">SUM(G26:G28)</f>
        <v>401</v>
      </c>
      <c r="H30" s="14" t="n">
        <f aca="false">SUM(H26:H28)</f>
        <v>432</v>
      </c>
      <c r="I30" s="14" t="n">
        <f aca="false">SUM(I26:I28)</f>
        <v>461</v>
      </c>
    </row>
    <row r="32" customFormat="false" ht="15" hidden="false" customHeight="true" outlineLevel="0" collapsed="false">
      <c r="B32" s="15" t="s">
        <v>77</v>
      </c>
    </row>
    <row r="33" customFormat="false" ht="15" hidden="false" customHeight="true" outlineLevel="0" collapsed="false">
      <c r="B33" s="15" t="s">
        <v>78</v>
      </c>
    </row>
    <row r="35" customFormat="false" ht="15" hidden="false" customHeight="true" outlineLevel="0" collapsed="false"/>
    <row r="3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6" t="s">
        <v>79</v>
      </c>
    </row>
    <row r="2" customFormat="false" ht="15" hidden="false" customHeight="true" outlineLevel="0" collapsed="false">
      <c r="A2" s="3" t="s">
        <v>80</v>
      </c>
    </row>
    <row r="4" customFormat="false" ht="15" hidden="false" customHeight="true" outlineLevel="0" collapsed="false">
      <c r="A4" s="7" t="s">
        <v>35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81</v>
      </c>
    </row>
    <row r="5" customFormat="false" ht="15" hidden="false" customHeight="true" outlineLevel="0" collapsed="false">
      <c r="A5" s="4" t="s">
        <v>44</v>
      </c>
      <c r="B5" s="13" t="n">
        <f aca="false">'Event Inventory'!D26</f>
        <v>80</v>
      </c>
      <c r="C5" s="13" t="n">
        <f aca="false">'Event Inventory'!E26</f>
        <v>175</v>
      </c>
      <c r="D5" s="13" t="n">
        <f aca="false">'Event Inventory'!F26</f>
        <v>380</v>
      </c>
      <c r="E5" s="13" t="n">
        <f aca="false">'Event Inventory'!G26</f>
        <v>229</v>
      </c>
      <c r="F5" s="13" t="n">
        <f aca="false">'Event Inventory'!H26</f>
        <v>212</v>
      </c>
      <c r="G5" s="13" t="n">
        <f aca="false">'Event Inventory'!I26</f>
        <v>254</v>
      </c>
      <c r="H5" s="16" t="n">
        <f aca="false">IFERROR((G5/B5)^(1/5)-1,"")</f>
        <v>0.259936756524236</v>
      </c>
    </row>
    <row r="6" customFormat="false" ht="15" hidden="false" customHeight="true" outlineLevel="0" collapsed="false">
      <c r="A6" s="4" t="s">
        <v>54</v>
      </c>
      <c r="B6" s="13" t="n">
        <f aca="false">'Event Inventory'!D27</f>
        <v>65</v>
      </c>
      <c r="C6" s="13" t="n">
        <f aca="false">'Event Inventory'!E27</f>
        <v>99</v>
      </c>
      <c r="D6" s="13" t="n">
        <f aca="false">'Event Inventory'!F27</f>
        <v>111</v>
      </c>
      <c r="E6" s="13" t="n">
        <f aca="false">'Event Inventory'!G27</f>
        <v>102</v>
      </c>
      <c r="F6" s="13" t="n">
        <f aca="false">'Event Inventory'!H27</f>
        <v>145</v>
      </c>
      <c r="G6" s="13" t="n">
        <f aca="false">'Event Inventory'!I27</f>
        <v>127</v>
      </c>
      <c r="H6" s="16" t="n">
        <f aca="false">IFERROR((G6/B6)^(1/5)-1,"")</f>
        <v>0.143347042900122</v>
      </c>
    </row>
    <row r="7" customFormat="false" ht="15" hidden="false" customHeight="true" outlineLevel="0" collapsed="false">
      <c r="A7" s="4" t="s">
        <v>82</v>
      </c>
      <c r="B7" s="13" t="n">
        <f aca="false">'Event Inventory'!D28</f>
        <v>0</v>
      </c>
      <c r="C7" s="13" t="n">
        <f aca="false">'Event Inventory'!E28</f>
        <v>30</v>
      </c>
      <c r="D7" s="13" t="n">
        <f aca="false">'Event Inventory'!F28</f>
        <v>60</v>
      </c>
      <c r="E7" s="13" t="n">
        <f aca="false">'Event Inventory'!G28</f>
        <v>70</v>
      </c>
      <c r="F7" s="13" t="n">
        <f aca="false">'Event Inventory'!H28</f>
        <v>75</v>
      </c>
      <c r="G7" s="13" t="n">
        <f aca="false">'Event Inventory'!I28</f>
        <v>80</v>
      </c>
    </row>
    <row r="8" customFormat="false" ht="15" hidden="false" customHeight="true" outlineLevel="0" collapsed="false">
      <c r="A8" s="4" t="s">
        <v>83</v>
      </c>
      <c r="B8" s="17" t="n">
        <f aca="false">SUM(B5:B7)</f>
        <v>145</v>
      </c>
      <c r="C8" s="17" t="n">
        <f aca="false">SUM(C5:C7)</f>
        <v>304</v>
      </c>
      <c r="D8" s="17" t="n">
        <f aca="false">SUM(D5:D7)</f>
        <v>551</v>
      </c>
      <c r="E8" s="17" t="n">
        <f aca="false">SUM(E5:E7)</f>
        <v>401</v>
      </c>
      <c r="F8" s="17" t="n">
        <f aca="false">SUM(F5:F7)</f>
        <v>432</v>
      </c>
      <c r="G8" s="17" t="n">
        <f aca="false">SUM(G5:G7)</f>
        <v>461</v>
      </c>
      <c r="H8" s="18" t="n">
        <f aca="false">IFERROR((G8/B8)^(1/5)-1,"")</f>
        <v>0.260278666142165</v>
      </c>
    </row>
    <row r="10" customFormat="false" ht="15" hidden="false" customHeight="true" outlineLevel="0" collapsed="false">
      <c r="A10" s="4" t="s">
        <v>84</v>
      </c>
      <c r="C10" s="19" t="n">
        <v>240</v>
      </c>
      <c r="H10" s="3" t="s">
        <v>85</v>
      </c>
    </row>
    <row r="11" customFormat="false" ht="15" hidden="false" customHeight="true" outlineLevel="0" collapsed="false">
      <c r="A11" s="4" t="s">
        <v>86</v>
      </c>
      <c r="G11" s="19" t="n">
        <v>380</v>
      </c>
      <c r="H11" s="3" t="s">
        <v>85</v>
      </c>
    </row>
    <row r="12" customFormat="false" ht="15" hidden="false" customHeight="true" outlineLevel="0" collapsed="false">
      <c r="A12" s="4" t="s">
        <v>87</v>
      </c>
      <c r="G12" s="19" t="n">
        <v>420</v>
      </c>
      <c r="H12" s="3" t="s">
        <v>85</v>
      </c>
    </row>
    <row r="14" customFormat="false" ht="15" hidden="false" customHeight="true" outlineLevel="0" collapsed="false">
      <c r="A14" s="4" t="s">
        <v>88</v>
      </c>
      <c r="G14" s="20" t="n">
        <f aca="false">G8-400</f>
        <v>61</v>
      </c>
    </row>
    <row r="15" customFormat="false" ht="15" hidden="false" customHeight="true" outlineLevel="0" collapsed="false">
      <c r="A15" s="4" t="s">
        <v>89</v>
      </c>
      <c r="G15" s="16" t="n">
        <f aca="false">G8/400-1</f>
        <v>0.1525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32"/>
  </cols>
  <sheetData>
    <row r="1" customFormat="false" ht="15" hidden="false" customHeight="true" outlineLevel="0" collapsed="false">
      <c r="A1" s="6" t="s">
        <v>90</v>
      </c>
    </row>
    <row r="2" customFormat="false" ht="15" hidden="false" customHeight="true" outlineLevel="0" collapsed="false">
      <c r="A2" s="3" t="s">
        <v>91</v>
      </c>
    </row>
    <row r="4" customFormat="false" ht="15" hidden="false" customHeight="true" outlineLevel="0" collapsed="false">
      <c r="A4" s="7" t="s">
        <v>35</v>
      </c>
      <c r="B4" s="7" t="s">
        <v>92</v>
      </c>
      <c r="C4" s="8" t="s">
        <v>93</v>
      </c>
      <c r="D4" s="8" t="s">
        <v>94</v>
      </c>
      <c r="E4" s="8" t="s">
        <v>95</v>
      </c>
      <c r="F4" s="8" t="s">
        <v>96</v>
      </c>
    </row>
    <row r="5" customFormat="false" ht="15" hidden="false" customHeight="true" outlineLevel="0" collapsed="false">
      <c r="A5" s="21" t="s">
        <v>97</v>
      </c>
      <c r="B5" s="21" t="s">
        <v>98</v>
      </c>
      <c r="C5" s="10" t="s">
        <v>99</v>
      </c>
      <c r="D5" s="19" t="n">
        <v>55</v>
      </c>
      <c r="E5" s="19" t="n">
        <v>55</v>
      </c>
      <c r="F5" s="3" t="s">
        <v>100</v>
      </c>
    </row>
    <row r="6" customFormat="false" ht="15" hidden="false" customHeight="true" outlineLevel="0" collapsed="false">
      <c r="A6" s="21" t="s">
        <v>101</v>
      </c>
      <c r="B6" s="21" t="s">
        <v>98</v>
      </c>
      <c r="C6" s="10" t="s">
        <v>99</v>
      </c>
      <c r="D6" s="19" t="n">
        <v>55</v>
      </c>
      <c r="E6" s="19" t="n">
        <v>55</v>
      </c>
      <c r="F6" s="3" t="s">
        <v>102</v>
      </c>
    </row>
    <row r="7" customFormat="false" ht="15" hidden="false" customHeight="true" outlineLevel="0" collapsed="false">
      <c r="A7" s="21" t="s">
        <v>103</v>
      </c>
      <c r="B7" s="21" t="s">
        <v>98</v>
      </c>
      <c r="C7" s="10" t="s">
        <v>99</v>
      </c>
      <c r="D7" s="19" t="n">
        <v>42</v>
      </c>
      <c r="E7" s="19" t="n">
        <v>42</v>
      </c>
      <c r="F7" s="3" t="s">
        <v>104</v>
      </c>
    </row>
    <row r="8" customFormat="false" ht="15" hidden="false" customHeight="true" outlineLevel="0" collapsed="false">
      <c r="A8" s="21" t="s">
        <v>105</v>
      </c>
      <c r="B8" s="21" t="s">
        <v>98</v>
      </c>
      <c r="C8" s="10" t="s">
        <v>99</v>
      </c>
      <c r="D8" s="19" t="n">
        <v>45</v>
      </c>
      <c r="E8" s="19" t="n">
        <v>45</v>
      </c>
      <c r="F8" s="3" t="s">
        <v>106</v>
      </c>
    </row>
    <row r="9" customFormat="false" ht="15" hidden="false" customHeight="true" outlineLevel="0" collapsed="false">
      <c r="A9" s="21" t="s">
        <v>107</v>
      </c>
      <c r="B9" s="21" t="s">
        <v>108</v>
      </c>
      <c r="C9" s="10" t="s">
        <v>109</v>
      </c>
      <c r="E9" s="19" t="n">
        <v>47</v>
      </c>
      <c r="F9" s="3" t="s">
        <v>110</v>
      </c>
    </row>
    <row r="10" customFormat="false" ht="15" hidden="false" customHeight="true" outlineLevel="0" collapsed="false">
      <c r="A10" s="21" t="s">
        <v>111</v>
      </c>
      <c r="B10" s="21" t="s">
        <v>112</v>
      </c>
      <c r="C10" s="10" t="s">
        <v>113</v>
      </c>
      <c r="E10" s="19" t="n">
        <v>1000</v>
      </c>
      <c r="F10" s="3" t="s">
        <v>114</v>
      </c>
    </row>
    <row r="11" customFormat="false" ht="15" hidden="false" customHeight="true" outlineLevel="0" collapsed="false">
      <c r="A11" s="21" t="s">
        <v>115</v>
      </c>
      <c r="B11" s="21" t="s">
        <v>116</v>
      </c>
      <c r="C11" s="10" t="s">
        <v>117</v>
      </c>
      <c r="D11" s="19" t="n">
        <v>55</v>
      </c>
      <c r="E11" s="19" t="n">
        <v>110</v>
      </c>
      <c r="F11" s="3" t="s">
        <v>118</v>
      </c>
    </row>
    <row r="12" customFormat="false" ht="15" hidden="false" customHeight="true" outlineLevel="0" collapsed="false">
      <c r="A12" s="21" t="s">
        <v>119</v>
      </c>
      <c r="B12" s="21" t="s">
        <v>120</v>
      </c>
      <c r="C12" s="10" t="s">
        <v>121</v>
      </c>
      <c r="D12" s="19" t="n">
        <v>200</v>
      </c>
      <c r="E12" s="19" t="n">
        <v>200</v>
      </c>
      <c r="F12" s="3" t="s">
        <v>122</v>
      </c>
    </row>
    <row r="13" customFormat="false" ht="15" hidden="false" customHeight="true" outlineLevel="0" collapsed="false">
      <c r="A13" s="21" t="s">
        <v>123</v>
      </c>
      <c r="B13" s="21" t="s">
        <v>124</v>
      </c>
      <c r="C13" s="10" t="s">
        <v>125</v>
      </c>
      <c r="D13" s="19" t="n">
        <v>25</v>
      </c>
      <c r="E13" s="19" t="n">
        <v>25</v>
      </c>
      <c r="F13" s="3" t="s">
        <v>126</v>
      </c>
    </row>
    <row r="14" customFormat="false" ht="15" hidden="false" customHeight="true" outlineLevel="0" collapsed="false">
      <c r="A14" s="21" t="s">
        <v>127</v>
      </c>
      <c r="B14" s="21" t="s">
        <v>124</v>
      </c>
      <c r="C14" s="10" t="s">
        <v>128</v>
      </c>
      <c r="D14" s="19" t="n">
        <v>22</v>
      </c>
      <c r="E14" s="19" t="n">
        <v>44</v>
      </c>
      <c r="F14" s="3" t="s">
        <v>129</v>
      </c>
    </row>
    <row r="15" customFormat="false" ht="15" hidden="false" customHeight="true" outlineLevel="0" collapsed="false">
      <c r="A15" s="21" t="s">
        <v>130</v>
      </c>
      <c r="B15" s="21" t="s">
        <v>56</v>
      </c>
      <c r="C15" s="10" t="s">
        <v>131</v>
      </c>
      <c r="D15" s="19" t="n">
        <v>5</v>
      </c>
      <c r="E15" s="19" t="n">
        <v>5</v>
      </c>
      <c r="F15" s="3" t="s">
        <v>132</v>
      </c>
    </row>
    <row r="16" customFormat="false" ht="15" hidden="false" customHeight="true" outlineLevel="0" collapsed="false">
      <c r="A16" s="21" t="s">
        <v>133</v>
      </c>
      <c r="B16" s="21" t="s">
        <v>120</v>
      </c>
      <c r="C16" s="10" t="s">
        <v>134</v>
      </c>
      <c r="D16" s="19" t="n">
        <v>100</v>
      </c>
      <c r="E16" s="19" t="n">
        <v>100</v>
      </c>
      <c r="F16" s="3" t="s">
        <v>135</v>
      </c>
    </row>
    <row r="18" customFormat="false" ht="15" hidden="false" customHeight="true" outlineLevel="0" collapsed="false">
      <c r="A18" s="4" t="s">
        <v>136</v>
      </c>
    </row>
    <row r="19" customFormat="false" ht="15" hidden="false" customHeight="true" outlineLevel="0" collapsed="false">
      <c r="A19" s="22" t="s">
        <v>137</v>
      </c>
      <c r="B19" s="22"/>
      <c r="C19" s="22"/>
      <c r="D19" s="22"/>
      <c r="E19" s="22"/>
      <c r="F19" s="22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2"/>
  </cols>
  <sheetData>
    <row r="1" customFormat="false" ht="15" hidden="false" customHeight="true" outlineLevel="0" collapsed="false">
      <c r="A1" s="6" t="s">
        <v>138</v>
      </c>
    </row>
    <row r="2" customFormat="false" ht="15" hidden="false" customHeight="true" outlineLevel="0" collapsed="false">
      <c r="A2" s="3" t="s">
        <v>139</v>
      </c>
    </row>
    <row r="4" customFormat="false" ht="15" hidden="false" customHeight="true" outlineLevel="0" collapsed="false">
      <c r="A4" s="7" t="s">
        <v>140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141</v>
      </c>
    </row>
    <row r="5" customFormat="false" ht="15" hidden="false" customHeight="true" outlineLevel="0" collapsed="false">
      <c r="A5" s="4" t="s">
        <v>142</v>
      </c>
      <c r="B5" s="19" t="n">
        <v>180</v>
      </c>
      <c r="C5" s="19" t="n">
        <v>270</v>
      </c>
      <c r="D5" s="19" t="n">
        <v>380</v>
      </c>
      <c r="E5" s="19" t="n">
        <v>280</v>
      </c>
      <c r="F5" s="19" t="n">
        <v>250</v>
      </c>
      <c r="G5" s="19" t="n">
        <v>230</v>
      </c>
      <c r="H5" s="3" t="s">
        <v>143</v>
      </c>
    </row>
    <row r="6" customFormat="false" ht="15" hidden="false" customHeight="true" outlineLevel="0" collapsed="false">
      <c r="A6" s="4" t="s">
        <v>144</v>
      </c>
      <c r="B6" s="13" t="n">
        <f aca="false">'Event Inventory'!D30</f>
        <v>145</v>
      </c>
      <c r="C6" s="13" t="n">
        <f aca="false">'Event Inventory'!E30</f>
        <v>304</v>
      </c>
      <c r="D6" s="13" t="n">
        <f aca="false">'Event Inventory'!F30</f>
        <v>551</v>
      </c>
      <c r="E6" s="13" t="n">
        <f aca="false">'Event Inventory'!G30</f>
        <v>401</v>
      </c>
      <c r="F6" s="13" t="n">
        <f aca="false">'Event Inventory'!H30</f>
        <v>432</v>
      </c>
      <c r="G6" s="13" t="n">
        <f aca="false">'Event Inventory'!I30</f>
        <v>461</v>
      </c>
      <c r="H6" s="3" t="s">
        <v>145</v>
      </c>
    </row>
    <row r="7" customFormat="false" ht="15" hidden="false" customHeight="true" outlineLevel="0" collapsed="false">
      <c r="A7" s="4" t="s">
        <v>146</v>
      </c>
      <c r="B7" s="19" t="n">
        <v>200</v>
      </c>
      <c r="C7" s="19" t="n">
        <v>320</v>
      </c>
      <c r="D7" s="19" t="n">
        <v>460</v>
      </c>
      <c r="E7" s="19" t="n">
        <v>470</v>
      </c>
      <c r="F7" s="19" t="n">
        <v>510</v>
      </c>
      <c r="G7" s="19" t="n">
        <v>560</v>
      </c>
      <c r="H7" s="3" t="s">
        <v>147</v>
      </c>
    </row>
    <row r="9" customFormat="false" ht="15" hidden="false" customHeight="true" outlineLevel="0" collapsed="false">
      <c r="A9" s="4" t="s">
        <v>148</v>
      </c>
    </row>
    <row r="10" customFormat="false" ht="15" hidden="false" customHeight="true" outlineLevel="0" collapsed="false">
      <c r="A10" s="21" t="s">
        <v>149</v>
      </c>
      <c r="B10" s="16" t="n">
        <f aca="false">(G5/B5)^(1/5)-1</f>
        <v>0.0502460726386826</v>
      </c>
    </row>
    <row r="11" customFormat="false" ht="15" hidden="false" customHeight="true" outlineLevel="0" collapsed="false">
      <c r="A11" s="21" t="s">
        <v>150</v>
      </c>
      <c r="B11" s="16" t="n">
        <f aca="false">(G6/B6)^(1/5)-1</f>
        <v>0.260278666142165</v>
      </c>
    </row>
    <row r="12" customFormat="false" ht="15" hidden="false" customHeight="true" outlineLevel="0" collapsed="false">
      <c r="A12" s="21" t="s">
        <v>151</v>
      </c>
      <c r="B12" s="16" t="n">
        <f aca="false">(G7/B7)^(1/5)-1</f>
        <v>0.228659679083147</v>
      </c>
    </row>
    <row r="14" customFormat="false" ht="15" hidden="false" customHeight="true" outlineLevel="0" collapsed="false">
      <c r="A14" s="4" t="s">
        <v>152</v>
      </c>
      <c r="H14" s="3" t="s">
        <v>153</v>
      </c>
    </row>
    <row r="15" customFormat="false" ht="15" hidden="false" customHeight="true" outlineLevel="0" collapsed="false">
      <c r="A15" s="21" t="s">
        <v>154</v>
      </c>
      <c r="B15" s="20" t="n">
        <f aca="false">G5*0.95*14</f>
        <v>3059</v>
      </c>
      <c r="C15" s="20" t="n">
        <f aca="false">G6*0.95*14</f>
        <v>6131.3</v>
      </c>
      <c r="D15" s="20" t="n">
        <f aca="false">G7*0.95*14</f>
        <v>7448</v>
      </c>
    </row>
    <row r="16" customFormat="false" ht="15" hidden="false" customHeight="true" outlineLevel="0" collapsed="false">
      <c r="A16" s="3" t="s">
        <v>155</v>
      </c>
      <c r="B16" s="23" t="s">
        <v>156</v>
      </c>
      <c r="C16" s="23" t="s">
        <v>157</v>
      </c>
      <c r="D16" s="23" t="s">
        <v>158</v>
      </c>
    </row>
    <row r="19" customFormat="false" ht="15" hidden="false" customHeight="true" outlineLevel="0" collapsed="false">
      <c r="A19" s="4" t="s">
        <v>159</v>
      </c>
    </row>
    <row r="20" customFormat="false" ht="15" hidden="false" customHeight="true" outlineLevel="0" collapsed="false">
      <c r="A20" s="3" t="s">
        <v>160</v>
      </c>
    </row>
    <row r="22" customFormat="false" ht="15" hidden="false" customHeight="true" outlineLevel="0" collapsed="false">
      <c r="B22" s="24" t="s">
        <v>161</v>
      </c>
      <c r="C22" s="24" t="s">
        <v>162</v>
      </c>
      <c r="D22" s="24" t="s">
        <v>163</v>
      </c>
    </row>
    <row r="23" customFormat="false" ht="15" hidden="false" customHeight="true" outlineLevel="0" collapsed="false">
      <c r="A23" s="21" t="s">
        <v>164</v>
      </c>
      <c r="B23" s="19" t="n">
        <v>470</v>
      </c>
      <c r="C23" s="19" t="n">
        <v>512</v>
      </c>
      <c r="D23" s="19" t="n">
        <v>560</v>
      </c>
    </row>
    <row r="24" customFormat="false" ht="15" hidden="false" customHeight="true" outlineLevel="0" collapsed="false">
      <c r="A24" s="21" t="s">
        <v>109</v>
      </c>
      <c r="B24" s="19" t="n">
        <v>570</v>
      </c>
      <c r="C24" s="19" t="n">
        <v>612</v>
      </c>
      <c r="D24" s="19" t="n">
        <v>660</v>
      </c>
    </row>
    <row r="25" customFormat="false" ht="15" hidden="false" customHeight="true" outlineLevel="0" collapsed="false">
      <c r="A25" s="21" t="s">
        <v>165</v>
      </c>
      <c r="B25" s="19" t="n">
        <v>650</v>
      </c>
      <c r="C25" s="19" t="n">
        <v>692</v>
      </c>
      <c r="D25" s="19" t="n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" hidden="false" customHeight="true" outlineLevel="0" collapsed="false">
      <c r="A1" s="6" t="s">
        <v>166</v>
      </c>
    </row>
    <row r="2" customFormat="false" ht="15" hidden="false" customHeight="true" outlineLevel="0" collapsed="false">
      <c r="A2" s="3" t="s">
        <v>167</v>
      </c>
    </row>
    <row r="4" customFormat="false" ht="15" hidden="false" customHeight="true" outlineLevel="0" collapsed="false">
      <c r="A4" s="7" t="s">
        <v>168</v>
      </c>
      <c r="B4" s="7" t="s">
        <v>169</v>
      </c>
      <c r="C4" s="7" t="s">
        <v>170</v>
      </c>
    </row>
    <row r="5" customFormat="false" ht="21.75" hidden="false" customHeight="true" outlineLevel="0" collapsed="false">
      <c r="A5" s="21" t="s">
        <v>171</v>
      </c>
      <c r="B5" s="19" t="n">
        <v>55</v>
      </c>
      <c r="C5" s="25" t="s">
        <v>172</v>
      </c>
    </row>
    <row r="6" customFormat="false" ht="21.75" hidden="false" customHeight="true" outlineLevel="0" collapsed="false">
      <c r="A6" s="21" t="s">
        <v>173</v>
      </c>
      <c r="B6" s="19" t="n">
        <v>50</v>
      </c>
      <c r="C6" s="25" t="s">
        <v>174</v>
      </c>
    </row>
    <row r="7" customFormat="false" ht="21.75" hidden="false" customHeight="true" outlineLevel="0" collapsed="false">
      <c r="A7" s="21" t="s">
        <v>175</v>
      </c>
      <c r="B7" s="19" t="n">
        <v>200</v>
      </c>
      <c r="C7" s="25" t="s">
        <v>176</v>
      </c>
    </row>
    <row r="8" customFormat="false" ht="21.75" hidden="false" customHeight="true" outlineLevel="0" collapsed="false">
      <c r="A8" s="21" t="s">
        <v>177</v>
      </c>
      <c r="B8" s="19" t="n">
        <v>25</v>
      </c>
      <c r="C8" s="25" t="s">
        <v>178</v>
      </c>
    </row>
    <row r="9" customFormat="false" ht="15" hidden="false" customHeight="true" outlineLevel="0" collapsed="false">
      <c r="A9" s="21" t="s">
        <v>179</v>
      </c>
      <c r="B9" s="19" t="n">
        <v>22</v>
      </c>
      <c r="C9" s="25" t="s">
        <v>180</v>
      </c>
    </row>
    <row r="10" customFormat="false" ht="15" hidden="false" customHeight="true" outlineLevel="0" collapsed="false">
      <c r="A10" s="21" t="s">
        <v>181</v>
      </c>
      <c r="B10" s="19" t="n">
        <v>5</v>
      </c>
      <c r="C10" s="25" t="s">
        <v>182</v>
      </c>
    </row>
    <row r="11" customFormat="false" ht="15" hidden="false" customHeight="true" outlineLevel="0" collapsed="false">
      <c r="A11" s="21" t="s">
        <v>183</v>
      </c>
      <c r="B11" s="19" t="n">
        <v>30</v>
      </c>
      <c r="C11" s="25" t="s">
        <v>184</v>
      </c>
    </row>
    <row r="12" customFormat="false" ht="15" hidden="false" customHeight="true" outlineLevel="0" collapsed="false">
      <c r="A12" s="21" t="s">
        <v>185</v>
      </c>
      <c r="B12" s="26" t="n">
        <v>70</v>
      </c>
      <c r="C12" s="25" t="s">
        <v>186</v>
      </c>
    </row>
    <row r="13" customFormat="false" ht="15" hidden="false" customHeight="true" outlineLevel="0" collapsed="false">
      <c r="A13" s="21" t="s">
        <v>187</v>
      </c>
      <c r="B13" s="19" t="n">
        <v>22</v>
      </c>
      <c r="C13" s="25" t="s">
        <v>188</v>
      </c>
    </row>
    <row r="14" customFormat="false" ht="15" hidden="false" customHeight="true" outlineLevel="0" collapsed="false">
      <c r="A14" s="21" t="s">
        <v>189</v>
      </c>
      <c r="B14" s="26" t="n">
        <v>3</v>
      </c>
      <c r="C14" s="25" t="s">
        <v>190</v>
      </c>
    </row>
    <row r="15" customFormat="false" ht="15" hidden="false" customHeight="true" outlineLevel="0" collapsed="false">
      <c r="A15" s="21" t="s">
        <v>191</v>
      </c>
      <c r="B15" s="27" t="s">
        <v>192</v>
      </c>
      <c r="C15" s="25" t="s">
        <v>193</v>
      </c>
    </row>
    <row r="16" customFormat="false" ht="15" hidden="false" customHeight="true" outlineLevel="0" collapsed="false">
      <c r="A16" s="21" t="s">
        <v>194</v>
      </c>
      <c r="B16" s="19" t="n">
        <v>240</v>
      </c>
      <c r="C16" s="25" t="s">
        <v>195</v>
      </c>
    </row>
    <row r="17" customFormat="false" ht="15" hidden="false" customHeight="true" outlineLevel="0" collapsed="false">
      <c r="A17" s="21" t="s">
        <v>196</v>
      </c>
      <c r="B17" s="19" t="n">
        <v>400</v>
      </c>
      <c r="C17" s="25" t="s">
        <v>197</v>
      </c>
    </row>
    <row r="18" customFormat="false" ht="15" hidden="false" customHeight="true" outlineLevel="0" collapsed="false">
      <c r="A18" s="21" t="s">
        <v>198</v>
      </c>
      <c r="B18" s="27" t="s">
        <v>199</v>
      </c>
      <c r="C18" s="25" t="s">
        <v>200</v>
      </c>
    </row>
    <row r="19" customFormat="false" ht="15" hidden="false" customHeight="true" outlineLevel="0" collapsed="false">
      <c r="A19" s="21" t="s">
        <v>201</v>
      </c>
      <c r="B19" s="27" t="s">
        <v>202</v>
      </c>
      <c r="C19" s="25" t="s">
        <v>203</v>
      </c>
    </row>
    <row r="20" customFormat="false" ht="15" hidden="false" customHeight="true" outlineLevel="0" collapsed="false">
      <c r="A20" s="21" t="s">
        <v>204</v>
      </c>
      <c r="B20" s="27" t="s">
        <v>205</v>
      </c>
      <c r="C20" s="2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5" hidden="false" customHeight="true" outlineLevel="0" collapsed="false">
      <c r="A1" s="6" t="s">
        <v>207</v>
      </c>
    </row>
    <row r="2" customFormat="false" ht="15" hidden="false" customHeight="true" outlineLevel="0" collapsed="false">
      <c r="A2" s="3" t="s">
        <v>208</v>
      </c>
    </row>
    <row r="4" customFormat="false" ht="15" hidden="false" customHeight="true" outlineLevel="0" collapsed="false">
      <c r="A4" s="7" t="s">
        <v>209</v>
      </c>
      <c r="B4" s="7" t="s">
        <v>210</v>
      </c>
      <c r="C4" s="7" t="s">
        <v>211</v>
      </c>
    </row>
    <row r="5" customFormat="false" ht="15" hidden="false" customHeight="true" outlineLevel="0" collapsed="false">
      <c r="A5" s="9" t="s">
        <v>212</v>
      </c>
      <c r="B5" s="11" t="n">
        <v>240</v>
      </c>
      <c r="C5" s="15" t="s">
        <v>213</v>
      </c>
    </row>
    <row r="6" customFormat="false" ht="15" hidden="false" customHeight="true" outlineLevel="0" collapsed="false">
      <c r="A6" s="9" t="s">
        <v>214</v>
      </c>
      <c r="B6" s="11" t="n">
        <v>20</v>
      </c>
      <c r="C6" s="15" t="s">
        <v>215</v>
      </c>
    </row>
    <row r="7" customFormat="false" ht="15" hidden="false" customHeight="true" outlineLevel="0" collapsed="false">
      <c r="A7" s="9" t="s">
        <v>216</v>
      </c>
      <c r="B7" s="11" t="n">
        <v>50</v>
      </c>
      <c r="C7" s="15" t="s">
        <v>217</v>
      </c>
    </row>
    <row r="8" customFormat="false" ht="15" hidden="false" customHeight="true" outlineLevel="0" collapsed="false">
      <c r="A8" s="9" t="s">
        <v>218</v>
      </c>
      <c r="B8" s="11" t="n">
        <v>50</v>
      </c>
      <c r="C8" s="15" t="s">
        <v>219</v>
      </c>
    </row>
    <row r="9" customFormat="false" ht="15" hidden="false" customHeight="true" outlineLevel="0" collapsed="false">
      <c r="A9" s="9" t="s">
        <v>220</v>
      </c>
      <c r="B9" s="11" t="n">
        <v>20</v>
      </c>
      <c r="C9" s="15" t="s">
        <v>221</v>
      </c>
    </row>
    <row r="10" customFormat="false" ht="15" hidden="false" customHeight="true" outlineLevel="0" collapsed="false">
      <c r="A10" s="9" t="s">
        <v>222</v>
      </c>
      <c r="B10" s="11" t="n">
        <v>15</v>
      </c>
      <c r="C10" s="15" t="s">
        <v>223</v>
      </c>
    </row>
    <row r="11" customFormat="false" ht="15" hidden="false" customHeight="true" outlineLevel="0" collapsed="false">
      <c r="A11" s="9" t="s">
        <v>224</v>
      </c>
      <c r="B11" s="11" t="n">
        <v>5</v>
      </c>
      <c r="C11" s="15" t="s">
        <v>225</v>
      </c>
    </row>
    <row r="12" customFormat="false" ht="15" hidden="false" customHeight="true" outlineLevel="0" collapsed="false">
      <c r="A12" s="9" t="s">
        <v>226</v>
      </c>
      <c r="B12" s="14" t="n">
        <f aca="false">SUM(B5,B6,B7,B8,B9,B10,B11)</f>
        <v>400</v>
      </c>
      <c r="C12" s="15" t="s">
        <v>227</v>
      </c>
    </row>
    <row r="13" customFormat="false" ht="15" hidden="false" customHeight="true" outlineLevel="0" collapsed="false">
      <c r="A13" s="9" t="s">
        <v>228</v>
      </c>
      <c r="B13" s="11" t="n">
        <v>400</v>
      </c>
      <c r="C13" s="15" t="s">
        <v>197</v>
      </c>
    </row>
    <row r="14" customFormat="false" ht="15" hidden="false" customHeight="true" outlineLevel="0" collapsed="false">
      <c r="A14" s="9" t="s">
        <v>229</v>
      </c>
      <c r="B14" s="14" t="n">
        <f aca="false">B12-B13</f>
        <v>0</v>
      </c>
      <c r="C14" s="15" t="s">
        <v>230</v>
      </c>
    </row>
    <row r="17" customFormat="false" ht="15" hidden="false" customHeight="true" outlineLevel="0" collapsed="false">
      <c r="A17" s="12" t="s">
        <v>231</v>
      </c>
    </row>
    <row r="18" customFormat="false" ht="60" hidden="false" customHeight="true" outlineLevel="0" collapsed="false">
      <c r="A18" s="28" t="s">
        <v>232</v>
      </c>
      <c r="B18" s="28"/>
      <c r="C18" s="28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2026-05-07T00:35:21Z</dcterms:created>
  <dc:creator>openpyxl</dc:creator>
  <dc:description/>
  <dc:language>en-US</dc:language>
  <cp:lastModifiedBy/>
  <dcterms:modified xsi:type="dcterms:W3CDTF">2026-05-07T00:38:56Z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