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Uplift Build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<sst xmlns="http://schemas.openxmlformats.org/spreadsheetml/2006/main" count="107" uniqueCount="99">
  <si>
    <t xml:space="preserve">TKO 2030 Sponsorship Uplift Analysis</t>
  </si>
  <si>
    <t xml:space="preserve">UFC + WWE only. Sponsorship uplift to 2030 vs. 2025 actuals, framed as conversion of media rights uplift from new deal cycle (Paramount UFC, Netflix Raw, ESPN PLEs).</t>
  </si>
  <si>
    <t xml:space="preserve">Scenario</t>
  </si>
  <si>
    <t xml:space="preserve">Media Rights Uplift ($mm)</t>
  </si>
  <si>
    <t xml:space="preserve">Sponsorship Uplift ($mm)</t>
  </si>
  <si>
    <t xml:space="preserve">Implied Conversion Rate</t>
  </si>
  <si>
    <t xml:space="preserve">Upside vs Mgmt ($mm)</t>
  </si>
  <si>
    <t xml:space="preserve">Upside vs Mgmt (%)</t>
  </si>
  <si>
    <t xml:space="preserve">Source / Logic</t>
  </si>
  <si>
    <t xml:space="preserve">Management Guidance</t>
  </si>
  <si>
    <t xml:space="preserve">Mgmt $1.2B 2030 target less 2025 actual ~$450M = $750M sponsorship uplift</t>
  </si>
  <si>
    <t xml:space="preserve">Buyside Consensus</t>
  </si>
  <si>
    <t xml:space="preserve">Consensus $1.45B 2030 less $450M 2025 actual = $1,000M sponsorship uplift</t>
  </si>
  <si>
    <t xml:space="preserve">100% Conversion (Theoretical Ceiling)</t>
  </si>
  <si>
    <t xml:space="preserve">1:1 conversion of media rights uplift to sponsorship uplift</t>
  </si>
  <si>
    <t xml:space="preserve">Memo: Implied 2030 Total Sponsorship ($mm)</t>
  </si>
  <si>
    <t xml:space="preserve">Memo: Implied 2030 Total Sponsorship - Consensus ($mm)</t>
  </si>
  <si>
    <t xml:space="preserve">Memo: Implied 2030 Total Sponsorship - 100% Ceiling ($mm)</t>
  </si>
  <si>
    <t xml:space="preserve">Key Takeaways</t>
  </si>
  <si>
    <t xml:space="preserve">1. Uplift framing: applies conversion rates to the incremental media rights $ unlocked by the new deal cycle, not the total media rights base. Sponsorship uplift measured as 2030 target less 2025 actuals.</t>
  </si>
  <si>
    <t xml:space="preserve">2. Mgmt-implied conversion of ~65% on uplift implies meaningful sponsorship growth that does not yet capture full inventory expansion from new deals.</t>
  </si>
  <si>
    <t xml:space="preserve">3. Buyside consensus implies ~87% conversion of media uplift to sponsorship uplift, materially closer to the theoretical ceiling.</t>
  </si>
  <si>
    <t xml:space="preserve">4. The 100% ceiling represents 1:1 conversion of media uplift to sponsorship uplift, consistent with mature ecosystems where commercial inventory expansion drives sponsorship growth in line with rights value.</t>
  </si>
  <si>
    <t xml:space="preserve">Media Rights and Sponsorship Uplift Build</t>
  </si>
  <si>
    <t xml:space="preserve">All values $mm. Uplift = New deal AAV (or 2030 estimate) less prior cycle AAV.</t>
  </si>
  <si>
    <t xml:space="preserve">MEDIA RIGHTS UPLIFT</t>
  </si>
  <si>
    <t xml:space="preserve">Property</t>
  </si>
  <si>
    <t xml:space="preserve">Old Deal (Prior Cycle)</t>
  </si>
  <si>
    <t xml:space="preserve">New Deal</t>
  </si>
  <si>
    <t xml:space="preserve">Old AAV ($mm)</t>
  </si>
  <si>
    <t xml:space="preserve">New AAV / 2030 ($mm)</t>
  </si>
  <si>
    <t xml:space="preserve">Uplift ($mm)</t>
  </si>
  <si>
    <t xml:space="preserve">Sources</t>
  </si>
  <si>
    <t xml:space="preserve">UFC US</t>
  </si>
  <si>
    <t xml:space="preserve">ESPN (extended, expired YE2025)</t>
  </si>
  <si>
    <t xml:space="preserve">Paramount / CBS (2026 to 2032)</t>
  </si>
  <si>
    <t xml:space="preserve">Old: Variety May 2025 (extended UFC-ESPN ~$450M/yr). New: TKO/Paramount press release Aug 11 2025 ($7.7B/7yr AAV $1.1B back-end loaded; 2030 ~$1.2B as Year 5 of back-loaded deal)</t>
  </si>
  <si>
    <t xml:space="preserve">WWE Raw</t>
  </si>
  <si>
    <t xml:space="preserve">USA Network (expired 2024)</t>
  </si>
  <si>
    <t xml:space="preserve">Netflix global (2025 to 2034)</t>
  </si>
  <si>
    <t xml:space="preserve">Old: Variety Jan 2024 (Raw on USA ~$265M/yr). New: TKO ARS FY2025 ($5.2B/10yr global Netflix deal = $520M/yr AAV)</t>
  </si>
  <si>
    <t xml:space="preserve">WWE PLEs</t>
  </si>
  <si>
    <t xml:space="preserve">Peacock (expires Mar 2026)</t>
  </si>
  <si>
    <t xml:space="preserve">ESPN (2026 to 2030)</t>
  </si>
  <si>
    <t xml:space="preserve">Old: CNBC Aug 2025 (Peacock paid ~$180M/yr per sources familiar). New: TKO ARS FY2025 ($1.625B/5yr ESPN deal = $325M/yr AAV)</t>
  </si>
  <si>
    <t xml:space="preserve">TOTAL MEDIA RIGHTS UPLIFT</t>
  </si>
  <si>
    <t xml:space="preserve">SPONSORSHIP UPLIFT</t>
  </si>
  <si>
    <t xml:space="preserve">2025 Actual ($mm)</t>
  </si>
  <si>
    <t xml:space="preserve">2030 Target ($mm)</t>
  </si>
  <si>
    <t xml:space="preserve">2025 Sponsorship Baseline (UFC + WWE)</t>
  </si>
  <si>
    <t xml:space="preserve">TKO ARS FY2025: well over $450M generated in 2025 across UFC and WWE partnerships. Used as 2025 baseline.</t>
  </si>
  <si>
    <t xml:space="preserve">TKO ARS FY2025: 2030 target raised to $1.2B (used as UFC+WWE proxy)</t>
  </si>
  <si>
    <t xml:space="preserve">Mgmt Sponsorship Uplift (2025 to 2030)</t>
  </si>
  <si>
    <t xml:space="preserve">Buyside Consensus Sponsorship Uplift (2025 to 2030)</t>
  </si>
  <si>
    <t xml:space="preserve">Consensus 2030 = $1.45B (per user input); uplift = $1,450M - $450M = $1,000M</t>
  </si>
  <si>
    <t xml:space="preserve">Methodology</t>
  </si>
  <si>
    <t xml:space="preserve">Conversion rate = Sponsorship uplift / Media rights uplift. Media uplift captures step-up in three deals only (UFC US, Raw, PLEs). Sponsorship uplift measured 2025 to 2030.</t>
  </si>
  <si>
    <t xml:space="preserve">UFC US 2030 estimate ($1,200M) reflects back-end loading per disclosed Paramount deal terms; AAV is $1.1B but 2030 (Year 5 of 7) sits above AAV.</t>
  </si>
  <si>
    <t xml:space="preserve">Excluded from media rights uplift: WWE SmackDown (USA / Versant), WWE NXT (CW), UFC International. These either renew on similar terms or are not driving the new-cycle commercial inventory expansion narrative.</t>
  </si>
  <si>
    <t xml:space="preserve">Source Documentation</t>
  </si>
  <si>
    <t xml:space="preserve">Item</t>
  </si>
  <si>
    <t xml:space="preserve">Source</t>
  </si>
  <si>
    <t xml:space="preserve">Date</t>
  </si>
  <si>
    <t xml:space="preserve">URL / Reference</t>
  </si>
  <si>
    <t xml:space="preserve">$1.2B 2030 brand partnerships target (raised from $1.0B); $450M+ 2025 partnerships baseline</t>
  </si>
  <si>
    <t xml:space="preserve">TKO Group Holdings Annual Report FY2025 (Form ARS)</t>
  </si>
  <si>
    <t xml:space="preserve">Filed 2026</t>
  </si>
  <si>
    <t xml:space="preserve">https://www.sec.gov/Archives/edgar/data/0001973266/000119312526173856/d908037dars.pdf</t>
  </si>
  <si>
    <t xml:space="preserve">UFC US Paramount deal: 7yr $7.7B, AAV $1.1B, back-end loaded</t>
  </si>
  <si>
    <t xml:space="preserve">TKO press release / Paramount and TKO joint announcement</t>
  </si>
  <si>
    <t xml:space="preserve">Aug 11, 2025</t>
  </si>
  <si>
    <t xml:space="preserve">https://tkogrp.com/news/paramount-and-tko-announce-historic-ufc-media-rights-deal</t>
  </si>
  <si>
    <t xml:space="preserve">UFC ESPN extended deal ~$450M/yr (extended 2023, expired YE2025)</t>
  </si>
  <si>
    <t xml:space="preserve">Variety reporting</t>
  </si>
  <si>
    <t xml:space="preserve">May 21, 2025</t>
  </si>
  <si>
    <t xml:space="preserve">https://variety.com/vip/ufc-sports-broadcast-rights-are-ending-at-the-perfect-time-1236403536/</t>
  </si>
  <si>
    <t xml:space="preserve">UFC ESPN original deal: 5yr $1.5B (~$300M/yr, 2019 to 2023)</t>
  </si>
  <si>
    <t xml:space="preserve">Sports Media Watch</t>
  </si>
  <si>
    <t xml:space="preserve">Mar 18, 2019</t>
  </si>
  <si>
    <t xml:space="preserve">https://www.sportsmediawatch.com/2019/03/ufc-espn-deal-extension-ppv/</t>
  </si>
  <si>
    <t xml:space="preserve">WWE Raw Netflix deal: 10yr $5.2B global (~$520M/yr)</t>
  </si>
  <si>
    <t xml:space="preserve">TKO Annual Report FY2025</t>
  </si>
  <si>
    <t xml:space="preserve">WWE Raw on USA prior deal: ~$265M/yr</t>
  </si>
  <si>
    <t xml:space="preserve">Jan 24, 2024</t>
  </si>
  <si>
    <t xml:space="preserve">https://variety.com/2024/tv/news/netflix-wwe-monday-night-raw-deal-january-2025-1235882820/</t>
  </si>
  <si>
    <t xml:space="preserve">WWE PLEs ESPN deal: 5yr $1.625B (~$325M/yr)</t>
  </si>
  <si>
    <t xml:space="preserve">TKO Annual Report FY2025; CNBC reporting</t>
  </si>
  <si>
    <t xml:space="preserve">Aug 6, 2025</t>
  </si>
  <si>
    <t xml:space="preserve">https://www.cnbc.com/2025/08/06/espn-wwe-five-year-deal-live-events.html</t>
  </si>
  <si>
    <t xml:space="preserve">WWE PLEs Peacock prior deal: ~$180M/yr (sources familiar)</t>
  </si>
  <si>
    <t xml:space="preserve">CNBC reporting</t>
  </si>
  <si>
    <t xml:space="preserve">UFC FY2024 segment results (sponsorship trajectory)</t>
  </si>
  <si>
    <t xml:space="preserve">TKO Group Holdings 10-K FY2024</t>
  </si>
  <si>
    <t xml:space="preserve">Feb 2025</t>
  </si>
  <si>
    <t xml:space="preserve">https://www.sec.gov/Archives/edgar/data/1973266/000095017025027778/tko-20241231.htm</t>
  </si>
  <si>
    <t xml:space="preserve">Buyside consensus 2030 sponsorship ~$1.45B</t>
  </si>
  <si>
    <t xml:space="preserve">User input</t>
  </si>
  <si>
    <t xml:space="preserve">May 2026</t>
  </si>
  <si>
    <t xml:space="preserve">Per discussion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</si>
</sst>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TKO 2030 Sponsorship Uplift: UFC + WWE Only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Summary!C4</c:f>
              <c:strCache>
                <c:ptCount val="1"/>
                <c:pt idx="0">
                  <c:v>Sponsorship Uplift ($mm)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Summary!$A$5:$A$7</c:f>
              <c:strCache>
                <c:ptCount val="3"/>
                <c:pt idx="0">
                  <c:v>Management Guidance</c:v>
                </c:pt>
                <c:pt idx="1">
                  <c:v>Buyside Consensus</c:v>
                </c:pt>
                <c:pt idx="2">
                  <c:v>100% Conversion (Theoretical Ceiling)</c:v>
                </c:pt>
              </c:strCache>
            </c:strRef>
          </c:cat>
          <c:val>
            <c:numRef>
              <c:f>Summary!$C$5:$C$7</c:f>
              <c:numCache>
                <c:formatCode>\$#,##0;"($"#,##0\);\-</c:formatCode>
                <c:ptCount val="3"/>
                <c:pt idx="0">
                  <c:v>750</c:v>
                </c:pt>
                <c:pt idx="1">
                  <c:v>1000</c:v>
                </c:pt>
                <c:pt idx="2">
                  <c:v>1150</c:v>
                </c:pt>
              </c:numCache>
            </c:numRef>
          </c:val>
        </c:ser>
        <c:gapWidth val="150"/>
        <c:overlap val="0"/>
        <c:axId val="89460018"/>
        <c:axId val="92731350"/>
      </c:barChart>
      <c:catAx>
        <c:axId val="894600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31350"/>
        <c:crosses val="autoZero"/>
        <c:auto val="1"/>
        <c:lblAlgn val="ctr"/>
        <c:lblOffset val="100"/>
        <c:noMultiLvlLbl val="0"/>
      </c:catAx>
      <c:valAx>
        <c:axId val="927313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Sponsorship Uplift ($mm)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600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3600</xdr:rowOff>
    </xdr:from>
    <xdr:to>
      <xdr:col>4</xdr:col>
      <xdr:colOff>448200</xdr:colOff>
      <xdr:row>38</xdr:row>
      <xdr:rowOff>153360</xdr:rowOff>
    </xdr:to>
    <xdr:graphicFrame>
      <xdr:nvGraphicFramePr>
        <xdr:cNvPr id="0" name="Chart 1"/>
        <xdr:cNvGraphicFramePr/>
      </xdr:nvGraphicFramePr>
      <xdr:xfrm>
        <a:off x="0" y="493380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2"/>
    <col collapsed="false" customWidth="true" hidden="false" outlineLevel="0" max="6" min="4" style="0" width="20"/>
    <col collapsed="false" customWidth="true" hidden="false" outlineLevel="0" max="7" min="7" style="0" width="5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6" hidden="false" customHeight="true" outlineLevel="0" collapsed="false">
      <c r="A5" s="4" t="s">
        <v>9</v>
      </c>
      <c r="B5" s="5" t="n">
        <f aca="false">'Uplift Build'!E16</f>
        <v>1150</v>
      </c>
      <c r="C5" s="5" t="n">
        <f aca="false">'Uplift Build'!E22</f>
        <v>750</v>
      </c>
      <c r="D5" s="6" t="n">
        <f aca="false">C5/B5</f>
        <v>0.652173913043478</v>
      </c>
      <c r="E5" s="7" t="n">
        <f aca="false">C5-$C$5</f>
        <v>0</v>
      </c>
      <c r="F5" s="6" t="n">
        <f aca="false">IFERROR(E5/$C$5,0)</f>
        <v>0</v>
      </c>
      <c r="G5" s="8" t="s">
        <v>10</v>
      </c>
    </row>
    <row r="6" customFormat="false" ht="36" hidden="false" customHeight="true" outlineLevel="0" collapsed="false">
      <c r="A6" s="4" t="s">
        <v>11</v>
      </c>
      <c r="B6" s="5" t="n">
        <f aca="false">'Uplift Build'!E16</f>
        <v>1150</v>
      </c>
      <c r="C6" s="5" t="n">
        <f aca="false">'Uplift Build'!E23</f>
        <v>1000</v>
      </c>
      <c r="D6" s="6" t="n">
        <f aca="false">C6/B6</f>
        <v>0.869565217391304</v>
      </c>
      <c r="E6" s="7" t="n">
        <f aca="false">C6-$C$5</f>
        <v>250</v>
      </c>
      <c r="F6" s="6" t="n">
        <f aca="false">IFERROR(E6/$C$5,0)</f>
        <v>0.333333333333333</v>
      </c>
      <c r="G6" s="8" t="s">
        <v>12</v>
      </c>
    </row>
    <row r="7" customFormat="false" ht="36" hidden="false" customHeight="true" outlineLevel="0" collapsed="false">
      <c r="A7" s="4" t="s">
        <v>13</v>
      </c>
      <c r="B7" s="5" t="n">
        <f aca="false">'Uplift Build'!E16</f>
        <v>1150</v>
      </c>
      <c r="C7" s="7" t="n">
        <f aca="false">B7*D7</f>
        <v>1150</v>
      </c>
      <c r="D7" s="9" t="n">
        <v>1</v>
      </c>
      <c r="E7" s="7" t="n">
        <f aca="false">C7-$C$5</f>
        <v>400</v>
      </c>
      <c r="F7" s="6" t="n">
        <f aca="false">IFERROR(E7/$C$5,0)</f>
        <v>0.533333333333333</v>
      </c>
      <c r="G7" s="8" t="s">
        <v>14</v>
      </c>
    </row>
    <row r="9" customFormat="false" ht="15" hidden="false" customHeight="false" outlineLevel="0" collapsed="false">
      <c r="A9" s="10" t="s">
        <v>15</v>
      </c>
      <c r="C9" s="11" t="n">
        <f aca="false">C5+'Uplift Build'!E20</f>
        <v>1200</v>
      </c>
    </row>
    <row r="10" customFormat="false" ht="22.35" hidden="false" customHeight="false" outlineLevel="0" collapsed="false">
      <c r="A10" s="10" t="s">
        <v>16</v>
      </c>
      <c r="C10" s="11" t="n">
        <f aca="false">C6+'Uplift Build'!E20</f>
        <v>1450</v>
      </c>
    </row>
    <row r="11" customFormat="false" ht="22.35" hidden="false" customHeight="false" outlineLevel="0" collapsed="false">
      <c r="A11" s="10" t="s">
        <v>17</v>
      </c>
      <c r="C11" s="11" t="n">
        <f aca="false">C7+'Uplift Build'!E20</f>
        <v>1600</v>
      </c>
    </row>
    <row r="13" customFormat="false" ht="15" hidden="false" customHeight="false" outlineLevel="0" collapsed="false">
      <c r="A13" s="12" t="s">
        <v>18</v>
      </c>
    </row>
    <row r="14" customFormat="false" ht="15" hidden="false" customHeight="true" outlineLevel="0" collapsed="false">
      <c r="A14" s="13" t="s">
        <v>19</v>
      </c>
      <c r="B14" s="13"/>
      <c r="C14" s="13"/>
      <c r="D14" s="13"/>
      <c r="E14" s="13"/>
      <c r="F14" s="13"/>
      <c r="G14" s="13"/>
    </row>
    <row r="15" customFormat="false" ht="15" hidden="false" customHeight="true" outlineLevel="0" collapsed="false">
      <c r="A15" s="13" t="s">
        <v>20</v>
      </c>
      <c r="B15" s="13"/>
      <c r="C15" s="13"/>
      <c r="D15" s="13"/>
      <c r="E15" s="13"/>
      <c r="F15" s="13"/>
      <c r="G15" s="13"/>
    </row>
    <row r="16" customFormat="false" ht="15" hidden="false" customHeight="true" outlineLevel="0" collapsed="false">
      <c r="A16" s="13" t="s">
        <v>21</v>
      </c>
      <c r="B16" s="13"/>
      <c r="C16" s="13"/>
      <c r="D16" s="13"/>
      <c r="E16" s="13"/>
      <c r="F16" s="13"/>
      <c r="G16" s="13"/>
    </row>
    <row r="17" customFormat="false" ht="15" hidden="false" customHeight="true" outlineLevel="0" collapsed="false">
      <c r="A17" s="13" t="s">
        <v>22</v>
      </c>
      <c r="B17" s="13"/>
      <c r="C17" s="13"/>
      <c r="D17" s="13"/>
      <c r="E17" s="13"/>
      <c r="F17" s="13"/>
      <c r="G17" s="13"/>
    </row>
  </sheetData>
  <mergeCells count="6">
    <mergeCell ref="A1:G1"/>
    <mergeCell ref="A2:G2"/>
    <mergeCell ref="A14:G14"/>
    <mergeCell ref="A15:G15"/>
    <mergeCell ref="A16:G1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60"/>
  </cols>
  <sheetData>
    <row r="1" customFormat="false" ht="25.5" hidden="false" customHeight="true" outlineLevel="0" collapsed="false">
      <c r="A1" s="1" t="s">
        <v>23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4" t="s">
        <v>24</v>
      </c>
      <c r="B2" s="14"/>
      <c r="C2" s="14"/>
      <c r="D2" s="14"/>
      <c r="E2" s="14"/>
      <c r="F2" s="14"/>
    </row>
    <row r="4" customFormat="false" ht="15" hidden="false" customHeight="false" outlineLevel="0" collapsed="false">
      <c r="A4" s="15" t="s">
        <v>25</v>
      </c>
      <c r="B4" s="15"/>
      <c r="C4" s="15"/>
      <c r="D4" s="15"/>
      <c r="E4" s="15"/>
      <c r="F4" s="15"/>
    </row>
    <row r="5" customFormat="false" ht="30" hidden="false" customHeight="true" outlineLevel="0" collapsed="false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</row>
    <row r="6" customFormat="false" ht="25.5" hidden="false" customHeight="true" outlineLevel="0" collapsed="false">
      <c r="A6" s="16" t="s">
        <v>33</v>
      </c>
      <c r="B6" s="16" t="s">
        <v>34</v>
      </c>
      <c r="C6" s="16" t="s">
        <v>35</v>
      </c>
      <c r="D6" s="17" t="n">
        <v>450</v>
      </c>
      <c r="E6" s="17" t="n">
        <v>1200</v>
      </c>
      <c r="F6" s="7" t="n">
        <f aca="false">E6-D6</f>
        <v>750</v>
      </c>
      <c r="G6" s="8" t="s">
        <v>36</v>
      </c>
    </row>
    <row r="7" customFormat="false" ht="25.5" hidden="false" customHeight="true" outlineLevel="0" collapsed="false">
      <c r="A7" s="16" t="s">
        <v>37</v>
      </c>
      <c r="B7" s="16" t="s">
        <v>38</v>
      </c>
      <c r="C7" s="16" t="s">
        <v>39</v>
      </c>
      <c r="D7" s="17" t="n">
        <v>265</v>
      </c>
      <c r="E7" s="17" t="n">
        <v>520</v>
      </c>
      <c r="F7" s="7" t="n">
        <f aca="false">E7-D7</f>
        <v>255</v>
      </c>
      <c r="G7" s="8" t="s">
        <v>40</v>
      </c>
    </row>
    <row r="8" customFormat="false" ht="25.5" hidden="false" customHeight="true" outlineLevel="0" collapsed="false">
      <c r="A8" s="16" t="s">
        <v>41</v>
      </c>
      <c r="B8" s="16" t="s">
        <v>42</v>
      </c>
      <c r="C8" s="16" t="s">
        <v>43</v>
      </c>
      <c r="D8" s="17" t="n">
        <v>180</v>
      </c>
      <c r="E8" s="17" t="n">
        <v>325</v>
      </c>
      <c r="F8" s="7" t="n">
        <f aca="false">E8-D8</f>
        <v>145</v>
      </c>
      <c r="G8" s="8" t="s">
        <v>44</v>
      </c>
    </row>
    <row r="16" customFormat="false" ht="15" hidden="false" customHeight="false" outlineLevel="0" collapsed="false">
      <c r="A16" s="18" t="s">
        <v>45</v>
      </c>
      <c r="B16" s="19"/>
      <c r="C16" s="19"/>
      <c r="D16" s="20" t="n">
        <f aca="false">SUM(D6:D8)</f>
        <v>895</v>
      </c>
      <c r="E16" s="20" t="n">
        <f aca="false">SUM(F6:F8)</f>
        <v>1150</v>
      </c>
      <c r="F16" s="20" t="n">
        <f aca="false">SUM(F6:F8)</f>
        <v>1150</v>
      </c>
    </row>
    <row r="18" customFormat="false" ht="15" hidden="false" customHeight="false" outlineLevel="0" collapsed="false">
      <c r="A18" s="15" t="s">
        <v>46</v>
      </c>
      <c r="B18" s="15"/>
      <c r="C18" s="15"/>
      <c r="D18" s="15"/>
      <c r="E18" s="15"/>
      <c r="F18" s="15"/>
    </row>
    <row r="19" customFormat="false" ht="25.5" hidden="false" customHeight="true" outlineLevel="0" collapsed="false">
      <c r="A19" s="3" t="s">
        <v>2</v>
      </c>
      <c r="B19" s="3"/>
      <c r="C19" s="3"/>
      <c r="D19" s="3" t="s">
        <v>47</v>
      </c>
      <c r="E19" s="3" t="s">
        <v>48</v>
      </c>
      <c r="F19" s="3" t="s">
        <v>31</v>
      </c>
    </row>
    <row r="20" customFormat="false" ht="25.5" hidden="false" customHeight="true" outlineLevel="0" collapsed="false">
      <c r="A20" s="21" t="s">
        <v>49</v>
      </c>
      <c r="B20" s="22"/>
      <c r="C20" s="22"/>
      <c r="D20" s="17" t="n">
        <v>450</v>
      </c>
      <c r="E20" s="17" t="n">
        <v>450</v>
      </c>
      <c r="F20" s="7" t="n">
        <v>0</v>
      </c>
      <c r="G20" s="8" t="s">
        <v>50</v>
      </c>
    </row>
    <row r="21" customFormat="false" ht="25.5" hidden="false" customHeight="true" outlineLevel="0" collapsed="false">
      <c r="A21" s="4" t="s">
        <v>9</v>
      </c>
      <c r="B21" s="22"/>
      <c r="C21" s="22"/>
      <c r="D21" s="7" t="n">
        <f aca="false">D20</f>
        <v>450</v>
      </c>
      <c r="E21" s="17" t="n">
        <v>1200</v>
      </c>
      <c r="F21" s="7" t="n">
        <f aca="false">E21-D21</f>
        <v>750</v>
      </c>
      <c r="G21" s="8" t="s">
        <v>51</v>
      </c>
    </row>
    <row r="22" customFormat="false" ht="25.5" hidden="false" customHeight="true" outlineLevel="0" collapsed="false">
      <c r="A22" s="4" t="s">
        <v>52</v>
      </c>
      <c r="B22" s="22"/>
      <c r="C22" s="22"/>
      <c r="D22" s="23"/>
      <c r="E22" s="24" t="n">
        <f aca="false">E21-D21</f>
        <v>750</v>
      </c>
      <c r="F22" s="23"/>
      <c r="G22" s="16"/>
    </row>
    <row r="23" customFormat="false" ht="25.5" hidden="false" customHeight="true" outlineLevel="0" collapsed="false">
      <c r="A23" s="4" t="s">
        <v>53</v>
      </c>
      <c r="B23" s="22"/>
      <c r="C23" s="22"/>
      <c r="D23" s="23"/>
      <c r="E23" s="24" t="n">
        <f aca="false">1450-D20</f>
        <v>1000</v>
      </c>
      <c r="F23" s="23"/>
      <c r="G23" s="8" t="s">
        <v>54</v>
      </c>
    </row>
    <row r="26" customFormat="false" ht="15" hidden="false" customHeight="false" outlineLevel="0" collapsed="false">
      <c r="A26" s="12" t="s">
        <v>55</v>
      </c>
    </row>
    <row r="27" customFormat="false" ht="15" hidden="false" customHeight="true" outlineLevel="0" collapsed="false">
      <c r="A27" s="13" t="s">
        <v>56</v>
      </c>
      <c r="B27" s="13"/>
      <c r="C27" s="13"/>
      <c r="D27" s="13"/>
      <c r="E27" s="13"/>
      <c r="F27" s="13"/>
      <c r="G27" s="13"/>
    </row>
    <row r="28" customFormat="false" ht="15" hidden="false" customHeight="true" outlineLevel="0" collapsed="false">
      <c r="A28" s="13" t="s">
        <v>57</v>
      </c>
      <c r="B28" s="13"/>
      <c r="C28" s="13"/>
      <c r="D28" s="13"/>
      <c r="E28" s="13"/>
      <c r="F28" s="13"/>
      <c r="G28" s="13"/>
    </row>
    <row r="29" customFormat="false" ht="15" hidden="false" customHeight="true" outlineLevel="0" collapsed="false">
      <c r="A29" s="13" t="s">
        <v>58</v>
      </c>
      <c r="B29" s="13"/>
      <c r="C29" s="13"/>
      <c r="D29" s="13"/>
      <c r="E29" s="13"/>
      <c r="F29" s="13"/>
      <c r="G29" s="13"/>
    </row>
  </sheetData>
  <mergeCells count="7">
    <mergeCell ref="A1:F1"/>
    <mergeCell ref="A2:F2"/>
    <mergeCell ref="A4:F4"/>
    <mergeCell ref="A18:F18"/>
    <mergeCell ref="A27:G27"/>
    <mergeCell ref="A28:G28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45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25.5" hidden="false" customHeight="true" outlineLevel="0" collapsed="false">
      <c r="A1" s="1" t="s">
        <v>59</v>
      </c>
      <c r="B1" s="1"/>
      <c r="C1" s="1"/>
      <c r="D1" s="1"/>
    </row>
    <row r="3" customFormat="false" ht="15" hidden="false" customHeight="false" outlineLevel="0" collapsed="false">
      <c r="A3" s="3" t="s">
        <v>60</v>
      </c>
      <c r="B3" s="3" t="s">
        <v>61</v>
      </c>
      <c r="C3" s="3" t="s">
        <v>62</v>
      </c>
      <c r="D3" s="3" t="s">
        <v>63</v>
      </c>
    </row>
    <row r="4" customFormat="false" ht="36" hidden="false" customHeight="true" outlineLevel="0" collapsed="false">
      <c r="A4" s="21" t="s">
        <v>64</v>
      </c>
      <c r="B4" s="21" t="s">
        <v>65</v>
      </c>
      <c r="C4" s="21" t="s">
        <v>66</v>
      </c>
      <c r="D4" s="21" t="s">
        <v>67</v>
      </c>
    </row>
    <row r="5" customFormat="false" ht="36" hidden="false" customHeight="true" outlineLevel="0" collapsed="false">
      <c r="A5" s="21" t="s">
        <v>68</v>
      </c>
      <c r="B5" s="21" t="s">
        <v>69</v>
      </c>
      <c r="C5" s="21" t="s">
        <v>70</v>
      </c>
      <c r="D5" s="21" t="s">
        <v>71</v>
      </c>
    </row>
    <row r="6" customFormat="false" ht="36" hidden="false" customHeight="true" outlineLevel="0" collapsed="false">
      <c r="A6" s="21" t="s">
        <v>72</v>
      </c>
      <c r="B6" s="21" t="s">
        <v>73</v>
      </c>
      <c r="C6" s="21" t="s">
        <v>74</v>
      </c>
      <c r="D6" s="21" t="s">
        <v>75</v>
      </c>
    </row>
    <row r="7" customFormat="false" ht="36" hidden="false" customHeight="true" outlineLevel="0" collapsed="false">
      <c r="A7" s="21" t="s">
        <v>76</v>
      </c>
      <c r="B7" s="21" t="s">
        <v>77</v>
      </c>
      <c r="C7" s="21" t="s">
        <v>78</v>
      </c>
      <c r="D7" s="21" t="s">
        <v>79</v>
      </c>
    </row>
    <row r="8" customFormat="false" ht="36" hidden="false" customHeight="true" outlineLevel="0" collapsed="false">
      <c r="A8" s="21" t="s">
        <v>80</v>
      </c>
      <c r="B8" s="21" t="s">
        <v>81</v>
      </c>
      <c r="C8" s="21" t="s">
        <v>66</v>
      </c>
      <c r="D8" s="21" t="s">
        <v>67</v>
      </c>
    </row>
    <row r="9" customFormat="false" ht="36" hidden="false" customHeight="true" outlineLevel="0" collapsed="false">
      <c r="A9" s="21" t="s">
        <v>82</v>
      </c>
      <c r="B9" s="21" t="s">
        <v>73</v>
      </c>
      <c r="C9" s="21" t="s">
        <v>83</v>
      </c>
      <c r="D9" s="21" t="s">
        <v>84</v>
      </c>
    </row>
    <row r="10" customFormat="false" ht="36" hidden="false" customHeight="true" outlineLevel="0" collapsed="false">
      <c r="A10" s="21" t="s">
        <v>85</v>
      </c>
      <c r="B10" s="21" t="s">
        <v>86</v>
      </c>
      <c r="C10" s="21" t="s">
        <v>87</v>
      </c>
      <c r="D10" s="21" t="s">
        <v>88</v>
      </c>
    </row>
    <row r="11" customFormat="false" ht="36" hidden="false" customHeight="true" outlineLevel="0" collapsed="false">
      <c r="A11" s="21" t="s">
        <v>89</v>
      </c>
      <c r="B11" s="21" t="s">
        <v>90</v>
      </c>
      <c r="C11" s="21" t="s">
        <v>87</v>
      </c>
      <c r="D11" s="21" t="s">
        <v>88</v>
      </c>
    </row>
    <row r="12" customFormat="false" ht="36" hidden="false" customHeight="true" outlineLevel="0" collapsed="false">
      <c r="A12" s="21" t="s">
        <v>91</v>
      </c>
      <c r="B12" s="21" t="s">
        <v>92</v>
      </c>
      <c r="C12" s="21" t="s">
        <v>93</v>
      </c>
      <c r="D12" s="21" t="s">
        <v>94</v>
      </c>
    </row>
    <row r="13" customFormat="false" ht="36" hidden="false" customHeight="true" outlineLevel="0" collapsed="false">
      <c r="A13" s="21" t="s">
        <v>95</v>
      </c>
      <c r="B13" s="21" t="s">
        <v>96</v>
      </c>
      <c r="C13" s="21" t="s">
        <v>97</v>
      </c>
      <c r="D13" s="21" t="s">
        <v>98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2026-05-05T18:06:42Z</dcterms:created>
  <dc:creator>openpyxl</dc:creator>
  <dc:description/>
  <dc:language>en-US</dc:language>
  <cp:lastModifiedBy/>
  <dcterms:modified xsi:type="dcterms:W3CDTF">2026-05-05T18:06:46Z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