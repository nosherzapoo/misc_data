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UK Share %" sheetId="2" state="visible" r:id="rId4"/>
    <sheet name="UK GGY GBPm" sheetId="3" state="visible" r:id="rId5"/>
    <sheet name="UK Market Size" sheetId="4" state="visible" r:id="rId6"/>
    <sheet name="Australia Share %" sheetId="5" state="visible" r:id="rId7"/>
    <sheet name="Australia GGY A$m" sheetId="6" state="visible" r:id="rId8"/>
    <sheet name="Australia Market Size" sheetId="7" state="visible" r:id="rId9"/>
    <sheet name="Italy Share %" sheetId="8" state="visible" r:id="rId10"/>
    <sheet name="Italy GGY EURm" sheetId="9" state="visible" r:id="rId11"/>
    <sheet name="Italy Market Size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<sst xmlns="http://schemas.openxmlformats.org/spreadsheetml/2006/main" count="371" uniqueCount="227">
  <si>
    <t xml:space="preserve">UK Online Sports Betting</t>
  </si>
  <si>
    <t xml:space="preserve">Operator Market Share Time Series  |  UK, Australia, Italy  |  2019 to 2025</t>
  </si>
  <si>
    <t xml:space="preserve">Overview</t>
  </si>
  <si>
    <t xml:space="preserve">Geography</t>
  </si>
  <si>
    <t xml:space="preserve">United Kingdom (UK-only; Flutter UKI used as close proxy, Ireland ~5%)</t>
  </si>
  <si>
    <t xml:space="preserve">Product scope</t>
  </si>
  <si>
    <t xml:space="preserve">Online sports betting only (sportsbook). Excludes iGaming, bingo, poker, lottery</t>
  </si>
  <si>
    <t xml:space="preserve">Metric</t>
  </si>
  <si>
    <t xml:space="preserve">Gross Gambling Yield (GGY) share by operator group</t>
  </si>
  <si>
    <t xml:space="preserve">Currency</t>
  </si>
  <si>
    <t xml:space="preserve">British pounds (£m)</t>
  </si>
  <si>
    <t xml:space="preserve">Period</t>
  </si>
  <si>
    <t xml:space="preserve">Calendar years 2019 to 2025</t>
  </si>
  <si>
    <t xml:space="preserve">Approach</t>
  </si>
  <si>
    <t xml:space="preserve">Top-down: total market anchored to UKGC; shares anchored to Flutter disclosed</t>
  </si>
  <si>
    <t xml:space="preserve">Workbook Map</t>
  </si>
  <si>
    <t xml:space="preserve">1. Cover</t>
  </si>
  <si>
    <t xml:space="preserve">This page: scope, approach, key findings</t>
  </si>
  <si>
    <t xml:space="preserve">2. UK sheets</t>
  </si>
  <si>
    <t xml:space="preserve">UK Share %, UK GGY GBPm, UK Market Size (3 tabs)</t>
  </si>
  <si>
    <t xml:space="preserve">3. Australia sheets</t>
  </si>
  <si>
    <t xml:space="preserve">Australia Share %, Australia GGY A$m, Australia Market Size (3 tabs)</t>
  </si>
  <si>
    <t xml:space="preserve">4. Italy sheets</t>
  </si>
  <si>
    <t xml:space="preserve">Italy Share %, Italy GGY EURm, Italy Market Size (3 tabs)</t>
  </si>
  <si>
    <t xml:space="preserve">5. Sources</t>
  </si>
  <si>
    <t xml:space="preserve">Consolidated sources and methodology notes</t>
  </si>
  <si>
    <t xml:space="preserve">Key Findings</t>
  </si>
  <si>
    <t xml:space="preserve">  UK: Flutter (Paddy Power, Sky Bet, Betfair) grew from 32% to 43% (2019 to 2025); bet365 steady at 21%; Entain and Evoke lost 6 ppts each.</t>
  </si>
  <si>
    <t xml:space="preserve">  UK: Top 2 concentration rose from 53% to 64%. Clear oligopoly formation.</t>
  </si>
  <si>
    <t xml:space="preserve">  Australia: Sportsbet (Flutter) ran up from 28% to 50% by 2021 post BetEasy merger; has since settled at 45%.</t>
  </si>
  <si>
    <t xml:space="preserve">  Australia: Tabcorp (TAB) retail legacy visible in digital share decline (26% to 22%). Entain (Ladbrokes, Neds) stable at 17%.</t>
  </si>
  <si>
    <t xml:space="preserve">  Italy: Lottomatica consolidated from 8% to 24% via Goldbet, Betflag and Planetwin365 acquisitions.</t>
  </si>
  <si>
    <t xml:space="preserve">  Italy: Flutter combined (Sisal + Snai + PokerStars + Betfair) reaches c.34% in 2025 after the Apr-2025 Snaitech deal.</t>
  </si>
  <si>
    <t xml:space="preserve">  All three markets show clear consolidation: Top 3 operators hold 60-75% across all geographies by 2025.</t>
  </si>
  <si>
    <t xml:space="preserve">Only Flutter (publicly listed) and Entain (publicly listed) disclose UK online market share. bet365 is private and non-disclosing. Evoke discloses segment data only. Shares for bet365, Betfred and the long tail are triangulated from: Regulus Partners / H2 Gambling Capital estimates cited in industry press; Similarweb traffic share; YouGov account-share surveys; Adthena PPC share. Figures should be read as ±1-2 ppt estimates, not audited.</t>
  </si>
  <si>
    <t xml:space="preserve">UK Online Sports Betting to Operator Market Share (%)</t>
  </si>
  <si>
    <t xml:space="preserve">Operator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</si>
  <si>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</si>
  <si>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</si>
  <si>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</si>
  <si>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</si>
  <si>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</si>
  <si>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</si>
  <si>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</si>
  <si>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Δ 2019→2025</t>
  </si>
  <si>
    <t xml:space="preserve">Flutter (Paddy Power, Betfair, Sky Bet)</t>
  </si>
  <si>
    <t xml:space="preserve">bet365</t>
  </si>
  <si>
    <t xml:space="preserve">Entain (Ladbrokes, Coral, bwin)</t>
  </si>
  <si>
    <t xml:space="preserve">Evoke (William Hill, 888)</t>
  </si>
  <si>
    <t xml:space="preserve">Betfred</t>
  </si>
  <si>
    <t xml:space="preserve">Betway (Super Group)</t>
  </si>
  <si>
    <t xml:space="preserve">BetVictor</t>
  </si>
  <si>
    <t xml:space="preserve">Unibet (Kindred)</t>
  </si>
  <si>
    <t xml:space="preserve">Other (Tote, DAZN Bet, Bet UK, LiveScore, etc.)</t>
  </si>
  <si>
    <t xml:space="preserve">Total</t>
  </si>
  <si>
    <t xml:space="preserve">Concentration Metrics</t>
  </si>
  <si>
    <t xml:space="preserve">Top 2 (Flutter + bet365)</t>
  </si>
  <si>
    <t xml:space="preserve">Top 4 (Flutter + bet365 + Entain + Evoke)</t>
  </si>
  <si>
    <t xml:space="preserve">Long Tail (all others)</t>
  </si>
  <si>
    <t xml:space="preserve">HHI (Herfindahl-Hirschman Index)</t>
  </si>
  <si>
    <t xml:space="preserve">HHI interpretation: &lt;1,500 = unconcentrated;  1,500-2,500 = moderately concentrated;  &gt;2,500 = highly concentrated.</t>
  </si>
  <si>
    <t xml:space="preserve">Notes:</t>
  </si>
  <si>
    <t xml:space="preserve">•  Blue figures are hardcoded inputs; black figures are formulas.</t>
  </si>
  <si>
    <t xml:space="preserve">•  Flutter UKI = UK + Ireland combined. Ireland is ~5% of UKI; shares apply directly as UK proxy.</t>
  </si>
  <si>
    <t xml:space="preserve">•  Evoke = rebrand of 888 Holdings (July 2024). Pre-July 2022, figures combine 888 + pre-merger William Hill.</t>
  </si>
  <si>
    <t xml:space="preserve">•  Bet365, Betfred and long-tail shares are triangulated estimates (see Sources tab).</t>
  </si>
  <si>
    <t xml:space="preserve">•  See 'Sources' tab for detailed methodology and citations.</t>
  </si>
  <si>
    <t xml:space="preserve">UK Online Sports Betting to Operator GGY (£m)</t>
  </si>
  <si>
    <t xml:space="preserve">CAGR 19-25</t>
  </si>
  <si>
    <t xml:space="preserve">Total UK Online Sports Betting GGY (£m)</t>
  </si>
  <si>
    <t xml:space="preserve">Total (check vs market)</t>
  </si>
  <si>
    <t xml:space="preserve">Variance vs market (should be 0)</t>
  </si>
  <si>
    <t xml:space="preserve">UK Online Sports Betting to Total Market GGY (£m)</t>
  </si>
  <si>
    <t xml:space="preserve">Calendar year (Jan - Dec)</t>
  </si>
  <si>
    <t xml:space="preserve">Total UK online sports betting GGY (£m)</t>
  </si>
  <si>
    <t xml:space="preserve">YoY growth</t>
  </si>
  <si>
    <t xml:space="preserve">n/a</t>
  </si>
  <si>
    <t xml:space="preserve">CAGR 2019 - 2025</t>
  </si>
  <si>
    <t xml:space="preserve">Methodology &amp; Sources</t>
  </si>
  <si>
    <t xml:space="preserve">Primary source:</t>
  </si>
  <si>
    <t xml:space="preserve">UK Gambling Commission Industry Statistics (remote real-event betting GGY)</t>
  </si>
  <si>
    <t xml:space="preserve">Reporting basis:</t>
  </si>
  <si>
    <t xml:space="preserve">UKGC reports financial-year (Apr to Mar); figures converted to calendar year pro-rata</t>
  </si>
  <si>
    <t xml:space="preserve">Scope exclusions:</t>
  </si>
  <si>
    <t xml:space="preserve">Excludes pool betting, B2B exchange, spread betting, virtual sports</t>
  </si>
  <si>
    <t xml:space="preserve">FY2019/20 GGY:</t>
  </si>
  <si>
    <t xml:space="preserve">£2.33bn reported (real-event remote betting)</t>
  </si>
  <si>
    <t xml:space="preserve">FY2020/21 GGY:</t>
  </si>
  <si>
    <t xml:space="preserve">~£2.0bn (COVID: sports calendar halted Mar-Jun 2020)</t>
  </si>
  <si>
    <t xml:space="preserve">FY2022/23 GGY:</t>
  </si>
  <si>
    <t xml:space="preserve">£2.48bn reported</t>
  </si>
  <si>
    <t xml:space="preserve">FY2023/24 GGY:</t>
  </si>
  <si>
    <t xml:space="preserve">£2.4bn reported</t>
  </si>
  <si>
    <t xml:space="preserve">2025 estimate:</t>
  </si>
  <si>
    <t xml:space="preserve">£2.38bn to statutory levy, stake limits, affordability checks as headwinds</t>
  </si>
  <si>
    <t xml:space="preserve">Cross-check:</t>
  </si>
  <si>
    <t xml:space="preserve">Bottom-up via operator disclosures (Flutter $1.46bn UKI sports 2023)</t>
  </si>
  <si>
    <t xml:space="preserve">Australia Online Sports Betting - Operator Market Share (%)</t>
  </si>
  <si>
    <t xml:space="preserve">Note: 'Online wagering' combines racing and sports betting as reported by AU operators</t>
  </si>
  <si>
    <t xml:space="preserve">Delta 19 to 25</t>
  </si>
  <si>
    <t xml:space="preserve">Sportsbet (Flutter)</t>
  </si>
  <si>
    <t xml:space="preserve">Tabcorp (TAB)</t>
  </si>
  <si>
    <t xml:space="preserve">Entain (Ladbrokes, Neds)</t>
  </si>
  <si>
    <t xml:space="preserve">bet365 Australia</t>
  </si>
  <si>
    <t xml:space="preserve">PointsBet</t>
  </si>
  <si>
    <t xml:space="preserve">Bluebet</t>
  </si>
  <si>
    <t xml:space="preserve">Betr (News Corp)</t>
  </si>
  <si>
    <t xml:space="preserve">Other (Picklebet, Palmerbet, Dabble, etc.)</t>
  </si>
  <si>
    <t xml:space="preserve">Top 3 share</t>
  </si>
  <si>
    <t xml:space="preserve">Long tail (non Top 3)</t>
  </si>
  <si>
    <t xml:space="preserve">HHI (Herfindahl index)</t>
  </si>
  <si>
    <t xml:space="preserve">Sources &amp; Notes</t>
  </si>
  <si>
    <t xml:space="preserve">  Scope: 'Online wagering' in AU combines racing and sports betting; regulated operators typically report these together.</t>
  </si>
  <si>
    <t xml:space="preserve">  Market anchor: Sportsbet reached 50% share in 2021 (Flutter 2021 Annual Results) and 48% in 2022 (confirmed by Flutter FY22 results).</t>
  </si>
  <si>
    <t xml:space="preserve">  Sportsbet 2023 and 2024: 45% share per Flutter FY23 / Q1 2025 disclosures (Inside Asian Gaming, The Straight).</t>
  </si>
  <si>
    <t xml:space="preserve">  Tabcorp digital: 22.9% digital share FY24 per Tabcorp FY24 Annual Report; TAB25 strategy originally targeted 30% by FY25 (unmet).</t>
  </si>
  <si>
    <t xml:space="preserve">  Entain AU: 16% (2021) rising to 17% (2025) per Entain Market Spotlight and The Aussie Corporate Feb 2026.</t>
  </si>
  <si>
    <t xml:space="preserve">  Market size: triangulated from Queensland Government Statistician Office + Flutter Sportsbet A$ segment disclosures + Grand View Research.</t>
  </si>
  <si>
    <t xml:space="preserve">  Market declined 10% per year 2023-2025 per The Straight (Sep 2025); reflects POC tax hikes, credit card ban, BetStop rollout Aug 2023, and ad restrictions.</t>
  </si>
  <si>
    <t xml:space="preserve">  Betr launched Oct 2022 (News Corp); PointsBet divested US business 2023 to focus on AU (shares remain small).</t>
  </si>
  <si>
    <t xml:space="preserve">  Values are estimates with +/-1-2 ppt uncertainty for non-Flutter operators.</t>
  </si>
  <si>
    <t xml:space="preserve">Australia Online Sports Betting - Operator GGY (A$m)</t>
  </si>
  <si>
    <t xml:space="preserve">CAGR 19 to 25</t>
  </si>
  <si>
    <t xml:space="preserve">Total Australia online sports betting GGY (A$m)</t>
  </si>
  <si>
    <t xml:space="preserve">Australia - Total Online Sports Betting GGY (A$m)</t>
  </si>
  <si>
    <t xml:space="preserve">CAGR 2019 to 2025</t>
  </si>
  <si>
    <t xml:space="preserve">Italy Online Sports Betting - Operator Market Share (%)</t>
  </si>
  <si>
    <t xml:space="preserve">Note: online sports betting only (scommesse sportive online). ADM is the regulator.</t>
  </si>
  <si>
    <t xml:space="preserve">Bet365</t>
  </si>
  <si>
    <t xml:space="preserve">Lottomatica (incl. Goldbet, Betflag, Planetwin365)</t>
  </si>
  <si>
    <t xml:space="preserve">Snai (Snaitech, Flutter from Apr-25)</t>
  </si>
  <si>
    <t xml:space="preserve">Sisal (Flutter from Aug-22)</t>
  </si>
  <si>
    <t xml:space="preserve">Eurobet (Entain)</t>
  </si>
  <si>
    <t xml:space="preserve">Planetwin365 (SKS365)</t>
  </si>
  <si>
    <t xml:space="preserve">888 (Evoke)</t>
  </si>
  <si>
    <t xml:space="preserve">Goldbet</t>
  </si>
  <si>
    <t xml:space="preserve">Betflag</t>
  </si>
  <si>
    <t xml:space="preserve">PokerStars (Flutter)</t>
  </si>
  <si>
    <t xml:space="preserve">Betfair (Flutter)</t>
  </si>
  <si>
    <t xml:space="preserve">DaznBet (Scommettendo)</t>
  </si>
  <si>
    <t xml:space="preserve">bwin (Entain)</t>
  </si>
  <si>
    <t xml:space="preserve">Other (Admiral, StarCasino, LeoVegas, etc.)</t>
  </si>
  <si>
    <t xml:space="preserve">  Scope: online sports betting only (scommesse sportive a quota fissa); excludes retail, lotteries, casino, poker.</t>
  </si>
  <si>
    <t xml:space="preserve">  Market size and shares sourced from ADM (Agenzia delle Dogane e dei Monopoli), the Italian gaming regulator, which publishes monthly operator-level data.</t>
  </si>
  <si>
    <t xml:space="preserve">  Data is aggregated and analysed by Ficom Leisure (for iGB), Agimeg, Statista, and SBC News.</t>
  </si>
  <si>
    <t xml:space="preserve">  Key M&amp;A: Lottomatica acquired Goldbet (2021), Betflag (2022), SKS365/Planetwin365 (announced 2024). Post-consolidation, Lottomatica brands exceed 30% of online market.</t>
  </si>
  <si>
    <t xml:space="preserve">  Flutter acquired Sisal in Aug 2022 (€1.9bn) and Snaitech from Playtech in Apr 2025 (€2.3bn). Combined Flutter Italian online share c.27% by end-2025.</t>
  </si>
  <si>
    <t xml:space="preserve">  Bet365 held the top spot early in the period but is losing share post 2023 per Agimeg; Italy-specific regulatory pressure.</t>
  </si>
  <si>
    <t xml:space="preserve">  2025 reflects the Reorganisation Decree and new licensing regime starting Dec 2025; Betway and Unibet exited the market.</t>
  </si>
  <si>
    <t xml:space="preserve">  Entain acquired Enlabs 2021 and continues with the Eurobet brand; Eurobet share declining.</t>
  </si>
  <si>
    <t xml:space="preserve">  Sum of 'named' operator shares plus 'Other' sums to 100.0% each year (check row in GGY tab).</t>
  </si>
  <si>
    <t xml:space="preserve">Italy Online Sports Betting - Operator GGY (EURm)</t>
  </si>
  <si>
    <t xml:space="preserve">Total Italy online sports betting GGY (EURm)</t>
  </si>
  <si>
    <t xml:space="preserve">Italy - Total Online Sports Betting GGY (EURm)</t>
  </si>
  <si>
    <t xml:space="preserve">Sources &amp; Methodology</t>
  </si>
  <si>
    <t xml:space="preserve">Market Share Anchors</t>
  </si>
  <si>
    <t xml:space="preserve">Flutter (UKI online sports)</t>
  </si>
  <si>
    <t xml:space="preserve">Flutter 2022 Annual Report: 38% UKI online sportsbook share. Flutter Q4 2024 Results: '+4 ppts over 2 years' implying ~42% by end-2024. Q1/Q2 2025 shareholder letters confirm continued share gains.</t>
  </si>
  <si>
    <t xml:space="preserve">flutter.com/investors</t>
  </si>
  <si>
    <t xml:space="preserve">Entain (UKI online)</t>
  </si>
  <si>
    <t xml:space="preserve">Entain 2023 and 2024 Annual Reports + H1 2024/2025 Results. H1 2024: UKI online NGR -8% YoY (share loss). H1 2025: UKI online NGR +21% YoY 'regaining market share'. 2025 £681m after-tax loss including £488m impairment flagged UK pressures.</t>
  </si>
  <si>
    <t xml:space="preserve">entaingroup.com</t>
  </si>
  <si>
    <t xml:space="preserve">Privately held, no direct share disclosure. Estimates derived from: (i) Similarweb 2022 web traffic = 28% share of top 9 sites; (ii) YouGov Feb 2024 survey = 36% of UK online sports account holders; (iii) Pi Datametrics 2022 Google searches = 27.6% share; (iv) Adthena PPC click share; (v) Eilers &amp; Krejcik Gaming (EKG) Line estimates 2024.</t>
  </si>
  <si>
    <t xml:space="preserve">similarweb.com; yougov.com; adthena.com</t>
  </si>
  <si>
    <t xml:space="preserve">Evoke (888 / William Hill)</t>
  </si>
  <si>
    <t xml:space="preserve">888 Holdings acquired William Hill non-US for £2.2bn in July 2022. Evoke (rebranded July 2024) reports UK&amp;I online betting segment NGR. Share decline from integration issues, brand confusion, and management change through 2023-2024.</t>
  </si>
  <si>
    <t xml:space="preserve">evokeplc.com</t>
  </si>
  <si>
    <t xml:space="preserve">Private (Done Group Ltd). Share estimated from Companies House filings, Similarweb traffic surge 2022-2024, Adthena PPC data (Betfred peaked at 31% PPC impressions March 2026).</t>
  </si>
  <si>
    <t xml:space="preserve">beta.companieshouse.gov.uk</t>
  </si>
  <si>
    <t xml:space="preserve">Long tail</t>
  </si>
  <si>
    <t xml:space="preserve">Betway (Super Group annual report UK segment), BetVictor, Unibet (Kindred segment disclosure), Tote, DAZN Bet, LiveScore Bet, Bet UK, Paddy's Rewards. Residual calculated to balance to 100%.</t>
  </si>
  <si>
    <t xml:space="preserve">Various annual reports</t>
  </si>
  <si>
    <t xml:space="preserve">Market Size Sources</t>
  </si>
  <si>
    <t xml:space="preserve">UK Gambling Commission</t>
  </si>
  <si>
    <t xml:space="preserve">Industry Statistics (published semi-annually May + Nov). Provides Gross Gambling Yield for remote real-event betting (i.e. sports betting). Reports are financial-year (April-March).</t>
  </si>
  <si>
    <t xml:space="preserve">gamblingcommission.gov.uk</t>
  </si>
  <si>
    <t xml:space="preserve">UKGC Market Overview</t>
  </si>
  <si>
    <t xml:space="preserve">'Market Overview - operator data' publications (quarterly). Covers largest operators only, includes free bets/bonuses. Used as cross-check.</t>
  </si>
  <si>
    <t xml:space="preserve">Statista / industry reports</t>
  </si>
  <si>
    <t xml:space="preserve">Statista UK online sports betting market size ($2.29bn 2017 → $4.21bn 2023, forecast $5.69bn 2029). Grand View Research, Horizon Databook used as corroboration.</t>
  </si>
  <si>
    <t xml:space="preserve">statista.com</t>
  </si>
  <si>
    <t xml:space="preserve">Regulus Partners</t>
  </si>
  <si>
    <t xml:space="preserve">Leading independent industry analyst (Paul Leyland). Cited widely in next.io, iGaming Business, and referenced in Entain's Annual Report 2023 for Online NGR forecasts.</t>
  </si>
  <si>
    <t xml:space="preserve">regulus-partners.com</t>
  </si>
  <si>
    <t xml:space="preserve">Methodology Notes</t>
  </si>
  <si>
    <t xml:space="preserve">1. Anchor point: Flutter 2022 = 38% (disclosed). All other years backed into from disclosed deltas.</t>
  </si>
  <si>
    <t xml:space="preserve">2. Flutter +4ppt over '2 years' (Q4 2024) =&gt; 2024 ~42%, consistent with 2022 anchor.</t>
  </si>
  <si>
    <t xml:space="preserve">3. Flutter acquired Sky Bet via Stars Group merger in May 2020 - included in Flutter share from 2020 onwards.</t>
  </si>
  <si>
    <t xml:space="preserve">4. 888 acquired William Hill non-US in July 2022 - combined as 'Evoke' for 2022 onwards; pre-2022 numbers aggregate.</t>
  </si>
  <si>
    <t xml:space="preserve">5. Total market pegged to UKGC real-event remote betting GGY, adjusted for cross-year timing.</t>
  </si>
  <si>
    <t xml:space="preserve">6. Shares sum to exactly 100% each year (check row in Market Share % tab).</t>
  </si>
  <si>
    <t xml:space="preserve">7. Shares are gross-gambling-yield (GGY) based, not turnover/handle. GGY ≈ stakes minus winnings paid.</t>
  </si>
  <si>
    <t xml:space="preserve">8. Ireland included in 'Flutter UKI' but represents ~5% of UKI revenue to treated as proxy for UK-only share.</t>
  </si>
  <si>
    <t xml:space="preserve">9. Long tail residual ensures 100% close; contains 30+ smaller operators individually &lt;1% share each.</t>
  </si>
  <si>
    <t xml:space="preserve">10. This model is indicative. Flutter and Entain figures are disclosed; others are triangulated estimates.</t>
  </si>
  <si>
    <t xml:space="preserve">AUSTRALIA - Market Share Anchors</t>
  </si>
  <si>
    <t xml:space="preserve">Flutter Sportsbet</t>
  </si>
  <si>
    <t xml:space="preserve">Flutter annual and quarterly results; Sportsbet claimed 50% market share in 2021 (FY21 results), 48% in 2022 (FY22 results), 45% in 2023-24 (FY23 &amp; Q1 2025). Revenue and AMP disclosures confirm trajectory.</t>
  </si>
  <si>
    <t xml:space="preserve">Tabcorp Annual Reports, H1 2023 results disclosed 34.8% total wagering share, FY24 Annual Report disclosed 22.9% DIGITAL share. TAB25 strategy targeted 30% digital share by FY25 (unmet).</t>
  </si>
  <si>
    <t xml:space="preserve">tabcorp.com.au</t>
  </si>
  <si>
    <t xml:space="preserve">Entain Australia</t>
  </si>
  <si>
    <t xml:space="preserve">Entain 'Market Spotlight: Australia' (2021): c.16% digital share. The Aussie Corporate (Feb 2026): c.17% digital share. Ladbrokes and Neds online-only brands.</t>
  </si>
  <si>
    <t xml:space="preserve">PointsBet, Bluebet, Betr</t>
  </si>
  <si>
    <t xml:space="preserve">ASX-listed PointsBet and Bluebet disclose AU segment revenue; Betr launched by News Corp in Oct 2022. Shares triangulated from revenue disclosures and IBISWorld Horse and Sports Betting Australia report.</t>
  </si>
  <si>
    <t xml:space="preserve">asx.com.au; ibisworld.com</t>
  </si>
  <si>
    <t xml:space="preserve">AU market size</t>
  </si>
  <si>
    <t xml:space="preserve">Queensland Government Statistician Office Australian Gambling Statistics (annual); Grand View Research Australia Sports Betting Outlook 2025-2030 (USD 2.44bn 2024, 79.7% online); Statista Sports Betting Australia (USD 7.32bn 2025 including retail).</t>
  </si>
  <si>
    <t xml:space="preserve">qgso.qld.gov.au</t>
  </si>
  <si>
    <t xml:space="preserve">ITALY - Market Share Anchors</t>
  </si>
  <si>
    <t xml:space="preserve">ADM (Italian regulator)</t>
  </si>
  <si>
    <t xml:space="preserve">Agenzia delle Dogane e dei Monopoli publishes monthly operator-level data covering stakes, GGR, and market share for every licensed operator. Transparency unmatched in Europe.</t>
  </si>
  <si>
    <t xml:space="preserve">adm.gov.it</t>
  </si>
  <si>
    <t xml:space="preserve">Ficom Leisure / iGB</t>
  </si>
  <si>
    <t xml:space="preserve">Leading Italian gaming advisory firm. Monthly Italy Dashboard data processed for iGaming Business (iGB) publication. Used for operator ranking and share history 2019-2022.</t>
  </si>
  <si>
    <t xml:space="preserve">ficomleisure.com; igamingbusiness.com</t>
  </si>
  <si>
    <t xml:space="preserve">Agimeg</t>
  </si>
  <si>
    <t xml:space="preserve">Italian gaming industry news agency. Published H1 2023 market share (Lottomatica 19.8%, Bet365 16.8%, Sisal 13.0%, Snai 12.9%) and full year 2023 / 2024 data.</t>
  </si>
  <si>
    <t xml:space="preserve">agimeg.it</t>
  </si>
  <si>
    <t xml:space="preserve">Lottomatica IR</t>
  </si>
  <si>
    <t xml:space="preserve">Lottomatica IPO'd March 2023. FY 2023 and FY 2024 Results Presentations disclose Italian online market share (GGR-based, ADM data). Key acquisitions: Goldbet (2021), Betflag (2022), SKS365/Planetwin365 (closed 2024).</t>
  </si>
  <si>
    <t xml:space="preserve">lottomaticagroup.com</t>
  </si>
  <si>
    <t xml:space="preserve">Flutter Italy</t>
  </si>
  <si>
    <t xml:space="preserve">Flutter acquired Sisal Aug 2022 (EUR 1.9bn) and Snaitech from Playtech Apr 2025 (EUR 2.3bn). Q4 2024 Flutter results disclosed Sisal share 15.0% (+230bps YoY). Combined Flutter Italy share 21-22% in 2024, rising to 34% post Snai integration.</t>
  </si>
  <si>
    <t xml:space="preserve">flutter.com</t>
  </si>
  <si>
    <t xml:space="preserve">SBC News / Casino Life</t>
  </si>
  <si>
    <t xml:space="preserve">Sector news coverage of Italian operator performance by month, including 2025 consolidation, Betway and Unibet exits, and the new Reorganisation Decree.</t>
  </si>
  <si>
    <t xml:space="preserve">sbcnews.co.uk; casinolifemagazine.com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</si>
</sst>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;\(0.0%\);\-"/>
    <numFmt numFmtId="166" formatCode="\+0.0&quot; ppt&quot;;\-0.0&quot; ppt&quot;;\-"/>
    <numFmt numFmtId="167" formatCode="0.0%"/>
    <numFmt numFmtId="168" formatCode="#,##0"/>
    <numFmt numFmtId="169" formatCode="0%"/>
    <numFmt numFmtId="170" formatCode="\£#,##0"/>
    <numFmt numFmtId="171" formatCode="\£#,##0;&quot;(£&quot;#,##0\);\-"/>
    <numFmt numFmtId="172" formatCode="\+0.0%;\-0.0%;\-"/>
    <numFmt numFmtId="173" formatCode="\£#,##0;&quot;(£&quot;#,##0\);&quot;OK&quot;"/>
    <numFmt numFmtId="174" formatCode="\$#,##0"/>
    <numFmt numFmtId="175" formatCode="\$#,##0;&quot;($&quot;#,##0\);\-"/>
    <numFmt numFmtId="176" formatCode="\$#,##0;&quot;($&quot;#,##0\);&quot;OK&quot;"/>
    <numFmt numFmtId="177" formatCode="\€#,##0"/>
    <numFmt numFmtId="178" formatCode="\€#,##0;&quot;(€&quot;#,##0\);\-"/>
    <numFmt numFmtId="179" formatCode="\€#,##0;&quot;(€&quot;#,##0\);&quot;OK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DE7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7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3B3B3"/>
      <rgbColor rgb="FF878787"/>
      <rgbColor rgb="FF93A9CE"/>
      <rgbColor rgb="FFAB4744"/>
      <rgbColor rgb="FFFFFDE7"/>
      <rgbColor rgb="FFF2F2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B8CD97"/>
      <rgbColor rgb="FFD09493"/>
      <rgbColor rgb="FFCC99FF"/>
      <rgbColor rgb="FFFFCC99"/>
      <rgbColor rgb="FF4472C4"/>
      <rgbColor rgb="FF33CCCC"/>
      <rgbColor rgb="FF70AD47"/>
      <rgbColor rgb="FFFFCC00"/>
      <rgbColor rgb="FFFF9900"/>
      <rgbColor rgb="FFED7D31"/>
      <rgbColor rgb="FF725990"/>
      <rgbColor rgb="FFA5A5A5"/>
      <rgbColor rgb="FF1F3864"/>
      <rgbColor rgb="FF4299B0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Online Sports Betting — Operator Market Share (%) 2019-2025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Flutter (Paddy Power, Betfair, Sky Bet)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0</c:f>
              <c:numCache>
                <c:formatCode>0.0%;\(0.0%\);\-</c:formatCode>
                <c:ptCount val="7"/>
                <c:pt idx="0">
                  <c:v>0.32</c:v>
                </c:pt>
                <c:pt idx="1">
                  <c:v>0.34</c:v>
                </c:pt>
                <c:pt idx="2">
                  <c:v>0.36</c:v>
                </c:pt>
                <c:pt idx="3">
                  <c:v>0.38</c:v>
                </c:pt>
                <c:pt idx="4">
                  <c:v>0.39</c:v>
                </c:pt>
                <c:pt idx="5">
                  <c:v>0.42</c:v>
                </c:pt>
                <c:pt idx="6">
                  <c:v>0.425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bet365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1</c:f>
              <c:numCache>
                <c:formatCode>0.0%;\(0.0%\);\-</c:formatCode>
                <c:ptCount val="7"/>
                <c:pt idx="0">
                  <c:v>0.21</c:v>
                </c:pt>
                <c:pt idx="1">
                  <c:v>0.21</c:v>
                </c:pt>
                <c:pt idx="2">
                  <c:v>0.215</c:v>
                </c:pt>
                <c:pt idx="3">
                  <c:v>0.21</c:v>
                </c:pt>
                <c:pt idx="4">
                  <c:v>0.205</c:v>
                </c:pt>
                <c:pt idx="5">
                  <c:v>0.205</c:v>
                </c:pt>
                <c:pt idx="6">
                  <c:v>0.21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Entain (Ladbrokes, Coral, bwin)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2</c:f>
              <c:numCache>
                <c:formatCode>0.0%;\(0.0%\);\-</c:formatCode>
                <c:ptCount val="7"/>
                <c:pt idx="0">
                  <c:v>0.185</c:v>
                </c:pt>
                <c:pt idx="1">
                  <c:v>0.18</c:v>
                </c:pt>
                <c:pt idx="2">
                  <c:v>0.165</c:v>
                </c:pt>
                <c:pt idx="3">
                  <c:v>0.15</c:v>
                </c:pt>
                <c:pt idx="4">
                  <c:v>0.135</c:v>
                </c:pt>
                <c:pt idx="5">
                  <c:v>0.12</c:v>
                </c:pt>
                <c:pt idx="6">
                  <c:v>0.13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Evoke (William Hill, 888)</c:v>
                </c:pt>
              </c:strCache>
            </c:strRef>
          </c:tx>
          <c:spPr>
            <a:solidFill>
              <a:srgbClr val="a5a5a5"/>
            </a:solidFill>
            <a:ln w="28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3</c:f>
              <c:numCache>
                <c:formatCode>0.0%;\(0.0%\);\-</c:formatCode>
                <c:ptCount val="7"/>
                <c:pt idx="0">
                  <c:v>0.15</c:v>
                </c:pt>
                <c:pt idx="1">
                  <c:v>0.14</c:v>
                </c:pt>
                <c:pt idx="2">
                  <c:v>0.13</c:v>
                </c:pt>
                <c:pt idx="3">
                  <c:v>0.125</c:v>
                </c:pt>
                <c:pt idx="4">
                  <c:v>0.11</c:v>
                </c:pt>
                <c:pt idx="5">
                  <c:v>0.095</c:v>
                </c:pt>
                <c:pt idx="6">
                  <c:v>0.085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716884"/>
        <c:axId val="92066065"/>
      </c:lineChart>
      <c:catAx>
        <c:axId val="24716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66065"/>
        <c:crosses val="autoZero"/>
        <c:auto val="1"/>
        <c:lblAlgn val="ctr"/>
        <c:lblOffset val="100"/>
        <c:noMultiLvlLbl val="0"/>
      </c:catAx>
      <c:valAx>
        <c:axId val="92066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16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Online Sports Betting — Market Share Mix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Flutter (Paddy Power, Betfair, Sky Bet)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0</c:f>
              <c:numCache>
                <c:formatCode>0.0%;\(0.0%\);\-</c:formatCode>
                <c:ptCount val="7"/>
                <c:pt idx="0">
                  <c:v>0.32</c:v>
                </c:pt>
                <c:pt idx="1">
                  <c:v>0.34</c:v>
                </c:pt>
                <c:pt idx="2">
                  <c:v>0.36</c:v>
                </c:pt>
                <c:pt idx="3">
                  <c:v>0.38</c:v>
                </c:pt>
                <c:pt idx="4">
                  <c:v>0.39</c:v>
                </c:pt>
                <c:pt idx="5">
                  <c:v>0.42</c:v>
                </c:pt>
                <c:pt idx="6">
                  <c:v>0.425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bet365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1</c:f>
              <c:numCache>
                <c:formatCode>0.0%;\(0.0%\);\-</c:formatCode>
                <c:ptCount val="7"/>
                <c:pt idx="0">
                  <c:v>0.21</c:v>
                </c:pt>
                <c:pt idx="1">
                  <c:v>0.21</c:v>
                </c:pt>
                <c:pt idx="2">
                  <c:v>0.215</c:v>
                </c:pt>
                <c:pt idx="3">
                  <c:v>0.21</c:v>
                </c:pt>
                <c:pt idx="4">
                  <c:v>0.205</c:v>
                </c:pt>
                <c:pt idx="5">
                  <c:v>0.205</c:v>
                </c:pt>
                <c:pt idx="6">
                  <c:v>0.21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Entain (Ladbrokes, Coral, bwin)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2</c:f>
              <c:numCache>
                <c:formatCode>0.0%;\(0.0%\);\-</c:formatCode>
                <c:ptCount val="7"/>
                <c:pt idx="0">
                  <c:v>0.185</c:v>
                </c:pt>
                <c:pt idx="1">
                  <c:v>0.18</c:v>
                </c:pt>
                <c:pt idx="2">
                  <c:v>0.165</c:v>
                </c:pt>
                <c:pt idx="3">
                  <c:v>0.15</c:v>
                </c:pt>
                <c:pt idx="4">
                  <c:v>0.135</c:v>
                </c:pt>
                <c:pt idx="5">
                  <c:v>0.12</c:v>
                </c:pt>
                <c:pt idx="6">
                  <c:v>0.13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Evoke (William Hill, 888)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3</c:f>
              <c:numCache>
                <c:formatCode>0.0%;\(0.0%\);\-</c:formatCode>
                <c:ptCount val="7"/>
                <c:pt idx="0">
                  <c:v>0.15</c:v>
                </c:pt>
                <c:pt idx="1">
                  <c:v>0.14</c:v>
                </c:pt>
                <c:pt idx="2">
                  <c:v>0.13</c:v>
                </c:pt>
                <c:pt idx="3">
                  <c:v>0.125</c:v>
                </c:pt>
                <c:pt idx="4">
                  <c:v>0.11</c:v>
                </c:pt>
                <c:pt idx="5">
                  <c:v>0.095</c:v>
                </c:pt>
                <c:pt idx="6">
                  <c:v>0.085</c:v>
                </c:pt>
              </c:numCache>
            </c:numRef>
          </c:val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Betfred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4</c:f>
              <c:numCache>
                <c:formatCode>0.0%;\(0.0%\);\-</c:formatCode>
                <c:ptCount val="7"/>
                <c:pt idx="0">
                  <c:v>0.035</c:v>
                </c:pt>
                <c:pt idx="1">
                  <c:v>0.04</c:v>
                </c:pt>
                <c:pt idx="2">
                  <c:v>0.045</c:v>
                </c:pt>
                <c:pt idx="3">
                  <c:v>0.045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</c:ser>
        <c:ser>
          <c:idx val="5"/>
          <c:order val="5"/>
          <c:tx>
            <c:strRef>
              <c:f>label 5</c:f>
              <c:strCache>
                <c:ptCount val="1"/>
                <c:pt idx="0">
                  <c:v>Betway (Super Group)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5</c:f>
              <c:numCache>
                <c:formatCode>0.0%;\(0.0%\);\-</c:formatCode>
                <c:ptCount val="7"/>
                <c:pt idx="0">
                  <c:v>0.025</c:v>
                </c:pt>
                <c:pt idx="1">
                  <c:v>0.025</c:v>
                </c:pt>
                <c:pt idx="2">
                  <c:v>0.025</c:v>
                </c:pt>
                <c:pt idx="3">
                  <c:v>0.025</c:v>
                </c:pt>
                <c:pt idx="4">
                  <c:v>0.025</c:v>
                </c:pt>
                <c:pt idx="5">
                  <c:v>0.025</c:v>
                </c:pt>
                <c:pt idx="6">
                  <c:v>0.02</c:v>
                </c:pt>
              </c:numCache>
            </c:numRef>
          </c:val>
        </c:ser>
        <c:ser>
          <c:idx val="6"/>
          <c:order val="6"/>
          <c:tx>
            <c:strRef>
              <c:f>label 6</c:f>
              <c:strCache>
                <c:ptCount val="1"/>
                <c:pt idx="0">
                  <c:v>BetVictor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6</c:f>
              <c:numCache>
                <c:formatCode>0.0%;\(0.0%\);\-</c:formatCode>
                <c:ptCount val="7"/>
                <c:pt idx="0">
                  <c:v>0.015</c:v>
                </c:pt>
                <c:pt idx="1">
                  <c:v>0.015</c:v>
                </c:pt>
                <c:pt idx="2">
                  <c:v>0.015</c:v>
                </c:pt>
                <c:pt idx="3">
                  <c:v>0.015</c:v>
                </c:pt>
                <c:pt idx="4">
                  <c:v>0.015</c:v>
                </c:pt>
                <c:pt idx="5">
                  <c:v>0.015</c:v>
                </c:pt>
                <c:pt idx="6">
                  <c:v>0.015</c:v>
                </c:pt>
              </c:numCache>
            </c:numRef>
          </c:val>
        </c:ser>
        <c:ser>
          <c:idx val="7"/>
          <c:order val="7"/>
          <c:tx>
            <c:strRef>
              <c:f>label 7</c:f>
              <c:strCache>
                <c:ptCount val="1"/>
                <c:pt idx="0">
                  <c:v>Unibet (Kindred)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7</c:f>
              <c:numCache>
                <c:formatCode>0.0%;\(0.0%\);\-</c:formatCode>
                <c:ptCount val="7"/>
                <c:pt idx="0">
                  <c:v>0.015</c:v>
                </c:pt>
                <c:pt idx="1">
                  <c:v>0.015</c:v>
                </c:pt>
                <c:pt idx="2">
                  <c:v>0.015</c:v>
                </c:pt>
                <c:pt idx="3">
                  <c:v>0.015</c:v>
                </c:pt>
                <c:pt idx="4">
                  <c:v>0.015</c:v>
                </c:pt>
                <c:pt idx="5">
                  <c:v>0.015</c:v>
                </c:pt>
                <c:pt idx="6">
                  <c:v>0.015</c:v>
                </c:pt>
              </c:numCache>
            </c:numRef>
          </c:val>
        </c:ser>
        <c:ser>
          <c:idx val="8"/>
          <c:order val="8"/>
          <c:tx>
            <c:strRef>
              <c:f>label 8</c:f>
              <c:strCache>
                <c:ptCount val="1"/>
                <c:pt idx="0">
                  <c:v>Other (Tote, DAZN Bet, Bet UK, LiveScore, etc.)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8</c:f>
              <c:numCache>
                <c:formatCode>0.0%;\(0.0%\);\-</c:formatCode>
                <c:ptCount val="7"/>
                <c:pt idx="0">
                  <c:v>0.045</c:v>
                </c:pt>
                <c:pt idx="1">
                  <c:v>0.035</c:v>
                </c:pt>
                <c:pt idx="2">
                  <c:v>0.03</c:v>
                </c:pt>
                <c:pt idx="3">
                  <c:v>0.035</c:v>
                </c:pt>
                <c:pt idx="4">
                  <c:v>0.055</c:v>
                </c:pt>
                <c:pt idx="5">
                  <c:v>0.055</c:v>
                </c:pt>
                <c:pt idx="6">
                  <c:v>0.05</c:v>
                </c:pt>
              </c:numCache>
            </c:numRef>
          </c:val>
        </c:ser>
        <c:gapWidth val="150"/>
        <c:overlap val="100"/>
        <c:axId val="20171794"/>
        <c:axId val="61328003"/>
      </c:barChart>
      <c:catAx>
        <c:axId val="201717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28003"/>
        <c:crosses val="autoZero"/>
        <c:auto val="1"/>
        <c:lblAlgn val="ctr"/>
        <c:lblOffset val="100"/>
        <c:noMultiLvlLbl val="0"/>
      </c:catAx>
      <c:valAx>
        <c:axId val="61328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71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Australia Online Sports Betting Market Share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'Australia Share %'!B5</c:f>
              <c:strCache>
                <c:ptCount val="1"/>
                <c:pt idx="0">
                  <c:v>Sportsbet (Flutter)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'Australia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'Australia Share %'!$C$5:$I$5</c:f>
              <c:numCache>
                <c:formatCode>0.0%;\(0.0%\);\-</c:formatCode>
                <c:ptCount val="7"/>
                <c:pt idx="0">
                  <c:v>0.28</c:v>
                </c:pt>
                <c:pt idx="1">
                  <c:v>0.4</c:v>
                </c:pt>
                <c:pt idx="2">
                  <c:v>0.5</c:v>
                </c:pt>
                <c:pt idx="3">
                  <c:v>0.48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'Australia Share %'!B6</c:f>
              <c:strCache>
                <c:ptCount val="1"/>
                <c:pt idx="0">
                  <c:v>Tabcorp (TAB)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'Australia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'Australia Share %'!$C$6:$I$6</c:f>
              <c:numCache>
                <c:formatCode>0.0%;\(0.0%\);\-</c:formatCode>
                <c:ptCount val="7"/>
                <c:pt idx="0">
                  <c:v>0.28</c:v>
                </c:pt>
                <c:pt idx="1">
                  <c:v>0.25</c:v>
                </c:pt>
                <c:pt idx="2">
                  <c:v>0.22</c:v>
                </c:pt>
                <c:pt idx="3">
                  <c:v>0.21</c:v>
                </c:pt>
                <c:pt idx="4">
                  <c:v>0.229</c:v>
                </c:pt>
                <c:pt idx="5">
                  <c:v>0.229</c:v>
                </c:pt>
                <c:pt idx="6">
                  <c:v>0.22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'Australia Share %'!B7</c:f>
              <c:strCache>
                <c:ptCount val="1"/>
                <c:pt idx="0">
                  <c:v>Entain (Ladbrokes, Neds)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'Australia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'Australia Share %'!$C$7:$I$7</c:f>
              <c:numCache>
                <c:formatCode>0.0%;\(0.0%\);\-</c:formatCode>
                <c:ptCount val="7"/>
                <c:pt idx="0">
                  <c:v>0.14</c:v>
                </c:pt>
                <c:pt idx="1">
                  <c:v>0.15</c:v>
                </c:pt>
                <c:pt idx="2">
                  <c:v>0.16</c:v>
                </c:pt>
                <c:pt idx="3">
                  <c:v>0.16</c:v>
                </c:pt>
                <c:pt idx="4">
                  <c:v>0.165</c:v>
                </c:pt>
                <c:pt idx="5">
                  <c:v>0.17</c:v>
                </c:pt>
                <c:pt idx="6">
                  <c:v>0.17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'Australia Share %'!B13</c:f>
              <c:strCache>
                <c:ptCount val="1"/>
                <c:pt idx="0">
                  <c:v>Other (Picklebet, Palmerbet, Dabble, etc.)</c:v>
                </c:pt>
              </c:strCache>
            </c:strRef>
          </c:tx>
          <c:spPr>
            <a:solidFill>
              <a:srgbClr val="a5a5a5"/>
            </a:solidFill>
            <a:ln w="28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'Australia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'Australia Share %'!$C$13:$I$13</c:f>
              <c:numCache>
                <c:formatCode>0.0%;\(0.0%\);\-</c:formatCode>
                <c:ptCount val="7"/>
                <c:pt idx="0">
                  <c:v>0.18</c:v>
                </c:pt>
                <c:pt idx="1">
                  <c:v>0.08</c:v>
                </c:pt>
                <c:pt idx="2">
                  <c:v>0.01</c:v>
                </c:pt>
                <c:pt idx="3">
                  <c:v>0.03</c:v>
                </c:pt>
                <c:pt idx="4">
                  <c:v>0.026</c:v>
                </c:pt>
                <c:pt idx="5">
                  <c:v>0.036</c:v>
                </c:pt>
                <c:pt idx="6">
                  <c:v>0.055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'Australia Share %'!B8</c:f>
              <c:strCache>
                <c:ptCount val="1"/>
                <c:pt idx="0">
                  <c:v>bet365 Australia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'Australia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'Australia Share %'!$C$8:$I$8</c:f>
              <c:numCache>
                <c:formatCode>0.0%;\(0.0%\);\-</c:formatCode>
                <c:ptCount val="7"/>
                <c:pt idx="0">
                  <c:v>0.06</c:v>
                </c:pt>
                <c:pt idx="1">
                  <c:v>0.05</c:v>
                </c:pt>
                <c:pt idx="2">
                  <c:v>0.045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418592"/>
        <c:axId val="83738899"/>
      </c:lineChart>
      <c:catAx>
        <c:axId val="63418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38899"/>
        <c:crosses val="autoZero"/>
        <c:auto val="1"/>
        <c:lblAlgn val="ctr"/>
        <c:lblOffset val="100"/>
        <c:noMultiLvlLbl val="0"/>
      </c:catAx>
      <c:valAx>
        <c:axId val="837388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8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Italy Online Sports Betting Market Share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'Italy Share %'!B6</c:f>
              <c:strCache>
                <c:ptCount val="1"/>
                <c:pt idx="0">
                  <c:v>Lottomatica (incl. Goldbet, Betflag, Planetwin365)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'Italy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'Italy Share %'!$C$6:$I$6</c:f>
              <c:numCache>
                <c:formatCode>0.0%;\(0.0%\);\-</c:formatCode>
                <c:ptCount val="7"/>
                <c:pt idx="0">
                  <c:v>0.08</c:v>
                </c:pt>
                <c:pt idx="1">
                  <c:v>0.09</c:v>
                </c:pt>
                <c:pt idx="2">
                  <c:v>0.12</c:v>
                </c:pt>
                <c:pt idx="3">
                  <c:v>0.155</c:v>
                </c:pt>
                <c:pt idx="4">
                  <c:v>0.198</c:v>
                </c:pt>
                <c:pt idx="5">
                  <c:v>0.22</c:v>
                </c:pt>
                <c:pt idx="6">
                  <c:v>0.24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'Italy Share %'!B18</c:f>
              <c:strCache>
                <c:ptCount val="1"/>
                <c:pt idx="0">
                  <c:v>Other (Admiral, StarCasino, LeoVegas, etc.)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'Italy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'Italy Share %'!$C$18:$I$18</c:f>
              <c:numCache>
                <c:formatCode>0.0%;\(0.0%\);\-</c:formatCode>
                <c:ptCount val="7"/>
                <c:pt idx="0">
                  <c:v>0.133</c:v>
                </c:pt>
                <c:pt idx="1">
                  <c:v>0.145</c:v>
                </c:pt>
                <c:pt idx="2">
                  <c:v>0.155</c:v>
                </c:pt>
                <c:pt idx="3">
                  <c:v>0.159</c:v>
                </c:pt>
                <c:pt idx="4">
                  <c:v>0.114</c:v>
                </c:pt>
                <c:pt idx="5">
                  <c:v>0.14</c:v>
                </c:pt>
                <c:pt idx="6">
                  <c:v>0.16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'Italy Share %'!B8</c:f>
              <c:strCache>
                <c:ptCount val="1"/>
                <c:pt idx="0">
                  <c:v>Sisal (Flutter from Aug-22)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'Italy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'Italy Share %'!$C$8:$I$8</c:f>
              <c:numCache>
                <c:formatCode>0.0%;\(0.0%\);\-</c:formatCode>
                <c:ptCount val="7"/>
                <c:pt idx="0">
                  <c:v>0.12</c:v>
                </c:pt>
                <c:pt idx="1">
                  <c:v>0.12</c:v>
                </c:pt>
                <c:pt idx="2">
                  <c:v>0.125</c:v>
                </c:pt>
                <c:pt idx="3">
                  <c:v>0.128</c:v>
                </c:pt>
                <c:pt idx="4">
                  <c:v>0.13</c:v>
                </c:pt>
                <c:pt idx="5">
                  <c:v>0.135</c:v>
                </c:pt>
                <c:pt idx="6">
                  <c:v>0.14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'Italy Share %'!B7</c:f>
              <c:strCache>
                <c:ptCount val="1"/>
                <c:pt idx="0">
                  <c:v>Snai (Snaitech, Flutter from Apr-25)</c:v>
                </c:pt>
              </c:strCache>
            </c:strRef>
          </c:tx>
          <c:spPr>
            <a:solidFill>
              <a:srgbClr val="a5a5a5"/>
            </a:solidFill>
            <a:ln w="28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'Italy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'Italy Share %'!$C$7:$I$7</c:f>
              <c:numCache>
                <c:formatCode>0.0%;\(0.0%\);\-</c:formatCode>
                <c:ptCount val="7"/>
                <c:pt idx="0">
                  <c:v>0.15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0.129</c:v>
                </c:pt>
                <c:pt idx="5">
                  <c:v>0.13</c:v>
                </c:pt>
                <c:pt idx="6">
                  <c:v>0.135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'Italy Share %'!B5</c:f>
              <c:strCache>
                <c:ptCount val="1"/>
                <c:pt idx="0">
                  <c:v>Bet365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'Italy Share %'!$C$4:$I$4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'Italy Share %'!$C$5:$I$5</c:f>
              <c:numCache>
                <c:formatCode>0.0%;\(0.0%\);\-</c:formatCode>
                <c:ptCount val="7"/>
                <c:pt idx="0">
                  <c:v>0.157</c:v>
                </c:pt>
                <c:pt idx="1">
                  <c:v>0.14</c:v>
                </c:pt>
                <c:pt idx="2">
                  <c:v>0.155</c:v>
                </c:pt>
                <c:pt idx="3">
                  <c:v>0.165</c:v>
                </c:pt>
                <c:pt idx="4">
                  <c:v>0.168</c:v>
                </c:pt>
                <c:pt idx="5">
                  <c:v>0.14</c:v>
                </c:pt>
                <c:pt idx="6">
                  <c:v>0.125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201016"/>
        <c:axId val="3901492"/>
      </c:lineChart>
      <c:catAx>
        <c:axId val="74201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1492"/>
        <c:crosses val="autoZero"/>
        <c:auto val="1"/>
        <c:lblAlgn val="ctr"/>
        <c:lblOffset val="100"/>
        <c:noMultiLvlLbl val="0"/>
      </c:catAx>
      <c:valAx>
        <c:axId val="39014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01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7</xdr:col>
      <xdr:colOff>728640</xdr:colOff>
      <xdr:row>53</xdr:row>
      <xdr:rowOff>127080</xdr:rowOff>
    </xdr:to>
    <xdr:graphicFrame>
      <xdr:nvGraphicFramePr>
        <xdr:cNvPr id="0" name="Chart 1"/>
        <xdr:cNvGraphicFramePr/>
      </xdr:nvGraphicFramePr>
      <xdr:xfrm>
        <a:off x="211320" y="6067440"/>
        <a:ext cx="791820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728640</xdr:colOff>
      <xdr:row>77</xdr:row>
      <xdr:rowOff>127080</xdr:rowOff>
    </xdr:to>
    <xdr:graphicFrame>
      <xdr:nvGraphicFramePr>
        <xdr:cNvPr id="1" name="Chart 2"/>
        <xdr:cNvGraphicFramePr/>
      </xdr:nvGraphicFramePr>
      <xdr:xfrm>
        <a:off x="211320" y="10639440"/>
        <a:ext cx="791820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7</xdr:col>
      <xdr:colOff>306000</xdr:colOff>
      <xdr:row>55</xdr:row>
      <xdr:rowOff>127440</xdr:rowOff>
    </xdr:to>
    <xdr:graphicFrame>
      <xdr:nvGraphicFramePr>
        <xdr:cNvPr id="2" name="Chart 1"/>
        <xdr:cNvGraphicFramePr/>
      </xdr:nvGraphicFramePr>
      <xdr:xfrm>
        <a:off x="211320" y="6448320"/>
        <a:ext cx="791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38</xdr:row>
      <xdr:rowOff>0</xdr:rowOff>
    </xdr:from>
    <xdr:to>
      <xdr:col>7</xdr:col>
      <xdr:colOff>306000</xdr:colOff>
      <xdr:row>60</xdr:row>
      <xdr:rowOff>127440</xdr:rowOff>
    </xdr:to>
    <xdr:graphicFrame>
      <xdr:nvGraphicFramePr>
        <xdr:cNvPr id="3" name="Chart 1"/>
        <xdr:cNvGraphicFramePr/>
      </xdr:nvGraphicFramePr>
      <xdr:xfrm>
        <a:off x="211320" y="7400880"/>
        <a:ext cx="791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3" min="3" style="1" width="70"/>
  </cols>
  <sheetData>
    <row r="2" customFormat="false" ht="1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2"/>
      <c r="C3" s="2"/>
    </row>
    <row r="4" customFormat="false" ht="21.75" hidden="false" customHeight="true" outlineLevel="0" collapsed="false">
      <c r="B4" s="3" t="s">
        <v>1</v>
      </c>
      <c r="C4" s="3"/>
    </row>
    <row r="6" customFormat="false" ht="15" hidden="false" customHeight="true" outlineLevel="0" collapsed="false">
      <c r="B6" s="4" t="s">
        <v>2</v>
      </c>
      <c r="C6" s="5"/>
    </row>
    <row r="7" customFormat="false" ht="15" hidden="false" customHeight="true" outlineLevel="0" collapsed="false">
      <c r="B7" s="6" t="s">
        <v>3</v>
      </c>
      <c r="C7" s="7" t="s">
        <v>4</v>
      </c>
    </row>
    <row r="8" customFormat="false" ht="15" hidden="false" customHeight="true" outlineLevel="0" collapsed="false">
      <c r="B8" s="6" t="s">
        <v>5</v>
      </c>
      <c r="C8" s="7" t="s">
        <v>6</v>
      </c>
    </row>
    <row r="9" customFormat="false" ht="15" hidden="false" customHeight="true" outlineLevel="0" collapsed="false">
      <c r="B9" s="6" t="s">
        <v>7</v>
      </c>
      <c r="C9" s="7" t="s">
        <v>8</v>
      </c>
    </row>
    <row r="10" customFormat="false" ht="15" hidden="false" customHeight="true" outlineLevel="0" collapsed="false">
      <c r="B10" s="6" t="s">
        <v>9</v>
      </c>
      <c r="C10" s="7" t="s">
        <v>10</v>
      </c>
    </row>
    <row r="11" customFormat="false" ht="15" hidden="false" customHeight="true" outlineLevel="0" collapsed="false">
      <c r="B11" s="6" t="s">
        <v>11</v>
      </c>
      <c r="C11" s="7" t="s">
        <v>12</v>
      </c>
    </row>
    <row r="12" customFormat="false" ht="15" hidden="false" customHeight="true" outlineLevel="0" collapsed="false">
      <c r="B12" s="6" t="s">
        <v>13</v>
      </c>
      <c r="C12" s="7" t="s">
        <v>14</v>
      </c>
    </row>
    <row r="14" customFormat="false" ht="15" hidden="false" customHeight="true" outlineLevel="0" collapsed="false">
      <c r="B14" s="4" t="s">
        <v>15</v>
      </c>
      <c r="C14" s="5"/>
    </row>
    <row r="15" customFormat="false" ht="15" hidden="false" customHeight="true" outlineLevel="0" collapsed="false">
      <c r="B15" s="8" t="s">
        <v>16</v>
      </c>
      <c r="C15" s="9" t="s">
        <v>17</v>
      </c>
    </row>
    <row r="16" customFormat="false" ht="15" hidden="false" customHeight="true" outlineLevel="0" collapsed="false">
      <c r="B16" s="8" t="s">
        <v>18</v>
      </c>
      <c r="C16" s="9" t="s">
        <v>19</v>
      </c>
    </row>
    <row r="17" customFormat="false" ht="15" hidden="false" customHeight="true" outlineLevel="0" collapsed="false">
      <c r="B17" s="8" t="s">
        <v>20</v>
      </c>
      <c r="C17" s="9" t="s">
        <v>21</v>
      </c>
    </row>
    <row r="18" customFormat="false" ht="15" hidden="false" customHeight="true" outlineLevel="0" collapsed="false">
      <c r="B18" s="8" t="s">
        <v>22</v>
      </c>
      <c r="C18" s="9" t="s">
        <v>23</v>
      </c>
    </row>
    <row r="19" customFormat="false" ht="15" hidden="false" customHeight="true" outlineLevel="0" collapsed="false">
      <c r="B19" s="8" t="s">
        <v>24</v>
      </c>
      <c r="C19" s="9" t="s">
        <v>25</v>
      </c>
    </row>
    <row r="22" customFormat="false" ht="15" hidden="false" customHeight="true" outlineLevel="0" collapsed="false">
      <c r="B22" s="4" t="s">
        <v>26</v>
      </c>
      <c r="C22" s="5"/>
    </row>
    <row r="23" customFormat="false" ht="18" hidden="false" customHeight="true" outlineLevel="0" collapsed="false">
      <c r="B23" s="10" t="s">
        <v>27</v>
      </c>
      <c r="C23" s="10"/>
    </row>
    <row r="24" customFormat="false" ht="18" hidden="false" customHeight="true" outlineLevel="0" collapsed="false">
      <c r="B24" s="10" t="s">
        <v>28</v>
      </c>
      <c r="C24" s="10"/>
    </row>
    <row r="25" customFormat="false" ht="18" hidden="false" customHeight="true" outlineLevel="0" collapsed="false">
      <c r="B25" s="10" t="s">
        <v>29</v>
      </c>
      <c r="C25" s="10"/>
    </row>
    <row r="26" customFormat="false" ht="18" hidden="false" customHeight="true" outlineLevel="0" collapsed="false">
      <c r="B26" s="10" t="s">
        <v>30</v>
      </c>
      <c r="C26" s="10"/>
    </row>
    <row r="27" customFormat="false" ht="18" hidden="false" customHeight="true" outlineLevel="0" collapsed="false">
      <c r="B27" s="10" t="s">
        <v>31</v>
      </c>
      <c r="C27" s="10"/>
    </row>
    <row r="28" customFormat="false" ht="18" hidden="false" customHeight="true" outlineLevel="0" collapsed="false">
      <c r="B28" s="10" t="s">
        <v>32</v>
      </c>
      <c r="C28" s="10"/>
    </row>
    <row r="29" customFormat="false" ht="18" hidden="false" customHeight="true" outlineLevel="0" collapsed="false">
      <c r="B29" s="10" t="s">
        <v>33</v>
      </c>
      <c r="C29" s="10"/>
    </row>
    <row r="31" customFormat="false" ht="15" hidden="false" customHeight="true" outlineLevel="0" collapsed="false">
      <c r="B31" s="4"/>
      <c r="C31" s="5"/>
    </row>
    <row r="32" customFormat="false" ht="15" hidden="false" customHeight="true" outlineLevel="0" collapsed="false">
      <c r="B32" s="11" t="s">
        <v>34</v>
      </c>
      <c r="C32" s="11"/>
    </row>
    <row r="33" customFormat="false" ht="15" hidden="false" customHeight="true" outlineLevel="0" collapsed="false">
      <c r="B33" s="11"/>
      <c r="C33" s="11"/>
    </row>
    <row r="34" customFormat="false" ht="15" hidden="false" customHeight="true" outlineLevel="0" collapsed="false">
      <c r="B34" s="11"/>
      <c r="C34" s="11"/>
    </row>
    <row r="35" customFormat="false" ht="15" hidden="false" customHeight="true" outlineLevel="0" collapsed="false">
      <c r="B35" s="11"/>
      <c r="C35" s="11"/>
    </row>
  </sheetData>
  <mergeCells count="10">
    <mergeCell ref="B2:C3"/>
    <mergeCell ref="B4:C4"/>
    <mergeCell ref="B23:C23"/>
    <mergeCell ref="B24:C24"/>
    <mergeCell ref="B25:C25"/>
    <mergeCell ref="B26:C26"/>
    <mergeCell ref="B27:C27"/>
    <mergeCell ref="B28:C28"/>
    <mergeCell ref="B29:C29"/>
    <mergeCell ref="B32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9" min="3" style="1" width="12"/>
    <col collapsed="false" customWidth="true" hidden="false" outlineLevel="0" max="10" min="10" style="1" width="14"/>
  </cols>
  <sheetData>
    <row r="2" customFormat="false" ht="27.75" hidden="false" customHeight="true" outlineLevel="0" collapsed="false">
      <c r="B2" s="12" t="s">
        <v>35</v>
      </c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true" outlineLevel="0" collapsed="false">
      <c r="B4" s="13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14" t="s">
        <v>44</v>
      </c>
    </row>
    <row r="5" customFormat="false" ht="15" hidden="false" customHeight="true" outlineLevel="0" collapsed="false">
      <c r="B5" s="15" t="s">
        <v>45</v>
      </c>
      <c r="C5" s="16" t="n">
        <v>0.32</v>
      </c>
      <c r="D5" s="16" t="n">
        <v>0.34</v>
      </c>
      <c r="E5" s="16" t="n">
        <v>0.36</v>
      </c>
      <c r="F5" s="16" t="n">
        <v>0.38</v>
      </c>
      <c r="G5" s="16" t="n">
        <v>0.39</v>
      </c>
      <c r="H5" s="16" t="n">
        <v>0.42</v>
      </c>
      <c r="I5" s="16" t="n">
        <v>0.425</v>
      </c>
      <c r="J5" s="17" t="n">
        <f aca="false">I5-C5</f>
        <v>0.105</v>
      </c>
    </row>
    <row r="6" customFormat="false" ht="15" hidden="false" customHeight="true" outlineLevel="0" collapsed="false">
      <c r="B6" s="15" t="s">
        <v>46</v>
      </c>
      <c r="C6" s="16" t="n">
        <v>0.21</v>
      </c>
      <c r="D6" s="16" t="n">
        <v>0.21</v>
      </c>
      <c r="E6" s="16" t="n">
        <v>0.215</v>
      </c>
      <c r="F6" s="16" t="n">
        <v>0.21</v>
      </c>
      <c r="G6" s="16" t="n">
        <v>0.205</v>
      </c>
      <c r="H6" s="16" t="n">
        <v>0.205</v>
      </c>
      <c r="I6" s="16" t="n">
        <v>0.21</v>
      </c>
      <c r="J6" s="17" t="n">
        <f aca="false">I6-C6</f>
        <v>0</v>
      </c>
    </row>
    <row r="7" customFormat="false" ht="15" hidden="false" customHeight="true" outlineLevel="0" collapsed="false">
      <c r="B7" s="15" t="s">
        <v>47</v>
      </c>
      <c r="C7" s="16" t="n">
        <v>0.185</v>
      </c>
      <c r="D7" s="16" t="n">
        <v>0.18</v>
      </c>
      <c r="E7" s="16" t="n">
        <v>0.165</v>
      </c>
      <c r="F7" s="16" t="n">
        <v>0.15</v>
      </c>
      <c r="G7" s="16" t="n">
        <v>0.135</v>
      </c>
      <c r="H7" s="16" t="n">
        <v>0.12</v>
      </c>
      <c r="I7" s="16" t="n">
        <v>0.13</v>
      </c>
      <c r="J7" s="17" t="n">
        <f aca="false">I7-C7</f>
        <v>-0.055</v>
      </c>
    </row>
    <row r="8" customFormat="false" ht="15" hidden="false" customHeight="true" outlineLevel="0" collapsed="false">
      <c r="B8" s="15" t="s">
        <v>48</v>
      </c>
      <c r="C8" s="16" t="n">
        <v>0.15</v>
      </c>
      <c r="D8" s="16" t="n">
        <v>0.14</v>
      </c>
      <c r="E8" s="16" t="n">
        <v>0.13</v>
      </c>
      <c r="F8" s="16" t="n">
        <v>0.125</v>
      </c>
      <c r="G8" s="16" t="n">
        <v>0.11</v>
      </c>
      <c r="H8" s="16" t="n">
        <v>0.095</v>
      </c>
      <c r="I8" s="16" t="n">
        <v>0.085</v>
      </c>
      <c r="J8" s="17" t="n">
        <f aca="false">I8-C8</f>
        <v>-0.065</v>
      </c>
    </row>
    <row r="9" customFormat="false" ht="15" hidden="false" customHeight="true" outlineLevel="0" collapsed="false">
      <c r="B9" s="15" t="s">
        <v>49</v>
      </c>
      <c r="C9" s="16" t="n">
        <v>0.035</v>
      </c>
      <c r="D9" s="16" t="n">
        <v>0.04</v>
      </c>
      <c r="E9" s="16" t="n">
        <v>0.045</v>
      </c>
      <c r="F9" s="16" t="n">
        <v>0.045</v>
      </c>
      <c r="G9" s="16" t="n">
        <v>0.05</v>
      </c>
      <c r="H9" s="16" t="n">
        <v>0.05</v>
      </c>
      <c r="I9" s="16" t="n">
        <v>0.05</v>
      </c>
      <c r="J9" s="17" t="n">
        <f aca="false">I9-C9</f>
        <v>0.015</v>
      </c>
    </row>
    <row r="10" customFormat="false" ht="15" hidden="false" customHeight="true" outlineLevel="0" collapsed="false">
      <c r="B10" s="15" t="s">
        <v>50</v>
      </c>
      <c r="C10" s="16" t="n">
        <v>0.025</v>
      </c>
      <c r="D10" s="16" t="n">
        <v>0.025</v>
      </c>
      <c r="E10" s="16" t="n">
        <v>0.025</v>
      </c>
      <c r="F10" s="16" t="n">
        <v>0.025</v>
      </c>
      <c r="G10" s="16" t="n">
        <v>0.025</v>
      </c>
      <c r="H10" s="16" t="n">
        <v>0.025</v>
      </c>
      <c r="I10" s="16" t="n">
        <v>0.02</v>
      </c>
      <c r="J10" s="17" t="n">
        <f aca="false">I10-C10</f>
        <v>-0.005</v>
      </c>
    </row>
    <row r="11" customFormat="false" ht="15" hidden="false" customHeight="true" outlineLevel="0" collapsed="false">
      <c r="B11" s="15" t="s">
        <v>51</v>
      </c>
      <c r="C11" s="16" t="n">
        <v>0.015</v>
      </c>
      <c r="D11" s="16" t="n">
        <v>0.015</v>
      </c>
      <c r="E11" s="16" t="n">
        <v>0.015</v>
      </c>
      <c r="F11" s="16" t="n">
        <v>0.015</v>
      </c>
      <c r="G11" s="16" t="n">
        <v>0.015</v>
      </c>
      <c r="H11" s="16" t="n">
        <v>0.015</v>
      </c>
      <c r="I11" s="16" t="n">
        <v>0.015</v>
      </c>
      <c r="J11" s="17" t="n">
        <f aca="false">I11-C11</f>
        <v>0</v>
      </c>
    </row>
    <row r="12" customFormat="false" ht="15" hidden="false" customHeight="true" outlineLevel="0" collapsed="false">
      <c r="B12" s="15" t="s">
        <v>52</v>
      </c>
      <c r="C12" s="16" t="n">
        <v>0.015</v>
      </c>
      <c r="D12" s="16" t="n">
        <v>0.015</v>
      </c>
      <c r="E12" s="16" t="n">
        <v>0.015</v>
      </c>
      <c r="F12" s="16" t="n">
        <v>0.015</v>
      </c>
      <c r="G12" s="16" t="n">
        <v>0.015</v>
      </c>
      <c r="H12" s="16" t="n">
        <v>0.015</v>
      </c>
      <c r="I12" s="16" t="n">
        <v>0.015</v>
      </c>
      <c r="J12" s="17" t="n">
        <f aca="false">I12-C12</f>
        <v>0</v>
      </c>
    </row>
    <row r="13" customFormat="false" ht="15" hidden="false" customHeight="true" outlineLevel="0" collapsed="false">
      <c r="B13" s="15" t="s">
        <v>53</v>
      </c>
      <c r="C13" s="16" t="n">
        <v>0.045</v>
      </c>
      <c r="D13" s="16" t="n">
        <v>0.035</v>
      </c>
      <c r="E13" s="16" t="n">
        <v>0.03</v>
      </c>
      <c r="F13" s="16" t="n">
        <v>0.035</v>
      </c>
      <c r="G13" s="16" t="n">
        <v>0.055</v>
      </c>
      <c r="H13" s="16" t="n">
        <v>0.055</v>
      </c>
      <c r="I13" s="16" t="n">
        <v>0.05</v>
      </c>
      <c r="J13" s="17" t="n">
        <f aca="false">I13-C13</f>
        <v>0.005</v>
      </c>
    </row>
    <row r="14" customFormat="false" ht="15" hidden="false" customHeight="true" outlineLevel="0" collapsed="false">
      <c r="B14" s="18" t="s">
        <v>54</v>
      </c>
      <c r="C14" s="19" t="n">
        <f aca="false">SUM(C5:C13)</f>
        <v>1</v>
      </c>
      <c r="D14" s="19" t="n">
        <f aca="false">SUM(D5:D13)</f>
        <v>1</v>
      </c>
      <c r="E14" s="19" t="n">
        <f aca="false">SUM(E5:E13)</f>
        <v>1</v>
      </c>
      <c r="F14" s="19" t="n">
        <f aca="false">SUM(F5:F13)</f>
        <v>1</v>
      </c>
      <c r="G14" s="19" t="n">
        <f aca="false">SUM(G5:G13)</f>
        <v>1</v>
      </c>
      <c r="H14" s="19" t="n">
        <f aca="false">SUM(H5:H13)</f>
        <v>1</v>
      </c>
      <c r="I14" s="19" t="n">
        <f aca="false">SUM(I5:I13)</f>
        <v>1</v>
      </c>
      <c r="J14" s="20" t="n">
        <f aca="false">I14-C14</f>
        <v>0</v>
      </c>
    </row>
    <row r="16" customFormat="false" ht="15" hidden="false" customHeight="true" outlineLevel="0" collapsed="false">
      <c r="B16" s="4" t="s">
        <v>55</v>
      </c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true" outlineLevel="0" collapsed="false">
      <c r="B17" s="8" t="s">
        <v>56</v>
      </c>
      <c r="C17" s="21" t="n">
        <f aca="false">C5+C6</f>
        <v>0.53</v>
      </c>
      <c r="D17" s="21" t="n">
        <f aca="false">D5+D6</f>
        <v>0.55</v>
      </c>
      <c r="E17" s="21" t="n">
        <f aca="false">E5+E6</f>
        <v>0.575</v>
      </c>
      <c r="F17" s="21" t="n">
        <f aca="false">F5+F6</f>
        <v>0.59</v>
      </c>
      <c r="G17" s="21" t="n">
        <f aca="false">G5+G6</f>
        <v>0.595</v>
      </c>
      <c r="H17" s="21" t="n">
        <f aca="false">H5+H6</f>
        <v>0.625</v>
      </c>
      <c r="I17" s="21" t="n">
        <f aca="false">I5+I6</f>
        <v>0.635</v>
      </c>
      <c r="J17" s="22" t="n">
        <f aca="false">I17-C17</f>
        <v>0.105</v>
      </c>
    </row>
    <row r="18" customFormat="false" ht="15" hidden="false" customHeight="true" outlineLevel="0" collapsed="false">
      <c r="B18" s="8" t="s">
        <v>57</v>
      </c>
      <c r="C18" s="21" t="n">
        <f aca="false">C5+C6+C7+C8</f>
        <v>0.865</v>
      </c>
      <c r="D18" s="21" t="n">
        <f aca="false">D5+D6+D7+D8</f>
        <v>0.87</v>
      </c>
      <c r="E18" s="21" t="n">
        <f aca="false">E5+E6+E7+E8</f>
        <v>0.87</v>
      </c>
      <c r="F18" s="21" t="n">
        <f aca="false">F5+F6+F7+F8</f>
        <v>0.865</v>
      </c>
      <c r="G18" s="21" t="n">
        <f aca="false">G5+G6+G7+G8</f>
        <v>0.84</v>
      </c>
      <c r="H18" s="21" t="n">
        <f aca="false">H5+H6+H7+H8</f>
        <v>0.84</v>
      </c>
      <c r="I18" s="21" t="n">
        <f aca="false">I5+I6+I7+I8</f>
        <v>0.85</v>
      </c>
      <c r="J18" s="22" t="n">
        <f aca="false">I18-C18</f>
        <v>-0.0150000000000001</v>
      </c>
    </row>
    <row r="19" customFormat="false" ht="15" hidden="false" customHeight="true" outlineLevel="0" collapsed="false">
      <c r="B19" s="8" t="s">
        <v>58</v>
      </c>
      <c r="C19" s="21" t="n">
        <f aca="false">1-C18</f>
        <v>0.135</v>
      </c>
      <c r="D19" s="21" t="n">
        <f aca="false">1-D18</f>
        <v>0.13</v>
      </c>
      <c r="E19" s="21" t="n">
        <f aca="false">1-E18</f>
        <v>0.13</v>
      </c>
      <c r="F19" s="21" t="n">
        <f aca="false">1-F18</f>
        <v>0.135</v>
      </c>
      <c r="G19" s="21" t="n">
        <f aca="false">1-G18</f>
        <v>0.16</v>
      </c>
      <c r="H19" s="21" t="n">
        <f aca="false">1-H18</f>
        <v>0.16</v>
      </c>
      <c r="I19" s="21" t="n">
        <f aca="false">1-I18</f>
        <v>0.15</v>
      </c>
      <c r="J19" s="22" t="n">
        <f aca="false">I19-C19</f>
        <v>0.0150000000000001</v>
      </c>
    </row>
    <row r="21" customFormat="false" ht="15" hidden="false" customHeight="true" outlineLevel="0" collapsed="false">
      <c r="B21" s="8" t="s">
        <v>59</v>
      </c>
      <c r="C21" s="23" t="n">
        <f aca="false">SUMPRODUCT((C5:C13*100)^2)</f>
        <v>2075.5</v>
      </c>
      <c r="D21" s="23" t="n">
        <f aca="false">SUMPRODUCT((D5:D13*100)^2)</f>
        <v>2156</v>
      </c>
      <c r="E21" s="23" t="n">
        <f aca="false">SUMPRODUCT((E5:E13*100)^2)</f>
        <v>2239.5</v>
      </c>
      <c r="F21" s="23" t="n">
        <f aca="false">SUMPRODUCT((F5:F13*100)^2)</f>
        <v>2309.5</v>
      </c>
      <c r="G21" s="23" t="n">
        <f aca="false">SUMPRODUCT((G5:G13*100)^2)</f>
        <v>2310.5</v>
      </c>
      <c r="H21" s="23" t="n">
        <f aca="false">SUMPRODUCT((H5:H13*100)^2)</f>
        <v>2484.5</v>
      </c>
      <c r="I21" s="23" t="n">
        <f aca="false">SUMPRODUCT((I5:I13*100)^2)</f>
        <v>2547</v>
      </c>
    </row>
    <row r="22" customFormat="false" ht="15" hidden="false" customHeight="true" outlineLevel="0" collapsed="false">
      <c r="B22" s="24" t="s">
        <v>60</v>
      </c>
      <c r="C22" s="24"/>
      <c r="D22" s="24"/>
      <c r="E22" s="24"/>
      <c r="F22" s="24"/>
      <c r="G22" s="24"/>
      <c r="H22" s="24"/>
      <c r="I22" s="24"/>
      <c r="J22" s="24"/>
    </row>
    <row r="24" customFormat="false" ht="15" hidden="false" customHeight="true" outlineLevel="0" collapsed="false">
      <c r="B24" s="8" t="s">
        <v>61</v>
      </c>
    </row>
    <row r="25" customFormat="false" ht="15" hidden="false" customHeight="true" outlineLevel="0" collapsed="false">
      <c r="B25" s="25" t="s">
        <v>62</v>
      </c>
    </row>
    <row r="26" customFormat="false" ht="15" hidden="false" customHeight="true" outlineLevel="0" collapsed="false">
      <c r="B26" s="25" t="s">
        <v>63</v>
      </c>
    </row>
    <row r="27" customFormat="false" ht="15" hidden="false" customHeight="true" outlineLevel="0" collapsed="false">
      <c r="B27" s="25" t="s">
        <v>64</v>
      </c>
    </row>
    <row r="28" customFormat="false" ht="15" hidden="false" customHeight="true" outlineLevel="0" collapsed="false">
      <c r="B28" s="25" t="s">
        <v>65</v>
      </c>
    </row>
    <row r="29" customFormat="false" ht="15" hidden="false" customHeight="true" outlineLevel="0" collapsed="false">
      <c r="B29" s="25" t="s">
        <v>66</v>
      </c>
    </row>
  </sheetData>
  <mergeCells count="2">
    <mergeCell ref="B2:J2"/>
    <mergeCell ref="B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9" min="3" style="1" width="12"/>
    <col collapsed="false" customWidth="true" hidden="false" outlineLevel="0" max="10" min="10" style="1" width="14"/>
  </cols>
  <sheetData>
    <row r="2" customFormat="false" ht="27.75" hidden="false" customHeight="true" outlineLevel="0" collapsed="false">
      <c r="B2" s="12" t="s">
        <v>67</v>
      </c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true" outlineLevel="0" collapsed="false">
      <c r="B4" s="13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14" t="s">
        <v>68</v>
      </c>
    </row>
    <row r="5" customFormat="false" ht="15" hidden="false" customHeight="true" outlineLevel="0" collapsed="false">
      <c r="B5" s="26" t="s">
        <v>69</v>
      </c>
      <c r="C5" s="27" t="n">
        <f aca="false">'UK Market Size'!C6</f>
        <v>2350</v>
      </c>
      <c r="D5" s="27" t="n">
        <f aca="false">'UK Market Size'!D6</f>
        <v>2050</v>
      </c>
      <c r="E5" s="27" t="n">
        <f aca="false">'UK Market Size'!E6</f>
        <v>2250</v>
      </c>
      <c r="F5" s="27" t="n">
        <f aca="false">'UK Market Size'!F6</f>
        <v>2400</v>
      </c>
      <c r="G5" s="27" t="n">
        <f aca="false">'UK Market Size'!G6</f>
        <v>2430</v>
      </c>
      <c r="H5" s="27" t="n">
        <f aca="false">'UK Market Size'!H6</f>
        <v>2400</v>
      </c>
      <c r="I5" s="27" t="n">
        <f aca="false">'UK Market Size'!I6</f>
        <v>2380</v>
      </c>
    </row>
    <row r="7" customFormat="false" ht="15" hidden="false" customHeight="true" outlineLevel="0" collapsed="false">
      <c r="B7" s="15" t="s">
        <v>45</v>
      </c>
      <c r="C7" s="28" t="n">
        <f aca="false">'UK Share %'!C5*C5</f>
        <v>752</v>
      </c>
      <c r="D7" s="28" t="n">
        <f aca="false">'UK Share %'!D5*D5</f>
        <v>697</v>
      </c>
      <c r="E7" s="28" t="n">
        <f aca="false">'UK Share %'!E5*E5</f>
        <v>810</v>
      </c>
      <c r="F7" s="28" t="n">
        <f aca="false">'UK Share %'!F5*F5</f>
        <v>912</v>
      </c>
      <c r="G7" s="28" t="n">
        <f aca="false">'UK Share %'!G5*G5</f>
        <v>947.7</v>
      </c>
      <c r="H7" s="28" t="n">
        <f aca="false">'UK Share %'!H5*H5</f>
        <v>1008</v>
      </c>
      <c r="I7" s="28" t="n">
        <f aca="false">'UK Share %'!I5*I5</f>
        <v>1011.5</v>
      </c>
      <c r="J7" s="29" t="n">
        <f aca="false">(I7/C7)^(1/6)-1</f>
        <v>0.0506498618592695</v>
      </c>
    </row>
    <row r="8" customFormat="false" ht="15" hidden="false" customHeight="true" outlineLevel="0" collapsed="false">
      <c r="B8" s="15" t="s">
        <v>46</v>
      </c>
      <c r="C8" s="28" t="n">
        <f aca="false">'UK Share %'!C6*C5</f>
        <v>493.5</v>
      </c>
      <c r="D8" s="28" t="n">
        <f aca="false">'UK Share %'!D6*D5</f>
        <v>430.5</v>
      </c>
      <c r="E8" s="28" t="n">
        <f aca="false">'UK Share %'!E6*E5</f>
        <v>483.75</v>
      </c>
      <c r="F8" s="28" t="n">
        <f aca="false">'UK Share %'!F6*F5</f>
        <v>504</v>
      </c>
      <c r="G8" s="28" t="n">
        <f aca="false">'UK Share %'!G6*G5</f>
        <v>498.15</v>
      </c>
      <c r="H8" s="28" t="n">
        <f aca="false">'UK Share %'!H6*H5</f>
        <v>492</v>
      </c>
      <c r="I8" s="28" t="n">
        <f aca="false">'UK Share %'!I6*I5</f>
        <v>499.8</v>
      </c>
      <c r="J8" s="29" t="n">
        <f aca="false">(I8/C8)^(1/6)-1</f>
        <v>0.00211642973695225</v>
      </c>
    </row>
    <row r="9" customFormat="false" ht="15" hidden="false" customHeight="true" outlineLevel="0" collapsed="false">
      <c r="B9" s="15" t="s">
        <v>47</v>
      </c>
      <c r="C9" s="28" t="n">
        <f aca="false">'UK Share %'!C7*C5</f>
        <v>434.75</v>
      </c>
      <c r="D9" s="28" t="n">
        <f aca="false">'UK Share %'!D7*D5</f>
        <v>369</v>
      </c>
      <c r="E9" s="28" t="n">
        <f aca="false">'UK Share %'!E7*E5</f>
        <v>371.25</v>
      </c>
      <c r="F9" s="28" t="n">
        <f aca="false">'UK Share %'!F7*F5</f>
        <v>360</v>
      </c>
      <c r="G9" s="28" t="n">
        <f aca="false">'UK Share %'!G7*G5</f>
        <v>328.05</v>
      </c>
      <c r="H9" s="28" t="n">
        <f aca="false">'UK Share %'!H7*H5</f>
        <v>288</v>
      </c>
      <c r="I9" s="28" t="n">
        <f aca="false">'UK Share %'!I7*I5</f>
        <v>309.4</v>
      </c>
      <c r="J9" s="29" t="n">
        <f aca="false">(I9/C9)^(1/6)-1</f>
        <v>-0.0551124650282001</v>
      </c>
    </row>
    <row r="10" customFormat="false" ht="15" hidden="false" customHeight="true" outlineLevel="0" collapsed="false">
      <c r="B10" s="15" t="s">
        <v>48</v>
      </c>
      <c r="C10" s="28" t="n">
        <f aca="false">'UK Share %'!C8*C5</f>
        <v>352.5</v>
      </c>
      <c r="D10" s="28" t="n">
        <f aca="false">'UK Share %'!D8*D5</f>
        <v>287</v>
      </c>
      <c r="E10" s="28" t="n">
        <f aca="false">'UK Share %'!E8*E5</f>
        <v>292.5</v>
      </c>
      <c r="F10" s="28" t="n">
        <f aca="false">'UK Share %'!F8*F5</f>
        <v>300</v>
      </c>
      <c r="G10" s="28" t="n">
        <f aca="false">'UK Share %'!G8*G5</f>
        <v>267.3</v>
      </c>
      <c r="H10" s="28" t="n">
        <f aca="false">'UK Share %'!H8*H5</f>
        <v>228</v>
      </c>
      <c r="I10" s="28" t="n">
        <f aca="false">'UK Share %'!I8*I5</f>
        <v>202.3</v>
      </c>
      <c r="J10" s="29" t="n">
        <f aca="false">(I10/C10)^(1/6)-1</f>
        <v>-0.0883961998985948</v>
      </c>
    </row>
    <row r="11" customFormat="false" ht="15" hidden="false" customHeight="true" outlineLevel="0" collapsed="false">
      <c r="B11" s="15" t="s">
        <v>49</v>
      </c>
      <c r="C11" s="28" t="n">
        <f aca="false">'UK Share %'!C9*C5</f>
        <v>82.25</v>
      </c>
      <c r="D11" s="28" t="n">
        <f aca="false">'UK Share %'!D9*D5</f>
        <v>82</v>
      </c>
      <c r="E11" s="28" t="n">
        <f aca="false">'UK Share %'!E9*E5</f>
        <v>101.25</v>
      </c>
      <c r="F11" s="28" t="n">
        <f aca="false">'UK Share %'!F9*F5</f>
        <v>108</v>
      </c>
      <c r="G11" s="28" t="n">
        <f aca="false">'UK Share %'!G9*G5</f>
        <v>121.5</v>
      </c>
      <c r="H11" s="28" t="n">
        <f aca="false">'UK Share %'!H9*H5</f>
        <v>120</v>
      </c>
      <c r="I11" s="28" t="n">
        <f aca="false">'UK Share %'!I9*I5</f>
        <v>119</v>
      </c>
      <c r="J11" s="29" t="n">
        <f aca="false">(I11/C11)^(1/6)-1</f>
        <v>0.0634943226120635</v>
      </c>
    </row>
    <row r="12" customFormat="false" ht="15" hidden="false" customHeight="true" outlineLevel="0" collapsed="false">
      <c r="B12" s="15" t="s">
        <v>50</v>
      </c>
      <c r="C12" s="28" t="n">
        <f aca="false">'UK Share %'!C10*C5</f>
        <v>58.75</v>
      </c>
      <c r="D12" s="28" t="n">
        <f aca="false">'UK Share %'!D10*D5</f>
        <v>51.25</v>
      </c>
      <c r="E12" s="28" t="n">
        <f aca="false">'UK Share %'!E10*E5</f>
        <v>56.25</v>
      </c>
      <c r="F12" s="28" t="n">
        <f aca="false">'UK Share %'!F10*F5</f>
        <v>60</v>
      </c>
      <c r="G12" s="28" t="n">
        <f aca="false">'UK Share %'!G10*G5</f>
        <v>60.75</v>
      </c>
      <c r="H12" s="28" t="n">
        <f aca="false">'UK Share %'!H10*H5</f>
        <v>60</v>
      </c>
      <c r="I12" s="28" t="n">
        <f aca="false">'UK Share %'!I10*I5</f>
        <v>47.6</v>
      </c>
      <c r="J12" s="29" t="n">
        <f aca="false">(I12/C12)^(1/6)-1</f>
        <v>-0.0344683518565383</v>
      </c>
    </row>
    <row r="13" customFormat="false" ht="15" hidden="false" customHeight="true" outlineLevel="0" collapsed="false">
      <c r="B13" s="15" t="s">
        <v>51</v>
      </c>
      <c r="C13" s="28" t="n">
        <f aca="false">'UK Share %'!C11*C5</f>
        <v>35.25</v>
      </c>
      <c r="D13" s="28" t="n">
        <f aca="false">'UK Share %'!D11*D5</f>
        <v>30.75</v>
      </c>
      <c r="E13" s="28" t="n">
        <f aca="false">'UK Share %'!E11*E5</f>
        <v>33.75</v>
      </c>
      <c r="F13" s="28" t="n">
        <f aca="false">'UK Share %'!F11*F5</f>
        <v>36</v>
      </c>
      <c r="G13" s="28" t="n">
        <f aca="false">'UK Share %'!G11*G5</f>
        <v>36.45</v>
      </c>
      <c r="H13" s="28" t="n">
        <f aca="false">'UK Share %'!H11*H5</f>
        <v>36</v>
      </c>
      <c r="I13" s="28" t="n">
        <f aca="false">'UK Share %'!I11*I5</f>
        <v>35.7</v>
      </c>
      <c r="J13" s="29" t="n">
        <f aca="false">(I13/C13)^(1/6)-1</f>
        <v>0.00211642973695225</v>
      </c>
    </row>
    <row r="14" customFormat="false" ht="15" hidden="false" customHeight="true" outlineLevel="0" collapsed="false">
      <c r="B14" s="15" t="s">
        <v>52</v>
      </c>
      <c r="C14" s="28" t="n">
        <f aca="false">'UK Share %'!C12*C5</f>
        <v>35.25</v>
      </c>
      <c r="D14" s="28" t="n">
        <f aca="false">'UK Share %'!D12*D5</f>
        <v>30.75</v>
      </c>
      <c r="E14" s="28" t="n">
        <f aca="false">'UK Share %'!E12*E5</f>
        <v>33.75</v>
      </c>
      <c r="F14" s="28" t="n">
        <f aca="false">'UK Share %'!F12*F5</f>
        <v>36</v>
      </c>
      <c r="G14" s="28" t="n">
        <f aca="false">'UK Share %'!G12*G5</f>
        <v>36.45</v>
      </c>
      <c r="H14" s="28" t="n">
        <f aca="false">'UK Share %'!H12*H5</f>
        <v>36</v>
      </c>
      <c r="I14" s="28" t="n">
        <f aca="false">'UK Share %'!I12*I5</f>
        <v>35.7</v>
      </c>
      <c r="J14" s="29" t="n">
        <f aca="false">(I14/C14)^(1/6)-1</f>
        <v>0.00211642973695225</v>
      </c>
    </row>
    <row r="15" customFormat="false" ht="15" hidden="false" customHeight="true" outlineLevel="0" collapsed="false">
      <c r="B15" s="15" t="s">
        <v>53</v>
      </c>
      <c r="C15" s="28" t="n">
        <f aca="false">'UK Share %'!C13*C5</f>
        <v>105.75</v>
      </c>
      <c r="D15" s="28" t="n">
        <f aca="false">'UK Share %'!D13*D5</f>
        <v>71.75</v>
      </c>
      <c r="E15" s="28" t="n">
        <f aca="false">'UK Share %'!E13*E5</f>
        <v>67.5</v>
      </c>
      <c r="F15" s="28" t="n">
        <f aca="false">'UK Share %'!F13*F5</f>
        <v>84</v>
      </c>
      <c r="G15" s="28" t="n">
        <f aca="false">'UK Share %'!G13*G5</f>
        <v>133.65</v>
      </c>
      <c r="H15" s="28" t="n">
        <f aca="false">'UK Share %'!H13*H5</f>
        <v>132</v>
      </c>
      <c r="I15" s="28" t="n">
        <f aca="false">'UK Share %'!I13*I5</f>
        <v>119</v>
      </c>
      <c r="J15" s="29" t="n">
        <f aca="false">(I15/C15)^(1/6)-1</f>
        <v>0.0198690933403609</v>
      </c>
    </row>
    <row r="16" customFormat="false" ht="15" hidden="false" customHeight="true" outlineLevel="0" collapsed="false">
      <c r="B16" s="18" t="s">
        <v>70</v>
      </c>
      <c r="C16" s="30" t="n">
        <f aca="false">SUM(C7:C15)</f>
        <v>2350</v>
      </c>
      <c r="D16" s="30" t="n">
        <f aca="false">SUM(D7:D15)</f>
        <v>2050</v>
      </c>
      <c r="E16" s="30" t="n">
        <f aca="false">SUM(E7:E15)</f>
        <v>2250</v>
      </c>
      <c r="F16" s="30" t="n">
        <f aca="false">SUM(F7:F15)</f>
        <v>2400</v>
      </c>
      <c r="G16" s="30" t="n">
        <f aca="false">SUM(G7:G15)</f>
        <v>2430</v>
      </c>
      <c r="H16" s="30" t="n">
        <f aca="false">SUM(H7:H15)</f>
        <v>2400</v>
      </c>
      <c r="I16" s="30" t="n">
        <f aca="false">SUM(I7:I15)</f>
        <v>2380</v>
      </c>
      <c r="J16" s="31" t="n">
        <f aca="false">(I16/C16)^(1/6)-1</f>
        <v>0.00211642973695225</v>
      </c>
    </row>
    <row r="17" customFormat="false" ht="15" hidden="false" customHeight="true" outlineLevel="0" collapsed="false">
      <c r="B17" s="25" t="s">
        <v>71</v>
      </c>
      <c r="C17" s="32" t="n">
        <f aca="false">C16-C5</f>
        <v>0</v>
      </c>
      <c r="D17" s="32" t="n">
        <f aca="false">D16-D5</f>
        <v>0</v>
      </c>
      <c r="E17" s="32" t="n">
        <f aca="false">E16-E5</f>
        <v>0</v>
      </c>
      <c r="F17" s="32" t="n">
        <f aca="false">F16-F5</f>
        <v>0</v>
      </c>
      <c r="G17" s="32" t="n">
        <f aca="false">G16-G5</f>
        <v>0</v>
      </c>
      <c r="H17" s="32" t="n">
        <f aca="false">H16-H5</f>
        <v>0</v>
      </c>
      <c r="I17" s="32" t="n">
        <f aca="false">I16-I5</f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9" min="3" style="1" width="12"/>
  </cols>
  <sheetData>
    <row r="2" customFormat="false" ht="27.75" hidden="false" customHeight="true" outlineLevel="0" collapsed="false">
      <c r="B2" s="12" t="s">
        <v>72</v>
      </c>
      <c r="C2" s="12"/>
      <c r="D2" s="12"/>
      <c r="E2" s="12"/>
      <c r="F2" s="12"/>
      <c r="G2" s="12"/>
      <c r="H2" s="12"/>
      <c r="I2" s="12"/>
    </row>
    <row r="4" customFormat="false" ht="15" hidden="false" customHeight="true" outlineLevel="0" collapsed="false">
      <c r="B4" s="13" t="s">
        <v>7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</row>
    <row r="5" customFormat="false" ht="15" hidden="false" customHeight="true" outlineLevel="0" collapsed="false">
      <c r="B5" s="25" t="s">
        <v>73</v>
      </c>
    </row>
    <row r="6" customFormat="false" ht="15" hidden="false" customHeight="true" outlineLevel="0" collapsed="false">
      <c r="B6" s="8" t="s">
        <v>74</v>
      </c>
      <c r="C6" s="33" t="n">
        <v>2350</v>
      </c>
      <c r="D6" s="33" t="n">
        <v>2050</v>
      </c>
      <c r="E6" s="33" t="n">
        <v>2250</v>
      </c>
      <c r="F6" s="33" t="n">
        <v>2400</v>
      </c>
      <c r="G6" s="33" t="n">
        <v>2430</v>
      </c>
      <c r="H6" s="33" t="n">
        <v>2400</v>
      </c>
      <c r="I6" s="33" t="n">
        <v>2380</v>
      </c>
    </row>
    <row r="7" customFormat="false" ht="15" hidden="false" customHeight="true" outlineLevel="0" collapsed="false">
      <c r="B7" s="9" t="s">
        <v>75</v>
      </c>
      <c r="C7" s="34" t="s">
        <v>76</v>
      </c>
      <c r="D7" s="29" t="n">
        <f aca="false">D6/C6-1</f>
        <v>-0.127659574468085</v>
      </c>
      <c r="E7" s="29" t="n">
        <f aca="false">E6/D6-1</f>
        <v>0.0975609756097562</v>
      </c>
      <c r="F7" s="29" t="n">
        <f aca="false">F6/E6-1</f>
        <v>0.0666666666666667</v>
      </c>
      <c r="G7" s="29" t="n">
        <f aca="false">G6/F6-1</f>
        <v>0.0125</v>
      </c>
      <c r="H7" s="29" t="n">
        <f aca="false">H6/G6-1</f>
        <v>-0.0123456790123457</v>
      </c>
      <c r="I7" s="29" t="n">
        <f aca="false">I6/H6-1</f>
        <v>-0.0083333333333333</v>
      </c>
    </row>
    <row r="9" customFormat="false" ht="15" hidden="false" customHeight="true" outlineLevel="0" collapsed="false">
      <c r="B9" s="8" t="s">
        <v>77</v>
      </c>
      <c r="C9" s="35" t="n">
        <f aca="false">(I6/C6)^(1/6)-1</f>
        <v>0.00211642973695225</v>
      </c>
    </row>
    <row r="12" customFormat="false" ht="15" hidden="false" customHeight="true" outlineLevel="0" collapsed="false">
      <c r="B12" s="4" t="s">
        <v>78</v>
      </c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B13" s="8" t="s">
        <v>79</v>
      </c>
      <c r="C13" s="36" t="s">
        <v>80</v>
      </c>
      <c r="D13" s="36"/>
      <c r="E13" s="36"/>
      <c r="F13" s="36"/>
      <c r="G13" s="36"/>
      <c r="H13" s="36"/>
      <c r="I13" s="36"/>
    </row>
    <row r="14" customFormat="false" ht="15" hidden="false" customHeight="true" outlineLevel="0" collapsed="false">
      <c r="B14" s="8" t="s">
        <v>81</v>
      </c>
      <c r="C14" s="36" t="s">
        <v>82</v>
      </c>
      <c r="D14" s="36"/>
      <c r="E14" s="36"/>
      <c r="F14" s="36"/>
      <c r="G14" s="36"/>
      <c r="H14" s="36"/>
      <c r="I14" s="36"/>
    </row>
    <row r="15" customFormat="false" ht="15" hidden="false" customHeight="true" outlineLevel="0" collapsed="false">
      <c r="B15" s="8" t="s">
        <v>83</v>
      </c>
      <c r="C15" s="36" t="s">
        <v>84</v>
      </c>
      <c r="D15" s="36"/>
      <c r="E15" s="36"/>
      <c r="F15" s="36"/>
      <c r="G15" s="36"/>
      <c r="H15" s="36"/>
      <c r="I15" s="36"/>
    </row>
    <row r="16" customFormat="false" ht="15" hidden="false" customHeight="true" outlineLevel="0" collapsed="false">
      <c r="B16" s="8" t="s">
        <v>85</v>
      </c>
      <c r="C16" s="36" t="s">
        <v>86</v>
      </c>
      <c r="D16" s="36"/>
      <c r="E16" s="36"/>
      <c r="F16" s="36"/>
      <c r="G16" s="36"/>
      <c r="H16" s="36"/>
      <c r="I16" s="36"/>
    </row>
    <row r="17" customFormat="false" ht="15" hidden="false" customHeight="true" outlineLevel="0" collapsed="false">
      <c r="B17" s="8" t="s">
        <v>87</v>
      </c>
      <c r="C17" s="36" t="s">
        <v>88</v>
      </c>
      <c r="D17" s="36"/>
      <c r="E17" s="36"/>
      <c r="F17" s="36"/>
      <c r="G17" s="36"/>
      <c r="H17" s="36"/>
      <c r="I17" s="36"/>
    </row>
    <row r="18" customFormat="false" ht="15" hidden="false" customHeight="true" outlineLevel="0" collapsed="false">
      <c r="B18" s="8" t="s">
        <v>89</v>
      </c>
      <c r="C18" s="36" t="s">
        <v>90</v>
      </c>
      <c r="D18" s="36"/>
      <c r="E18" s="36"/>
      <c r="F18" s="36"/>
      <c r="G18" s="36"/>
      <c r="H18" s="36"/>
      <c r="I18" s="36"/>
    </row>
    <row r="19" customFormat="false" ht="15" hidden="false" customHeight="true" outlineLevel="0" collapsed="false">
      <c r="B19" s="8" t="s">
        <v>91</v>
      </c>
      <c r="C19" s="36" t="s">
        <v>92</v>
      </c>
      <c r="D19" s="36"/>
      <c r="E19" s="36"/>
      <c r="F19" s="36"/>
      <c r="G19" s="36"/>
      <c r="H19" s="36"/>
      <c r="I19" s="36"/>
    </row>
    <row r="20" customFormat="false" ht="15" hidden="false" customHeight="true" outlineLevel="0" collapsed="false">
      <c r="B20" s="8" t="s">
        <v>93</v>
      </c>
      <c r="C20" s="36" t="s">
        <v>94</v>
      </c>
      <c r="D20" s="36"/>
      <c r="E20" s="36"/>
      <c r="F20" s="36"/>
      <c r="G20" s="36"/>
      <c r="H20" s="36"/>
      <c r="I20" s="36"/>
    </row>
    <row r="21" customFormat="false" ht="15" hidden="false" customHeight="true" outlineLevel="0" collapsed="false">
      <c r="B21" s="8" t="s">
        <v>95</v>
      </c>
      <c r="C21" s="36" t="s">
        <v>96</v>
      </c>
      <c r="D21" s="36"/>
      <c r="E21" s="36"/>
      <c r="F21" s="36"/>
      <c r="G21" s="36"/>
      <c r="H21" s="36"/>
      <c r="I21" s="36"/>
    </row>
  </sheetData>
  <mergeCells count="10">
    <mergeCell ref="B2:I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9" min="3" style="1" width="12"/>
    <col collapsed="false" customWidth="true" hidden="false" outlineLevel="0" max="10" min="10" style="1" width="14"/>
  </cols>
  <sheetData>
    <row r="2" customFormat="false" ht="27.75" hidden="false" customHeight="true" outlineLevel="0" collapsed="false">
      <c r="B2" s="12" t="s">
        <v>97</v>
      </c>
      <c r="C2" s="12"/>
      <c r="D2" s="12"/>
      <c r="E2" s="12"/>
      <c r="F2" s="12"/>
      <c r="G2" s="12"/>
      <c r="H2" s="12"/>
      <c r="I2" s="12"/>
      <c r="J2" s="12"/>
    </row>
    <row r="3" customFormat="false" ht="15" hidden="false" customHeight="true" outlineLevel="0" collapsed="false">
      <c r="B3" s="37" t="s">
        <v>98</v>
      </c>
      <c r="C3" s="37"/>
      <c r="D3" s="37"/>
      <c r="E3" s="37"/>
      <c r="F3" s="37"/>
      <c r="G3" s="37"/>
      <c r="H3" s="37"/>
      <c r="I3" s="37"/>
      <c r="J3" s="37"/>
    </row>
    <row r="4" customFormat="false" ht="15" hidden="false" customHeight="true" outlineLevel="0" collapsed="false">
      <c r="B4" s="13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14" t="s">
        <v>99</v>
      </c>
    </row>
    <row r="5" customFormat="false" ht="15" hidden="false" customHeight="true" outlineLevel="0" collapsed="false">
      <c r="B5" s="15" t="s">
        <v>100</v>
      </c>
      <c r="C5" s="16" t="n">
        <v>0.28</v>
      </c>
      <c r="D5" s="16" t="n">
        <v>0.4</v>
      </c>
      <c r="E5" s="16" t="n">
        <v>0.5</v>
      </c>
      <c r="F5" s="16" t="n">
        <v>0.48</v>
      </c>
      <c r="G5" s="16" t="n">
        <v>0.45</v>
      </c>
      <c r="H5" s="16" t="n">
        <v>0.45</v>
      </c>
      <c r="I5" s="16" t="n">
        <v>0.45</v>
      </c>
      <c r="J5" s="17" t="n">
        <f aca="false">I5-C5</f>
        <v>0.17</v>
      </c>
    </row>
    <row r="6" customFormat="false" ht="15" hidden="false" customHeight="true" outlineLevel="0" collapsed="false">
      <c r="B6" s="15" t="s">
        <v>101</v>
      </c>
      <c r="C6" s="16" t="n">
        <v>0.28</v>
      </c>
      <c r="D6" s="16" t="n">
        <v>0.25</v>
      </c>
      <c r="E6" s="16" t="n">
        <v>0.22</v>
      </c>
      <c r="F6" s="16" t="n">
        <v>0.21</v>
      </c>
      <c r="G6" s="16" t="n">
        <v>0.229</v>
      </c>
      <c r="H6" s="16" t="n">
        <v>0.229</v>
      </c>
      <c r="I6" s="16" t="n">
        <v>0.22</v>
      </c>
      <c r="J6" s="17" t="n">
        <f aca="false">I6-C6</f>
        <v>-0.06</v>
      </c>
    </row>
    <row r="7" customFormat="false" ht="15" hidden="false" customHeight="true" outlineLevel="0" collapsed="false">
      <c r="B7" s="15" t="s">
        <v>102</v>
      </c>
      <c r="C7" s="16" t="n">
        <v>0.14</v>
      </c>
      <c r="D7" s="16" t="n">
        <v>0.15</v>
      </c>
      <c r="E7" s="16" t="n">
        <v>0.16</v>
      </c>
      <c r="F7" s="16" t="n">
        <v>0.16</v>
      </c>
      <c r="G7" s="16" t="n">
        <v>0.165</v>
      </c>
      <c r="H7" s="16" t="n">
        <v>0.17</v>
      </c>
      <c r="I7" s="16" t="n">
        <v>0.17</v>
      </c>
      <c r="J7" s="17" t="n">
        <f aca="false">I7-C7</f>
        <v>0.03</v>
      </c>
    </row>
    <row r="8" customFormat="false" ht="15" hidden="false" customHeight="true" outlineLevel="0" collapsed="false">
      <c r="B8" s="15" t="s">
        <v>103</v>
      </c>
      <c r="C8" s="16" t="n">
        <v>0.06</v>
      </c>
      <c r="D8" s="16" t="n">
        <v>0.05</v>
      </c>
      <c r="E8" s="16" t="n">
        <v>0.045</v>
      </c>
      <c r="F8" s="16" t="n">
        <v>0.05</v>
      </c>
      <c r="G8" s="16" t="n">
        <v>0.05</v>
      </c>
      <c r="H8" s="16" t="n">
        <v>0.05</v>
      </c>
      <c r="I8" s="16" t="n">
        <v>0.05</v>
      </c>
      <c r="J8" s="17" t="n">
        <f aca="false">I8-C8</f>
        <v>-0.01</v>
      </c>
    </row>
    <row r="9" customFormat="false" ht="15" hidden="false" customHeight="true" outlineLevel="0" collapsed="false">
      <c r="B9" s="15" t="s">
        <v>104</v>
      </c>
      <c r="C9" s="16" t="n">
        <v>0.03</v>
      </c>
      <c r="D9" s="16" t="n">
        <v>0.035</v>
      </c>
      <c r="E9" s="16" t="n">
        <v>0.035</v>
      </c>
      <c r="F9" s="16" t="n">
        <v>0.03</v>
      </c>
      <c r="G9" s="16" t="n">
        <v>0.025</v>
      </c>
      <c r="H9" s="16" t="n">
        <v>0.02</v>
      </c>
      <c r="I9" s="16" t="n">
        <v>0.015</v>
      </c>
      <c r="J9" s="17" t="n">
        <f aca="false">I9-C9</f>
        <v>-0.015</v>
      </c>
    </row>
    <row r="10" customFormat="false" ht="15" hidden="false" customHeight="true" outlineLevel="0" collapsed="false">
      <c r="B10" s="15" t="s">
        <v>52</v>
      </c>
      <c r="C10" s="16" t="n">
        <v>0.025</v>
      </c>
      <c r="D10" s="16" t="n">
        <v>0.025</v>
      </c>
      <c r="E10" s="16" t="n">
        <v>0.02</v>
      </c>
      <c r="F10" s="16" t="n">
        <v>0.02</v>
      </c>
      <c r="G10" s="16" t="n">
        <v>0.02</v>
      </c>
      <c r="H10" s="16" t="n">
        <v>0.015</v>
      </c>
      <c r="I10" s="16" t="n">
        <v>0.01</v>
      </c>
      <c r="J10" s="17" t="n">
        <f aca="false">I10-C10</f>
        <v>-0.015</v>
      </c>
    </row>
    <row r="11" customFormat="false" ht="15" hidden="false" customHeight="true" outlineLevel="0" collapsed="false">
      <c r="B11" s="15" t="s">
        <v>105</v>
      </c>
      <c r="C11" s="16" t="n">
        <v>0.005</v>
      </c>
      <c r="D11" s="16" t="n">
        <v>0.01</v>
      </c>
      <c r="E11" s="16" t="n">
        <v>0.01</v>
      </c>
      <c r="F11" s="16" t="n">
        <v>0.01</v>
      </c>
      <c r="G11" s="16" t="n">
        <v>0.015</v>
      </c>
      <c r="H11" s="16" t="n">
        <v>0.015</v>
      </c>
      <c r="I11" s="16" t="n">
        <v>0.015</v>
      </c>
      <c r="J11" s="17" t="n">
        <f aca="false">I11-C11</f>
        <v>0.01</v>
      </c>
    </row>
    <row r="12" customFormat="false" ht="15" hidden="false" customHeight="true" outlineLevel="0" collapsed="false">
      <c r="B12" s="15" t="s">
        <v>106</v>
      </c>
      <c r="C12" s="16" t="n">
        <v>0</v>
      </c>
      <c r="D12" s="16" t="n">
        <v>0</v>
      </c>
      <c r="E12" s="16" t="n">
        <v>0</v>
      </c>
      <c r="F12" s="16" t="n">
        <v>0.01</v>
      </c>
      <c r="G12" s="16" t="n">
        <v>0.02</v>
      </c>
      <c r="H12" s="16" t="n">
        <v>0.015</v>
      </c>
      <c r="I12" s="16" t="n">
        <v>0.015</v>
      </c>
      <c r="J12" s="17" t="n">
        <f aca="false">I12-C12</f>
        <v>0.015</v>
      </c>
    </row>
    <row r="13" customFormat="false" ht="15" hidden="false" customHeight="true" outlineLevel="0" collapsed="false">
      <c r="B13" s="15" t="s">
        <v>107</v>
      </c>
      <c r="C13" s="16" t="n">
        <v>0.18</v>
      </c>
      <c r="D13" s="16" t="n">
        <v>0.08</v>
      </c>
      <c r="E13" s="16" t="n">
        <v>0.01</v>
      </c>
      <c r="F13" s="16" t="n">
        <v>0.03</v>
      </c>
      <c r="G13" s="16" t="n">
        <v>0.026</v>
      </c>
      <c r="H13" s="16" t="n">
        <v>0.036</v>
      </c>
      <c r="I13" s="16" t="n">
        <v>0.055</v>
      </c>
      <c r="J13" s="17" t="n">
        <f aca="false">I13-C13</f>
        <v>-0.125</v>
      </c>
    </row>
    <row r="14" customFormat="false" ht="15" hidden="false" customHeight="true" outlineLevel="0" collapsed="false">
      <c r="B14" s="18" t="s">
        <v>54</v>
      </c>
      <c r="C14" s="19" t="n">
        <f aca="false">SUM(C5:C13)</f>
        <v>1</v>
      </c>
      <c r="D14" s="19" t="n">
        <f aca="false">SUM(D5:D13)</f>
        <v>1</v>
      </c>
      <c r="E14" s="19" t="n">
        <f aca="false">SUM(E5:E13)</f>
        <v>1</v>
      </c>
      <c r="F14" s="19" t="n">
        <f aca="false">SUM(F5:F13)</f>
        <v>1</v>
      </c>
      <c r="G14" s="19" t="n">
        <f aca="false">SUM(G5:G13)</f>
        <v>1</v>
      </c>
      <c r="H14" s="19" t="n">
        <f aca="false">SUM(H5:H13)</f>
        <v>1</v>
      </c>
      <c r="I14" s="19" t="n">
        <f aca="false">SUM(I5:I13)</f>
        <v>1</v>
      </c>
      <c r="J14" s="20" t="n">
        <f aca="false">I14-C14</f>
        <v>0</v>
      </c>
    </row>
    <row r="16" customFormat="false" ht="15" hidden="false" customHeight="true" outlineLevel="0" collapsed="false">
      <c r="B16" s="4" t="s">
        <v>55</v>
      </c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true" outlineLevel="0" collapsed="false">
      <c r="B17" s="8" t="s">
        <v>108</v>
      </c>
      <c r="C17" s="21" t="n">
        <f aca="false">LARGE(C5:C13,1)+LARGE(C5:C13,2)+LARGE(C5:C13,3)</f>
        <v>0.74</v>
      </c>
      <c r="D17" s="21" t="n">
        <f aca="false">LARGE(D5:D13,1)+LARGE(D5:D13,2)+LARGE(D5:D13,3)</f>
        <v>0.8</v>
      </c>
      <c r="E17" s="21" t="n">
        <f aca="false">LARGE(E5:E13,1)+LARGE(E5:E13,2)+LARGE(E5:E13,3)</f>
        <v>0.88</v>
      </c>
      <c r="F17" s="21" t="n">
        <f aca="false">LARGE(F5:F13,1)+LARGE(F5:F13,2)+LARGE(F5:F13,3)</f>
        <v>0.85</v>
      </c>
      <c r="G17" s="21" t="n">
        <f aca="false">LARGE(G5:G13,1)+LARGE(G5:G13,2)+LARGE(G5:G13,3)</f>
        <v>0.844</v>
      </c>
      <c r="H17" s="21" t="n">
        <f aca="false">LARGE(H5:H13,1)+LARGE(H5:H13,2)+LARGE(H5:H13,3)</f>
        <v>0.849</v>
      </c>
      <c r="I17" s="21" t="n">
        <f aca="false">LARGE(I5:I13,1)+LARGE(I5:I13,2)+LARGE(I5:I13,3)</f>
        <v>0.84</v>
      </c>
      <c r="J17" s="22" t="n">
        <f aca="false">I17-C17</f>
        <v>0.1</v>
      </c>
    </row>
    <row r="18" customFormat="false" ht="15" hidden="false" customHeight="true" outlineLevel="0" collapsed="false">
      <c r="B18" s="8" t="s">
        <v>109</v>
      </c>
      <c r="C18" s="21" t="n">
        <f aca="false">1-C17</f>
        <v>0.26</v>
      </c>
      <c r="D18" s="21" t="n">
        <f aca="false">1-D17</f>
        <v>0.2</v>
      </c>
      <c r="E18" s="21" t="n">
        <f aca="false">1-E17</f>
        <v>0.12</v>
      </c>
      <c r="F18" s="21" t="n">
        <f aca="false">1-F17</f>
        <v>0.15</v>
      </c>
      <c r="G18" s="21" t="n">
        <f aca="false">1-G17</f>
        <v>0.156</v>
      </c>
      <c r="H18" s="21" t="n">
        <f aca="false">1-H17</f>
        <v>0.151</v>
      </c>
      <c r="I18" s="21" t="n">
        <f aca="false">1-I17</f>
        <v>0.16</v>
      </c>
      <c r="J18" s="22" t="n">
        <f aca="false">I18-C18</f>
        <v>-0.1</v>
      </c>
    </row>
    <row r="19" customFormat="false" ht="15" hidden="false" customHeight="true" outlineLevel="0" collapsed="false">
      <c r="B19" s="8" t="s">
        <v>110</v>
      </c>
      <c r="C19" s="23" t="n">
        <f aca="false">SUMPRODUCT((C5:C13*100)^2)</f>
        <v>2139.5</v>
      </c>
      <c r="D19" s="23" t="n">
        <f aca="false">SUMPRODUCT((D5:D13*100)^2)</f>
        <v>2558.5</v>
      </c>
      <c r="E19" s="23" t="n">
        <f aca="false">SUMPRODUCT((E5:E13*100)^2)</f>
        <v>3278.5</v>
      </c>
      <c r="F19" s="23" t="n">
        <f aca="false">SUMPRODUCT((F5:F13*100)^2)</f>
        <v>3050</v>
      </c>
      <c r="G19" s="23" t="n">
        <f aca="false">SUMPRODUCT((G5:G13*100)^2)</f>
        <v>2869.92</v>
      </c>
      <c r="H19" s="23" t="n">
        <f aca="false">SUMPRODUCT((H5:H13*100)^2)</f>
        <v>2887.12</v>
      </c>
      <c r="I19" s="23" t="n">
        <f aca="false">SUMPRODUCT((I5:I13*100)^2)</f>
        <v>2861</v>
      </c>
    </row>
    <row r="22" customFormat="false" ht="15" hidden="false" customHeight="true" outlineLevel="0" collapsed="false">
      <c r="B22" s="4" t="s">
        <v>111</v>
      </c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true" outlineLevel="0" collapsed="false">
      <c r="B23" s="38" t="s">
        <v>112</v>
      </c>
      <c r="C23" s="38"/>
      <c r="D23" s="38"/>
      <c r="E23" s="38"/>
      <c r="F23" s="38"/>
      <c r="G23" s="38"/>
      <c r="H23" s="38"/>
      <c r="I23" s="38"/>
      <c r="J23" s="38"/>
    </row>
    <row r="24" customFormat="false" ht="15" hidden="false" customHeight="true" outlineLevel="0" collapsed="false">
      <c r="B24" s="38" t="s">
        <v>113</v>
      </c>
      <c r="C24" s="38"/>
      <c r="D24" s="38"/>
      <c r="E24" s="38"/>
      <c r="F24" s="38"/>
      <c r="G24" s="38"/>
      <c r="H24" s="38"/>
      <c r="I24" s="38"/>
      <c r="J24" s="38"/>
    </row>
    <row r="25" customFormat="false" ht="15" hidden="false" customHeight="true" outlineLevel="0" collapsed="false">
      <c r="B25" s="38" t="s">
        <v>114</v>
      </c>
      <c r="C25" s="38"/>
      <c r="D25" s="38"/>
      <c r="E25" s="38"/>
      <c r="F25" s="38"/>
      <c r="G25" s="38"/>
      <c r="H25" s="38"/>
      <c r="I25" s="38"/>
      <c r="J25" s="38"/>
    </row>
    <row r="26" customFormat="false" ht="15" hidden="false" customHeight="true" outlineLevel="0" collapsed="false">
      <c r="B26" s="38" t="s">
        <v>115</v>
      </c>
      <c r="C26" s="38"/>
      <c r="D26" s="38"/>
      <c r="E26" s="38"/>
      <c r="F26" s="38"/>
      <c r="G26" s="38"/>
      <c r="H26" s="38"/>
      <c r="I26" s="38"/>
      <c r="J26" s="38"/>
    </row>
    <row r="27" customFormat="false" ht="15" hidden="false" customHeight="true" outlineLevel="0" collapsed="false">
      <c r="B27" s="38" t="s">
        <v>116</v>
      </c>
      <c r="C27" s="38"/>
      <c r="D27" s="38"/>
      <c r="E27" s="38"/>
      <c r="F27" s="38"/>
      <c r="G27" s="38"/>
      <c r="H27" s="38"/>
      <c r="I27" s="38"/>
      <c r="J27" s="38"/>
    </row>
    <row r="28" customFormat="false" ht="15" hidden="false" customHeight="true" outlineLevel="0" collapsed="false">
      <c r="B28" s="38" t="s">
        <v>117</v>
      </c>
      <c r="C28" s="38"/>
      <c r="D28" s="38"/>
      <c r="E28" s="38"/>
      <c r="F28" s="38"/>
      <c r="G28" s="38"/>
      <c r="H28" s="38"/>
      <c r="I28" s="38"/>
      <c r="J28" s="38"/>
    </row>
    <row r="29" customFormat="false" ht="15" hidden="false" customHeight="true" outlineLevel="0" collapsed="false">
      <c r="B29" s="38" t="s">
        <v>118</v>
      </c>
      <c r="C29" s="38"/>
      <c r="D29" s="38"/>
      <c r="E29" s="38"/>
      <c r="F29" s="38"/>
      <c r="G29" s="38"/>
      <c r="H29" s="38"/>
      <c r="I29" s="38"/>
      <c r="J29" s="38"/>
    </row>
    <row r="30" customFormat="false" ht="15" hidden="false" customHeight="true" outlineLevel="0" collapsed="false">
      <c r="B30" s="38" t="s">
        <v>119</v>
      </c>
      <c r="C30" s="38"/>
      <c r="D30" s="38"/>
      <c r="E30" s="38"/>
      <c r="F30" s="38"/>
      <c r="G30" s="38"/>
      <c r="H30" s="38"/>
      <c r="I30" s="38"/>
      <c r="J30" s="38"/>
    </row>
    <row r="31" customFormat="false" ht="15" hidden="false" customHeight="true" outlineLevel="0" collapsed="false">
      <c r="B31" s="38" t="s">
        <v>120</v>
      </c>
      <c r="C31" s="38"/>
      <c r="D31" s="38"/>
      <c r="E31" s="38"/>
      <c r="F31" s="38"/>
      <c r="G31" s="38"/>
      <c r="H31" s="38"/>
      <c r="I31" s="38"/>
      <c r="J31" s="38"/>
    </row>
  </sheetData>
  <mergeCells count="11">
    <mergeCell ref="B2:J2"/>
    <mergeCell ref="B3:J3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9" min="3" style="1" width="12"/>
    <col collapsed="false" customWidth="true" hidden="false" outlineLevel="0" max="10" min="10" style="1" width="14"/>
  </cols>
  <sheetData>
    <row r="2" customFormat="false" ht="27.75" hidden="false" customHeight="true" outlineLevel="0" collapsed="false">
      <c r="B2" s="12" t="s">
        <v>121</v>
      </c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true" outlineLevel="0" collapsed="false">
      <c r="B4" s="13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14" t="s">
        <v>122</v>
      </c>
    </row>
    <row r="5" customFormat="false" ht="15" hidden="false" customHeight="true" outlineLevel="0" collapsed="false">
      <c r="B5" s="26" t="s">
        <v>123</v>
      </c>
      <c r="C5" s="39" t="n">
        <f aca="false">'Australia Market Size'!C6</f>
        <v>3200</v>
      </c>
      <c r="D5" s="39" t="n">
        <f aca="false">'Australia Market Size'!D6</f>
        <v>4100</v>
      </c>
      <c r="E5" s="39" t="n">
        <f aca="false">'Australia Market Size'!E6</f>
        <v>4700</v>
      </c>
      <c r="F5" s="39" t="n">
        <f aca="false">'Australia Market Size'!F6</f>
        <v>4600</v>
      </c>
      <c r="G5" s="39" t="n">
        <f aca="false">'Australia Market Size'!G6</f>
        <v>4400</v>
      </c>
      <c r="H5" s="39" t="n">
        <f aca="false">'Australia Market Size'!H6</f>
        <v>4200</v>
      </c>
      <c r="I5" s="39" t="n">
        <f aca="false">'Australia Market Size'!I6</f>
        <v>4000</v>
      </c>
    </row>
    <row r="7" customFormat="false" ht="15" hidden="false" customHeight="true" outlineLevel="0" collapsed="false">
      <c r="B7" s="9" t="s">
        <v>100</v>
      </c>
      <c r="C7" s="40" t="n">
        <f aca="false">'Australia Share %'!C5*C5</f>
        <v>896</v>
      </c>
      <c r="D7" s="40" t="n">
        <f aca="false">'Australia Share %'!D5*D5</f>
        <v>1640</v>
      </c>
      <c r="E7" s="40" t="n">
        <f aca="false">'Australia Share %'!E5*E5</f>
        <v>2350</v>
      </c>
      <c r="F7" s="40" t="n">
        <f aca="false">'Australia Share %'!F5*F5</f>
        <v>2208</v>
      </c>
      <c r="G7" s="40" t="n">
        <f aca="false">'Australia Share %'!G5*G5</f>
        <v>1980</v>
      </c>
      <c r="H7" s="40" t="n">
        <f aca="false">'Australia Share %'!H5*H5</f>
        <v>1890</v>
      </c>
      <c r="I7" s="40" t="n">
        <f aca="false">'Australia Share %'!I5*I5</f>
        <v>1800</v>
      </c>
      <c r="J7" s="29" t="n">
        <f aca="false">IF(OR(C7=0,I7=0),"n/a",(I7/C7)^(1/6)-1)</f>
        <v>0.123295664242047</v>
      </c>
    </row>
    <row r="8" customFormat="false" ht="15" hidden="false" customHeight="true" outlineLevel="0" collapsed="false">
      <c r="B8" s="9" t="s">
        <v>101</v>
      </c>
      <c r="C8" s="40" t="n">
        <f aca="false">'Australia Share %'!C6*C5</f>
        <v>896</v>
      </c>
      <c r="D8" s="40" t="n">
        <f aca="false">'Australia Share %'!D6*D5</f>
        <v>1025</v>
      </c>
      <c r="E8" s="40" t="n">
        <f aca="false">'Australia Share %'!E6*E5</f>
        <v>1034</v>
      </c>
      <c r="F8" s="40" t="n">
        <f aca="false">'Australia Share %'!F6*F5</f>
        <v>966</v>
      </c>
      <c r="G8" s="40" t="n">
        <f aca="false">'Australia Share %'!G6*G5</f>
        <v>1007.6</v>
      </c>
      <c r="H8" s="40" t="n">
        <f aca="false">'Australia Share %'!H6*H5</f>
        <v>961.8</v>
      </c>
      <c r="I8" s="40" t="n">
        <f aca="false">'Australia Share %'!I6*I5</f>
        <v>880</v>
      </c>
      <c r="J8" s="29" t="n">
        <f aca="false">IF(OR(C8=0,I8=0),"n/a",(I8/C8)^(1/6)-1)</f>
        <v>-0.00299857950344529</v>
      </c>
    </row>
    <row r="9" customFormat="false" ht="15" hidden="false" customHeight="true" outlineLevel="0" collapsed="false">
      <c r="B9" s="9" t="s">
        <v>102</v>
      </c>
      <c r="C9" s="40" t="n">
        <f aca="false">'Australia Share %'!C7*C5</f>
        <v>448</v>
      </c>
      <c r="D9" s="40" t="n">
        <f aca="false">'Australia Share %'!D7*D5</f>
        <v>615</v>
      </c>
      <c r="E9" s="40" t="n">
        <f aca="false">'Australia Share %'!E7*E5</f>
        <v>752</v>
      </c>
      <c r="F9" s="40" t="n">
        <f aca="false">'Australia Share %'!F7*F5</f>
        <v>736</v>
      </c>
      <c r="G9" s="40" t="n">
        <f aca="false">'Australia Share %'!G7*G5</f>
        <v>726</v>
      </c>
      <c r="H9" s="40" t="n">
        <f aca="false">'Australia Share %'!H7*H5</f>
        <v>714</v>
      </c>
      <c r="I9" s="40" t="n">
        <f aca="false">'Australia Share %'!I7*I5</f>
        <v>680</v>
      </c>
      <c r="J9" s="29" t="n">
        <f aca="false">IF(OR(C9=0,I9=0),"n/a",(I9/C9)^(1/6)-1)</f>
        <v>0.0720255835608874</v>
      </c>
    </row>
    <row r="10" customFormat="false" ht="15" hidden="false" customHeight="true" outlineLevel="0" collapsed="false">
      <c r="B10" s="9" t="s">
        <v>103</v>
      </c>
      <c r="C10" s="40" t="n">
        <f aca="false">'Australia Share %'!C8*C5</f>
        <v>192</v>
      </c>
      <c r="D10" s="40" t="n">
        <f aca="false">'Australia Share %'!D8*D5</f>
        <v>205</v>
      </c>
      <c r="E10" s="40" t="n">
        <f aca="false">'Australia Share %'!E8*E5</f>
        <v>211.5</v>
      </c>
      <c r="F10" s="40" t="n">
        <f aca="false">'Australia Share %'!F8*F5</f>
        <v>230</v>
      </c>
      <c r="G10" s="40" t="n">
        <f aca="false">'Australia Share %'!G8*G5</f>
        <v>220</v>
      </c>
      <c r="H10" s="40" t="n">
        <f aca="false">'Australia Share %'!H8*H5</f>
        <v>210</v>
      </c>
      <c r="I10" s="40" t="n">
        <f aca="false">'Australia Share %'!I8*I5</f>
        <v>200</v>
      </c>
      <c r="J10" s="29" t="n">
        <f aca="false">IF(OR(C10=0,I10=0),"n/a",(I10/C10)^(1/6)-1)</f>
        <v>0.00682686326675186</v>
      </c>
    </row>
    <row r="11" customFormat="false" ht="15" hidden="false" customHeight="true" outlineLevel="0" collapsed="false">
      <c r="B11" s="9" t="s">
        <v>104</v>
      </c>
      <c r="C11" s="40" t="n">
        <f aca="false">'Australia Share %'!C9*C5</f>
        <v>96</v>
      </c>
      <c r="D11" s="40" t="n">
        <f aca="false">'Australia Share %'!D9*D5</f>
        <v>143.5</v>
      </c>
      <c r="E11" s="40" t="n">
        <f aca="false">'Australia Share %'!E9*E5</f>
        <v>164.5</v>
      </c>
      <c r="F11" s="40" t="n">
        <f aca="false">'Australia Share %'!F9*F5</f>
        <v>138</v>
      </c>
      <c r="G11" s="40" t="n">
        <f aca="false">'Australia Share %'!G9*G5</f>
        <v>110</v>
      </c>
      <c r="H11" s="40" t="n">
        <f aca="false">'Australia Share %'!H9*H5</f>
        <v>84</v>
      </c>
      <c r="I11" s="40" t="n">
        <f aca="false">'Australia Share %'!I9*I5</f>
        <v>60</v>
      </c>
      <c r="J11" s="29" t="n">
        <f aca="false">IF(OR(C11=0,I11=0),"n/a",(I11/C11)^(1/6)-1)</f>
        <v>-0.0753444028513381</v>
      </c>
    </row>
    <row r="12" customFormat="false" ht="15" hidden="false" customHeight="true" outlineLevel="0" collapsed="false">
      <c r="B12" s="9" t="s">
        <v>52</v>
      </c>
      <c r="C12" s="40" t="n">
        <f aca="false">'Australia Share %'!C10*C5</f>
        <v>80</v>
      </c>
      <c r="D12" s="40" t="n">
        <f aca="false">'Australia Share %'!D10*D5</f>
        <v>102.5</v>
      </c>
      <c r="E12" s="40" t="n">
        <f aca="false">'Australia Share %'!E10*E5</f>
        <v>94</v>
      </c>
      <c r="F12" s="40" t="n">
        <f aca="false">'Australia Share %'!F10*F5</f>
        <v>92</v>
      </c>
      <c r="G12" s="40" t="n">
        <f aca="false">'Australia Share %'!G10*G5</f>
        <v>88</v>
      </c>
      <c r="H12" s="40" t="n">
        <f aca="false">'Australia Share %'!H10*H5</f>
        <v>63</v>
      </c>
      <c r="I12" s="40" t="n">
        <f aca="false">'Australia Share %'!I10*I5</f>
        <v>40</v>
      </c>
      <c r="J12" s="29" t="n">
        <f aca="false">IF(OR(C12=0,I12=0),"n/a",(I12/C12)^(1/6)-1)</f>
        <v>-0.109101281859661</v>
      </c>
    </row>
    <row r="13" customFormat="false" ht="15" hidden="false" customHeight="true" outlineLevel="0" collapsed="false">
      <c r="B13" s="9" t="s">
        <v>105</v>
      </c>
      <c r="C13" s="40" t="n">
        <f aca="false">'Australia Share %'!C11*C5</f>
        <v>16</v>
      </c>
      <c r="D13" s="40" t="n">
        <f aca="false">'Australia Share %'!D11*D5</f>
        <v>41</v>
      </c>
      <c r="E13" s="40" t="n">
        <f aca="false">'Australia Share %'!E11*E5</f>
        <v>47</v>
      </c>
      <c r="F13" s="40" t="n">
        <f aca="false">'Australia Share %'!F11*F5</f>
        <v>46</v>
      </c>
      <c r="G13" s="40" t="n">
        <f aca="false">'Australia Share %'!G11*G5</f>
        <v>66</v>
      </c>
      <c r="H13" s="40" t="n">
        <f aca="false">'Australia Share %'!H11*H5</f>
        <v>63</v>
      </c>
      <c r="I13" s="40" t="n">
        <f aca="false">'Australia Share %'!I11*I5</f>
        <v>60</v>
      </c>
      <c r="J13" s="29" t="n">
        <f aca="false">IF(OR(C13=0,I13=0),"n/a",(I13/C13)^(1/6)-1)</f>
        <v>0.246441435839217</v>
      </c>
    </row>
    <row r="14" customFormat="false" ht="15" hidden="false" customHeight="true" outlineLevel="0" collapsed="false">
      <c r="B14" s="9" t="s">
        <v>106</v>
      </c>
      <c r="C14" s="40" t="n">
        <f aca="false">'Australia Share %'!C12*C5</f>
        <v>0</v>
      </c>
      <c r="D14" s="40" t="n">
        <f aca="false">'Australia Share %'!D12*D5</f>
        <v>0</v>
      </c>
      <c r="E14" s="40" t="n">
        <f aca="false">'Australia Share %'!E12*E5</f>
        <v>0</v>
      </c>
      <c r="F14" s="40" t="n">
        <f aca="false">'Australia Share %'!F12*F5</f>
        <v>46</v>
      </c>
      <c r="G14" s="40" t="n">
        <f aca="false">'Australia Share %'!G12*G5</f>
        <v>88</v>
      </c>
      <c r="H14" s="40" t="n">
        <f aca="false">'Australia Share %'!H12*H5</f>
        <v>63</v>
      </c>
      <c r="I14" s="40" t="n">
        <f aca="false">'Australia Share %'!I12*I5</f>
        <v>60</v>
      </c>
      <c r="J14" s="29" t="str">
        <f aca="false">IF(OR(C14=0,I14=0),"n/a",(I14/C14)^(1/6)-1)</f>
        <v>n/a</v>
      </c>
    </row>
    <row r="15" customFormat="false" ht="15" hidden="false" customHeight="true" outlineLevel="0" collapsed="false">
      <c r="B15" s="9" t="s">
        <v>107</v>
      </c>
      <c r="C15" s="40" t="n">
        <f aca="false">'Australia Share %'!C13*C5</f>
        <v>576</v>
      </c>
      <c r="D15" s="40" t="n">
        <f aca="false">'Australia Share %'!D13*D5</f>
        <v>328</v>
      </c>
      <c r="E15" s="40" t="n">
        <f aca="false">'Australia Share %'!E13*E5</f>
        <v>47</v>
      </c>
      <c r="F15" s="40" t="n">
        <f aca="false">'Australia Share %'!F13*F5</f>
        <v>138</v>
      </c>
      <c r="G15" s="40" t="n">
        <f aca="false">'Australia Share %'!G13*G5</f>
        <v>114.4</v>
      </c>
      <c r="H15" s="40" t="n">
        <f aca="false">'Australia Share %'!H13*H5</f>
        <v>151.2</v>
      </c>
      <c r="I15" s="40" t="n">
        <f aca="false">'Australia Share %'!I13*I5</f>
        <v>220</v>
      </c>
      <c r="J15" s="29" t="n">
        <f aca="false">IF(OR(C15=0,I15=0),"n/a",(I15/C15)^(1/6)-1)</f>
        <v>-0.148208373917384</v>
      </c>
    </row>
    <row r="16" customFormat="false" ht="15" hidden="false" customHeight="true" outlineLevel="0" collapsed="false">
      <c r="B16" s="18" t="s">
        <v>70</v>
      </c>
      <c r="C16" s="41" t="n">
        <f aca="false">SUM(C7:C15)</f>
        <v>3200</v>
      </c>
      <c r="D16" s="41" t="n">
        <f aca="false">SUM(D7:D15)</f>
        <v>4100</v>
      </c>
      <c r="E16" s="41" t="n">
        <f aca="false">SUM(E7:E15)</f>
        <v>4700</v>
      </c>
      <c r="F16" s="41" t="n">
        <f aca="false">SUM(F7:F15)</f>
        <v>4600</v>
      </c>
      <c r="G16" s="41" t="n">
        <f aca="false">SUM(G7:G15)</f>
        <v>4400</v>
      </c>
      <c r="H16" s="41" t="n">
        <f aca="false">SUM(H7:H15)</f>
        <v>4200</v>
      </c>
      <c r="I16" s="41" t="n">
        <f aca="false">SUM(I7:I15)</f>
        <v>4000</v>
      </c>
      <c r="J16" s="31" t="n">
        <f aca="false">(I16/C16)^(1/6)-1</f>
        <v>0.0378908155562134</v>
      </c>
    </row>
    <row r="17" customFormat="false" ht="15" hidden="false" customHeight="true" outlineLevel="0" collapsed="false">
      <c r="B17" s="25" t="s">
        <v>71</v>
      </c>
      <c r="C17" s="42" t="n">
        <f aca="false">ROUND(C16-C5,2)</f>
        <v>0</v>
      </c>
      <c r="D17" s="42" t="n">
        <f aca="false">ROUND(D16-D5,2)</f>
        <v>0</v>
      </c>
      <c r="E17" s="42" t="n">
        <f aca="false">ROUND(E16-E5,2)</f>
        <v>0</v>
      </c>
      <c r="F17" s="42" t="n">
        <f aca="false">ROUND(F16-F5,2)</f>
        <v>0</v>
      </c>
      <c r="G17" s="42" t="n">
        <f aca="false">ROUND(G16-G5,2)</f>
        <v>0</v>
      </c>
      <c r="H17" s="42" t="n">
        <f aca="false">ROUND(H16-H5,2)</f>
        <v>0</v>
      </c>
      <c r="I17" s="42" t="n">
        <f aca="false">ROUND(I16-I5,2)</f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9" min="3" style="1" width="12"/>
  </cols>
  <sheetData>
    <row r="2" customFormat="false" ht="27.75" hidden="false" customHeight="true" outlineLevel="0" collapsed="false">
      <c r="B2" s="12" t="s">
        <v>124</v>
      </c>
      <c r="C2" s="12"/>
      <c r="D2" s="12"/>
      <c r="E2" s="12"/>
      <c r="F2" s="12"/>
      <c r="G2" s="12"/>
      <c r="H2" s="12"/>
      <c r="I2" s="12"/>
    </row>
    <row r="4" customFormat="false" ht="15" hidden="false" customHeight="true" outlineLevel="0" collapsed="false">
      <c r="B4" s="13" t="s">
        <v>7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</row>
    <row r="6" customFormat="false" ht="15" hidden="false" customHeight="true" outlineLevel="0" collapsed="false">
      <c r="B6" s="8" t="s">
        <v>123</v>
      </c>
      <c r="C6" s="43" t="n">
        <v>3200</v>
      </c>
      <c r="D6" s="43" t="n">
        <v>4100</v>
      </c>
      <c r="E6" s="43" t="n">
        <v>4700</v>
      </c>
      <c r="F6" s="43" t="n">
        <v>4600</v>
      </c>
      <c r="G6" s="43" t="n">
        <v>4400</v>
      </c>
      <c r="H6" s="43" t="n">
        <v>4200</v>
      </c>
      <c r="I6" s="43" t="n">
        <v>4000</v>
      </c>
    </row>
    <row r="7" customFormat="false" ht="15" hidden="false" customHeight="true" outlineLevel="0" collapsed="false">
      <c r="B7" s="1" t="s">
        <v>75</v>
      </c>
      <c r="C7" s="34" t="s">
        <v>76</v>
      </c>
      <c r="D7" s="29" t="n">
        <f aca="false">D6/C6-1</f>
        <v>0.28125</v>
      </c>
      <c r="E7" s="29" t="n">
        <f aca="false">E6/D6-1</f>
        <v>0.146341463414634</v>
      </c>
      <c r="F7" s="29" t="n">
        <f aca="false">F6/E6-1</f>
        <v>-0.0212765957446809</v>
      </c>
      <c r="G7" s="29" t="n">
        <f aca="false">G6/F6-1</f>
        <v>-0.0434782608695652</v>
      </c>
      <c r="H7" s="29" t="n">
        <f aca="false">H6/G6-1</f>
        <v>-0.0454545454545454</v>
      </c>
      <c r="I7" s="29" t="n">
        <f aca="false">I6/H6-1</f>
        <v>-0.0476190476190477</v>
      </c>
    </row>
    <row r="9" customFormat="false" ht="15" hidden="false" customHeight="true" outlineLevel="0" collapsed="false">
      <c r="B9" s="8" t="s">
        <v>125</v>
      </c>
      <c r="C9" s="35" t="n">
        <f aca="false">(I6/C6)^(1/6)-1</f>
        <v>0.0378908155562134</v>
      </c>
    </row>
    <row r="12" customFormat="false" ht="15" hidden="false" customHeight="true" outlineLevel="0" collapsed="false">
      <c r="B12" s="4" t="s">
        <v>78</v>
      </c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B13" s="44" t="s">
        <v>112</v>
      </c>
      <c r="C13" s="44"/>
      <c r="D13" s="44"/>
      <c r="E13" s="44"/>
      <c r="F13" s="44"/>
      <c r="G13" s="44"/>
      <c r="H13" s="44"/>
      <c r="I13" s="44"/>
    </row>
    <row r="14" customFormat="false" ht="15" hidden="false" customHeight="true" outlineLevel="0" collapsed="false">
      <c r="B14" s="44" t="s">
        <v>113</v>
      </c>
      <c r="C14" s="44"/>
      <c r="D14" s="44"/>
      <c r="E14" s="44"/>
      <c r="F14" s="44"/>
      <c r="G14" s="44"/>
      <c r="H14" s="44"/>
      <c r="I14" s="44"/>
    </row>
    <row r="15" customFormat="false" ht="15" hidden="false" customHeight="true" outlineLevel="0" collapsed="false">
      <c r="B15" s="44" t="s">
        <v>114</v>
      </c>
      <c r="C15" s="44"/>
      <c r="D15" s="44"/>
      <c r="E15" s="44"/>
      <c r="F15" s="44"/>
      <c r="G15" s="44"/>
      <c r="H15" s="44"/>
      <c r="I15" s="44"/>
    </row>
    <row r="16" customFormat="false" ht="15" hidden="false" customHeight="true" outlineLevel="0" collapsed="false">
      <c r="B16" s="44" t="s">
        <v>115</v>
      </c>
      <c r="C16" s="44"/>
      <c r="D16" s="44"/>
      <c r="E16" s="44"/>
      <c r="F16" s="44"/>
      <c r="G16" s="44"/>
      <c r="H16" s="44"/>
      <c r="I16" s="44"/>
    </row>
    <row r="17" customFormat="false" ht="15" hidden="false" customHeight="true" outlineLevel="0" collapsed="false">
      <c r="B17" s="44" t="s">
        <v>116</v>
      </c>
      <c r="C17" s="44"/>
      <c r="D17" s="44"/>
      <c r="E17" s="44"/>
      <c r="F17" s="44"/>
      <c r="G17" s="44"/>
      <c r="H17" s="44"/>
      <c r="I17" s="44"/>
    </row>
    <row r="18" customFormat="false" ht="15" hidden="false" customHeight="true" outlineLevel="0" collapsed="false">
      <c r="B18" s="44" t="s">
        <v>117</v>
      </c>
      <c r="C18" s="44"/>
      <c r="D18" s="44"/>
      <c r="E18" s="44"/>
      <c r="F18" s="44"/>
      <c r="G18" s="44"/>
      <c r="H18" s="44"/>
      <c r="I18" s="44"/>
    </row>
    <row r="19" customFormat="false" ht="15" hidden="false" customHeight="true" outlineLevel="0" collapsed="false">
      <c r="B19" s="44" t="s">
        <v>118</v>
      </c>
      <c r="C19" s="44"/>
      <c r="D19" s="44"/>
      <c r="E19" s="44"/>
      <c r="F19" s="44"/>
      <c r="G19" s="44"/>
      <c r="H19" s="44"/>
      <c r="I19" s="44"/>
    </row>
    <row r="20" customFormat="false" ht="15" hidden="false" customHeight="true" outlineLevel="0" collapsed="false">
      <c r="B20" s="44" t="s">
        <v>119</v>
      </c>
      <c r="C20" s="44"/>
      <c r="D20" s="44"/>
      <c r="E20" s="44"/>
      <c r="F20" s="44"/>
      <c r="G20" s="44"/>
      <c r="H20" s="44"/>
      <c r="I20" s="44"/>
    </row>
    <row r="21" customFormat="false" ht="15" hidden="false" customHeight="true" outlineLevel="0" collapsed="false">
      <c r="B21" s="44" t="s">
        <v>120</v>
      </c>
      <c r="C21" s="44"/>
      <c r="D21" s="44"/>
      <c r="E21" s="44"/>
      <c r="F21" s="44"/>
      <c r="G21" s="44"/>
      <c r="H21" s="44"/>
      <c r="I21" s="44"/>
    </row>
  </sheetData>
  <mergeCells count="10">
    <mergeCell ref="B2:I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9" min="3" style="1" width="12"/>
    <col collapsed="false" customWidth="true" hidden="false" outlineLevel="0" max="10" min="10" style="1" width="14"/>
  </cols>
  <sheetData>
    <row r="2" customFormat="false" ht="27.75" hidden="false" customHeight="true" outlineLevel="0" collapsed="false">
      <c r="B2" s="12" t="s">
        <v>126</v>
      </c>
      <c r="C2" s="12"/>
      <c r="D2" s="12"/>
      <c r="E2" s="12"/>
      <c r="F2" s="12"/>
      <c r="G2" s="12"/>
      <c r="H2" s="12"/>
      <c r="I2" s="12"/>
      <c r="J2" s="12"/>
    </row>
    <row r="3" customFormat="false" ht="15" hidden="false" customHeight="true" outlineLevel="0" collapsed="false">
      <c r="B3" s="37" t="s">
        <v>127</v>
      </c>
      <c r="C3" s="37"/>
      <c r="D3" s="37"/>
      <c r="E3" s="37"/>
      <c r="F3" s="37"/>
      <c r="G3" s="37"/>
      <c r="H3" s="37"/>
      <c r="I3" s="37"/>
      <c r="J3" s="37"/>
    </row>
    <row r="4" customFormat="false" ht="15" hidden="false" customHeight="true" outlineLevel="0" collapsed="false">
      <c r="B4" s="13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14" t="s">
        <v>99</v>
      </c>
    </row>
    <row r="5" customFormat="false" ht="15" hidden="false" customHeight="true" outlineLevel="0" collapsed="false">
      <c r="B5" s="15" t="s">
        <v>128</v>
      </c>
      <c r="C5" s="16" t="n">
        <v>0.157</v>
      </c>
      <c r="D5" s="16" t="n">
        <v>0.14</v>
      </c>
      <c r="E5" s="16" t="n">
        <v>0.155</v>
      </c>
      <c r="F5" s="16" t="n">
        <v>0.165</v>
      </c>
      <c r="G5" s="16" t="n">
        <v>0.168</v>
      </c>
      <c r="H5" s="16" t="n">
        <v>0.14</v>
      </c>
      <c r="I5" s="16" t="n">
        <v>0.125</v>
      </c>
      <c r="J5" s="17" t="n">
        <f aca="false">I5-C5</f>
        <v>-0.032</v>
      </c>
    </row>
    <row r="6" customFormat="false" ht="15" hidden="false" customHeight="true" outlineLevel="0" collapsed="false">
      <c r="B6" s="15" t="s">
        <v>129</v>
      </c>
      <c r="C6" s="16" t="n">
        <v>0.08</v>
      </c>
      <c r="D6" s="16" t="n">
        <v>0.09</v>
      </c>
      <c r="E6" s="16" t="n">
        <v>0.12</v>
      </c>
      <c r="F6" s="16" t="n">
        <v>0.155</v>
      </c>
      <c r="G6" s="16" t="n">
        <v>0.198</v>
      </c>
      <c r="H6" s="16" t="n">
        <v>0.22</v>
      </c>
      <c r="I6" s="16" t="n">
        <v>0.24</v>
      </c>
      <c r="J6" s="17" t="n">
        <f aca="false">I6-C6</f>
        <v>0.16</v>
      </c>
    </row>
    <row r="7" customFormat="false" ht="15" hidden="false" customHeight="true" outlineLevel="0" collapsed="false">
      <c r="B7" s="15" t="s">
        <v>130</v>
      </c>
      <c r="C7" s="16" t="n">
        <v>0.15</v>
      </c>
      <c r="D7" s="16" t="n">
        <v>0.13</v>
      </c>
      <c r="E7" s="16" t="n">
        <v>0.13</v>
      </c>
      <c r="F7" s="16" t="n">
        <v>0.13</v>
      </c>
      <c r="G7" s="16" t="n">
        <v>0.129</v>
      </c>
      <c r="H7" s="16" t="n">
        <v>0.13</v>
      </c>
      <c r="I7" s="16" t="n">
        <v>0.135</v>
      </c>
      <c r="J7" s="17" t="n">
        <f aca="false">I7-C7</f>
        <v>-0.015</v>
      </c>
    </row>
    <row r="8" customFormat="false" ht="15" hidden="false" customHeight="true" outlineLevel="0" collapsed="false">
      <c r="B8" s="15" t="s">
        <v>131</v>
      </c>
      <c r="C8" s="16" t="n">
        <v>0.12</v>
      </c>
      <c r="D8" s="16" t="n">
        <v>0.12</v>
      </c>
      <c r="E8" s="16" t="n">
        <v>0.125</v>
      </c>
      <c r="F8" s="16" t="n">
        <v>0.128</v>
      </c>
      <c r="G8" s="16" t="n">
        <v>0.13</v>
      </c>
      <c r="H8" s="16" t="n">
        <v>0.135</v>
      </c>
      <c r="I8" s="16" t="n">
        <v>0.14</v>
      </c>
      <c r="J8" s="17" t="n">
        <f aca="false">I8-C8</f>
        <v>0.02</v>
      </c>
    </row>
    <row r="9" customFormat="false" ht="15" hidden="false" customHeight="true" outlineLevel="0" collapsed="false">
      <c r="B9" s="15" t="s">
        <v>132</v>
      </c>
      <c r="C9" s="16" t="n">
        <v>0.105</v>
      </c>
      <c r="D9" s="16" t="n">
        <v>0.1</v>
      </c>
      <c r="E9" s="16" t="n">
        <v>0.105</v>
      </c>
      <c r="F9" s="16" t="n">
        <v>0.103</v>
      </c>
      <c r="G9" s="16" t="n">
        <v>0.103</v>
      </c>
      <c r="H9" s="16" t="n">
        <v>0.085</v>
      </c>
      <c r="I9" s="16" t="n">
        <v>0.075</v>
      </c>
      <c r="J9" s="17" t="n">
        <f aca="false">I9-C9</f>
        <v>-0.03</v>
      </c>
    </row>
    <row r="10" customFormat="false" ht="15" hidden="false" customHeight="true" outlineLevel="0" collapsed="false">
      <c r="B10" s="15" t="s">
        <v>133</v>
      </c>
      <c r="C10" s="16" t="n">
        <v>0.07</v>
      </c>
      <c r="D10" s="16" t="n">
        <v>0.065</v>
      </c>
      <c r="E10" s="16" t="n">
        <v>0.06</v>
      </c>
      <c r="F10" s="16" t="n">
        <v>0.055</v>
      </c>
      <c r="G10" s="16" t="n">
        <v>0.05</v>
      </c>
      <c r="H10" s="16" t="n">
        <v>0.035</v>
      </c>
      <c r="I10" s="16" t="n">
        <v>0</v>
      </c>
      <c r="J10" s="17" t="n">
        <f aca="false">I10-C10</f>
        <v>-0.07</v>
      </c>
    </row>
    <row r="11" customFormat="false" ht="15" hidden="false" customHeight="true" outlineLevel="0" collapsed="false">
      <c r="B11" s="15" t="s">
        <v>134</v>
      </c>
      <c r="C11" s="16" t="n">
        <v>0.03</v>
      </c>
      <c r="D11" s="16" t="n">
        <v>0.04</v>
      </c>
      <c r="E11" s="16" t="n">
        <v>0.035</v>
      </c>
      <c r="F11" s="16" t="n">
        <v>0.03</v>
      </c>
      <c r="G11" s="16" t="n">
        <v>0.028</v>
      </c>
      <c r="H11" s="16" t="n">
        <v>0.025</v>
      </c>
      <c r="I11" s="16" t="n">
        <v>0.02</v>
      </c>
      <c r="J11" s="17" t="n">
        <f aca="false">I11-C11</f>
        <v>-0.01</v>
      </c>
    </row>
    <row r="12" customFormat="false" ht="15" hidden="false" customHeight="true" outlineLevel="0" collapsed="false">
      <c r="B12" s="15" t="s">
        <v>135</v>
      </c>
      <c r="C12" s="16" t="n">
        <v>0.05</v>
      </c>
      <c r="D12" s="16" t="n">
        <v>0.055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7" t="n">
        <f aca="false">I12-C12</f>
        <v>-0.05</v>
      </c>
    </row>
    <row r="13" customFormat="false" ht="15" hidden="false" customHeight="true" outlineLevel="0" collapsed="false">
      <c r="B13" s="15" t="s">
        <v>136</v>
      </c>
      <c r="C13" s="16" t="n">
        <v>0.03</v>
      </c>
      <c r="D13" s="16" t="n">
        <v>0.035</v>
      </c>
      <c r="E13" s="16" t="n">
        <v>0.04</v>
      </c>
      <c r="F13" s="16" t="n">
        <v>0</v>
      </c>
      <c r="G13" s="16" t="n">
        <v>0</v>
      </c>
      <c r="H13" s="16" t="n">
        <v>0</v>
      </c>
      <c r="I13" s="16" t="n">
        <v>0</v>
      </c>
      <c r="J13" s="17" t="n">
        <f aca="false">I13-C13</f>
        <v>-0.03</v>
      </c>
    </row>
    <row r="14" customFormat="false" ht="15" hidden="false" customHeight="true" outlineLevel="0" collapsed="false">
      <c r="B14" s="15" t="s">
        <v>137</v>
      </c>
      <c r="C14" s="16" t="n">
        <v>0.025</v>
      </c>
      <c r="D14" s="16" t="n">
        <v>0.03</v>
      </c>
      <c r="E14" s="16" t="n">
        <v>0.03</v>
      </c>
      <c r="F14" s="16" t="n">
        <v>0.03</v>
      </c>
      <c r="G14" s="16" t="n">
        <v>0.03</v>
      </c>
      <c r="H14" s="16" t="n">
        <v>0.035</v>
      </c>
      <c r="I14" s="16" t="n">
        <v>0.04</v>
      </c>
      <c r="J14" s="17" t="n">
        <f aca="false">I14-C14</f>
        <v>0.015</v>
      </c>
    </row>
    <row r="15" customFormat="false" ht="15" hidden="false" customHeight="true" outlineLevel="0" collapsed="false">
      <c r="B15" s="15" t="s">
        <v>138</v>
      </c>
      <c r="C15" s="16" t="n">
        <v>0.02</v>
      </c>
      <c r="D15" s="16" t="n">
        <v>0.02</v>
      </c>
      <c r="E15" s="16" t="n">
        <v>0.02</v>
      </c>
      <c r="F15" s="16" t="n">
        <v>0.02</v>
      </c>
      <c r="G15" s="16" t="n">
        <v>0.02</v>
      </c>
      <c r="H15" s="16" t="n">
        <v>0.02</v>
      </c>
      <c r="I15" s="16" t="n">
        <v>0.02</v>
      </c>
      <c r="J15" s="17" t="n">
        <f aca="false">I15-C15</f>
        <v>0</v>
      </c>
    </row>
    <row r="16" customFormat="false" ht="15" hidden="false" customHeight="true" outlineLevel="0" collapsed="false">
      <c r="B16" s="15" t="s">
        <v>139</v>
      </c>
      <c r="C16" s="16" t="n">
        <v>0</v>
      </c>
      <c r="D16" s="16" t="n">
        <v>0</v>
      </c>
      <c r="E16" s="16" t="n">
        <v>0</v>
      </c>
      <c r="F16" s="16" t="n">
        <v>0.005</v>
      </c>
      <c r="G16" s="16" t="n">
        <v>0.015</v>
      </c>
      <c r="H16" s="16" t="n">
        <v>0.025</v>
      </c>
      <c r="I16" s="16" t="n">
        <v>0.035</v>
      </c>
      <c r="J16" s="17" t="n">
        <f aca="false">I16-C16</f>
        <v>0.035</v>
      </c>
    </row>
    <row r="17" customFormat="false" ht="15" hidden="false" customHeight="true" outlineLevel="0" collapsed="false">
      <c r="B17" s="15" t="s">
        <v>140</v>
      </c>
      <c r="C17" s="16" t="n">
        <v>0.03</v>
      </c>
      <c r="D17" s="16" t="n">
        <v>0.03</v>
      </c>
      <c r="E17" s="16" t="n">
        <v>0.025</v>
      </c>
      <c r="F17" s="16" t="n">
        <v>0.02</v>
      </c>
      <c r="G17" s="16" t="n">
        <v>0.015</v>
      </c>
      <c r="H17" s="16" t="n">
        <v>0.01</v>
      </c>
      <c r="I17" s="16" t="n">
        <v>0.01</v>
      </c>
      <c r="J17" s="17" t="n">
        <f aca="false">I17-C17</f>
        <v>-0.02</v>
      </c>
    </row>
    <row r="18" customFormat="false" ht="15" hidden="false" customHeight="true" outlineLevel="0" collapsed="false">
      <c r="B18" s="15" t="s">
        <v>141</v>
      </c>
      <c r="C18" s="16" t="n">
        <v>0.133</v>
      </c>
      <c r="D18" s="16" t="n">
        <v>0.145</v>
      </c>
      <c r="E18" s="16" t="n">
        <v>0.155</v>
      </c>
      <c r="F18" s="16" t="n">
        <v>0.159</v>
      </c>
      <c r="G18" s="16" t="n">
        <v>0.114</v>
      </c>
      <c r="H18" s="16" t="n">
        <v>0.14</v>
      </c>
      <c r="I18" s="16" t="n">
        <v>0.16</v>
      </c>
      <c r="J18" s="17" t="n">
        <f aca="false">I18-C18</f>
        <v>0.027</v>
      </c>
    </row>
    <row r="19" customFormat="false" ht="15" hidden="false" customHeight="true" outlineLevel="0" collapsed="false">
      <c r="B19" s="18" t="s">
        <v>54</v>
      </c>
      <c r="C19" s="19" t="n">
        <f aca="false">SUM(C5:C18)</f>
        <v>1</v>
      </c>
      <c r="D19" s="19" t="n">
        <f aca="false">SUM(D5:D18)</f>
        <v>1</v>
      </c>
      <c r="E19" s="19" t="n">
        <f aca="false">SUM(E5:E18)</f>
        <v>1</v>
      </c>
      <c r="F19" s="19" t="n">
        <f aca="false">SUM(F5:F18)</f>
        <v>1</v>
      </c>
      <c r="G19" s="19" t="n">
        <f aca="false">SUM(G5:G18)</f>
        <v>1</v>
      </c>
      <c r="H19" s="19" t="n">
        <f aca="false">SUM(H5:H18)</f>
        <v>1</v>
      </c>
      <c r="I19" s="19" t="n">
        <f aca="false">SUM(I5:I18)</f>
        <v>1</v>
      </c>
      <c r="J19" s="20" t="n">
        <f aca="false">I19-C19</f>
        <v>0</v>
      </c>
    </row>
    <row r="21" customFormat="false" ht="15" hidden="false" customHeight="true" outlineLevel="0" collapsed="false">
      <c r="B21" s="4" t="s">
        <v>55</v>
      </c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true" outlineLevel="0" collapsed="false">
      <c r="B22" s="8" t="s">
        <v>108</v>
      </c>
      <c r="C22" s="21" t="n">
        <f aca="false">LARGE(C5:C18,1)+LARGE(C5:C18,2)+LARGE(C5:C18,3)</f>
        <v>0.44</v>
      </c>
      <c r="D22" s="21" t="n">
        <f aca="false">LARGE(D5:D18,1)+LARGE(D5:D18,2)+LARGE(D5:D18,3)</f>
        <v>0.415</v>
      </c>
      <c r="E22" s="21" t="n">
        <f aca="false">LARGE(E5:E18,1)+LARGE(E5:E18,2)+LARGE(E5:E18,3)</f>
        <v>0.44</v>
      </c>
      <c r="F22" s="21" t="n">
        <f aca="false">LARGE(F5:F18,1)+LARGE(F5:F18,2)+LARGE(F5:F18,3)</f>
        <v>0.479</v>
      </c>
      <c r="G22" s="21" t="n">
        <f aca="false">LARGE(G5:G18,1)+LARGE(G5:G18,2)+LARGE(G5:G18,3)</f>
        <v>0.496</v>
      </c>
      <c r="H22" s="21" t="n">
        <f aca="false">LARGE(H5:H18,1)+LARGE(H5:H18,2)+LARGE(H5:H18,3)</f>
        <v>0.5</v>
      </c>
      <c r="I22" s="21" t="n">
        <f aca="false">LARGE(I5:I18,1)+LARGE(I5:I18,2)+LARGE(I5:I18,3)</f>
        <v>0.54</v>
      </c>
      <c r="J22" s="22" t="n">
        <f aca="false">I22-C22</f>
        <v>0.1</v>
      </c>
    </row>
    <row r="23" customFormat="false" ht="15" hidden="false" customHeight="true" outlineLevel="0" collapsed="false">
      <c r="B23" s="8" t="s">
        <v>109</v>
      </c>
      <c r="C23" s="21" t="n">
        <f aca="false">1-C22</f>
        <v>0.56</v>
      </c>
      <c r="D23" s="21" t="n">
        <f aca="false">1-D22</f>
        <v>0.585</v>
      </c>
      <c r="E23" s="21" t="n">
        <f aca="false">1-E22</f>
        <v>0.56</v>
      </c>
      <c r="F23" s="21" t="n">
        <f aca="false">1-F22</f>
        <v>0.521</v>
      </c>
      <c r="G23" s="21" t="n">
        <f aca="false">1-G22</f>
        <v>0.504</v>
      </c>
      <c r="H23" s="21" t="n">
        <f aca="false">1-H22</f>
        <v>0.5</v>
      </c>
      <c r="I23" s="21" t="n">
        <f aca="false">1-I22</f>
        <v>0.46</v>
      </c>
      <c r="J23" s="22" t="n">
        <f aca="false">I23-C23</f>
        <v>-0.1</v>
      </c>
    </row>
    <row r="24" customFormat="false" ht="15" hidden="false" customHeight="true" outlineLevel="0" collapsed="false">
      <c r="B24" s="8" t="s">
        <v>110</v>
      </c>
      <c r="C24" s="23" t="n">
        <f aca="false">SUMPRODUCT((C5:C18*100)^2)</f>
        <v>1077.88</v>
      </c>
      <c r="D24" s="23" t="n">
        <f aca="false">SUMPRODUCT((D5:D18*100)^2)</f>
        <v>1023</v>
      </c>
      <c r="E24" s="23" t="n">
        <f aca="false">SUMPRODUCT((E5:E18*100)^2)</f>
        <v>1143.5</v>
      </c>
      <c r="F24" s="23" t="n">
        <f aca="false">SUMPRODUCT((F5:F18*100)^2)</f>
        <v>1260.74</v>
      </c>
      <c r="G24" s="23" t="n">
        <f aca="false">SUMPRODUCT((G5:G18*100)^2)</f>
        <v>1296.08</v>
      </c>
      <c r="H24" s="23" t="n">
        <f aca="false">SUMPRODUCT((H5:H18*100)^2)</f>
        <v>1341.5</v>
      </c>
      <c r="I24" s="23" t="n">
        <f aca="false">SUMPRODUCT((I5:I18*100)^2)</f>
        <v>1460</v>
      </c>
    </row>
    <row r="27" customFormat="false" ht="15" hidden="false" customHeight="true" outlineLevel="0" collapsed="false">
      <c r="B27" s="4" t="s">
        <v>111</v>
      </c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true" outlineLevel="0" collapsed="false">
      <c r="B28" s="38" t="s">
        <v>142</v>
      </c>
      <c r="C28" s="38"/>
      <c r="D28" s="38"/>
      <c r="E28" s="38"/>
      <c r="F28" s="38"/>
      <c r="G28" s="38"/>
      <c r="H28" s="38"/>
      <c r="I28" s="38"/>
      <c r="J28" s="38"/>
    </row>
    <row r="29" customFormat="false" ht="15" hidden="false" customHeight="true" outlineLevel="0" collapsed="false">
      <c r="B29" s="38" t="s">
        <v>143</v>
      </c>
      <c r="C29" s="38"/>
      <c r="D29" s="38"/>
      <c r="E29" s="38"/>
      <c r="F29" s="38"/>
      <c r="G29" s="38"/>
      <c r="H29" s="38"/>
      <c r="I29" s="38"/>
      <c r="J29" s="38"/>
    </row>
    <row r="30" customFormat="false" ht="15" hidden="false" customHeight="true" outlineLevel="0" collapsed="false">
      <c r="B30" s="38" t="s">
        <v>144</v>
      </c>
      <c r="C30" s="38"/>
      <c r="D30" s="38"/>
      <c r="E30" s="38"/>
      <c r="F30" s="38"/>
      <c r="G30" s="38"/>
      <c r="H30" s="38"/>
      <c r="I30" s="38"/>
      <c r="J30" s="38"/>
    </row>
    <row r="31" customFormat="false" ht="15" hidden="false" customHeight="true" outlineLevel="0" collapsed="false">
      <c r="B31" s="38" t="s">
        <v>145</v>
      </c>
      <c r="C31" s="38"/>
      <c r="D31" s="38"/>
      <c r="E31" s="38"/>
      <c r="F31" s="38"/>
      <c r="G31" s="38"/>
      <c r="H31" s="38"/>
      <c r="I31" s="38"/>
      <c r="J31" s="38"/>
    </row>
    <row r="32" customFormat="false" ht="15" hidden="false" customHeight="true" outlineLevel="0" collapsed="false">
      <c r="B32" s="38" t="s">
        <v>146</v>
      </c>
      <c r="C32" s="38"/>
      <c r="D32" s="38"/>
      <c r="E32" s="38"/>
      <c r="F32" s="38"/>
      <c r="G32" s="38"/>
      <c r="H32" s="38"/>
      <c r="I32" s="38"/>
      <c r="J32" s="38"/>
    </row>
    <row r="33" customFormat="false" ht="15" hidden="false" customHeight="true" outlineLevel="0" collapsed="false">
      <c r="B33" s="38" t="s">
        <v>147</v>
      </c>
      <c r="C33" s="38"/>
      <c r="D33" s="38"/>
      <c r="E33" s="38"/>
      <c r="F33" s="38"/>
      <c r="G33" s="38"/>
      <c r="H33" s="38"/>
      <c r="I33" s="38"/>
      <c r="J33" s="38"/>
    </row>
    <row r="34" customFormat="false" ht="15" hidden="false" customHeight="true" outlineLevel="0" collapsed="false">
      <c r="B34" s="38" t="s">
        <v>148</v>
      </c>
      <c r="C34" s="38"/>
      <c r="D34" s="38"/>
      <c r="E34" s="38"/>
      <c r="F34" s="38"/>
      <c r="G34" s="38"/>
      <c r="H34" s="38"/>
      <c r="I34" s="38"/>
      <c r="J34" s="38"/>
    </row>
    <row r="35" customFormat="false" ht="15" hidden="false" customHeight="true" outlineLevel="0" collapsed="false">
      <c r="B35" s="38" t="s">
        <v>149</v>
      </c>
      <c r="C35" s="38"/>
      <c r="D35" s="38"/>
      <c r="E35" s="38"/>
      <c r="F35" s="38"/>
      <c r="G35" s="38"/>
      <c r="H35" s="38"/>
      <c r="I35" s="38"/>
      <c r="J35" s="38"/>
    </row>
    <row r="36" customFormat="false" ht="15" hidden="false" customHeight="true" outlineLevel="0" collapsed="false">
      <c r="B36" s="38" t="s">
        <v>150</v>
      </c>
      <c r="C36" s="38"/>
      <c r="D36" s="38"/>
      <c r="E36" s="38"/>
      <c r="F36" s="38"/>
      <c r="G36" s="38"/>
      <c r="H36" s="38"/>
      <c r="I36" s="38"/>
      <c r="J36" s="38"/>
    </row>
  </sheetData>
  <mergeCells count="11">
    <mergeCell ref="B2:J2"/>
    <mergeCell ref="B3:J3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9" min="3" style="1" width="12"/>
    <col collapsed="false" customWidth="true" hidden="false" outlineLevel="0" max="10" min="10" style="1" width="14"/>
  </cols>
  <sheetData>
    <row r="2" customFormat="false" ht="27.75" hidden="false" customHeight="true" outlineLevel="0" collapsed="false">
      <c r="B2" s="12" t="s">
        <v>151</v>
      </c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true" outlineLevel="0" collapsed="false">
      <c r="B4" s="13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14" t="s">
        <v>122</v>
      </c>
    </row>
    <row r="5" customFormat="false" ht="15" hidden="false" customHeight="true" outlineLevel="0" collapsed="false">
      <c r="B5" s="26" t="s">
        <v>152</v>
      </c>
      <c r="C5" s="45" t="n">
        <f aca="false">'Italy Market Size'!C6</f>
        <v>650</v>
      </c>
      <c r="D5" s="45" t="n">
        <f aca="false">'Italy Market Size'!D6</f>
        <v>990</v>
      </c>
      <c r="E5" s="45" t="n">
        <f aca="false">'Italy Market Size'!E6</f>
        <v>1200</v>
      </c>
      <c r="F5" s="45" t="n">
        <f aca="false">'Italy Market Size'!F6</f>
        <v>1335</v>
      </c>
      <c r="G5" s="45" t="n">
        <f aca="false">'Italy Market Size'!G6</f>
        <v>1500</v>
      </c>
      <c r="H5" s="45" t="n">
        <f aca="false">'Italy Market Size'!H6</f>
        <v>1620</v>
      </c>
      <c r="I5" s="45" t="n">
        <f aca="false">'Italy Market Size'!I6</f>
        <v>1700</v>
      </c>
    </row>
    <row r="7" customFormat="false" ht="15" hidden="false" customHeight="true" outlineLevel="0" collapsed="false">
      <c r="B7" s="9" t="s">
        <v>128</v>
      </c>
      <c r="C7" s="46" t="n">
        <f aca="false">'Italy Share %'!C5*C5</f>
        <v>102.05</v>
      </c>
      <c r="D7" s="46" t="n">
        <f aca="false">'Italy Share %'!D5*D5</f>
        <v>138.6</v>
      </c>
      <c r="E7" s="46" t="n">
        <f aca="false">'Italy Share %'!E5*E5</f>
        <v>186</v>
      </c>
      <c r="F7" s="46" t="n">
        <f aca="false">'Italy Share %'!F5*F5</f>
        <v>220.275</v>
      </c>
      <c r="G7" s="46" t="n">
        <f aca="false">'Italy Share %'!G5*G5</f>
        <v>252</v>
      </c>
      <c r="H7" s="46" t="n">
        <f aca="false">'Italy Share %'!H5*H5</f>
        <v>226.8</v>
      </c>
      <c r="I7" s="46" t="n">
        <f aca="false">'Italy Share %'!I5*I5</f>
        <v>212.5</v>
      </c>
      <c r="J7" s="29" t="n">
        <f aca="false">IF(OR(C7=0,I7=0),"n/a",(I7/C7)^(1/6)-1)</f>
        <v>0.130032639158424</v>
      </c>
    </row>
    <row r="8" customFormat="false" ht="15" hidden="false" customHeight="true" outlineLevel="0" collapsed="false">
      <c r="B8" s="9" t="s">
        <v>129</v>
      </c>
      <c r="C8" s="46" t="n">
        <f aca="false">'Italy Share %'!C6*C5</f>
        <v>52</v>
      </c>
      <c r="D8" s="46" t="n">
        <f aca="false">'Italy Share %'!D6*D5</f>
        <v>89.1</v>
      </c>
      <c r="E8" s="46" t="n">
        <f aca="false">'Italy Share %'!E6*E5</f>
        <v>144</v>
      </c>
      <c r="F8" s="46" t="n">
        <f aca="false">'Italy Share %'!F6*F5</f>
        <v>206.925</v>
      </c>
      <c r="G8" s="46" t="n">
        <f aca="false">'Italy Share %'!G6*G5</f>
        <v>297</v>
      </c>
      <c r="H8" s="46" t="n">
        <f aca="false">'Italy Share %'!H6*H5</f>
        <v>356.4</v>
      </c>
      <c r="I8" s="46" t="n">
        <f aca="false">'Italy Share %'!I6*I5</f>
        <v>408</v>
      </c>
      <c r="J8" s="29" t="n">
        <f aca="false">IF(OR(C8=0,I8=0),"n/a",(I8/C8)^(1/6)-1)</f>
        <v>0.409644073859093</v>
      </c>
    </row>
    <row r="9" customFormat="false" ht="15" hidden="false" customHeight="true" outlineLevel="0" collapsed="false">
      <c r="B9" s="9" t="s">
        <v>130</v>
      </c>
      <c r="C9" s="46" t="n">
        <f aca="false">'Italy Share %'!C7*C5</f>
        <v>97.5</v>
      </c>
      <c r="D9" s="46" t="n">
        <f aca="false">'Italy Share %'!D7*D5</f>
        <v>128.7</v>
      </c>
      <c r="E9" s="46" t="n">
        <f aca="false">'Italy Share %'!E7*E5</f>
        <v>156</v>
      </c>
      <c r="F9" s="46" t="n">
        <f aca="false">'Italy Share %'!F7*F5</f>
        <v>173.55</v>
      </c>
      <c r="G9" s="46" t="n">
        <f aca="false">'Italy Share %'!G7*G5</f>
        <v>193.5</v>
      </c>
      <c r="H9" s="46" t="n">
        <f aca="false">'Italy Share %'!H7*H5</f>
        <v>210.6</v>
      </c>
      <c r="I9" s="46" t="n">
        <f aca="false">'Italy Share %'!I7*I5</f>
        <v>229.5</v>
      </c>
      <c r="J9" s="29" t="n">
        <f aca="false">IF(OR(C9=0,I9=0),"n/a",(I9/C9)^(1/6)-1)</f>
        <v>0.153355025639735</v>
      </c>
    </row>
    <row r="10" customFormat="false" ht="15" hidden="false" customHeight="true" outlineLevel="0" collapsed="false">
      <c r="B10" s="9" t="s">
        <v>131</v>
      </c>
      <c r="C10" s="46" t="n">
        <f aca="false">'Italy Share %'!C8*C5</f>
        <v>78</v>
      </c>
      <c r="D10" s="46" t="n">
        <f aca="false">'Italy Share %'!D8*D5</f>
        <v>118.8</v>
      </c>
      <c r="E10" s="46" t="n">
        <f aca="false">'Italy Share %'!E8*E5</f>
        <v>150</v>
      </c>
      <c r="F10" s="46" t="n">
        <f aca="false">'Italy Share %'!F8*F5</f>
        <v>170.88</v>
      </c>
      <c r="G10" s="46" t="n">
        <f aca="false">'Italy Share %'!G8*G5</f>
        <v>195</v>
      </c>
      <c r="H10" s="46" t="n">
        <f aca="false">'Italy Share %'!H8*H5</f>
        <v>218.7</v>
      </c>
      <c r="I10" s="46" t="n">
        <f aca="false">'Italy Share %'!I8*I5</f>
        <v>238</v>
      </c>
      <c r="J10" s="29" t="n">
        <f aca="false">IF(OR(C10=0,I10=0),"n/a",(I10/C10)^(1/6)-1)</f>
        <v>0.204334310047565</v>
      </c>
    </row>
    <row r="11" customFormat="false" ht="15" hidden="false" customHeight="true" outlineLevel="0" collapsed="false">
      <c r="B11" s="9" t="s">
        <v>132</v>
      </c>
      <c r="C11" s="46" t="n">
        <f aca="false">'Italy Share %'!C9*C5</f>
        <v>68.25</v>
      </c>
      <c r="D11" s="46" t="n">
        <f aca="false">'Italy Share %'!D9*D5</f>
        <v>99</v>
      </c>
      <c r="E11" s="46" t="n">
        <f aca="false">'Italy Share %'!E9*E5</f>
        <v>126</v>
      </c>
      <c r="F11" s="46" t="n">
        <f aca="false">'Italy Share %'!F9*F5</f>
        <v>137.505</v>
      </c>
      <c r="G11" s="46" t="n">
        <f aca="false">'Italy Share %'!G9*G5</f>
        <v>154.5</v>
      </c>
      <c r="H11" s="46" t="n">
        <f aca="false">'Italy Share %'!H9*H5</f>
        <v>137.7</v>
      </c>
      <c r="I11" s="46" t="n">
        <f aca="false">'Italy Share %'!I9*I5</f>
        <v>127.5</v>
      </c>
      <c r="J11" s="29" t="n">
        <f aca="false">IF(OR(C11=0,I11=0),"n/a",(I11/C11)^(1/6)-1)</f>
        <v>0.109774108127088</v>
      </c>
    </row>
    <row r="12" customFormat="false" ht="15" hidden="false" customHeight="true" outlineLevel="0" collapsed="false">
      <c r="B12" s="9" t="s">
        <v>133</v>
      </c>
      <c r="C12" s="46" t="n">
        <f aca="false">'Italy Share %'!C10*C5</f>
        <v>45.5</v>
      </c>
      <c r="D12" s="46" t="n">
        <f aca="false">'Italy Share %'!D10*D5</f>
        <v>64.35</v>
      </c>
      <c r="E12" s="46" t="n">
        <f aca="false">'Italy Share %'!E10*E5</f>
        <v>72</v>
      </c>
      <c r="F12" s="46" t="n">
        <f aca="false">'Italy Share %'!F10*F5</f>
        <v>73.425</v>
      </c>
      <c r="G12" s="46" t="n">
        <f aca="false">'Italy Share %'!G10*G5</f>
        <v>75</v>
      </c>
      <c r="H12" s="46" t="n">
        <f aca="false">'Italy Share %'!H10*H5</f>
        <v>56.7</v>
      </c>
      <c r="I12" s="46" t="n">
        <f aca="false">'Italy Share %'!I10*I5</f>
        <v>0</v>
      </c>
      <c r="J12" s="29" t="str">
        <f aca="false">IF(OR(C12=0,I12=0),"n/a",(I12/C12)^(1/6)-1)</f>
        <v>n/a</v>
      </c>
    </row>
    <row r="13" customFormat="false" ht="15" hidden="false" customHeight="true" outlineLevel="0" collapsed="false">
      <c r="B13" s="9" t="s">
        <v>134</v>
      </c>
      <c r="C13" s="46" t="n">
        <f aca="false">'Italy Share %'!C11*C5</f>
        <v>19.5</v>
      </c>
      <c r="D13" s="46" t="n">
        <f aca="false">'Italy Share %'!D11*D5</f>
        <v>39.6</v>
      </c>
      <c r="E13" s="46" t="n">
        <f aca="false">'Italy Share %'!E11*E5</f>
        <v>42</v>
      </c>
      <c r="F13" s="46" t="n">
        <f aca="false">'Italy Share %'!F11*F5</f>
        <v>40.05</v>
      </c>
      <c r="G13" s="46" t="n">
        <f aca="false">'Italy Share %'!G11*G5</f>
        <v>42</v>
      </c>
      <c r="H13" s="46" t="n">
        <f aca="false">'Italy Share %'!H11*H5</f>
        <v>40.5</v>
      </c>
      <c r="I13" s="46" t="n">
        <f aca="false">'Italy Share %'!I11*I5</f>
        <v>34</v>
      </c>
      <c r="J13" s="29" t="n">
        <f aca="false">IF(OR(C13=0,I13=0),"n/a",(I13/C13)^(1/6)-1)</f>
        <v>0.0970861126301417</v>
      </c>
    </row>
    <row r="14" customFormat="false" ht="15" hidden="false" customHeight="true" outlineLevel="0" collapsed="false">
      <c r="B14" s="9" t="s">
        <v>135</v>
      </c>
      <c r="C14" s="46" t="n">
        <f aca="false">'Italy Share %'!C12*C5</f>
        <v>32.5</v>
      </c>
      <c r="D14" s="46" t="n">
        <f aca="false">'Italy Share %'!D12*D5</f>
        <v>54.45</v>
      </c>
      <c r="E14" s="46" t="n">
        <f aca="false">'Italy Share %'!E12*E5</f>
        <v>0</v>
      </c>
      <c r="F14" s="46" t="n">
        <f aca="false">'Italy Share %'!F12*F5</f>
        <v>0</v>
      </c>
      <c r="G14" s="46" t="n">
        <f aca="false">'Italy Share %'!G12*G5</f>
        <v>0</v>
      </c>
      <c r="H14" s="46" t="n">
        <f aca="false">'Italy Share %'!H12*H5</f>
        <v>0</v>
      </c>
      <c r="I14" s="46" t="n">
        <f aca="false">'Italy Share %'!I12*I5</f>
        <v>0</v>
      </c>
      <c r="J14" s="29" t="str">
        <f aca="false">IF(OR(C14=0,I14=0),"n/a",(I14/C14)^(1/6)-1)</f>
        <v>n/a</v>
      </c>
    </row>
    <row r="15" customFormat="false" ht="15" hidden="false" customHeight="true" outlineLevel="0" collapsed="false">
      <c r="B15" s="9" t="s">
        <v>136</v>
      </c>
      <c r="C15" s="46" t="n">
        <f aca="false">'Italy Share %'!C13*C5</f>
        <v>19.5</v>
      </c>
      <c r="D15" s="46" t="n">
        <f aca="false">'Italy Share %'!D13*D5</f>
        <v>34.65</v>
      </c>
      <c r="E15" s="46" t="n">
        <f aca="false">'Italy Share %'!E13*E5</f>
        <v>48</v>
      </c>
      <c r="F15" s="46" t="n">
        <f aca="false">'Italy Share %'!F13*F5</f>
        <v>0</v>
      </c>
      <c r="G15" s="46" t="n">
        <f aca="false">'Italy Share %'!G13*G5</f>
        <v>0</v>
      </c>
      <c r="H15" s="46" t="n">
        <f aca="false">'Italy Share %'!H13*H5</f>
        <v>0</v>
      </c>
      <c r="I15" s="46" t="n">
        <f aca="false">'Italy Share %'!I13*I5</f>
        <v>0</v>
      </c>
      <c r="J15" s="29" t="str">
        <f aca="false">IF(OR(C15=0,I15=0),"n/a",(I15/C15)^(1/6)-1)</f>
        <v>n/a</v>
      </c>
    </row>
    <row r="16" customFormat="false" ht="15" hidden="false" customHeight="true" outlineLevel="0" collapsed="false">
      <c r="B16" s="9" t="s">
        <v>137</v>
      </c>
      <c r="C16" s="46" t="n">
        <f aca="false">'Italy Share %'!C14*C5</f>
        <v>16.25</v>
      </c>
      <c r="D16" s="46" t="n">
        <f aca="false">'Italy Share %'!D14*D5</f>
        <v>29.7</v>
      </c>
      <c r="E16" s="46" t="n">
        <f aca="false">'Italy Share %'!E14*E5</f>
        <v>36</v>
      </c>
      <c r="F16" s="46" t="n">
        <f aca="false">'Italy Share %'!F14*F5</f>
        <v>40.05</v>
      </c>
      <c r="G16" s="46" t="n">
        <f aca="false">'Italy Share %'!G14*G5</f>
        <v>45</v>
      </c>
      <c r="H16" s="46" t="n">
        <f aca="false">'Italy Share %'!H14*H5</f>
        <v>56.7</v>
      </c>
      <c r="I16" s="46" t="n">
        <f aca="false">'Italy Share %'!I14*I5</f>
        <v>68</v>
      </c>
      <c r="J16" s="29" t="n">
        <f aca="false">IF(OR(C16=0,I16=0),"n/a",(I16/C16)^(1/6)-1)</f>
        <v>0.2694314622698</v>
      </c>
    </row>
    <row r="17" customFormat="false" ht="15" hidden="false" customHeight="true" outlineLevel="0" collapsed="false">
      <c r="B17" s="9" t="s">
        <v>138</v>
      </c>
      <c r="C17" s="46" t="n">
        <f aca="false">'Italy Share %'!C15*C5</f>
        <v>13</v>
      </c>
      <c r="D17" s="46" t="n">
        <f aca="false">'Italy Share %'!D15*D5</f>
        <v>19.8</v>
      </c>
      <c r="E17" s="46" t="n">
        <f aca="false">'Italy Share %'!E15*E5</f>
        <v>24</v>
      </c>
      <c r="F17" s="46" t="n">
        <f aca="false">'Italy Share %'!F15*F5</f>
        <v>26.7</v>
      </c>
      <c r="G17" s="46" t="n">
        <f aca="false">'Italy Share %'!G15*G5</f>
        <v>30</v>
      </c>
      <c r="H17" s="46" t="n">
        <f aca="false">'Italy Share %'!H15*H5</f>
        <v>32.4</v>
      </c>
      <c r="I17" s="46" t="n">
        <f aca="false">'Italy Share %'!I15*I5</f>
        <v>34</v>
      </c>
      <c r="J17" s="29" t="n">
        <f aca="false">IF(OR(C17=0,I17=0),"n/a",(I17/C17)^(1/6)-1)</f>
        <v>0.173786906784381</v>
      </c>
    </row>
    <row r="18" customFormat="false" ht="15" hidden="false" customHeight="true" outlineLevel="0" collapsed="false">
      <c r="B18" s="9" t="s">
        <v>139</v>
      </c>
      <c r="C18" s="46" t="n">
        <f aca="false">'Italy Share %'!C16*C5</f>
        <v>0</v>
      </c>
      <c r="D18" s="46" t="n">
        <f aca="false">'Italy Share %'!D16*D5</f>
        <v>0</v>
      </c>
      <c r="E18" s="46" t="n">
        <f aca="false">'Italy Share %'!E16*E5</f>
        <v>0</v>
      </c>
      <c r="F18" s="46" t="n">
        <f aca="false">'Italy Share %'!F16*F5</f>
        <v>6.675</v>
      </c>
      <c r="G18" s="46" t="n">
        <f aca="false">'Italy Share %'!G16*G5</f>
        <v>22.5</v>
      </c>
      <c r="H18" s="46" t="n">
        <f aca="false">'Italy Share %'!H16*H5</f>
        <v>40.5</v>
      </c>
      <c r="I18" s="46" t="n">
        <f aca="false">'Italy Share %'!I16*I5</f>
        <v>59.5</v>
      </c>
      <c r="J18" s="29" t="str">
        <f aca="false">IF(OR(C18=0,I18=0),"n/a",(I18/C18)^(1/6)-1)</f>
        <v>n/a</v>
      </c>
    </row>
    <row r="19" customFormat="false" ht="15" hidden="false" customHeight="true" outlineLevel="0" collapsed="false">
      <c r="B19" s="9" t="s">
        <v>140</v>
      </c>
      <c r="C19" s="46" t="n">
        <f aca="false">'Italy Share %'!C17*C5</f>
        <v>19.5</v>
      </c>
      <c r="D19" s="46" t="n">
        <f aca="false">'Italy Share %'!D17*D5</f>
        <v>29.7</v>
      </c>
      <c r="E19" s="46" t="n">
        <f aca="false">'Italy Share %'!E17*E5</f>
        <v>30</v>
      </c>
      <c r="F19" s="46" t="n">
        <f aca="false">'Italy Share %'!F17*F5</f>
        <v>26.7</v>
      </c>
      <c r="G19" s="46" t="n">
        <f aca="false">'Italy Share %'!G17*G5</f>
        <v>22.5</v>
      </c>
      <c r="H19" s="46" t="n">
        <f aca="false">'Italy Share %'!H17*H5</f>
        <v>16.2</v>
      </c>
      <c r="I19" s="46" t="n">
        <f aca="false">'Italy Share %'!I17*I5</f>
        <v>17</v>
      </c>
      <c r="J19" s="29" t="n">
        <f aca="false">IF(OR(C19=0,I19=0),"n/a",(I19/C19)^(1/6)-1)</f>
        <v>-0.0226073885682389</v>
      </c>
    </row>
    <row r="20" customFormat="false" ht="15" hidden="false" customHeight="true" outlineLevel="0" collapsed="false">
      <c r="B20" s="9" t="s">
        <v>141</v>
      </c>
      <c r="C20" s="46" t="n">
        <f aca="false">'Italy Share %'!C18*C5</f>
        <v>86.45</v>
      </c>
      <c r="D20" s="46" t="n">
        <f aca="false">'Italy Share %'!D18*D5</f>
        <v>143.55</v>
      </c>
      <c r="E20" s="46" t="n">
        <f aca="false">'Italy Share %'!E18*E5</f>
        <v>186</v>
      </c>
      <c r="F20" s="46" t="n">
        <f aca="false">'Italy Share %'!F18*F5</f>
        <v>212.265</v>
      </c>
      <c r="G20" s="46" t="n">
        <f aca="false">'Italy Share %'!G18*G5</f>
        <v>171</v>
      </c>
      <c r="H20" s="46" t="n">
        <f aca="false">'Italy Share %'!H18*H5</f>
        <v>226.8</v>
      </c>
      <c r="I20" s="46" t="n">
        <f aca="false">'Italy Share %'!I18*I5</f>
        <v>272</v>
      </c>
      <c r="J20" s="29" t="n">
        <f aca="false">IF(OR(C20=0,I20=0),"n/a",(I20/C20)^(1/6)-1)</f>
        <v>0.210507035000745</v>
      </c>
    </row>
    <row r="21" customFormat="false" ht="15" hidden="false" customHeight="true" outlineLevel="0" collapsed="false">
      <c r="B21" s="18" t="s">
        <v>70</v>
      </c>
      <c r="C21" s="47" t="n">
        <f aca="false">SUM(C7:C20)</f>
        <v>650</v>
      </c>
      <c r="D21" s="47" t="n">
        <f aca="false">SUM(D7:D20)</f>
        <v>990</v>
      </c>
      <c r="E21" s="47" t="n">
        <f aca="false">SUM(E7:E20)</f>
        <v>1200</v>
      </c>
      <c r="F21" s="47" t="n">
        <f aca="false">SUM(F7:F20)</f>
        <v>1335</v>
      </c>
      <c r="G21" s="47" t="n">
        <f aca="false">SUM(G7:G20)</f>
        <v>1500</v>
      </c>
      <c r="H21" s="47" t="n">
        <f aca="false">SUM(H7:H20)</f>
        <v>1620</v>
      </c>
      <c r="I21" s="47" t="n">
        <f aca="false">SUM(I7:I20)</f>
        <v>1700</v>
      </c>
      <c r="J21" s="31" t="n">
        <f aca="false">(I21/C21)^(1/6)-1</f>
        <v>0.173786906784381</v>
      </c>
    </row>
    <row r="22" customFormat="false" ht="15" hidden="false" customHeight="true" outlineLevel="0" collapsed="false">
      <c r="B22" s="25" t="s">
        <v>71</v>
      </c>
      <c r="C22" s="48" t="n">
        <f aca="false">ROUND(C21-C5,2)</f>
        <v>0</v>
      </c>
      <c r="D22" s="48" t="n">
        <f aca="false">ROUND(D21-D5,2)</f>
        <v>0</v>
      </c>
      <c r="E22" s="48" t="n">
        <f aca="false">ROUND(E21-E5,2)</f>
        <v>0</v>
      </c>
      <c r="F22" s="48" t="n">
        <f aca="false">ROUND(F21-F5,2)</f>
        <v>0</v>
      </c>
      <c r="G22" s="48" t="n">
        <f aca="false">ROUND(G21-G5,2)</f>
        <v>0</v>
      </c>
      <c r="H22" s="48" t="n">
        <f aca="false">ROUND(H21-H5,2)</f>
        <v>0</v>
      </c>
      <c r="I22" s="48" t="n">
        <f aca="false">ROUND(I21-I5,2)</f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9" min="3" style="1" width="12"/>
  </cols>
  <sheetData>
    <row r="2" customFormat="false" ht="27.75" hidden="false" customHeight="true" outlineLevel="0" collapsed="false">
      <c r="B2" s="12" t="s">
        <v>153</v>
      </c>
      <c r="C2" s="12"/>
      <c r="D2" s="12"/>
      <c r="E2" s="12"/>
      <c r="F2" s="12"/>
      <c r="G2" s="12"/>
      <c r="H2" s="12"/>
      <c r="I2" s="12"/>
    </row>
    <row r="4" customFormat="false" ht="15" hidden="false" customHeight="true" outlineLevel="0" collapsed="false">
      <c r="B4" s="13" t="s">
        <v>7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</row>
    <row r="6" customFormat="false" ht="15" hidden="false" customHeight="true" outlineLevel="0" collapsed="false">
      <c r="B6" s="8" t="s">
        <v>152</v>
      </c>
      <c r="C6" s="49" t="n">
        <v>650</v>
      </c>
      <c r="D6" s="49" t="n">
        <v>990</v>
      </c>
      <c r="E6" s="49" t="n">
        <v>1200</v>
      </c>
      <c r="F6" s="49" t="n">
        <v>1335</v>
      </c>
      <c r="G6" s="49" t="n">
        <v>1500</v>
      </c>
      <c r="H6" s="49" t="n">
        <v>1620</v>
      </c>
      <c r="I6" s="49" t="n">
        <v>1700</v>
      </c>
    </row>
    <row r="7" customFormat="false" ht="15" hidden="false" customHeight="true" outlineLevel="0" collapsed="false">
      <c r="B7" s="1" t="s">
        <v>75</v>
      </c>
      <c r="C7" s="34" t="s">
        <v>76</v>
      </c>
      <c r="D7" s="29" t="n">
        <f aca="false">D6/C6-1</f>
        <v>0.523076923076923</v>
      </c>
      <c r="E7" s="29" t="n">
        <f aca="false">E6/D6-1</f>
        <v>0.212121212121212</v>
      </c>
      <c r="F7" s="29" t="n">
        <f aca="false">F6/E6-1</f>
        <v>0.1125</v>
      </c>
      <c r="G7" s="29" t="n">
        <f aca="false">G6/F6-1</f>
        <v>0.123595505617978</v>
      </c>
      <c r="H7" s="29" t="n">
        <f aca="false">H6/G6-1</f>
        <v>0.0800000000000001</v>
      </c>
      <c r="I7" s="29" t="n">
        <f aca="false">I6/H6-1</f>
        <v>0.0493827160493827</v>
      </c>
    </row>
    <row r="9" customFormat="false" ht="15" hidden="false" customHeight="true" outlineLevel="0" collapsed="false">
      <c r="B9" s="8" t="s">
        <v>125</v>
      </c>
      <c r="C9" s="35" t="n">
        <f aca="false">(I6/C6)^(1/6)-1</f>
        <v>0.173786906784381</v>
      </c>
    </row>
    <row r="12" customFormat="false" ht="15" hidden="false" customHeight="true" outlineLevel="0" collapsed="false">
      <c r="B12" s="4" t="s">
        <v>78</v>
      </c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B13" s="44" t="s">
        <v>142</v>
      </c>
      <c r="C13" s="44"/>
      <c r="D13" s="44"/>
      <c r="E13" s="44"/>
      <c r="F13" s="44"/>
      <c r="G13" s="44"/>
      <c r="H13" s="44"/>
      <c r="I13" s="44"/>
    </row>
    <row r="14" customFormat="false" ht="15" hidden="false" customHeight="true" outlineLevel="0" collapsed="false">
      <c r="B14" s="44" t="s">
        <v>143</v>
      </c>
      <c r="C14" s="44"/>
      <c r="D14" s="44"/>
      <c r="E14" s="44"/>
      <c r="F14" s="44"/>
      <c r="G14" s="44"/>
      <c r="H14" s="44"/>
      <c r="I14" s="44"/>
    </row>
    <row r="15" customFormat="false" ht="15" hidden="false" customHeight="true" outlineLevel="0" collapsed="false">
      <c r="B15" s="44" t="s">
        <v>144</v>
      </c>
      <c r="C15" s="44"/>
      <c r="D15" s="44"/>
      <c r="E15" s="44"/>
      <c r="F15" s="44"/>
      <c r="G15" s="44"/>
      <c r="H15" s="44"/>
      <c r="I15" s="44"/>
    </row>
    <row r="16" customFormat="false" ht="23.25" hidden="false" customHeight="true" outlineLevel="0" collapsed="false">
      <c r="B16" s="44" t="s">
        <v>145</v>
      </c>
      <c r="C16" s="44"/>
      <c r="D16" s="44"/>
      <c r="E16" s="44"/>
      <c r="F16" s="44"/>
      <c r="G16" s="44"/>
      <c r="H16" s="44"/>
      <c r="I16" s="44"/>
    </row>
    <row r="17" customFormat="false" ht="15" hidden="false" customHeight="true" outlineLevel="0" collapsed="false">
      <c r="B17" s="44" t="s">
        <v>146</v>
      </c>
      <c r="C17" s="44"/>
      <c r="D17" s="44"/>
      <c r="E17" s="44"/>
      <c r="F17" s="44"/>
      <c r="G17" s="44"/>
      <c r="H17" s="44"/>
      <c r="I17" s="44"/>
    </row>
    <row r="18" customFormat="false" ht="15" hidden="false" customHeight="true" outlineLevel="0" collapsed="false">
      <c r="B18" s="44" t="s">
        <v>147</v>
      </c>
      <c r="C18" s="44"/>
      <c r="D18" s="44"/>
      <c r="E18" s="44"/>
      <c r="F18" s="44"/>
      <c r="G18" s="44"/>
      <c r="H18" s="44"/>
      <c r="I18" s="44"/>
    </row>
    <row r="19" customFormat="false" ht="15" hidden="false" customHeight="true" outlineLevel="0" collapsed="false">
      <c r="B19" s="44" t="s">
        <v>148</v>
      </c>
      <c r="C19" s="44"/>
      <c r="D19" s="44"/>
      <c r="E19" s="44"/>
      <c r="F19" s="44"/>
      <c r="G19" s="44"/>
      <c r="H19" s="44"/>
      <c r="I19" s="44"/>
    </row>
    <row r="20" customFormat="false" ht="15" hidden="false" customHeight="true" outlineLevel="0" collapsed="false">
      <c r="B20" s="44" t="s">
        <v>149</v>
      </c>
      <c r="C20" s="44"/>
      <c r="D20" s="44"/>
      <c r="E20" s="44"/>
      <c r="F20" s="44"/>
      <c r="G20" s="44"/>
      <c r="H20" s="44"/>
      <c r="I20" s="44"/>
    </row>
    <row r="21" customFormat="false" ht="15" hidden="false" customHeight="true" outlineLevel="0" collapsed="false">
      <c r="B21" s="44" t="s">
        <v>150</v>
      </c>
      <c r="C21" s="44"/>
      <c r="D21" s="44"/>
      <c r="E21" s="44"/>
      <c r="F21" s="44"/>
      <c r="G21" s="44"/>
      <c r="H21" s="44"/>
      <c r="I21" s="44"/>
    </row>
  </sheetData>
  <mergeCells count="10">
    <mergeCell ref="B2:I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80"/>
    <col collapsed="false" customWidth="true" hidden="false" outlineLevel="0" max="4" min="4" style="1" width="35"/>
  </cols>
  <sheetData>
    <row r="2" customFormat="false" ht="27.75" hidden="false" customHeight="true" outlineLevel="0" collapsed="false">
      <c r="B2" s="12" t="s">
        <v>154</v>
      </c>
      <c r="C2" s="12"/>
      <c r="D2" s="12"/>
    </row>
    <row r="4" customFormat="false" ht="15" hidden="false" customHeight="true" outlineLevel="0" collapsed="false">
      <c r="B4" s="4" t="s">
        <v>155</v>
      </c>
      <c r="C4" s="5"/>
      <c r="D4" s="5"/>
    </row>
    <row r="5" customFormat="false" ht="54.75" hidden="false" customHeight="true" outlineLevel="0" collapsed="false">
      <c r="B5" s="50" t="s">
        <v>156</v>
      </c>
      <c r="C5" s="51" t="s">
        <v>157</v>
      </c>
      <c r="D5" s="52" t="s">
        <v>158</v>
      </c>
    </row>
    <row r="6" customFormat="false" ht="54.75" hidden="false" customHeight="true" outlineLevel="0" collapsed="false">
      <c r="B6" s="50" t="s">
        <v>159</v>
      </c>
      <c r="C6" s="51" t="s">
        <v>160</v>
      </c>
      <c r="D6" s="52" t="s">
        <v>161</v>
      </c>
    </row>
    <row r="7" customFormat="false" ht="54.75" hidden="false" customHeight="true" outlineLevel="0" collapsed="false">
      <c r="B7" s="50" t="s">
        <v>46</v>
      </c>
      <c r="C7" s="51" t="s">
        <v>162</v>
      </c>
      <c r="D7" s="52" t="s">
        <v>163</v>
      </c>
    </row>
    <row r="8" customFormat="false" ht="54.75" hidden="false" customHeight="true" outlineLevel="0" collapsed="false">
      <c r="B8" s="50" t="s">
        <v>164</v>
      </c>
      <c r="C8" s="51" t="s">
        <v>165</v>
      </c>
      <c r="D8" s="52" t="s">
        <v>166</v>
      </c>
    </row>
    <row r="9" customFormat="false" ht="54.75" hidden="false" customHeight="true" outlineLevel="0" collapsed="false">
      <c r="B9" s="50" t="s">
        <v>49</v>
      </c>
      <c r="C9" s="51" t="s">
        <v>167</v>
      </c>
      <c r="D9" s="52" t="s">
        <v>168</v>
      </c>
    </row>
    <row r="10" customFormat="false" ht="54.75" hidden="false" customHeight="true" outlineLevel="0" collapsed="false">
      <c r="B10" s="50" t="s">
        <v>169</v>
      </c>
      <c r="C10" s="51" t="s">
        <v>170</v>
      </c>
      <c r="D10" s="52" t="s">
        <v>171</v>
      </c>
    </row>
    <row r="13" customFormat="false" ht="15" hidden="false" customHeight="true" outlineLevel="0" collapsed="false">
      <c r="B13" s="4" t="s">
        <v>172</v>
      </c>
      <c r="C13" s="5"/>
      <c r="D13" s="5"/>
    </row>
    <row r="14" customFormat="false" ht="49.5" hidden="false" customHeight="true" outlineLevel="0" collapsed="false">
      <c r="B14" s="50" t="s">
        <v>173</v>
      </c>
      <c r="C14" s="51" t="s">
        <v>174</v>
      </c>
      <c r="D14" s="52" t="s">
        <v>175</v>
      </c>
    </row>
    <row r="15" customFormat="false" ht="49.5" hidden="false" customHeight="true" outlineLevel="0" collapsed="false">
      <c r="B15" s="50" t="s">
        <v>176</v>
      </c>
      <c r="C15" s="51" t="s">
        <v>177</v>
      </c>
      <c r="D15" s="52" t="s">
        <v>175</v>
      </c>
    </row>
    <row r="16" customFormat="false" ht="49.5" hidden="false" customHeight="true" outlineLevel="0" collapsed="false">
      <c r="B16" s="50" t="s">
        <v>178</v>
      </c>
      <c r="C16" s="51" t="s">
        <v>179</v>
      </c>
      <c r="D16" s="52" t="s">
        <v>180</v>
      </c>
    </row>
    <row r="17" customFormat="false" ht="49.5" hidden="false" customHeight="true" outlineLevel="0" collapsed="false">
      <c r="B17" s="50" t="s">
        <v>181</v>
      </c>
      <c r="C17" s="51" t="s">
        <v>182</v>
      </c>
      <c r="D17" s="52" t="s">
        <v>183</v>
      </c>
    </row>
    <row r="20" customFormat="false" ht="15" hidden="false" customHeight="true" outlineLevel="0" collapsed="false">
      <c r="B20" s="4" t="s">
        <v>184</v>
      </c>
      <c r="C20" s="5"/>
      <c r="D20" s="5"/>
    </row>
    <row r="21" customFormat="false" ht="15" hidden="false" customHeight="true" outlineLevel="0" collapsed="false">
      <c r="B21" s="10" t="s">
        <v>185</v>
      </c>
      <c r="C21" s="10"/>
      <c r="D21" s="10"/>
    </row>
    <row r="22" customFormat="false" ht="15" hidden="false" customHeight="true" outlineLevel="0" collapsed="false">
      <c r="B22" s="10" t="s">
        <v>186</v>
      </c>
      <c r="C22" s="10"/>
      <c r="D22" s="10"/>
    </row>
    <row r="23" customFormat="false" ht="15" hidden="false" customHeight="true" outlineLevel="0" collapsed="false">
      <c r="B23" s="10" t="s">
        <v>187</v>
      </c>
      <c r="C23" s="10"/>
      <c r="D23" s="10"/>
    </row>
    <row r="24" customFormat="false" ht="15" hidden="false" customHeight="true" outlineLevel="0" collapsed="false">
      <c r="B24" s="10" t="s">
        <v>188</v>
      </c>
      <c r="C24" s="10"/>
      <c r="D24" s="10"/>
    </row>
    <row r="25" customFormat="false" ht="15" hidden="false" customHeight="true" outlineLevel="0" collapsed="false">
      <c r="B25" s="10" t="s">
        <v>189</v>
      </c>
      <c r="C25" s="10"/>
      <c r="D25" s="10"/>
    </row>
    <row r="26" customFormat="false" ht="15" hidden="false" customHeight="true" outlineLevel="0" collapsed="false">
      <c r="B26" s="10" t="s">
        <v>190</v>
      </c>
      <c r="C26" s="10"/>
      <c r="D26" s="10"/>
    </row>
    <row r="27" customFormat="false" ht="15" hidden="false" customHeight="true" outlineLevel="0" collapsed="false">
      <c r="B27" s="10" t="s">
        <v>191</v>
      </c>
      <c r="C27" s="10"/>
      <c r="D27" s="10"/>
    </row>
    <row r="28" customFormat="false" ht="15" hidden="false" customHeight="true" outlineLevel="0" collapsed="false">
      <c r="B28" s="10" t="s">
        <v>192</v>
      </c>
      <c r="C28" s="10"/>
      <c r="D28" s="10"/>
    </row>
    <row r="29" customFormat="false" ht="15" hidden="false" customHeight="true" outlineLevel="0" collapsed="false">
      <c r="B29" s="10" t="s">
        <v>193</v>
      </c>
      <c r="C29" s="10"/>
      <c r="D29" s="10"/>
    </row>
    <row r="30" customFormat="false" ht="15" hidden="false" customHeight="true" outlineLevel="0" collapsed="false">
      <c r="B30" s="10" t="s">
        <v>194</v>
      </c>
      <c r="C30" s="10"/>
      <c r="D30" s="10"/>
    </row>
    <row r="33" customFormat="false" ht="15" hidden="false" customHeight="true" outlineLevel="0" collapsed="false">
      <c r="B33" s="4" t="s">
        <v>195</v>
      </c>
      <c r="C33" s="5"/>
      <c r="D33" s="5"/>
    </row>
    <row r="34" customFormat="false" ht="54.75" hidden="false" customHeight="true" outlineLevel="0" collapsed="false">
      <c r="B34" s="50" t="s">
        <v>196</v>
      </c>
      <c r="C34" s="51" t="s">
        <v>197</v>
      </c>
      <c r="D34" s="52" t="s">
        <v>158</v>
      </c>
    </row>
    <row r="35" customFormat="false" ht="54.75" hidden="false" customHeight="true" outlineLevel="0" collapsed="false">
      <c r="B35" s="50" t="s">
        <v>101</v>
      </c>
      <c r="C35" s="51" t="s">
        <v>198</v>
      </c>
      <c r="D35" s="52" t="s">
        <v>199</v>
      </c>
    </row>
    <row r="36" customFormat="false" ht="54.75" hidden="false" customHeight="true" outlineLevel="0" collapsed="false">
      <c r="B36" s="50" t="s">
        <v>200</v>
      </c>
      <c r="C36" s="51" t="s">
        <v>201</v>
      </c>
      <c r="D36" s="52" t="s">
        <v>161</v>
      </c>
    </row>
    <row r="37" customFormat="false" ht="54.75" hidden="false" customHeight="true" outlineLevel="0" collapsed="false">
      <c r="B37" s="50" t="s">
        <v>202</v>
      </c>
      <c r="C37" s="51" t="s">
        <v>203</v>
      </c>
      <c r="D37" s="52" t="s">
        <v>204</v>
      </c>
    </row>
    <row r="38" customFormat="false" ht="54.75" hidden="false" customHeight="true" outlineLevel="0" collapsed="false">
      <c r="B38" s="50" t="s">
        <v>205</v>
      </c>
      <c r="C38" s="51" t="s">
        <v>206</v>
      </c>
      <c r="D38" s="52" t="s">
        <v>207</v>
      </c>
    </row>
    <row r="41" customFormat="false" ht="15" hidden="false" customHeight="true" outlineLevel="0" collapsed="false">
      <c r="B41" s="4" t="s">
        <v>208</v>
      </c>
      <c r="C41" s="5"/>
      <c r="D41" s="5"/>
    </row>
    <row r="42" customFormat="false" ht="54.75" hidden="false" customHeight="true" outlineLevel="0" collapsed="false">
      <c r="B42" s="50" t="s">
        <v>209</v>
      </c>
      <c r="C42" s="51" t="s">
        <v>210</v>
      </c>
      <c r="D42" s="52" t="s">
        <v>211</v>
      </c>
    </row>
    <row r="43" customFormat="false" ht="54.75" hidden="false" customHeight="true" outlineLevel="0" collapsed="false">
      <c r="B43" s="50" t="s">
        <v>212</v>
      </c>
      <c r="C43" s="51" t="s">
        <v>213</v>
      </c>
      <c r="D43" s="52" t="s">
        <v>214</v>
      </c>
    </row>
    <row r="44" customFormat="false" ht="54.75" hidden="false" customHeight="true" outlineLevel="0" collapsed="false">
      <c r="B44" s="50" t="s">
        <v>215</v>
      </c>
      <c r="C44" s="51" t="s">
        <v>216</v>
      </c>
      <c r="D44" s="52" t="s">
        <v>217</v>
      </c>
    </row>
    <row r="45" customFormat="false" ht="54.75" hidden="false" customHeight="true" outlineLevel="0" collapsed="false">
      <c r="B45" s="50" t="s">
        <v>218</v>
      </c>
      <c r="C45" s="51" t="s">
        <v>219</v>
      </c>
      <c r="D45" s="52" t="s">
        <v>220</v>
      </c>
    </row>
    <row r="46" customFormat="false" ht="54.75" hidden="false" customHeight="true" outlineLevel="0" collapsed="false">
      <c r="B46" s="50" t="s">
        <v>221</v>
      </c>
      <c r="C46" s="51" t="s">
        <v>222</v>
      </c>
      <c r="D46" s="52" t="s">
        <v>223</v>
      </c>
    </row>
    <row r="47" customFormat="false" ht="54.75" hidden="false" customHeight="true" outlineLevel="0" collapsed="false">
      <c r="B47" s="50" t="s">
        <v>224</v>
      </c>
      <c r="C47" s="51" t="s">
        <v>225</v>
      </c>
      <c r="D47" s="52" t="s">
        <v>226</v>
      </c>
    </row>
  </sheetData>
  <mergeCells count="11">
    <mergeCell ref="B2:D2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2026-04-16T14:48:41Z</dcterms:created>
  <dc:creator>openpyxl</dc:creator>
  <dc:description/>
  <dc:language>en-US</dc:language>
  <cp:lastModifiedBy/>
  <dcterms:modified xsi:type="dcterms:W3CDTF">2026-04-16T15:01:21Z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