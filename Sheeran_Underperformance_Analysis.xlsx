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bum Performance" sheetId="1" state="visible" r:id="rId3"/>
    <sheet name="Streaming Comp" sheetId="2" state="visible" r:id="rId4"/>
    <sheet name="Catalog Decay" sheetId="3" state="visible" r:id="rId5"/>
    <sheet name="Tour Same-Venue" sheetId="4" state="visible" r:id="rId6"/>
    <sheet name="Source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<sst xmlns="http://schemas.openxmlformats.org/spreadsheetml/2006/main" count="202" uniqueCount="164">
  <si>
    <t xml:space="preserve">Ed Sheeran Album-by-Album First-Week Performance</t>
  </si>
  <si>
    <t xml:space="preserve">First-week album-equivalent units (US) and chart units (UK). All Sheeran studio albums.</t>
  </si>
  <si>
    <t xml:space="preserve">Album</t>
  </si>
  <si>
    <t xml:space="preserve">Release Year</t>
  </si>
  <si>
    <t xml:space="preserve">US Wk1 Units</t>
  </si>
  <si>
    <t xml:space="preserve">UK Wk1 Units</t>
  </si>
  <si>
    <t xml:space="preserve">US Peak Position</t>
  </si>
  <si>
    <t xml:space="preserve">UK Peak Position</t>
  </si>
  <si>
    <t xml:space="preserve">Notes</t>
  </si>
  <si>
    <t xml:space="preserve">Source</t>
  </si>
  <si>
    <t xml:space="preserve">+ (Plus)</t>
  </si>
  <si>
    <t xml:space="preserve">5</t>
  </si>
  <si>
    <t xml:space="preserve">1</t>
  </si>
  <si>
    <t xml:space="preserve">Debut album. US first-week not widely reported pre-streaming era.</t>
  </si>
  <si>
    <t xml:space="preserve">Official Charts, 9/16/2011; RIAA</t>
  </si>
  <si>
    <t xml:space="preserve">x (Multiply)</t>
  </si>
  <si>
    <t xml:space="preserve">Fastest-selling album of 2014 in UK.</t>
  </si>
  <si>
    <t xml:space="preserve">Billboard, 7/2/2014; Official Charts, 6/29/2014</t>
  </si>
  <si>
    <t xml:space="preserve">÷ (Divide)</t>
  </si>
  <si>
    <t xml:space="preserve">Career peak. 3rd-highest UK opening week ever at the time.</t>
  </si>
  <si>
    <t xml:space="preserve">Billboard, 3/13/2017; Official Charts, 3/10/2017</t>
  </si>
  <si>
    <t xml:space="preserve">No. 6 Collaborations Project</t>
  </si>
  <si>
    <t xml:space="preserve">Collab album with multiple features.</t>
  </si>
  <si>
    <t xml:space="preserve">Billboard, 7/22/2019; Official Charts, 7/19/2019</t>
  </si>
  <si>
    <t xml:space="preserve">= (Equals)</t>
  </si>
  <si>
    <t xml:space="preserve">Last big-pop album before Play. UK figure aided by tour bundle.</t>
  </si>
  <si>
    <t xml:space="preserve">Billboard, 11/2/2021; Music Week, 9/19/2025</t>
  </si>
  <si>
    <t xml:space="preserve">- (Subtract)</t>
  </si>
  <si>
    <t xml:space="preserve">2</t>
  </si>
  <si>
    <t xml:space="preserve">Acoustic / introspective album, blocked from US #1 by Morgan Wallen.</t>
  </si>
  <si>
    <t xml:space="preserve">Billboard, 5/16/2023; Official Charts, 5/12/2023</t>
  </si>
  <si>
    <t xml:space="preserve">Autumn Variations</t>
  </si>
  <si>
    <t xml:space="preserve">Released through Gingerbread Man Records (Sheeran-owned). Acoustic.</t>
  </si>
  <si>
    <t xml:space="preserve">Official Charts Company, 10/6/2023</t>
  </si>
  <si>
    <t xml:space="preserve">Play</t>
  </si>
  <si>
    <t xml:space="preserve">Career low US opening. 51K of 71K US units were pure sales.</t>
  </si>
  <si>
    <t xml:space="preserve">Billboard, 9/22/2025; Music Week, 9/19/2025</t>
  </si>
  <si>
    <t xml:space="preserve">Key Deltas: Play vs. Prior Albums</t>
  </si>
  <si>
    <t xml:space="preserve">Comparison</t>
  </si>
  <si>
    <t xml:space="preserve">US Wk1 Δ (units)</t>
  </si>
  <si>
    <t xml:space="preserve">US Wk1 Δ (%)</t>
  </si>
  <si>
    <t xml:space="preserve">UK Wk1 Δ (units)</t>
  </si>
  <si>
    <t xml:space="preserve">UK Wk1 Δ (%)</t>
  </si>
  <si>
    <t xml:space="preserve">Play vs. ÷ (Divide, 2017 peak)</t>
  </si>
  <si>
    <t xml:space="preserve">Play vs. = (Equals, 2021)</t>
  </si>
  <si>
    <t xml:space="preserve">Play vs. - (Subtract, 2023)</t>
  </si>
  <si>
    <t xml:space="preserve">US Wk1 Streaming Comparison: 2025 Major Pop Releases</t>
  </si>
  <si>
    <t xml:space="preserve">Play streamed at a fraction of peer releases. Estimated SEA from Billboard splits (51K of 71K were pure sales).</t>
  </si>
  <si>
    <t xml:space="preserve">Artist / Album</t>
  </si>
  <si>
    <t xml:space="preserve">Release Date</t>
  </si>
  <si>
    <t xml:space="preserve">Wk1 US Units</t>
  </si>
  <si>
    <t xml:space="preserve">Wk1 US On-Demand Streams</t>
  </si>
  <si>
    <t xml:space="preserve">Streams as % of Units</t>
  </si>
  <si>
    <t xml:space="preserve">Taylor Swift - The Life of a Showgirl</t>
  </si>
  <si>
    <t xml:space="preserve">10/3/2025</t>
  </si>
  <si>
    <t xml:space="preserve">Sales-driven. 32 album variants. 11/5/2025 Billboard.</t>
  </si>
  <si>
    <t xml:space="preserve">Billboard, 10/13/2025</t>
  </si>
  <si>
    <t xml:space="preserve">Morgan Wallen - I'm the Problem</t>
  </si>
  <si>
    <t xml:space="preserve">5/16/2025</t>
  </si>
  <si>
    <t xml:space="preserve">Streaming-driven. 37-track album.</t>
  </si>
  <si>
    <t xml:space="preserve">Billboard, 5/2025; Wikipedia</t>
  </si>
  <si>
    <t xml:space="preserve">The Weeknd - Hurry Up Tomorrow</t>
  </si>
  <si>
    <t xml:space="preserve">1/31/2025</t>
  </si>
  <si>
    <t xml:space="preserve">171.5M streams (Luminate).</t>
  </si>
  <si>
    <t xml:space="preserve">Billboard, 2/9/2025</t>
  </si>
  <si>
    <t xml:space="preserve">Sabrina Carpenter - Man's Best Friend</t>
  </si>
  <si>
    <t xml:space="preserve">8/29/2025</t>
  </si>
  <si>
    <t xml:space="preserve">Released 2 weeks before Play. Closest peer comp.</t>
  </si>
  <si>
    <t xml:space="preserve">Billboard, 9/8/2025</t>
  </si>
  <si>
    <t xml:space="preserve">Ed Sheeran - Play</t>
  </si>
  <si>
    <t xml:space="preserve">9/12/2025</t>
  </si>
  <si>
    <t xml:space="preserve">Streams estimated from 20K SEA units (51K pure sales).</t>
  </si>
  <si>
    <t xml:space="preserve">Billboard, 9/22/2025; That Grape Juice</t>
  </si>
  <si>
    <t xml:space="preserve">Streaming Multiple: Peers vs. Play</t>
  </si>
  <si>
    <t xml:space="preserve">Wk1 Streams</t>
  </si>
  <si>
    <t xml:space="preserve">Play Wk1 Streams</t>
  </si>
  <si>
    <t xml:space="preserve">Multiple vs. Play</t>
  </si>
  <si>
    <t xml:space="preserve">Billboard 200 Position 7 Months Post-Release: Play vs. Peers</t>
  </si>
  <si>
    <t xml:space="preserve">All positions as of Billboard 200 chart dated April 25, 2026. Play has fallen out of the top 200 entirely.</t>
  </si>
  <si>
    <t xml:space="preserve">Album (Release)</t>
  </si>
  <si>
    <t xml:space="preserve">Current Position (4/25/26)</t>
  </si>
  <si>
    <t xml:space="preserve">Weeks on Chart</t>
  </si>
  <si>
    <t xml:space="preserve">Wk1 vs. Play Release</t>
  </si>
  <si>
    <t xml:space="preserve">Sabrina Carpenter - Man's Best Friend (Aug 2025)</t>
  </si>
  <si>
    <t xml:space="preserve">#10</t>
  </si>
  <si>
    <t xml:space="preserve">2 weeks before Play</t>
  </si>
  <si>
    <t xml:space="preserve">Sustained top-10 catalog presence.</t>
  </si>
  <si>
    <t xml:space="preserve">Billboard 200, chart dated 4/25/2026</t>
  </si>
  <si>
    <t xml:space="preserve">Sabrina Carpenter - Short n'Sweet (Aug 2024)</t>
  </si>
  <si>
    <t xml:space="preserve">#17</t>
  </si>
  <si>
    <t xml:space="preserve">n/a</t>
  </si>
  <si>
    <t xml:space="preserve">20-month-old album still in top 20.</t>
  </si>
  <si>
    <t xml:space="preserve">Taylor Swift - Life of a Showgirl (Oct 2025)</t>
  </si>
  <si>
    <t xml:space="preserve">#15</t>
  </si>
  <si>
    <t xml:space="preserve">3 weeks after Play</t>
  </si>
  <si>
    <t xml:space="preserve">Released 3 weeks after Play; still top 20.</t>
  </si>
  <si>
    <t xml:space="preserve">Bruno Mars - The Romantic (Mar 2026)</t>
  </si>
  <si>
    <t xml:space="preserve">#11</t>
  </si>
  <si>
    <t xml:space="preserve">Newer release.</t>
  </si>
  <si>
    <t xml:space="preserve">The Weeknd - Hurry Up Tomorrow (Jan 2025)</t>
  </si>
  <si>
    <t xml:space="preserve">#170</t>
  </si>
  <si>
    <t xml:space="preserve">15-month-old album, still on chart.</t>
  </si>
  <si>
    <t xml:space="preserve">Ed Sheeran - Play (Sep 2025)</t>
  </si>
  <si>
    <t xml:space="preserve">Off chart</t>
  </si>
  <si>
    <t xml:space="preserve">Fell out of Billboard 200 top 200.</t>
  </si>
  <si>
    <t xml:space="preserve">Ed Sheeran - +-=÷x (Tour Collection)</t>
  </si>
  <si>
    <t xml:space="preserve">#40</t>
  </si>
  <si>
    <t xml:space="preserve">Greatest-hits comp; only Sheeran title on chart.</t>
  </si>
  <si>
    <t xml:space="preserve">Same-Venue Box Office: Mathematics Tour (2023) vs. Loop Tour (2026)</t>
  </si>
  <si>
    <t xml:space="preserve">Five stadiums played on both tours. Sheeran is selling 16-33% fewer tickets per show, offset by 6-25% higher ticket prices.</t>
  </si>
  <si>
    <t xml:space="preserve">Venue</t>
  </si>
  <si>
    <t xml:space="preserve">Math. Avg Tix</t>
  </si>
  <si>
    <t xml:space="preserve">Loop Avg Tix</t>
  </si>
  <si>
    <t xml:space="preserve">Tix Δ %</t>
  </si>
  <si>
    <t xml:space="preserve">Math. Avg Gross</t>
  </si>
  <si>
    <t xml:space="preserve">Loop Avg Gross</t>
  </si>
  <si>
    <t xml:space="preserve">Gross Δ %</t>
  </si>
  <si>
    <t xml:space="preserve">Math. Avg Price</t>
  </si>
  <si>
    <t xml:space="preserve">Loop Avg Price</t>
  </si>
  <si>
    <t xml:space="preserve">Price Δ %</t>
  </si>
  <si>
    <t xml:space="preserve">Accor Stadium (Sydney)</t>
  </si>
  <si>
    <t xml:space="preserve">Pollstar Boxoffice, retrieved 4/30/2026</t>
  </si>
  <si>
    <t xml:space="preserve">Optus Stadium (Perth)</t>
  </si>
  <si>
    <t xml:space="preserve">Suncorp Stadium (Brisbane)</t>
  </si>
  <si>
    <t xml:space="preserve">Adelaide Oval</t>
  </si>
  <si>
    <t xml:space="preserve">Sky Stadium (Wellington)</t>
  </si>
  <si>
    <t xml:space="preserve">Weighted Average (5 venues)</t>
  </si>
  <si>
    <t xml:space="preserve">Sources, Methodology &amp; Notes</t>
  </si>
  <si>
    <t xml:space="preserve">Section</t>
  </si>
  <si>
    <t xml:space="preserve">Source / Methodology</t>
  </si>
  <si>
    <t xml:space="preserve">URL / Reference</t>
  </si>
  <si>
    <t xml:space="preserve">Album-by-album US Wk1</t>
  </si>
  <si>
    <t xml:space="preserve">Billboard chart-beat coverage for each Sheeran album release. US figures are album-equivalent units (sales + SEA + TEA) post-Dec 2014; pre-2014 figures are pure sales.</t>
  </si>
  <si>
    <t xml:space="preserve">billboard.com/charts</t>
  </si>
  <si>
    <t xml:space="preserve">Album-by-album UK Wk1</t>
  </si>
  <si>
    <t xml:space="preserve">Official Charts Company / Music Week. UK figures are chart units (sales + streams).</t>
  </si>
  <si>
    <t xml:space="preserve">officialcharts.com</t>
  </si>
  <si>
    <t xml:space="preserve">+ (Plus) US Wk1</t>
  </si>
  <si>
    <t xml:space="preserve">US Wk1 not consistently reported pre-streaming era; album peaked at #5 on Billboard 200 in 2011.</t>
  </si>
  <si>
    <t xml:space="preserve">Wikipedia: Plus (Ed Sheeran album)</t>
  </si>
  <si>
    <t xml:space="preserve">Autumn Variations US</t>
  </si>
  <si>
    <t xml:space="preserve">No widely reported US Wk1 figure; album was acoustic and released through Sheeran-owned Gingerbread Man Records.</t>
  </si>
  <si>
    <t xml:space="preserve">Wikipedia: Autumn Variations</t>
  </si>
  <si>
    <t xml:space="preserve">Play streaming estimate</t>
  </si>
  <si>
    <t xml:space="preserve">Of 71K Wk1 units, 51K were pure sales (Billboard, 9/22/25). Implied ~20K SEA units. At Billboard standard ratio ~1,250 paid streams/unit, this implies ~25M Wk1 streams (estimate).</t>
  </si>
  <si>
    <t xml:space="preserve">Billboard, 9/22/2025</t>
  </si>
  <si>
    <t xml:space="preserve">Streaming peer comps</t>
  </si>
  <si>
    <t xml:space="preserve">All Wk1 stream figures from Billboard chart-beat coverage of each release, citing Luminate as data source.</t>
  </si>
  <si>
    <t xml:space="preserve">billboard.com/music/chart-beat</t>
  </si>
  <si>
    <t xml:space="preserve">Billboard 200 4/25/26</t>
  </si>
  <si>
    <t xml:space="preserve">Full Billboard 200 chart for week ending 4/25/2026, retrieved via secondary publisher.</t>
  </si>
  <si>
    <t xml:space="preserve">creativedisc.com (Billboard 200 mirror); officialcharts.com (Billboard 200)</t>
  </si>
  <si>
    <t xml:space="preserve">Tour box office data</t>
  </si>
  <si>
    <t xml:space="preserve">Pollstar Boxoffice export (user provided, 4/30/2026). Show-level data: 557 reported events spanning 2012-2026.</t>
  </si>
  <si>
    <t xml:space="preserve">Pollstar Data Cloud - Boxoffice</t>
  </si>
  <si>
    <t xml:space="preserve">Tour mapping</t>
  </si>
  <si>
    <t xml:space="preserve">+ Tour: 2012-13. x Tour: 2014-15. ÷ Tour: 2017-19. Mathematics Tour: 2022-25 (final show 8/8/2025). Loop Tour: 9/2025 onward.</t>
  </si>
  <si>
    <t xml:space="preserve">Wikipedia: Loop Tour; edsheeran.com tour archive</t>
  </si>
  <si>
    <t xml:space="preserve">Same-venue methodology</t>
  </si>
  <si>
    <t xml:space="preserve">Identified 5 stadiums played on both Mathematics (2023) and Loop (2026) AU/NZ legs. Multi-show venues averaged. Capacity sold = 100% on all 5 Loop shows.</t>
  </si>
  <si>
    <t xml:space="preserve">Pollstar Boxoffice, 4/30/2026</t>
  </si>
  <si>
    <t xml:space="preserve">Currency</t>
  </si>
  <si>
    <t xml:space="preserve">All Pollstar gross figures reported in USD. Ticket prices in USD.</t>
  </si>
  <si>
    <t xml:space="preserve">Pollstar Boxoffice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</si>
</sst>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-#,##0;&quot;n/a&quot;"/>
    <numFmt numFmtId="166" formatCode="#,##0;\(#,##0\)"/>
    <numFmt numFmtId="167" formatCode="0.0%;\(0.0%\)"/>
    <numFmt numFmtId="168" formatCode="#,##0"/>
    <numFmt numFmtId="169" formatCode="0%"/>
    <numFmt numFmtId="170" formatCode="0.0\x"/>
    <numFmt numFmtId="171" formatCode="\$#,##0"/>
    <numFmt numFmtId="172" formatCode="\$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6" min="3" style="1" width="14"/>
    <col collapsed="false" customWidth="true" hidden="false" outlineLevel="0" max="7" min="7" style="1" width="50"/>
    <col collapsed="false" customWidth="true" hidden="false" outlineLevel="0" max="8" min="8" style="1" width="3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6" t="n">
        <v>2011</v>
      </c>
      <c r="C5" s="7"/>
      <c r="D5" s="7"/>
      <c r="E5" s="6" t="s">
        <v>11</v>
      </c>
      <c r="F5" s="6" t="s">
        <v>12</v>
      </c>
      <c r="G5" s="5" t="s">
        <v>13</v>
      </c>
      <c r="H5" s="5" t="s">
        <v>14</v>
      </c>
    </row>
    <row r="6" customFormat="false" ht="15" hidden="false" customHeight="true" outlineLevel="0" collapsed="false">
      <c r="A6" s="5" t="s">
        <v>15</v>
      </c>
      <c r="B6" s="6" t="n">
        <v>2014</v>
      </c>
      <c r="C6" s="7" t="n">
        <v>210000</v>
      </c>
      <c r="D6" s="7" t="n">
        <v>180000</v>
      </c>
      <c r="E6" s="6" t="s">
        <v>12</v>
      </c>
      <c r="F6" s="6" t="s">
        <v>12</v>
      </c>
      <c r="G6" s="5" t="s">
        <v>16</v>
      </c>
      <c r="H6" s="5" t="s">
        <v>17</v>
      </c>
    </row>
    <row r="7" customFormat="false" ht="15" hidden="false" customHeight="true" outlineLevel="0" collapsed="false">
      <c r="A7" s="5" t="s">
        <v>18</v>
      </c>
      <c r="B7" s="6" t="n">
        <v>2017</v>
      </c>
      <c r="C7" s="7" t="n">
        <v>451000</v>
      </c>
      <c r="D7" s="7" t="n">
        <v>672000</v>
      </c>
      <c r="E7" s="6" t="s">
        <v>12</v>
      </c>
      <c r="F7" s="6" t="s">
        <v>12</v>
      </c>
      <c r="G7" s="5" t="s">
        <v>19</v>
      </c>
      <c r="H7" s="5" t="s">
        <v>20</v>
      </c>
    </row>
    <row r="8" customFormat="false" ht="15" hidden="false" customHeight="true" outlineLevel="0" collapsed="false">
      <c r="A8" s="5" t="s">
        <v>21</v>
      </c>
      <c r="B8" s="6" t="n">
        <v>2019</v>
      </c>
      <c r="C8" s="7" t="n">
        <v>173000</v>
      </c>
      <c r="D8" s="7" t="n">
        <v>90000</v>
      </c>
      <c r="E8" s="6" t="s">
        <v>12</v>
      </c>
      <c r="F8" s="6" t="s">
        <v>12</v>
      </c>
      <c r="G8" s="5" t="s">
        <v>22</v>
      </c>
      <c r="H8" s="5" t="s">
        <v>23</v>
      </c>
    </row>
    <row r="9" customFormat="false" ht="15" hidden="false" customHeight="true" outlineLevel="0" collapsed="false">
      <c r="A9" s="5" t="s">
        <v>24</v>
      </c>
      <c r="B9" s="6" t="n">
        <v>2021</v>
      </c>
      <c r="C9" s="7" t="n">
        <v>118000</v>
      </c>
      <c r="D9" s="7" t="n">
        <v>139107</v>
      </c>
      <c r="E9" s="6" t="s">
        <v>12</v>
      </c>
      <c r="F9" s="6" t="s">
        <v>12</v>
      </c>
      <c r="G9" s="5" t="s">
        <v>25</v>
      </c>
      <c r="H9" s="5" t="s">
        <v>26</v>
      </c>
    </row>
    <row r="10" customFormat="false" ht="15" hidden="false" customHeight="true" outlineLevel="0" collapsed="false">
      <c r="A10" s="5" t="s">
        <v>27</v>
      </c>
      <c r="B10" s="6" t="n">
        <v>2023</v>
      </c>
      <c r="C10" s="7" t="n">
        <v>112000</v>
      </c>
      <c r="D10" s="7" t="n">
        <v>76263</v>
      </c>
      <c r="E10" s="6" t="s">
        <v>28</v>
      </c>
      <c r="F10" s="6" t="s">
        <v>12</v>
      </c>
      <c r="G10" s="5" t="s">
        <v>29</v>
      </c>
      <c r="H10" s="5" t="s">
        <v>30</v>
      </c>
    </row>
    <row r="11" customFormat="false" ht="15" hidden="false" customHeight="true" outlineLevel="0" collapsed="false">
      <c r="A11" s="5" t="s">
        <v>31</v>
      </c>
      <c r="B11" s="6" t="n">
        <v>2023</v>
      </c>
      <c r="C11" s="7"/>
      <c r="D11" s="7" t="n">
        <v>30016</v>
      </c>
      <c r="E11" s="6"/>
      <c r="F11" s="6" t="s">
        <v>12</v>
      </c>
      <c r="G11" s="5" t="s">
        <v>32</v>
      </c>
      <c r="H11" s="5" t="s">
        <v>33</v>
      </c>
    </row>
    <row r="12" customFormat="false" ht="15" hidden="false" customHeight="true" outlineLevel="0" collapsed="false">
      <c r="A12" s="8" t="s">
        <v>34</v>
      </c>
      <c r="B12" s="9" t="n">
        <v>2025</v>
      </c>
      <c r="C12" s="10" t="n">
        <v>71000</v>
      </c>
      <c r="D12" s="10" t="n">
        <v>67654</v>
      </c>
      <c r="E12" s="9" t="s">
        <v>11</v>
      </c>
      <c r="F12" s="9" t="s">
        <v>12</v>
      </c>
      <c r="G12" s="11" t="s">
        <v>35</v>
      </c>
      <c r="H12" s="11" t="s">
        <v>36</v>
      </c>
    </row>
    <row r="14" customFormat="false" ht="15" hidden="false" customHeight="true" outlineLevel="0" collapsed="false">
      <c r="A14" s="12" t="s">
        <v>37</v>
      </c>
      <c r="B14" s="12"/>
      <c r="C14" s="12"/>
      <c r="D14" s="12"/>
      <c r="E14" s="12"/>
      <c r="F14" s="12"/>
      <c r="G14" s="12"/>
      <c r="H14" s="12"/>
    </row>
    <row r="15" customFormat="false" ht="26.25" hidden="false" customHeight="true" outlineLevel="0" collapsed="false">
      <c r="A15" s="4" t="s">
        <v>38</v>
      </c>
      <c r="B15" s="4" t="s">
        <v>39</v>
      </c>
      <c r="C15" s="4" t="s">
        <v>40</v>
      </c>
      <c r="D15" s="4" t="s">
        <v>41</v>
      </c>
      <c r="E15" s="4" t="s">
        <v>42</v>
      </c>
    </row>
    <row r="16" customFormat="false" ht="15" hidden="false" customHeight="true" outlineLevel="0" collapsed="false">
      <c r="A16" s="5" t="s">
        <v>43</v>
      </c>
      <c r="B16" s="13" t="n">
        <f aca="false">C12-C7</f>
        <v>-380000</v>
      </c>
      <c r="C16" s="14" t="n">
        <f aca="false">(C12-C7)/C7</f>
        <v>-0.842572062084257</v>
      </c>
      <c r="D16" s="13" t="n">
        <f aca="false">D12-D7</f>
        <v>-604346</v>
      </c>
      <c r="E16" s="14" t="n">
        <f aca="false">(D12-D7)/D7</f>
        <v>-0.899324404761905</v>
      </c>
    </row>
    <row r="17" customFormat="false" ht="15" hidden="false" customHeight="true" outlineLevel="0" collapsed="false">
      <c r="A17" s="5" t="s">
        <v>44</v>
      </c>
      <c r="B17" s="13" t="n">
        <f aca="false">C12-C9</f>
        <v>-47000</v>
      </c>
      <c r="C17" s="14" t="n">
        <f aca="false">(C12-C9)/C9</f>
        <v>-0.398305084745763</v>
      </c>
      <c r="D17" s="13" t="n">
        <f aca="false">D12-D9</f>
        <v>-71453</v>
      </c>
      <c r="E17" s="14" t="n">
        <f aca="false">(D12-D9)/D9</f>
        <v>-0.513654956256694</v>
      </c>
    </row>
    <row r="18" customFormat="false" ht="15" hidden="false" customHeight="true" outlineLevel="0" collapsed="false">
      <c r="A18" s="5" t="s">
        <v>45</v>
      </c>
      <c r="B18" s="13" t="n">
        <f aca="false">C12-C10</f>
        <v>-41000</v>
      </c>
      <c r="C18" s="14" t="n">
        <f aca="false">(C12-C10)/C10</f>
        <v>-0.366071428571429</v>
      </c>
      <c r="D18" s="13" t="n">
        <f aca="false">D12-D10</f>
        <v>-8609</v>
      </c>
      <c r="E18" s="14" t="n">
        <f aca="false">(D12-D10)/D10</f>
        <v>-0.112885671951012</v>
      </c>
    </row>
  </sheetData>
  <mergeCells count="3">
    <mergeCell ref="A1:H1"/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50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46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47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8</v>
      </c>
      <c r="G4" s="4" t="s">
        <v>9</v>
      </c>
    </row>
    <row r="5" customFormat="false" ht="15" hidden="false" customHeight="true" outlineLevel="0" collapsed="false">
      <c r="A5" s="5" t="s">
        <v>53</v>
      </c>
      <c r="B5" s="6" t="s">
        <v>54</v>
      </c>
      <c r="C5" s="15" t="n">
        <v>4002000</v>
      </c>
      <c r="D5" s="15" t="n">
        <v>680900000</v>
      </c>
      <c r="E5" s="16" t="n">
        <v>0.13</v>
      </c>
      <c r="F5" s="5" t="s">
        <v>55</v>
      </c>
      <c r="G5" s="5" t="s">
        <v>56</v>
      </c>
    </row>
    <row r="6" customFormat="false" ht="15" hidden="false" customHeight="true" outlineLevel="0" collapsed="false">
      <c r="A6" s="5" t="s">
        <v>57</v>
      </c>
      <c r="B6" s="6" t="s">
        <v>58</v>
      </c>
      <c r="C6" s="15" t="n">
        <v>493000</v>
      </c>
      <c r="D6" s="15" t="n">
        <v>462630000</v>
      </c>
      <c r="E6" s="16" t="n">
        <v>0.94</v>
      </c>
      <c r="F6" s="5" t="s">
        <v>59</v>
      </c>
      <c r="G6" s="5" t="s">
        <v>60</v>
      </c>
    </row>
    <row r="7" customFormat="false" ht="15" hidden="false" customHeight="true" outlineLevel="0" collapsed="false">
      <c r="A7" s="5" t="s">
        <v>61</v>
      </c>
      <c r="B7" s="6" t="s">
        <v>62</v>
      </c>
      <c r="C7" s="15" t="n">
        <v>490500</v>
      </c>
      <c r="D7" s="15" t="n">
        <v>171500000</v>
      </c>
      <c r="E7" s="16" t="n">
        <v>0.27</v>
      </c>
      <c r="F7" s="5" t="s">
        <v>63</v>
      </c>
      <c r="G7" s="5" t="s">
        <v>64</v>
      </c>
    </row>
    <row r="8" customFormat="false" ht="15" hidden="false" customHeight="true" outlineLevel="0" collapsed="false">
      <c r="A8" s="5" t="s">
        <v>65</v>
      </c>
      <c r="B8" s="6" t="s">
        <v>66</v>
      </c>
      <c r="C8" s="15" t="n">
        <v>366000</v>
      </c>
      <c r="D8" s="15" t="n">
        <v>184110000</v>
      </c>
      <c r="E8" s="16" t="n">
        <v>0.39</v>
      </c>
      <c r="F8" s="5" t="s">
        <v>67</v>
      </c>
      <c r="G8" s="5" t="s">
        <v>68</v>
      </c>
    </row>
    <row r="9" customFormat="false" ht="15" hidden="false" customHeight="true" outlineLevel="0" collapsed="false">
      <c r="A9" s="8" t="s">
        <v>69</v>
      </c>
      <c r="B9" s="9" t="s">
        <v>70</v>
      </c>
      <c r="C9" s="17" t="n">
        <v>71000</v>
      </c>
      <c r="D9" s="17" t="n">
        <v>25000000</v>
      </c>
      <c r="E9" s="18" t="n">
        <v>0.28</v>
      </c>
      <c r="F9" s="11" t="s">
        <v>71</v>
      </c>
      <c r="G9" s="11" t="s">
        <v>72</v>
      </c>
    </row>
    <row r="11" customFormat="false" ht="15" hidden="false" customHeight="true" outlineLevel="0" collapsed="false">
      <c r="A11" s="12" t="s">
        <v>73</v>
      </c>
      <c r="B11" s="12"/>
      <c r="C11" s="12"/>
      <c r="D11" s="12"/>
      <c r="E11" s="12"/>
      <c r="F11" s="12"/>
      <c r="G11" s="12"/>
    </row>
    <row r="12" customFormat="false" ht="26.25" hidden="false" customHeight="true" outlineLevel="0" collapsed="false">
      <c r="A12" s="4" t="s">
        <v>38</v>
      </c>
      <c r="B12" s="4" t="s">
        <v>74</v>
      </c>
      <c r="C12" s="4" t="s">
        <v>75</v>
      </c>
      <c r="D12" s="4" t="s">
        <v>76</v>
      </c>
    </row>
    <row r="13" customFormat="false" ht="15" hidden="false" customHeight="true" outlineLevel="0" collapsed="false">
      <c r="A13" s="5" t="s">
        <v>65</v>
      </c>
      <c r="B13" s="15" t="n">
        <f aca="false">D8</f>
        <v>184110000</v>
      </c>
      <c r="C13" s="15" t="n">
        <f aca="false">D9</f>
        <v>25000000</v>
      </c>
      <c r="D13" s="19" t="n">
        <f aca="false">D8/D9</f>
        <v>7.3644</v>
      </c>
    </row>
    <row r="14" customFormat="false" ht="15" hidden="false" customHeight="true" outlineLevel="0" collapsed="false">
      <c r="A14" s="5" t="s">
        <v>61</v>
      </c>
      <c r="B14" s="15" t="n">
        <f aca="false">D7</f>
        <v>171500000</v>
      </c>
      <c r="C14" s="15" t="n">
        <f aca="false">D9</f>
        <v>25000000</v>
      </c>
      <c r="D14" s="19" t="n">
        <f aca="false">D7/D9</f>
        <v>6.86</v>
      </c>
    </row>
    <row r="15" customFormat="false" ht="15" hidden="false" customHeight="true" outlineLevel="0" collapsed="false">
      <c r="A15" s="5" t="s">
        <v>57</v>
      </c>
      <c r="B15" s="15" t="n">
        <f aca="false">D6</f>
        <v>462630000</v>
      </c>
      <c r="C15" s="15" t="n">
        <f aca="false">D9</f>
        <v>25000000</v>
      </c>
      <c r="D15" s="19" t="n">
        <f aca="false">D6/D9</f>
        <v>18.5052</v>
      </c>
    </row>
    <row r="16" customFormat="false" ht="15" hidden="false" customHeight="true" outlineLevel="0" collapsed="false">
      <c r="A16" s="5" t="s">
        <v>53</v>
      </c>
      <c r="B16" s="15" t="n">
        <f aca="false">D5</f>
        <v>680900000</v>
      </c>
      <c r="C16" s="15" t="n">
        <f aca="false">D9</f>
        <v>25000000</v>
      </c>
      <c r="D16" s="19" t="n">
        <f aca="false">D5/D9</f>
        <v>27.236</v>
      </c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50"/>
    <col collapsed="false" customWidth="true" hidden="false" outlineLevel="0" max="6" min="6" style="1" width="32"/>
  </cols>
  <sheetData>
    <row r="1" customFormat="false" ht="21.75" hidden="false" customHeight="true" outlineLevel="0" collapsed="false">
      <c r="A1" s="2" t="s">
        <v>77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78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4" t="s">
        <v>79</v>
      </c>
      <c r="B4" s="4" t="s">
        <v>80</v>
      </c>
      <c r="C4" s="4" t="s">
        <v>81</v>
      </c>
      <c r="D4" s="4" t="s">
        <v>82</v>
      </c>
      <c r="E4" s="4" t="s">
        <v>8</v>
      </c>
      <c r="F4" s="4" t="s">
        <v>9</v>
      </c>
    </row>
    <row r="5" customFormat="false" ht="15" hidden="false" customHeight="true" outlineLevel="0" collapsed="false">
      <c r="A5" s="5" t="s">
        <v>83</v>
      </c>
      <c r="B5" s="6" t="s">
        <v>84</v>
      </c>
      <c r="C5" s="6" t="n">
        <v>33</v>
      </c>
      <c r="D5" s="6" t="s">
        <v>85</v>
      </c>
      <c r="E5" s="5" t="s">
        <v>86</v>
      </c>
      <c r="F5" s="5" t="s">
        <v>87</v>
      </c>
    </row>
    <row r="6" customFormat="false" ht="15" hidden="false" customHeight="true" outlineLevel="0" collapsed="false">
      <c r="A6" s="5" t="s">
        <v>88</v>
      </c>
      <c r="B6" s="6" t="s">
        <v>89</v>
      </c>
      <c r="C6" s="6" t="n">
        <v>86</v>
      </c>
      <c r="D6" s="6" t="s">
        <v>90</v>
      </c>
      <c r="E6" s="5" t="s">
        <v>91</v>
      </c>
      <c r="F6" s="5" t="s">
        <v>87</v>
      </c>
    </row>
    <row r="7" customFormat="false" ht="15" hidden="false" customHeight="true" outlineLevel="0" collapsed="false">
      <c r="A7" s="5" t="s">
        <v>92</v>
      </c>
      <c r="B7" s="6" t="s">
        <v>93</v>
      </c>
      <c r="C7" s="6" t="n">
        <v>28</v>
      </c>
      <c r="D7" s="6" t="s">
        <v>94</v>
      </c>
      <c r="E7" s="5" t="s">
        <v>95</v>
      </c>
      <c r="F7" s="5" t="s">
        <v>87</v>
      </c>
    </row>
    <row r="8" customFormat="false" ht="15" hidden="false" customHeight="true" outlineLevel="0" collapsed="false">
      <c r="A8" s="5" t="s">
        <v>96</v>
      </c>
      <c r="B8" s="6" t="s">
        <v>97</v>
      </c>
      <c r="C8" s="6" t="n">
        <v>7</v>
      </c>
      <c r="D8" s="6" t="s">
        <v>90</v>
      </c>
      <c r="E8" s="5" t="s">
        <v>98</v>
      </c>
      <c r="F8" s="5" t="s">
        <v>87</v>
      </c>
    </row>
    <row r="9" customFormat="false" ht="15" hidden="false" customHeight="true" outlineLevel="0" collapsed="false">
      <c r="A9" s="5" t="s">
        <v>99</v>
      </c>
      <c r="B9" s="6" t="s">
        <v>100</v>
      </c>
      <c r="C9" s="6" t="n">
        <v>63</v>
      </c>
      <c r="D9" s="6" t="s">
        <v>90</v>
      </c>
      <c r="E9" s="5" t="s">
        <v>101</v>
      </c>
      <c r="F9" s="5" t="s">
        <v>87</v>
      </c>
    </row>
    <row r="10" customFormat="false" ht="15" hidden="false" customHeight="true" outlineLevel="0" collapsed="false">
      <c r="A10" s="8" t="s">
        <v>102</v>
      </c>
      <c r="B10" s="9" t="s">
        <v>103</v>
      </c>
      <c r="C10" s="9" t="s">
        <v>90</v>
      </c>
      <c r="D10" s="9" t="s">
        <v>90</v>
      </c>
      <c r="E10" s="11" t="s">
        <v>104</v>
      </c>
      <c r="F10" s="11" t="s">
        <v>87</v>
      </c>
    </row>
    <row r="11" customFormat="false" ht="15" hidden="false" customHeight="true" outlineLevel="0" collapsed="false">
      <c r="A11" s="11" t="s">
        <v>105</v>
      </c>
      <c r="B11" s="20" t="s">
        <v>106</v>
      </c>
      <c r="C11" s="20" t="n">
        <v>79</v>
      </c>
      <c r="D11" s="20" t="s">
        <v>90</v>
      </c>
      <c r="E11" s="11" t="s">
        <v>107</v>
      </c>
      <c r="F11" s="11" t="s">
        <v>87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  <col collapsed="false" customWidth="true" hidden="false" outlineLevel="0" max="4" min="4" style="1" width="11"/>
    <col collapsed="false" customWidth="true" hidden="false" outlineLevel="0" max="6" min="5" style="1" width="17"/>
    <col collapsed="false" customWidth="true" hidden="false" outlineLevel="0" max="7" min="7" style="1" width="11"/>
    <col collapsed="false" customWidth="true" hidden="false" outlineLevel="0" max="9" min="8" style="1" width="16"/>
    <col collapsed="false" customWidth="true" hidden="false" outlineLevel="0" max="10" min="10" style="1" width="11"/>
    <col collapsed="false" customWidth="true" hidden="false" outlineLevel="0" max="11" min="11" style="1" width="38"/>
  </cols>
  <sheetData>
    <row r="1" customFormat="false" ht="21.75" hidden="false" customHeight="true" outlineLevel="0" collapsed="false">
      <c r="A1" s="2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1.5" hidden="false" customHeight="true" outlineLevel="0" collapsed="false">
      <c r="A4" s="4" t="s">
        <v>110</v>
      </c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9</v>
      </c>
    </row>
    <row r="5" customFormat="false" ht="15" hidden="false" customHeight="true" outlineLevel="0" collapsed="false">
      <c r="A5" s="5" t="s">
        <v>120</v>
      </c>
      <c r="B5" s="15" t="n">
        <v>85849</v>
      </c>
      <c r="C5" s="15" t="n">
        <v>64060</v>
      </c>
      <c r="D5" s="14" t="n">
        <f aca="false">(C5-B5)/B5</f>
        <v>-0.253806101410616</v>
      </c>
      <c r="E5" s="21" t="n">
        <v>9463945</v>
      </c>
      <c r="F5" s="21" t="n">
        <v>8705571</v>
      </c>
      <c r="G5" s="14" t="n">
        <f aca="false">(F5-E5)/E5</f>
        <v>-0.0801329678057089</v>
      </c>
      <c r="H5" s="22" t="n">
        <v>110.24</v>
      </c>
      <c r="I5" s="22" t="n">
        <v>135.7</v>
      </c>
      <c r="J5" s="14" t="n">
        <f aca="false">(I5-H5)/H5</f>
        <v>0.230950653120464</v>
      </c>
      <c r="K5" s="5" t="s">
        <v>121</v>
      </c>
    </row>
    <row r="6" customFormat="false" ht="15" hidden="false" customHeight="true" outlineLevel="0" collapsed="false">
      <c r="A6" s="5" t="s">
        <v>122</v>
      </c>
      <c r="B6" s="15" t="n">
        <v>59980</v>
      </c>
      <c r="C6" s="15" t="n">
        <v>43906</v>
      </c>
      <c r="D6" s="14" t="n">
        <f aca="false">(C6-B6)/B6</f>
        <v>-0.267989329776592</v>
      </c>
      <c r="E6" s="21" t="n">
        <v>7053913</v>
      </c>
      <c r="F6" s="21" t="n">
        <v>5853403</v>
      </c>
      <c r="G6" s="14" t="n">
        <f aca="false">(F6-E6)/E6</f>
        <v>-0.17019064454013</v>
      </c>
      <c r="H6" s="22" t="n">
        <v>117.6</v>
      </c>
      <c r="I6" s="22" t="n">
        <v>131.63</v>
      </c>
      <c r="J6" s="14" t="n">
        <f aca="false">(I6-H6)/H6</f>
        <v>0.119302721088435</v>
      </c>
      <c r="K6" s="5" t="s">
        <v>121</v>
      </c>
    </row>
    <row r="7" customFormat="false" ht="15" hidden="false" customHeight="true" outlineLevel="0" collapsed="false">
      <c r="A7" s="5" t="s">
        <v>123</v>
      </c>
      <c r="B7" s="15" t="n">
        <v>57631</v>
      </c>
      <c r="C7" s="15" t="n">
        <v>38758</v>
      </c>
      <c r="D7" s="14" t="n">
        <f aca="false">(C7-B7)/B7</f>
        <v>-0.327480002082213</v>
      </c>
      <c r="E7" s="21" t="n">
        <v>6353153</v>
      </c>
      <c r="F7" s="21" t="n">
        <v>5086080</v>
      </c>
      <c r="G7" s="14" t="n">
        <f aca="false">(F7-E7)/E7</f>
        <v>-0.19944002607839</v>
      </c>
      <c r="H7" s="22" t="n">
        <v>110.24</v>
      </c>
      <c r="I7" s="22" t="n">
        <v>130.74</v>
      </c>
      <c r="J7" s="14" t="n">
        <f aca="false">(I7-H7)/H7</f>
        <v>0.185957910014514</v>
      </c>
      <c r="K7" s="5" t="s">
        <v>121</v>
      </c>
    </row>
    <row r="8" customFormat="false" ht="15" hidden="false" customHeight="true" outlineLevel="0" collapsed="false">
      <c r="A8" s="5" t="s">
        <v>124</v>
      </c>
      <c r="B8" s="15" t="n">
        <v>59708</v>
      </c>
      <c r="C8" s="15" t="n">
        <v>50070</v>
      </c>
      <c r="D8" s="14" t="n">
        <f aca="false">(C8-B8)/B8</f>
        <v>-0.161418905339318</v>
      </c>
      <c r="E8" s="21" t="n">
        <v>6640294</v>
      </c>
      <c r="F8" s="21" t="n">
        <v>6964636</v>
      </c>
      <c r="G8" s="14" t="n">
        <f aca="false">(F8-E8)/E8</f>
        <v>0.0488445240527001</v>
      </c>
      <c r="H8" s="22" t="n">
        <v>111.21</v>
      </c>
      <c r="I8" s="22" t="n">
        <v>139.1</v>
      </c>
      <c r="J8" s="14" t="n">
        <f aca="false">(I8-H8)/H8</f>
        <v>0.250786799748224</v>
      </c>
      <c r="K8" s="5" t="s">
        <v>121</v>
      </c>
    </row>
    <row r="9" customFormat="false" ht="15" hidden="false" customHeight="true" outlineLevel="0" collapsed="false">
      <c r="A9" s="5" t="s">
        <v>125</v>
      </c>
      <c r="B9" s="15" t="n">
        <v>47260</v>
      </c>
      <c r="C9" s="15" t="n">
        <v>33990</v>
      </c>
      <c r="D9" s="14" t="n">
        <f aca="false">(C9-B9)/B9</f>
        <v>-0.280787134997884</v>
      </c>
      <c r="E9" s="21" t="n">
        <v>5090208</v>
      </c>
      <c r="F9" s="21" t="n">
        <v>3432990</v>
      </c>
      <c r="G9" s="14" t="n">
        <f aca="false">(F9-E9)/E9</f>
        <v>-0.325569799898157</v>
      </c>
      <c r="H9" s="22" t="n">
        <v>107.71</v>
      </c>
      <c r="I9" s="22" t="n">
        <v>101</v>
      </c>
      <c r="J9" s="14" t="n">
        <f aca="false">(I9-H9)/H9</f>
        <v>-0.0622969083650543</v>
      </c>
      <c r="K9" s="5" t="s">
        <v>121</v>
      </c>
    </row>
    <row r="10" customFormat="false" ht="15" hidden="false" customHeight="true" outlineLevel="0" collapsed="false">
      <c r="A10" s="8" t="s">
        <v>126</v>
      </c>
      <c r="B10" s="17" t="n">
        <f aca="false">AVERAGE(B5:B9)</f>
        <v>62085.6</v>
      </c>
      <c r="C10" s="17" t="n">
        <f aca="false">AVERAGE(C5:C9)</f>
        <v>46156.8</v>
      </c>
      <c r="D10" s="23" t="n">
        <f aca="false">(C10-B10)/B10</f>
        <v>-0.256561908075302</v>
      </c>
      <c r="E10" s="24" t="n">
        <f aca="false">AVERAGE(E5:E9)</f>
        <v>6920302.6</v>
      </c>
      <c r="F10" s="24" t="n">
        <f aca="false">AVERAGE(F5:F9)</f>
        <v>6008536</v>
      </c>
      <c r="G10" s="23" t="n">
        <f aca="false">(F10-E10)/E10</f>
        <v>-0.131752417878374</v>
      </c>
      <c r="H10" s="25" t="n">
        <f aca="false">AVERAGE(H5:H9)</f>
        <v>111.4</v>
      </c>
      <c r="I10" s="25" t="n">
        <f aca="false">AVERAGE(I5:I9)</f>
        <v>127.634</v>
      </c>
      <c r="J10" s="23" t="n">
        <f aca="false">(I10-H10)/H10</f>
        <v>0.14572710951526</v>
      </c>
      <c r="K10" s="8" t="s">
        <v>121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  <col collapsed="false" customWidth="true" hidden="false" outlineLevel="0" max="3" min="3" style="1" width="50"/>
  </cols>
  <sheetData>
    <row r="1" customFormat="false" ht="21.75" hidden="false" customHeight="true" outlineLevel="0" collapsed="false">
      <c r="A1" s="2" t="s">
        <v>127</v>
      </c>
      <c r="B1" s="2"/>
      <c r="C1" s="2"/>
    </row>
    <row r="3" customFormat="false" ht="21.75" hidden="false" customHeight="true" outlineLevel="0" collapsed="false">
      <c r="A3" s="4" t="s">
        <v>128</v>
      </c>
      <c r="B3" s="4" t="s">
        <v>129</v>
      </c>
      <c r="C3" s="4" t="s">
        <v>130</v>
      </c>
    </row>
    <row r="4" customFormat="false" ht="42" hidden="false" customHeight="true" outlineLevel="0" collapsed="false">
      <c r="A4" s="26" t="s">
        <v>131</v>
      </c>
      <c r="B4" s="26" t="s">
        <v>132</v>
      </c>
      <c r="C4" s="26" t="s">
        <v>133</v>
      </c>
    </row>
    <row r="5" customFormat="false" ht="42" hidden="false" customHeight="true" outlineLevel="0" collapsed="false">
      <c r="A5" s="26" t="s">
        <v>134</v>
      </c>
      <c r="B5" s="26" t="s">
        <v>135</v>
      </c>
      <c r="C5" s="26" t="s">
        <v>136</v>
      </c>
    </row>
    <row r="6" customFormat="false" ht="42" hidden="false" customHeight="true" outlineLevel="0" collapsed="false">
      <c r="A6" s="26" t="s">
        <v>137</v>
      </c>
      <c r="B6" s="26" t="s">
        <v>138</v>
      </c>
      <c r="C6" s="26" t="s">
        <v>139</v>
      </c>
    </row>
    <row r="7" customFormat="false" ht="42" hidden="false" customHeight="true" outlineLevel="0" collapsed="false">
      <c r="A7" s="26" t="s">
        <v>140</v>
      </c>
      <c r="B7" s="26" t="s">
        <v>141</v>
      </c>
      <c r="C7" s="26" t="s">
        <v>142</v>
      </c>
    </row>
    <row r="8" customFormat="false" ht="42" hidden="false" customHeight="true" outlineLevel="0" collapsed="false">
      <c r="A8" s="26" t="s">
        <v>143</v>
      </c>
      <c r="B8" s="26" t="s">
        <v>144</v>
      </c>
      <c r="C8" s="26" t="s">
        <v>145</v>
      </c>
    </row>
    <row r="9" customFormat="false" ht="42" hidden="false" customHeight="true" outlineLevel="0" collapsed="false">
      <c r="A9" s="26" t="s">
        <v>146</v>
      </c>
      <c r="B9" s="26" t="s">
        <v>147</v>
      </c>
      <c r="C9" s="26" t="s">
        <v>148</v>
      </c>
    </row>
    <row r="10" customFormat="false" ht="42" hidden="false" customHeight="true" outlineLevel="0" collapsed="false">
      <c r="A10" s="26" t="s">
        <v>149</v>
      </c>
      <c r="B10" s="26" t="s">
        <v>150</v>
      </c>
      <c r="C10" s="26" t="s">
        <v>151</v>
      </c>
    </row>
    <row r="11" customFormat="false" ht="42" hidden="false" customHeight="true" outlineLevel="0" collapsed="false">
      <c r="A11" s="26" t="s">
        <v>152</v>
      </c>
      <c r="B11" s="26" t="s">
        <v>153</v>
      </c>
      <c r="C11" s="26" t="s">
        <v>154</v>
      </c>
    </row>
    <row r="12" customFormat="false" ht="42" hidden="false" customHeight="true" outlineLevel="0" collapsed="false">
      <c r="A12" s="26" t="s">
        <v>155</v>
      </c>
      <c r="B12" s="26" t="s">
        <v>156</v>
      </c>
      <c r="C12" s="26" t="s">
        <v>157</v>
      </c>
    </row>
    <row r="13" customFormat="false" ht="42" hidden="false" customHeight="true" outlineLevel="0" collapsed="false">
      <c r="A13" s="26" t="s">
        <v>158</v>
      </c>
      <c r="B13" s="26" t="s">
        <v>159</v>
      </c>
      <c r="C13" s="26" t="s">
        <v>160</v>
      </c>
    </row>
    <row r="14" customFormat="false" ht="42" hidden="false" customHeight="true" outlineLevel="0" collapsed="false">
      <c r="A14" s="26" t="s">
        <v>161</v>
      </c>
      <c r="B14" s="26" t="s">
        <v>162</v>
      </c>
      <c r="C14" s="26" t="s">
        <v>163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2026-04-30T18:59:29Z</dcterms:created>
  <dc:creator>openpyxl</dc:creator>
  <dc:description/>
  <dc:language>en-US</dc:language>
  <cp:lastModifiedBy/>
  <dcterms:modified xsi:type="dcterms:W3CDTF">2026-04-30T18:59:50Z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