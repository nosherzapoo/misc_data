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ents" sheetId="1" state="visible" r:id="rId3"/>
    <sheet name="Ex12 Superfan premium" sheetId="2" state="visible" r:id="rId4"/>
    <sheet name="Ex13 Premiumis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<sst xmlns="http://schemas.openxmlformats.org/spreadsheetml/2006/main" count="53" uniqueCount="53">
  <si>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t xml:space="preserve">Consumption section: new exhibits</t>
  </si>
  <si>
    <t xml:space="preserve">US Live Entertainment K-Shaped note | growth tailwinds across high-earners and the hoi polloi</t>
  </si>
  <si>
    <t xml:space="preserve">Prepared 1 Jul 2026 | Bernstein analysis</t>
  </si>
  <si>
    <t xml:space="preserve">NEW EXHIBITS IN THIS WORKBOOK</t>
  </si>
  <si>
    <t xml:space="preserve">Exhibit 12</t>
  </si>
  <si>
    <t xml:space="preserve">Superfans monetise at a premium, especially on live (Luminate)</t>
  </si>
  <si>
    <t xml:space="preserve">Tab 'Ex12 Superfan premium'</t>
  </si>
  <si>
    <t xml:space="preserve">Exhibit 13</t>
  </si>
  <si>
    <t xml:space="preserve">The industry is rebuilding capacity for the premium fan (Live Nation)</t>
  </si>
  <si>
    <t xml:space="preserve">Tab 'Ex13 Premiumisation'</t>
  </si>
  <si>
    <t xml:space="preserve">Note: Exhibits 10 (superfan funnel) and 11 (high-earner entertainment spend) already exist in the draft and are not reproduced here. Numbers follow the working draft; renumber for final pagination.</t>
  </si>
  <si>
    <t xml:space="preserve">Exhibit 12: Superfans monetise at a premium, and the gap is widest on live</t>
  </si>
  <si>
    <t xml:space="preserve">US superfans vs the average music listener: monthly spend and propensity to attend and buy.</t>
  </si>
  <si>
    <t xml:space="preserve">A. Monthly spend, superfan vs average listener ($)</t>
  </si>
  <si>
    <t xml:space="preserve">Category</t>
  </si>
  <si>
    <t xml:space="preserve">Superfan</t>
  </si>
  <si>
    <t xml:space="preserve">Avg listener</t>
  </si>
  <si>
    <t xml:space="preserve">Premium</t>
  </si>
  <si>
    <t xml:space="preserve">Live music events</t>
  </si>
  <si>
    <t xml:space="preserve">Physical music purchases</t>
  </si>
  <si>
    <t xml:space="preserve">Note: average-listener live spend implied from Luminate's stated +66% superfan premium ($113 / 1.66 = $68). Physical average $19 disclosed.</t>
  </si>
  <si>
    <t xml:space="preserve">B. Propensity to attend and to buy (%)</t>
  </si>
  <si>
    <t xml:space="preserve">Behaviour</t>
  </si>
  <si>
    <t xml:space="preserve">Superfans</t>
  </si>
  <si>
    <t xml:space="preserve">General listeners</t>
  </si>
  <si>
    <t xml:space="preserve">Gap (pp)</t>
  </si>
  <si>
    <t xml:space="preserve">Would attend favourite artist's show</t>
  </si>
  <si>
    <t xml:space="preserve">Likely to buy artist merchandise</t>
  </si>
  <si>
    <t xml:space="preserve">Superfans spend 66% more on live than the average listener and are far likelier to attend and buy. Funnelling casual listeners up toward this tier is where the incremental revenue and margin sit.</t>
  </si>
  <si>
    <t xml:space="preserve">Source: Luminate 2024 Year-End Music Report (US consumer research). Bernstein analysis.</t>
  </si>
  <si>
    <t xml:space="preserve">Exhibit 13: The industry is rebuilding capacity for the premium fan</t>
  </si>
  <si>
    <t xml:space="preserve">Live Nation: the shift from general admission toward premium, and the onsite spend it unlocks.</t>
  </si>
  <si>
    <t xml:space="preserve">A. Arena capacity mix: from general admission to premium</t>
  </si>
  <si>
    <t xml:space="preserve">Capacity type</t>
  </si>
  <si>
    <t xml:space="preserve">Historic norm</t>
  </si>
  <si>
    <t xml:space="preserve">New-build target</t>
  </si>
  <si>
    <t xml:space="preserve">Premium (suites, boxes, VIP, lounges)</t>
  </si>
  <si>
    <t xml:space="preserve">General admission</t>
  </si>
  <si>
    <t xml:space="preserve">B. Onsite spend and premium monetisation (FY25 / Q1'26)</t>
  </si>
  <si>
    <t xml:space="preserve">Metric</t>
  </si>
  <si>
    <t xml:space="preserve">Value</t>
  </si>
  <si>
    <t xml:space="preserve">Hollywood Palladium onsite spend per fan</t>
  </si>
  <si>
    <t xml:space="preserve">&gt; $100</t>
  </si>
  <si>
    <t xml:space="preserve">Ziggo Dome (Amsterdam) per-fan spend, YoY</t>
  </si>
  <si>
    <t xml:space="preserve">+30%</t>
  </si>
  <si>
    <t xml:space="preserve">Amphitheatre onsite spend growth, FY25</t>
  </si>
  <si>
    <t xml:space="preserve">+6%</t>
  </si>
  <si>
    <t xml:space="preserve">Fans hosted at operated venues, FY25</t>
  </si>
  <si>
    <t xml:space="preserve">65m (+8%)</t>
  </si>
  <si>
    <t xml:space="preserve">Sponsorship AOI, FY25</t>
  </si>
  <si>
    <t xml:space="preserve">$845m (+11%)</t>
  </si>
  <si>
    <t xml:space="preserve">The operator is deliberately re-architecting the room around the high-value fan. Moving from 1% premium capacity toward roughly 30% is the supply-side counterpart to the demand in Exhibit 12: build the premium inventory, then monetise the fan who will pay for it.</t>
  </si>
  <si>
    <t xml:space="preserve">Source: Live Nation FY/Q4 2025 results (19 Feb 2026); Q1 2026 earnings call (5 May 2026), CEO M. Rapino. Bernstein analysis.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</si>
</sst>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+0%"/>
    <numFmt numFmtId="167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2E5496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D6E0F0"/>
        <bgColor rgb="FFD9D9D9"/>
      </patternFill>
    </fill>
    <fill>
      <patternFill patternType="solid">
        <fgColor rgb="FFE2EFDA"/>
        <bgColor rgb="FFD6E0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DC3E6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spend: superfan vs average listener ($)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'Ex12 Superfan premium'!C6</c:f>
              <c:strCache>
                <c:ptCount val="1"/>
                <c:pt idx="0">
                  <c:v>Superfan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'Ex12 Superfan premium'!$B$7:$B$8</c:f>
              <c:strCache>
                <c:ptCount val="2"/>
                <c:pt idx="0">
                  <c:v>Live music events</c:v>
                </c:pt>
                <c:pt idx="1">
                  <c:v>Physical music purchases</c:v>
                </c:pt>
              </c:strCache>
            </c:strRef>
          </c:cat>
          <c:val>
            <c:numRef>
              <c:f>'Ex12 Superfan premium'!$C$7:$C$8</c:f>
              <c:numCache>
                <c:formatCode>\$#,##0</c:formatCode>
                <c:ptCount val="2"/>
                <c:pt idx="0">
                  <c:v>113</c:v>
                </c:pt>
                <c:pt idx="1">
                  <c:v>39</c:v>
                </c:pt>
              </c:numCache>
            </c:numRef>
          </c:val>
        </c:ser>
        <c:ser>
          <c:idx val="1"/>
          <c:order val="1"/>
          <c:tx>
            <c:strRef>
              <c:f>'Ex12 Superfan premium'!D6</c:f>
              <c:strCache>
                <c:ptCount val="1"/>
                <c:pt idx="0">
                  <c:v>Avg listener</c:v>
                </c:pt>
              </c:strCache>
            </c:strRef>
          </c:tx>
          <c:spPr>
            <a:solidFill>
              <a:srgbClr val="bfbfb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'Ex12 Superfan premium'!$B$7:$B$8</c:f>
              <c:strCache>
                <c:ptCount val="2"/>
                <c:pt idx="0">
                  <c:v>Live music events</c:v>
                </c:pt>
                <c:pt idx="1">
                  <c:v>Physical music purchases</c:v>
                </c:pt>
              </c:strCache>
            </c:strRef>
          </c:cat>
          <c:val>
            <c:numRef>
              <c:f>'Ex12 Superfan premium'!$D$7:$D$8</c:f>
              <c:numCache>
                <c:formatCode>\$#,##0</c:formatCode>
                <c:ptCount val="2"/>
                <c:pt idx="0">
                  <c:v>68</c:v>
                </c:pt>
                <c:pt idx="1">
                  <c:v>19</c:v>
                </c:pt>
              </c:numCache>
            </c:numRef>
          </c:val>
        </c:ser>
        <c:gapWidth val="150"/>
        <c:overlap val="0"/>
        <c:axId val="86469549"/>
        <c:axId val="9914827"/>
      </c:barChart>
      <c:catAx>
        <c:axId val="8646954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14827"/>
        <c:crosses val="autoZero"/>
        <c:auto val="1"/>
        <c:lblAlgn val="ctr"/>
        <c:lblOffset val="100"/>
        <c:noMultiLvlLbl val="0"/>
      </c:catAx>
      <c:valAx>
        <c:axId val="9914827"/>
        <c:scaling>
          <c:orientation val="minMax"/>
        </c:scaling>
        <c:delete val="0"/>
        <c:axPos val="l"/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695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Arena capacity mix: historic vs new-build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'Ex13 Premiumisation'!C6</c:f>
              <c:strCache>
                <c:ptCount val="1"/>
                <c:pt idx="0">
                  <c:v>Historic norm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'Ex13 Premiumisation'!$B$7:$B$8</c:f>
              <c:strCache>
                <c:ptCount val="2"/>
                <c:pt idx="0">
                  <c:v>Premium (suites, boxes, VIP, lounges)</c:v>
                </c:pt>
                <c:pt idx="1">
                  <c:v>General admission</c:v>
                </c:pt>
              </c:strCache>
            </c:strRef>
          </c:cat>
          <c:val>
            <c:numRef>
              <c:f>'Ex13 Premiumisation'!$C$7:$C$8</c:f>
              <c:numCache>
                <c:formatCode>0%</c:formatCode>
                <c:ptCount val="2"/>
                <c:pt idx="0">
                  <c:v>0.01</c:v>
                </c:pt>
                <c:pt idx="1">
                  <c:v>0.99</c:v>
                </c:pt>
              </c:numCache>
            </c:numRef>
          </c:val>
        </c:ser>
        <c:ser>
          <c:idx val="1"/>
          <c:order val="1"/>
          <c:tx>
            <c:strRef>
              <c:f>'Ex13 Premiumisation'!D6</c:f>
              <c:strCache>
                <c:ptCount val="1"/>
                <c:pt idx="0">
                  <c:v>New-build target</c:v>
                </c:pt>
              </c:strCache>
            </c:strRef>
          </c:tx>
          <c:spPr>
            <a:solidFill>
              <a:srgbClr val="9dc3e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'Ex13 Premiumisation'!$B$7:$B$8</c:f>
              <c:strCache>
                <c:ptCount val="2"/>
                <c:pt idx="0">
                  <c:v>Premium (suites, boxes, VIP, lounges)</c:v>
                </c:pt>
                <c:pt idx="1">
                  <c:v>General admission</c:v>
                </c:pt>
              </c:strCache>
            </c:strRef>
          </c:cat>
          <c:val>
            <c:numRef>
              <c:f>'Ex13 Premiumisation'!$D$7:$D$8</c:f>
              <c:numCache>
                <c:formatCode>0%</c:formatCode>
                <c:ptCount val="2"/>
                <c:pt idx="0">
                  <c:v>0.3</c:v>
                </c:pt>
                <c:pt idx="1">
                  <c:v>0.7</c:v>
                </c:pt>
              </c:numCache>
            </c:numRef>
          </c:val>
        </c:ser>
        <c:gapWidth val="150"/>
        <c:overlap val="100"/>
        <c:axId val="16496302"/>
        <c:axId val="343009"/>
      </c:barChart>
      <c:catAx>
        <c:axId val="164963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3009"/>
        <c:crosses val="autoZero"/>
        <c:auto val="1"/>
        <c:lblAlgn val="ctr"/>
        <c:lblOffset val="100"/>
        <c:noMultiLvlLbl val="0"/>
      </c:catAx>
      <c:valAx>
        <c:axId val="343009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4963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399240</xdr:colOff>
      <xdr:row>15</xdr:row>
      <xdr:rowOff>244080</xdr:rowOff>
    </xdr:to>
    <xdr:graphicFrame>
      <xdr:nvGraphicFramePr>
        <xdr:cNvPr id="0" name="Chart 1"/>
        <xdr:cNvGraphicFramePr/>
      </xdr:nvGraphicFramePr>
      <xdr:xfrm>
        <a:off x="10127160" y="762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160920</xdr:rowOff>
    </xdr:from>
    <xdr:to>
      <xdr:col>16</xdr:col>
      <xdr:colOff>399240</xdr:colOff>
      <xdr:row>16</xdr:row>
      <xdr:rowOff>53280</xdr:rowOff>
    </xdr:to>
    <xdr:graphicFrame>
      <xdr:nvGraphicFramePr>
        <xdr:cNvPr id="1" name="Chart 1"/>
        <xdr:cNvGraphicFramePr/>
      </xdr:nvGraphicFramePr>
      <xdr:xfrm>
        <a:off x="10409040" y="762120"/>
        <a:ext cx="46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5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6" customFormat="false" ht="15" hidden="false" customHeight="true" outlineLevel="0" collapsed="false">
      <c r="B6" s="4" t="s">
        <v>3</v>
      </c>
      <c r="C6" s="4"/>
      <c r="D6" s="4"/>
      <c r="E6" s="4"/>
      <c r="F6" s="4"/>
      <c r="G6" s="4"/>
      <c r="H6" s="4"/>
      <c r="I6" s="4"/>
    </row>
    <row r="7" customFormat="false" ht="15" hidden="false" customHeight="true" outlineLevel="0" collapsed="false">
      <c r="B7" s="5" t="s">
        <v>4</v>
      </c>
      <c r="C7" s="6" t="s">
        <v>5</v>
      </c>
      <c r="D7" s="6"/>
      <c r="E7" s="6"/>
      <c r="F7" s="6"/>
      <c r="G7" s="6"/>
      <c r="H7" s="7" t="s">
        <v>6</v>
      </c>
      <c r="I7" s="7"/>
    </row>
    <row r="8" customFormat="false" ht="15" hidden="false" customHeight="true" outlineLevel="0" collapsed="false">
      <c r="B8" s="5" t="s">
        <v>7</v>
      </c>
      <c r="C8" s="6" t="s">
        <v>8</v>
      </c>
      <c r="D8" s="6"/>
      <c r="E8" s="6"/>
      <c r="F8" s="6"/>
      <c r="G8" s="6"/>
      <c r="H8" s="7" t="s">
        <v>9</v>
      </c>
      <c r="I8" s="7"/>
    </row>
    <row r="10" customFormat="false" ht="19.4" hidden="false" customHeight="true" outlineLevel="0" collapsed="false">
      <c r="B10" s="7" t="s">
        <v>10</v>
      </c>
      <c r="C10" s="7"/>
      <c r="D10" s="7"/>
      <c r="E10" s="7"/>
      <c r="F10" s="7"/>
      <c r="G10" s="7"/>
      <c r="H10" s="7"/>
      <c r="I10" s="7"/>
    </row>
  </sheetData>
  <mergeCells count="9">
    <mergeCell ref="B2:I2"/>
    <mergeCell ref="B3:I3"/>
    <mergeCell ref="B4:I4"/>
    <mergeCell ref="B6:I6"/>
    <mergeCell ref="C7:G7"/>
    <mergeCell ref="H7:I7"/>
    <mergeCell ref="C8:G8"/>
    <mergeCell ref="H8:I8"/>
    <mergeCell ref="B10:I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8" min="3" style="0" width="15"/>
  </cols>
  <sheetData>
    <row r="2" customFormat="false" ht="17.35" hidden="false" customHeight="true" outlineLevel="0" collapsed="false">
      <c r="B2" s="8" t="s">
        <v>11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12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0" t="s">
        <v>13</v>
      </c>
    </row>
    <row r="6" customFormat="false" ht="15" hidden="false" customHeight="false" outlineLevel="0" collapsed="false">
      <c r="B6" s="11" t="s">
        <v>14</v>
      </c>
      <c r="C6" s="11" t="s">
        <v>15</v>
      </c>
      <c r="D6" s="11" t="s">
        <v>16</v>
      </c>
      <c r="E6" s="11" t="s">
        <v>17</v>
      </c>
    </row>
    <row r="7" customFormat="false" ht="15" hidden="false" customHeight="false" outlineLevel="0" collapsed="false">
      <c r="B7" s="12" t="s">
        <v>18</v>
      </c>
      <c r="C7" s="13" t="n">
        <v>113</v>
      </c>
      <c r="D7" s="13" t="n">
        <v>68</v>
      </c>
      <c r="E7" s="14" t="n">
        <f aca="false">C7/D7-1</f>
        <v>0.661764705882353</v>
      </c>
    </row>
    <row r="8" customFormat="false" ht="15" hidden="false" customHeight="false" outlineLevel="0" collapsed="false">
      <c r="B8" s="12" t="s">
        <v>19</v>
      </c>
      <c r="C8" s="13" t="n">
        <v>39</v>
      </c>
      <c r="D8" s="13" t="n">
        <v>19</v>
      </c>
      <c r="E8" s="14" t="n">
        <f aca="false">C8/D8-1</f>
        <v>1.05263157894737</v>
      </c>
    </row>
    <row r="9" customFormat="false" ht="15" hidden="false" customHeight="true" outlineLevel="0" collapsed="false">
      <c r="B9" s="7" t="s">
        <v>20</v>
      </c>
      <c r="C9" s="7"/>
      <c r="D9" s="7"/>
      <c r="E9" s="7"/>
      <c r="F9" s="7"/>
      <c r="G9" s="7"/>
      <c r="H9" s="7"/>
    </row>
    <row r="11" customFormat="false" ht="15" hidden="false" customHeight="false" outlineLevel="0" collapsed="false">
      <c r="B11" s="10" t="s">
        <v>21</v>
      </c>
    </row>
    <row r="12" customFormat="false" ht="26.85" hidden="false" customHeight="false" outlineLevel="0" collapsed="false">
      <c r="B12" s="15" t="s">
        <v>22</v>
      </c>
      <c r="C12" s="15" t="s">
        <v>23</v>
      </c>
      <c r="D12" s="15" t="s">
        <v>24</v>
      </c>
      <c r="E12" s="15" t="s">
        <v>25</v>
      </c>
    </row>
    <row r="13" customFormat="false" ht="15" hidden="false" customHeight="false" outlineLevel="0" collapsed="false">
      <c r="B13" s="12" t="s">
        <v>26</v>
      </c>
      <c r="C13" s="16" t="n">
        <v>0.9</v>
      </c>
      <c r="D13" s="16" t="n">
        <v>0.59</v>
      </c>
      <c r="E13" s="17" t="n">
        <f aca="false">(C13-D13)</f>
        <v>0.31</v>
      </c>
    </row>
    <row r="14" customFormat="false" ht="15" hidden="false" customHeight="false" outlineLevel="0" collapsed="false">
      <c r="B14" s="12" t="s">
        <v>27</v>
      </c>
      <c r="C14" s="16" t="n">
        <v>0.73</v>
      </c>
      <c r="D14" s="16" t="n">
        <v>0.26</v>
      </c>
      <c r="E14" s="17" t="n">
        <f aca="false">(C14-D14)</f>
        <v>0.47</v>
      </c>
    </row>
    <row r="16" customFormat="false" ht="23.85" hidden="false" customHeight="true" outlineLevel="0" collapsed="false">
      <c r="B16" s="18" t="s">
        <v>28</v>
      </c>
      <c r="C16" s="18"/>
      <c r="D16" s="18"/>
      <c r="E16" s="18"/>
      <c r="F16" s="18"/>
      <c r="G16" s="18"/>
      <c r="H16" s="18"/>
    </row>
    <row r="17" customFormat="false" ht="10.4" hidden="false" customHeight="true" outlineLevel="0" collapsed="false">
      <c r="B17" s="7" t="s">
        <v>29</v>
      </c>
      <c r="C17" s="7"/>
      <c r="D17" s="7"/>
      <c r="E17" s="7"/>
      <c r="F17" s="7"/>
      <c r="G17" s="7"/>
      <c r="H17" s="7"/>
    </row>
  </sheetData>
  <mergeCells count="5">
    <mergeCell ref="B2:H2"/>
    <mergeCell ref="B3:H3"/>
    <mergeCell ref="B9:H9"/>
    <mergeCell ref="B16:H16"/>
    <mergeCell ref="B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8" min="3" style="0" width="15"/>
  </cols>
  <sheetData>
    <row r="2" customFormat="false" ht="17.35" hidden="false" customHeight="true" outlineLevel="0" collapsed="false">
      <c r="B2" s="8" t="s">
        <v>30</v>
      </c>
      <c r="C2" s="8"/>
      <c r="D2" s="8"/>
      <c r="E2" s="8"/>
      <c r="F2" s="8"/>
      <c r="G2" s="8"/>
      <c r="H2" s="8"/>
    </row>
    <row r="3" customFormat="false" ht="15" hidden="false" customHeight="true" outlineLevel="0" collapsed="false">
      <c r="B3" s="9" t="s">
        <v>31</v>
      </c>
      <c r="C3" s="9"/>
      <c r="D3" s="9"/>
      <c r="E3" s="9"/>
      <c r="F3" s="9"/>
      <c r="G3" s="9"/>
      <c r="H3" s="9"/>
    </row>
    <row r="5" customFormat="false" ht="15" hidden="false" customHeight="false" outlineLevel="0" collapsed="false">
      <c r="B5" s="10" t="s">
        <v>32</v>
      </c>
    </row>
    <row r="6" customFormat="false" ht="26.85" hidden="false" customHeight="false" outlineLevel="0" collapsed="false">
      <c r="B6" s="11" t="s">
        <v>33</v>
      </c>
      <c r="C6" s="11" t="s">
        <v>34</v>
      </c>
      <c r="D6" s="11" t="s">
        <v>35</v>
      </c>
    </row>
    <row r="7" customFormat="false" ht="15" hidden="false" customHeight="false" outlineLevel="0" collapsed="false">
      <c r="B7" s="19" t="s">
        <v>36</v>
      </c>
      <c r="C7" s="20" t="n">
        <v>0.01</v>
      </c>
      <c r="D7" s="20" t="n">
        <v>0.3</v>
      </c>
    </row>
    <row r="8" customFormat="false" ht="15" hidden="false" customHeight="false" outlineLevel="0" collapsed="false">
      <c r="B8" s="12" t="s">
        <v>37</v>
      </c>
      <c r="C8" s="16" t="n">
        <v>0.99</v>
      </c>
      <c r="D8" s="16" t="n">
        <v>0.7</v>
      </c>
    </row>
    <row r="10" customFormat="false" ht="15" hidden="false" customHeight="false" outlineLevel="0" collapsed="false">
      <c r="B10" s="10" t="s">
        <v>38</v>
      </c>
    </row>
    <row r="11" customFormat="false" ht="15" hidden="false" customHeight="false" outlineLevel="0" collapsed="false">
      <c r="B11" s="15" t="s">
        <v>39</v>
      </c>
      <c r="C11" s="15" t="s">
        <v>40</v>
      </c>
    </row>
    <row r="12" customFormat="false" ht="15" hidden="false" customHeight="false" outlineLevel="0" collapsed="false">
      <c r="B12" s="12" t="s">
        <v>41</v>
      </c>
      <c r="C12" s="21" t="s">
        <v>42</v>
      </c>
    </row>
    <row r="13" customFormat="false" ht="15" hidden="false" customHeight="false" outlineLevel="0" collapsed="false">
      <c r="B13" s="12" t="s">
        <v>43</v>
      </c>
      <c r="C13" s="21" t="s">
        <v>44</v>
      </c>
    </row>
    <row r="14" customFormat="false" ht="15" hidden="false" customHeight="false" outlineLevel="0" collapsed="false">
      <c r="B14" s="12" t="s">
        <v>45</v>
      </c>
      <c r="C14" s="21" t="s">
        <v>46</v>
      </c>
    </row>
    <row r="15" customFormat="false" ht="15" hidden="false" customHeight="false" outlineLevel="0" collapsed="false">
      <c r="B15" s="12" t="s">
        <v>47</v>
      </c>
      <c r="C15" s="21" t="s">
        <v>48</v>
      </c>
    </row>
    <row r="16" customFormat="false" ht="15" hidden="false" customHeight="false" outlineLevel="0" collapsed="false">
      <c r="B16" s="12" t="s">
        <v>49</v>
      </c>
      <c r="C16" s="21" t="s">
        <v>50</v>
      </c>
    </row>
    <row r="18" customFormat="false" ht="23.85" hidden="false" customHeight="true" outlineLevel="0" collapsed="false">
      <c r="B18" s="18" t="s">
        <v>51</v>
      </c>
      <c r="C18" s="18"/>
      <c r="D18" s="18"/>
      <c r="E18" s="18"/>
      <c r="F18" s="18"/>
      <c r="G18" s="18"/>
      <c r="H18" s="18"/>
    </row>
    <row r="19" customFormat="false" ht="15" hidden="false" customHeight="true" outlineLevel="0" collapsed="false">
      <c r="B19" s="7" t="s">
        <v>52</v>
      </c>
      <c r="C19" s="7"/>
      <c r="D19" s="7"/>
      <c r="E19" s="7"/>
      <c r="F19" s="7"/>
      <c r="G19" s="7"/>
      <c r="H19" s="7"/>
    </row>
  </sheetData>
  <mergeCells count="4">
    <mergeCell ref="B2:H2"/>
    <mergeCell ref="B3:H3"/>
    <mergeCell ref="B18:H18"/>
    <mergeCell ref="B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2026-07-01T18:14:48Z</dcterms:created>
  <dc:creator>openpyxl</dc:creator>
  <dc:description/>
  <dc:language>en-US</dc:language>
  <cp:lastModifiedBy/>
  <dcterms:modified xsi:type="dcterms:W3CDTF">2026-07-01T18:14:51Z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