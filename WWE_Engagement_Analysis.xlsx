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Q1 Headline Metrics" sheetId="2" state="visible" r:id="rId4"/>
    <sheet name="Same-Venue Q1" sheetId="3" state="visible" r:id="rId5"/>
    <sheet name="Premium Tier" sheetId="4" state="visible" r:id="rId6"/>
    <sheet name="Pricing Spread" sheetId="5" state="visible" r:id="rId7"/>
    <sheet name="Sellout Rate" sheetId="6" state="visible" r:id="rId8"/>
    <sheet name="Floor Pricing" sheetId="7" state="visible" r:id="rId9"/>
    <sheet name="Secondary Markets" sheetId="8" state="visible" r:id="rId10"/>
    <sheet name="New Venues 2026" sheetId="9" state="visible" r:id="rId11"/>
    <sheet name="Bell Centre Detail" sheetId="10" state="visible" r:id="rId12"/>
    <sheet name="Q1 26 Detail" sheetId="11" state="visible" r:id="rId13"/>
    <sheet name="Bull Case Summary" sheetId="12" state="visible" r:id="rId14"/>
    <sheet name="Raw Data"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<sst xmlns="http://schemas.openxmlformats.org/spreadsheetml/2006/main" count="1156" uniqueCount="350">
  <si>
    <t xml:space="preserve">WWE Engagement Analysis: Q1 Like-for-Like, 2022 to 2026</t>
  </si>
  <si>
    <t xml:space="preserve">Source: Pollstar Boxoffice data, promoter ID 381521 (World Wrestling Entertainment)</t>
  </si>
  <si>
    <t xml:space="preserve">Data range: January 1, 2022 to March 23, 2026; total 289 events captured</t>
  </si>
  <si>
    <t xml:space="preserve">Workbook structure</t>
  </si>
  <si>
    <t xml:space="preserve">Q1 Headline Metrics</t>
  </si>
  <si>
    <t xml:space="preserve">Q1-vs-Q1 trajectory across 5 years on key engagement metrics, top event excluded</t>
  </si>
  <si>
    <t xml:space="preserve">Same-Venue Q1</t>
  </si>
  <si>
    <t xml:space="preserve">6 venues that hosted WWE in Q1 of 3+ years, with first-to-last gross/$/tkt/$max growth</t>
  </si>
  <si>
    <t xml:space="preserve">Premium Tier</t>
  </si>
  <si>
    <t xml:space="preserve">Count of Q1 events by top-ticket bucket ($500+, $1K+, $1.5K+) by year</t>
  </si>
  <si>
    <t xml:space="preserve">Pricing Spread</t>
  </si>
  <si>
    <t xml:space="preserve">Min/avg/max ticket evolution and the widening spread ratio</t>
  </si>
  <si>
    <t xml:space="preserve">Sellout Rate</t>
  </si>
  <si>
    <t xml:space="preserve">Share of Q1 events selling 95%+ and 100% capacity by year</t>
  </si>
  <si>
    <t xml:space="preserve">Floor Pricing</t>
  </si>
  <si>
    <t xml:space="preserve">Average min ticket price by year (the cheapest seat is now expensive)</t>
  </si>
  <si>
    <t xml:space="preserve">Secondary Markets</t>
  </si>
  <si>
    <t xml:space="preserve">Capacity-under-12K venues: pricing growth in tier 2/3 markets</t>
  </si>
  <si>
    <t xml:space="preserve">New Venues 2026</t>
  </si>
  <si>
    <t xml:space="preserve">Three Q1 26 first-ever appearances and how they priced</t>
  </si>
  <si>
    <t xml:space="preserve">Bell Centre Detail</t>
  </si>
  <si>
    <t xml:space="preserve">International read: Montreal trajectory across all visits</t>
  </si>
  <si>
    <t xml:space="preserve">Q1 26 Detail</t>
  </si>
  <si>
    <t xml:space="preserve">All 10 Q1 2026 events with full pricing and venue detail</t>
  </si>
  <si>
    <t xml:space="preserve">Bull Case Summary</t>
  </si>
  <si>
    <t xml:space="preserve">Top bullish takeaways with supporting numbers</t>
  </si>
  <si>
    <t xml:space="preserve">Raw Data</t>
  </si>
  <si>
    <t xml:space="preserve">All 289 events as captured from Pollstar</t>
  </si>
  <si>
    <t xml:space="preserve">Key methodology decision</t>
  </si>
  <si>
    <t xml:space="preserve">Top-grossing event removed each year to neutralize PLE timing. Royal Rumble was at Intuit Dome (US) in Q1 25 but in Saudi Arabia in Q1 26 (international, not in US Pollstar feed). This adjustment makes the Q1-vs-Q1 read genuinely apples-to-apples.</t>
  </si>
  <si>
    <t xml:space="preserve">WWE Q1 Like-for-Like (Top Event Excluded Each Year)</t>
  </si>
  <si>
    <t xml:space="preserve">Source: Pollstar boxoffice data, top-grossing event stripped each year</t>
  </si>
  <si>
    <t xml:space="preserve">Metric</t>
  </si>
  <si>
    <t xml:space="preserve">Q1 22</t>
  </si>
  <si>
    <t xml:space="preserve">Q1 23</t>
  </si>
  <si>
    <t xml:space="preserve">Q1 24</t>
  </si>
  <si>
    <t xml:space="preserve">Q1 25</t>
  </si>
  <si>
    <t xml:space="preserve">Q1 26</t>
  </si>
  <si>
    <t xml:space="preserve">Q1 22 to Q1 26</t>
  </si>
  <si>
    <t xml:space="preserve">Sample size (n)</t>
  </si>
  <si>
    <t xml:space="preserve">Avg tickets sold</t>
  </si>
  <si>
    <t xml:space="preserve">Avg gross per show ($)</t>
  </si>
  <si>
    <t xml:space="preserve">Avg capacity sold (%)</t>
  </si>
  <si>
    <t xml:space="preserve">Avg ticket price ($)</t>
  </si>
  <si>
    <t xml:space="preserve">Avg top ticket price ($)</t>
  </si>
  <si>
    <t xml:space="preserve">Avg minimum ticket price ($)</t>
  </si>
  <si>
    <t xml:space="preserve">Sellout rate (95%+ sold)</t>
  </si>
  <si>
    <t xml:space="preserve">Top event removed each year:</t>
  </si>
  <si>
    <t xml:space="preserve">  Q1 2022</t>
  </si>
  <si>
    <t xml:space="preserve">State Farm Arena (Atlanta)</t>
  </si>
  <si>
    <t xml:space="preserve">  Q1 2023</t>
  </si>
  <si>
    <t xml:space="preserve">Wells Fargo Center (Philadelphia)</t>
  </si>
  <si>
    <t xml:space="preserve">  Q1 2024</t>
  </si>
  <si>
    <t xml:space="preserve">Allstate Arena (Rosemont)</t>
  </si>
  <si>
    <t xml:space="preserve">  Q1 2025</t>
  </si>
  <si>
    <t xml:space="preserve">Intuit Dome (Inglewood)</t>
  </si>
  <si>
    <t xml:space="preserve">  Q1 2026</t>
  </si>
  <si>
    <t xml:space="preserve">Barclays Center (Brooklyn)</t>
  </si>
  <si>
    <t xml:space="preserve">Same-Venue Q1 Trajectories (Top Event Excluded Each Year)</t>
  </si>
  <si>
    <t xml:space="preserve">Venues hosting WWE in Q1 of 3+ years; first-to-last comparison</t>
  </si>
  <si>
    <t xml:space="preserve">Venue</t>
  </si>
  <si>
    <t xml:space="preserve">City</t>
  </si>
  <si>
    <t xml:space="preserve">First Q1</t>
  </si>
  <si>
    <t xml:space="preserve">Last Q1</t>
  </si>
  <si>
    <t xml:space="preserve">Gross first</t>
  </si>
  <si>
    <t xml:space="preserve">Gross last</t>
  </si>
  <si>
    <t xml:space="preserve">$/tkt first</t>
  </si>
  <si>
    <t xml:space="preserve">$/tkt last</t>
  </si>
  <si>
    <t xml:space="preserve">TD Garden</t>
  </si>
  <si>
    <t xml:space="preserve">Boston</t>
  </si>
  <si>
    <t xml:space="preserve">Q1 2022</t>
  </si>
  <si>
    <t xml:space="preserve">Q1 2026</t>
  </si>
  <si>
    <t xml:space="preserve">American Airlines Center</t>
  </si>
  <si>
    <t xml:space="preserve">Dallas</t>
  </si>
  <si>
    <t xml:space="preserve">Q1 2024</t>
  </si>
  <si>
    <t xml:space="preserve">State Farm Arena</t>
  </si>
  <si>
    <t xml:space="preserve">Atlanta</t>
  </si>
  <si>
    <t xml:space="preserve">Spectrum Center</t>
  </si>
  <si>
    <t xml:space="preserve">Charlotte</t>
  </si>
  <si>
    <t xml:space="preserve">Q1 2023</t>
  </si>
  <si>
    <t xml:space="preserve">Q1 2025</t>
  </si>
  <si>
    <t xml:space="preserve">Bridgestone Arena</t>
  </si>
  <si>
    <t xml:space="preserve">Nashville</t>
  </si>
  <si>
    <t xml:space="preserve">Mohegan Sun Arena</t>
  </si>
  <si>
    <t xml:space="preserve">Uncasville</t>
  </si>
  <si>
    <t xml:space="preserve">Growth (formula-driven):</t>
  </si>
  <si>
    <t xml:space="preserve">Gross Δ%</t>
  </si>
  <si>
    <t xml:space="preserve">$/tkt Δ%</t>
  </si>
  <si>
    <t xml:space="preserve">Top $ Δ%</t>
  </si>
  <si>
    <t xml:space="preserve">%Sold Δpp</t>
  </si>
  <si>
    <t xml:space="preserve">Inputs (blue) → growth (black formula):</t>
  </si>
  <si>
    <t xml:space="preserve">$max first</t>
  </si>
  <si>
    <t xml:space="preserve">$max last</t>
  </si>
  <si>
    <t xml:space="preserve">Computed growth (formulas):</t>
  </si>
  <si>
    <t xml:space="preserve">Premium Tier: Count of Q1 Events by Top-Ticket Bucket</t>
  </si>
  <si>
    <t xml:space="preserve">Sample post-strip (top event removed each year). Premium tier did not exist before 2025.</t>
  </si>
  <si>
    <t xml:space="preserve">Top ticket bucket</t>
  </si>
  <si>
    <t xml:space="preserve">$500+</t>
  </si>
  <si>
    <t xml:space="preserve">$1,000+</t>
  </si>
  <si>
    <t xml:space="preserve">$1,500+</t>
  </si>
  <si>
    <t xml:space="preserve">Total events (post-strip)</t>
  </si>
  <si>
    <t xml:space="preserve">Share of events with $500+</t>
  </si>
  <si>
    <t xml:space="preserve">Pricing Spread: Min vs Avg vs Max Ticket Price by Q1</t>
  </si>
  <si>
    <t xml:space="preserve">Spread (max:min ratio) is widening sharply, indicating a vertical pricing structure</t>
  </si>
  <si>
    <t xml:space="preserve">Avg minimum ticket ($)</t>
  </si>
  <si>
    <t xml:space="preserve">Avg top ticket ($)</t>
  </si>
  <si>
    <t xml:space="preserve">Max:min spread ratio</t>
  </si>
  <si>
    <t xml:space="preserve">Sellout Rate by Q1 (Top Event Excluded)</t>
  </si>
  <si>
    <t xml:space="preserve">Share of Q1 events selling 95%+ and 100% of capacity</t>
  </si>
  <si>
    <t xml:space="preserve">Events at 95%+ sold</t>
  </si>
  <si>
    <t xml:space="preserve">Events at 100% sold</t>
  </si>
  <si>
    <t xml:space="preserve">Total events</t>
  </si>
  <si>
    <t xml:space="preserve">Sellout rate (95%+), formula</t>
  </si>
  <si>
    <t xml:space="preserve">Perfect sellout rate (100%), formula</t>
  </si>
  <si>
    <t xml:space="preserve">Floor Pricing: Average Minimum Ticket by Q1</t>
  </si>
  <si>
    <t xml:space="preserve">The cheapest seat is now over $50. There is no longer a "loss leader" tier.</t>
  </si>
  <si>
    <t xml:space="preserve">YoY change ($)</t>
  </si>
  <si>
    <t xml:space="preserve">Cumulative growth from Q1 22 (%)</t>
  </si>
  <si>
    <t xml:space="preserve">Secondary Markets: Capacity-Under-12K Venues</t>
  </si>
  <si>
    <t xml:space="preserve">Pricing growth in tier 2/3 markets. Engagement breadth, not just MSG/TD Garden.</t>
  </si>
  <si>
    <t xml:space="preserve">n events (capacity &lt; 12,000)</t>
  </si>
  <si>
    <t xml:space="preserve">New Venues in Q1 2026 (First-Ever Pollstar Appearance)</t>
  </si>
  <si>
    <t xml:space="preserve">These venues priced at premium tier on debut. Pricing premium travels with the brand.</t>
  </si>
  <si>
    <t xml:space="preserve">Date</t>
  </si>
  <si>
    <t xml:space="preserve">Gross</t>
  </si>
  <si>
    <t xml:space="preserve">$/tkt avg</t>
  </si>
  <si>
    <t xml:space="preserve">$/tkt max</t>
  </si>
  <si>
    <t xml:space="preserve">% sold</t>
  </si>
  <si>
    <t xml:space="preserve">Note</t>
  </si>
  <si>
    <t xml:space="preserve">Mortgage Matchup Center</t>
  </si>
  <si>
    <t xml:space="preserve">Phoenix</t>
  </si>
  <si>
    <t xml:space="preserve">First appearance</t>
  </si>
  <si>
    <t xml:space="preserve">Rocket Arena</t>
  </si>
  <si>
    <t xml:space="preserve">Cleveland</t>
  </si>
  <si>
    <t xml:space="preserve">Total Mortgage Arena</t>
  </si>
  <si>
    <t xml:space="preserve">Bridgeport</t>
  </si>
  <si>
    <t xml:space="preserve">Bell Centre Montreal: International Read in the US Pollstar Dataset</t>
  </si>
  <si>
    <t xml:space="preserve">Only international venue with Q1 26 data. Top ticket near $1,000 mirrors US tier-1 markets.</t>
  </si>
  <si>
    <t xml:space="preserve">Tickets</t>
  </si>
  <si>
    <t xml:space="preserve">% Sold</t>
  </si>
  <si>
    <t xml:space="preserve">All Q1 2026 Events (10 events)</t>
  </si>
  <si>
    <t xml:space="preserve">Sorted by date. Every event grossed $577K+. No PLEs in this sample.</t>
  </si>
  <si>
    <t xml:space="preserve">Capacity</t>
  </si>
  <si>
    <t xml:space="preserve">KeyBank Center</t>
  </si>
  <si>
    <t xml:space="preserve">Buffalo</t>
  </si>
  <si>
    <t xml:space="preserve">Barclays Center</t>
  </si>
  <si>
    <t xml:space="preserve">Brooklyn</t>
  </si>
  <si>
    <t xml:space="preserve">Bell Centre</t>
  </si>
  <si>
    <t xml:space="preserve">Montreal</t>
  </si>
  <si>
    <t xml:space="preserve">Average</t>
  </si>
  <si>
    <t xml:space="preserve">Bull Case Summary: WWE Engagement, Q1 Through Q1</t>
  </si>
  <si>
    <t xml:space="preserve">Top takeaways from the Pollstar dataset, ranked by analytical importance</t>
  </si>
  <si>
    <t xml:space="preserve">1. Top ticket price 6x in 4 years</t>
  </si>
  <si>
    <t xml:space="preserve">Avg top ticket Q1 22: $136 → Q1 26: $808 (+496%). Q1 26 alone has 6 events at $500+, 2 at $1,500+. The premium tier did not exist before 2025; WWE has built a luxury experience layer on top of the existing pricing structure.</t>
  </si>
  <si>
    <t xml:space="preserve">2. Pricing spread (max:min) is widening</t>
  </si>
  <si>
    <t xml:space="preserve">Max:min ratio Q1 22: 6.4x → Q1 26: 16.1x. WWE has built a vertical pricing structure characteristic of mature live entertainment categories (F1, NFL premium). Both ends of the curve are healthy.</t>
  </si>
  <si>
    <t xml:space="preserve">3. Floor pricing more than doubled</t>
  </si>
  <si>
    <t xml:space="preserve">Avg minimum ticket Q1 22: $21 → Q1 26: $49 (+133%). Even the cheapest seats now command meaningful prices. No "loss leader" tier remains. Demand at the bottom of the pricing ladder exceeds capacity.</t>
  </si>
  <si>
    <t xml:space="preserve">4. Same-venue evidence rules out mix shift</t>
  </si>
  <si>
    <t xml:space="preserve">6 venues hosted WWE in Q1 of 3+ years. Every single one shows higher gross over time. TD Garden gross +465%, top ticket +1,090% (Q1 22 to Q1 26). State Farm Atlanta gross +119%, top ticket +400% (Q1 24 to Q1 26).</t>
  </si>
  <si>
    <t xml:space="preserve">5. Average gross per show is up 211%</t>
  </si>
  <si>
    <t xml:space="preserve">Avg gross Q1 22: $324K → Q1 26: $1.0M (after stripping top event each year). Even the typical mid-tier weekly TV taping now grosses what 2024 PLEs grossed. The "floor" of WWE engagement is now where the "ceiling" was.</t>
  </si>
  <si>
    <t xml:space="preserve">6. Premium pricing extends to secondary markets</t>
  </si>
  <si>
    <t xml:space="preserve">Capacity-under-12K venues: avg $/tkt Q1 22 $52 → Q1 26 $101 (+94%). The pricing power story is not limited to MSG/TD Garden. Sponsorship value scales with reach.</t>
  </si>
  <si>
    <t xml:space="preserve">7. New venues debut at premium pricing</t>
  </si>
  <si>
    <t xml:space="preserve">Three Q1 26 first-appearance venues (Phoenix, Cleveland, Bridgeport) priced at premium on day one. Phoenix and Boston both hit $1,500 top ticket. The pricing premium travels with the brand IP, not just venue inertia.</t>
  </si>
  <si>
    <t xml:space="preserve">8. International read is consistent with US</t>
  </si>
  <si>
    <t xml:space="preserve">Bell Centre Montreal (only intl venue in Q1 26 sample): top ticket Q1 23 $55-72 → Q1 26 $906-911. International tier-1 venues now mirror US tier-1 pricing dynamics. Validates the FIP/sovereign-funded international thesis.</t>
  </si>
  <si>
    <t xml:space="preserve">9. 1Q26 print confirms downstream economics</t>
  </si>
  <si>
    <t xml:space="preserve">Reported WWE segment Adj EBITDA $256M (+31% Y/Y), margin to 54% from 50%. Pollstar pricing data is consistent with the EBITDA print and is leading rather than lagging. Investors anchoring on TV ratings will miss the value capture.</t>
  </si>
  <si>
    <t xml:space="preserve">Raw Data: All 289 WWE Events from Pollstar</t>
  </si>
  <si>
    <t xml:space="preserve">Source: Pollstar Boxoffice, promoter ID 381521 (World Wrestling Entertainment), 1/1/2022 to 3/23/2026</t>
  </si>
  <si>
    <t xml:space="preserve">Country</t>
  </si>
  <si>
    <t xml:space="preserve">Tickets Sold</t>
  </si>
  <si>
    <t xml:space="preserve">$/tkt min</t>
  </si>
  <si>
    <t xml:space="preserve">United States</t>
  </si>
  <si>
    <t xml:space="preserve">Canada</t>
  </si>
  <si>
    <t xml:space="preserve">CFG Bank Arena</t>
  </si>
  <si>
    <t xml:space="preserve">Baltimore</t>
  </si>
  <si>
    <t xml:space="preserve">Capital One Arena</t>
  </si>
  <si>
    <t xml:space="preserve">Washington</t>
  </si>
  <si>
    <t xml:space="preserve">T-Mobile Center</t>
  </si>
  <si>
    <t xml:space="preserve">Kansas City</t>
  </si>
  <si>
    <t xml:space="preserve">Moody Center</t>
  </si>
  <si>
    <t xml:space="preserve">Austin</t>
  </si>
  <si>
    <t xml:space="preserve">Paycom Center</t>
  </si>
  <si>
    <t xml:space="preserve">Oklahoma City</t>
  </si>
  <si>
    <t xml:space="preserve">Madison Square Garden</t>
  </si>
  <si>
    <t xml:space="preserve">New York</t>
  </si>
  <si>
    <t xml:space="preserve">SAP Center at San Jose</t>
  </si>
  <si>
    <t xml:space="preserve">San Jose</t>
  </si>
  <si>
    <t xml:space="preserve">Honda Center</t>
  </si>
  <si>
    <t xml:space="preserve">Anaheim</t>
  </si>
  <si>
    <t xml:space="preserve">Kia Center</t>
  </si>
  <si>
    <t xml:space="preserve">Orlando</t>
  </si>
  <si>
    <t xml:space="preserve">Gainbridge Fieldhouse</t>
  </si>
  <si>
    <t xml:space="preserve">Indianapolis</t>
  </si>
  <si>
    <t xml:space="preserve">Huntington Center</t>
  </si>
  <si>
    <t xml:space="preserve">Toledo</t>
  </si>
  <si>
    <t xml:space="preserve">Fiserv Forum</t>
  </si>
  <si>
    <t xml:space="preserve">Milwaukee</t>
  </si>
  <si>
    <t xml:space="preserve">Allstate Arena</t>
  </si>
  <si>
    <t xml:space="preserve">Rosemont</t>
  </si>
  <si>
    <t xml:space="preserve">Centre Vidéotron</t>
  </si>
  <si>
    <t xml:space="preserve">Quebec City</t>
  </si>
  <si>
    <t xml:space="preserve">Little Caesars Arena</t>
  </si>
  <si>
    <t xml:space="preserve">Detroit</t>
  </si>
  <si>
    <t xml:space="preserve">Frost Bank Center</t>
  </si>
  <si>
    <t xml:space="preserve">San Antonio</t>
  </si>
  <si>
    <t xml:space="preserve">PHX Arena</t>
  </si>
  <si>
    <t xml:space="preserve">BOK Center</t>
  </si>
  <si>
    <t xml:space="preserve">Tulsa</t>
  </si>
  <si>
    <t xml:space="preserve">Enmarket Arena</t>
  </si>
  <si>
    <t xml:space="preserve">Savannah</t>
  </si>
  <si>
    <t xml:space="preserve">CHI Health Center Omaha</t>
  </si>
  <si>
    <t xml:space="preserve">Omaha</t>
  </si>
  <si>
    <t xml:space="preserve">Dickies Arena</t>
  </si>
  <si>
    <t xml:space="preserve">Fort Worth</t>
  </si>
  <si>
    <t xml:space="preserve">T-Mobile Arena</t>
  </si>
  <si>
    <t xml:space="preserve">Las Vegas</t>
  </si>
  <si>
    <t xml:space="preserve">Golden 1 Center</t>
  </si>
  <si>
    <t xml:space="preserve">Sacramento</t>
  </si>
  <si>
    <t xml:space="preserve">Climate Pledge Arena</t>
  </si>
  <si>
    <t xml:space="preserve">Seattle</t>
  </si>
  <si>
    <t xml:space="preserve">Wells Fargo Center</t>
  </si>
  <si>
    <t xml:space="preserve">Philadelphia</t>
  </si>
  <si>
    <t xml:space="preserve">Pechanga Arena San Diego</t>
  </si>
  <si>
    <t xml:space="preserve">San Diego</t>
  </si>
  <si>
    <t xml:space="preserve">Moda Center</t>
  </si>
  <si>
    <t xml:space="preserve">Portland</t>
  </si>
  <si>
    <t xml:space="preserve">Intuit Dome</t>
  </si>
  <si>
    <t xml:space="preserve">Inglewood</t>
  </si>
  <si>
    <t xml:space="preserve">Footprint Center</t>
  </si>
  <si>
    <t xml:space="preserve">Kaseya Center</t>
  </si>
  <si>
    <t xml:space="preserve">Miami</t>
  </si>
  <si>
    <t xml:space="preserve">Amalie Arena</t>
  </si>
  <si>
    <t xml:space="preserve">Tampa</t>
  </si>
  <si>
    <t xml:space="preserve">INTRUST Bank Arena</t>
  </si>
  <si>
    <t xml:space="preserve">Wichita</t>
  </si>
  <si>
    <t xml:space="preserve">Angel of the Winds Arena</t>
  </si>
  <si>
    <t xml:space="preserve">Everett</t>
  </si>
  <si>
    <t xml:space="preserve">Le Studio TD</t>
  </si>
  <si>
    <t xml:space="preserve">Colonial Life Arena</t>
  </si>
  <si>
    <t xml:space="preserve">Columbia</t>
  </si>
  <si>
    <t xml:space="preserve">Bon Secours Wellness Arena</t>
  </si>
  <si>
    <t xml:space="preserve">Greenville</t>
  </si>
  <si>
    <t xml:space="preserve">Toyota Arena</t>
  </si>
  <si>
    <t xml:space="preserve">Ontario</t>
  </si>
  <si>
    <t xml:space="preserve">Amerant Bank Arena</t>
  </si>
  <si>
    <t xml:space="preserve">Sunrise</t>
  </si>
  <si>
    <t xml:space="preserve">Hertz Arena</t>
  </si>
  <si>
    <t xml:space="preserve">Estero</t>
  </si>
  <si>
    <t xml:space="preserve">Rocket Mortgage Fieldhouse</t>
  </si>
  <si>
    <t xml:space="preserve">Xcel Energy Center</t>
  </si>
  <si>
    <t xml:space="preserve">Saint Paul</t>
  </si>
  <si>
    <t xml:space="preserve">Resch Center</t>
  </si>
  <si>
    <t xml:space="preserve">Green Bay</t>
  </si>
  <si>
    <t xml:space="preserve">Canadian Tire Centre</t>
  </si>
  <si>
    <t xml:space="preserve">Ottawa</t>
  </si>
  <si>
    <t xml:space="preserve">The OVO Hydro</t>
  </si>
  <si>
    <t xml:space="preserve">Glasgow</t>
  </si>
  <si>
    <t xml:space="preserve">United Kingdom</t>
  </si>
  <si>
    <t xml:space="preserve">Westchester County Center</t>
  </si>
  <si>
    <t xml:space="preserve">White Plains</t>
  </si>
  <si>
    <t xml:space="preserve">MVP Arena</t>
  </si>
  <si>
    <t xml:space="preserve">Albany</t>
  </si>
  <si>
    <t xml:space="preserve">Greensboro Coliseum</t>
  </si>
  <si>
    <t xml:space="preserve">Greensboro</t>
  </si>
  <si>
    <t xml:space="preserve">PPG Paints Arena</t>
  </si>
  <si>
    <t xml:space="preserve">Pittsburgh</t>
  </si>
  <si>
    <t xml:space="preserve">SNHU Arena</t>
  </si>
  <si>
    <t xml:space="preserve">Manchester</t>
  </si>
  <si>
    <t xml:space="preserve">Mechanics Bank Arena</t>
  </si>
  <si>
    <t xml:space="preserve">Bakersfield</t>
  </si>
  <si>
    <t xml:space="preserve">Acrisure Arena in Greater Palm Springs</t>
  </si>
  <si>
    <t xml:space="preserve">Palm Desert</t>
  </si>
  <si>
    <t xml:space="preserve">Desert Diamond Arena</t>
  </si>
  <si>
    <t xml:space="preserve">Glendale</t>
  </si>
  <si>
    <t xml:space="preserve">Save Mart Center</t>
  </si>
  <si>
    <t xml:space="preserve">Fresno</t>
  </si>
  <si>
    <t xml:space="preserve">Oakland Arena</t>
  </si>
  <si>
    <t xml:space="preserve">Oakland</t>
  </si>
  <si>
    <t xml:space="preserve">Rupp Arena</t>
  </si>
  <si>
    <t xml:space="preserve">Lexington</t>
  </si>
  <si>
    <t xml:space="preserve">F&amp;M Bank Arena</t>
  </si>
  <si>
    <t xml:space="preserve">Clarksville</t>
  </si>
  <si>
    <t xml:space="preserve">Simmons Bank Arena</t>
  </si>
  <si>
    <t xml:space="preserve">North Little Rock</t>
  </si>
  <si>
    <t xml:space="preserve">Spokane Arena</t>
  </si>
  <si>
    <t xml:space="preserve">Spokane</t>
  </si>
  <si>
    <t xml:space="preserve">MGM Grand Garden Arena</t>
  </si>
  <si>
    <t xml:space="preserve">Wells Fargo Arena</t>
  </si>
  <si>
    <t xml:space="preserve">Des Moines</t>
  </si>
  <si>
    <t xml:space="preserve">Vibrant Arena at The Mark</t>
  </si>
  <si>
    <t xml:space="preserve">Moline</t>
  </si>
  <si>
    <t xml:space="preserve">PPL Center</t>
  </si>
  <si>
    <t xml:space="preserve">Allentown</t>
  </si>
  <si>
    <t xml:space="preserve">Peoria Civic Center Arena</t>
  </si>
  <si>
    <t xml:space="preserve">Peoria</t>
  </si>
  <si>
    <t xml:space="preserve">Ford Center</t>
  </si>
  <si>
    <t xml:space="preserve">Evansville</t>
  </si>
  <si>
    <t xml:space="preserve">Mohegan Sun Arena At Casey Plaza</t>
  </si>
  <si>
    <t xml:space="preserve">Wilkes-Barre</t>
  </si>
  <si>
    <t xml:space="preserve">SAP Center At San Jose</t>
  </si>
  <si>
    <t xml:space="preserve">Norfolk Scope Arena</t>
  </si>
  <si>
    <t xml:space="preserve">Norfolk</t>
  </si>
  <si>
    <t xml:space="preserve">Place Bell</t>
  </si>
  <si>
    <t xml:space="preserve">Laval</t>
  </si>
  <si>
    <t xml:space="preserve">Canada Life Centre</t>
  </si>
  <si>
    <t xml:space="preserve">Winnipeg</t>
  </si>
  <si>
    <t xml:space="preserve">H-E-B Center At Cedar Park</t>
  </si>
  <si>
    <t xml:space="preserve">Cedar Park</t>
  </si>
  <si>
    <t xml:space="preserve">Amway Center</t>
  </si>
  <si>
    <t xml:space="preserve">EagleBank Arena</t>
  </si>
  <si>
    <t xml:space="preserve">Fairfax</t>
  </si>
  <si>
    <t xml:space="preserve">Charleston Coliseum</t>
  </si>
  <si>
    <t xml:space="preserve">Charleston</t>
  </si>
  <si>
    <t xml:space="preserve">Thompson-Boling Arena</t>
  </si>
  <si>
    <t xml:space="preserve">Knoxville</t>
  </si>
  <si>
    <t xml:space="preserve">Crypto.com Arena</t>
  </si>
  <si>
    <t xml:space="preserve">Los Angeles</t>
  </si>
  <si>
    <t xml:space="preserve">SoFi Stadium</t>
  </si>
  <si>
    <t xml:space="preserve">BMO Harris Bank Center</t>
  </si>
  <si>
    <t xml:space="preserve">Rockford</t>
  </si>
  <si>
    <t xml:space="preserve">Coca-Cola Coliseum</t>
  </si>
  <si>
    <t xml:space="preserve">Toronto</t>
  </si>
  <si>
    <t xml:space="preserve">Legacy Arena at the BJCC</t>
  </si>
  <si>
    <t xml:space="preserve">Birmingham</t>
  </si>
  <si>
    <t xml:space="preserve">FedExForum</t>
  </si>
  <si>
    <t xml:space="preserve">Memphis</t>
  </si>
  <si>
    <t xml:space="preserve">FTX Arena</t>
  </si>
  <si>
    <t xml:space="preserve">KFC Yum! Center</t>
  </si>
  <si>
    <t xml:space="preserve">Louisville</t>
  </si>
  <si>
    <t xml:space="preserve">SaskTel Centre</t>
  </si>
  <si>
    <t xml:space="preserve">Saskatoon</t>
  </si>
  <si>
    <t xml:space="preserve">MassMutual Center</t>
  </si>
  <si>
    <t xml:space="preserve">Springfield</t>
  </si>
  <si>
    <t xml:space="preserve">Scotiabank Arena</t>
  </si>
  <si>
    <t xml:space="preserve">Nissan Stadium</t>
  </si>
  <si>
    <t xml:space="preserve">FLA Live Arena</t>
  </si>
  <si>
    <t xml:space="preserve">Payne Arena</t>
  </si>
  <si>
    <t xml:space="preserve">Hidalgo</t>
  </si>
  <si>
    <t xml:space="preserve">Moody Center At The University Of Texas</t>
  </si>
  <si>
    <t xml:space="preserve">CURE Insurance Arena</t>
  </si>
  <si>
    <t xml:space="preserve">Trenton</t>
  </si>
  <si>
    <t xml:space="preserve">Santander Arena</t>
  </si>
  <si>
    <t xml:space="preserve">Reading</t>
  </si>
  <si>
    <t xml:space="preserve">TaxSlayer Center</t>
  </si>
  <si>
    <t xml:space="preserve">VyStar Veterans Mem. Arena</t>
  </si>
  <si>
    <t xml:space="preserve">Jacksonville</t>
  </si>
</sst>
</file>

<file path=xl/styles.xml><?xml version="1.0" encoding="utf-8"?>
<styleSheet xmlns="http://schemas.openxmlformats.org/spreadsheetml/2006/main">
  <numFmts count="8">
    <numFmt numFmtId="164" formatCode="General"/>
    <numFmt numFmtId="165" formatCode="#,##0;\(#,##0\);\-"/>
    <numFmt numFmtId="166" formatCode="\+0%;\-0%;\-"/>
    <numFmt numFmtId="167" formatCode="\$#,##0;&quot;($&quot;#,##0\);\-"/>
    <numFmt numFmtId="168" formatCode="0%"/>
    <numFmt numFmtId="169" formatCode="\+0&quot; pp&quot;;\-0&quot; pp&quot;;\-"/>
    <numFmt numFmtId="170" formatCode="0.0\x"/>
    <numFmt numFmtId="171" formatCode="mm/dd/yyyy"/>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b val="true"/>
      <sz val="12"/>
      <name val="Arial"/>
      <family val="0"/>
      <charset val="1"/>
    </font>
    <font>
      <b val="true"/>
      <sz val="11"/>
      <color rgb="FFFFFFFF"/>
      <name val="Arial"/>
      <family val="0"/>
      <charset val="1"/>
    </font>
    <font>
      <sz val="10"/>
      <color rgb="FF0000FF"/>
      <name val="Arial"/>
      <family val="0"/>
      <charset val="1"/>
    </font>
    <font>
      <sz val="10"/>
      <color rgb="FF00000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70" fontId="11" fillId="0" borderId="0" xfId="0" applyFont="true" applyBorder="false" applyAlignment="true" applyProtection="false">
      <alignment horizontal="right"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90"/>
  </cols>
  <sheetData>
    <row r="2" customFormat="false" ht="17.2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3" t="s">
        <v>2</v>
      </c>
    </row>
    <row r="6" customFormat="false" ht="15" hidden="false" customHeight="true" outlineLevel="0" collapsed="false">
      <c r="B6" s="4" t="s">
        <v>3</v>
      </c>
    </row>
    <row r="7" customFormat="false" ht="15" hidden="false" customHeight="true" outlineLevel="0" collapsed="false">
      <c r="B7" s="4" t="s">
        <v>4</v>
      </c>
    </row>
    <row r="8" customFormat="false" ht="15" hidden="false" customHeight="true" outlineLevel="0" collapsed="false">
      <c r="B8" s="3" t="s">
        <v>5</v>
      </c>
    </row>
    <row r="9" customFormat="false" ht="15" hidden="false" customHeight="true" outlineLevel="0" collapsed="false">
      <c r="B9" s="4" t="s">
        <v>6</v>
      </c>
    </row>
    <row r="10" customFormat="false" ht="15" hidden="false" customHeight="true" outlineLevel="0" collapsed="false">
      <c r="B10" s="3" t="s">
        <v>7</v>
      </c>
    </row>
    <row r="11" customFormat="false" ht="15" hidden="false" customHeight="true" outlineLevel="0" collapsed="false">
      <c r="B11" s="4" t="s">
        <v>8</v>
      </c>
    </row>
    <row r="12" customFormat="false" ht="15" hidden="false" customHeight="true" outlineLevel="0" collapsed="false">
      <c r="B12" s="3" t="s">
        <v>9</v>
      </c>
    </row>
    <row r="13" customFormat="false" ht="15" hidden="false" customHeight="true" outlineLevel="0" collapsed="false">
      <c r="B13" s="4" t="s">
        <v>10</v>
      </c>
    </row>
    <row r="14" customFormat="false" ht="15" hidden="false" customHeight="true" outlineLevel="0" collapsed="false">
      <c r="B14" s="3" t="s">
        <v>11</v>
      </c>
    </row>
    <row r="15" customFormat="false" ht="15" hidden="false" customHeight="true" outlineLevel="0" collapsed="false">
      <c r="B15" s="4" t="s">
        <v>12</v>
      </c>
    </row>
    <row r="16" customFormat="false" ht="15" hidden="false" customHeight="true" outlineLevel="0" collapsed="false">
      <c r="B16" s="3" t="s">
        <v>13</v>
      </c>
    </row>
    <row r="17" customFormat="false" ht="15" hidden="false" customHeight="true" outlineLevel="0" collapsed="false">
      <c r="B17" s="4" t="s">
        <v>14</v>
      </c>
    </row>
    <row r="18" customFormat="false" ht="15" hidden="false" customHeight="true" outlineLevel="0" collapsed="false">
      <c r="B18" s="3" t="s">
        <v>15</v>
      </c>
    </row>
    <row r="19" customFormat="false" ht="15" hidden="false" customHeight="true" outlineLevel="0" collapsed="false">
      <c r="B19" s="4" t="s">
        <v>16</v>
      </c>
    </row>
    <row r="20" customFormat="false" ht="15" hidden="false" customHeight="true" outlineLevel="0" collapsed="false">
      <c r="B20" s="3" t="s">
        <v>17</v>
      </c>
    </row>
    <row r="21" customFormat="false" ht="15" hidden="false" customHeight="true" outlineLevel="0" collapsed="false">
      <c r="B21" s="4" t="s">
        <v>18</v>
      </c>
    </row>
    <row r="22" customFormat="false" ht="15" hidden="false" customHeight="true" outlineLevel="0" collapsed="false">
      <c r="B22" s="3" t="s">
        <v>19</v>
      </c>
    </row>
    <row r="23" customFormat="false" ht="15" hidden="false" customHeight="true" outlineLevel="0" collapsed="false">
      <c r="B23" s="4" t="s">
        <v>20</v>
      </c>
    </row>
    <row r="24" customFormat="false" ht="15" hidden="false" customHeight="true" outlineLevel="0" collapsed="false">
      <c r="B24" s="3" t="s">
        <v>21</v>
      </c>
    </row>
    <row r="25" customFormat="false" ht="15" hidden="false" customHeight="true" outlineLevel="0" collapsed="false">
      <c r="B25" s="4" t="s">
        <v>22</v>
      </c>
    </row>
    <row r="26" customFormat="false" ht="15" hidden="false" customHeight="true" outlineLevel="0" collapsed="false">
      <c r="B26" s="3" t="s">
        <v>23</v>
      </c>
    </row>
    <row r="27" customFormat="false" ht="15" hidden="false" customHeight="true" outlineLevel="0" collapsed="false">
      <c r="B27" s="4" t="s">
        <v>24</v>
      </c>
    </row>
    <row r="28" customFormat="false" ht="15" hidden="false" customHeight="true" outlineLevel="0" collapsed="false">
      <c r="B28" s="3" t="s">
        <v>25</v>
      </c>
    </row>
    <row r="29" customFormat="false" ht="15" hidden="false" customHeight="true" outlineLevel="0" collapsed="false">
      <c r="B29" s="4" t="s">
        <v>26</v>
      </c>
    </row>
    <row r="30" customFormat="false" ht="15" hidden="false" customHeight="true" outlineLevel="0" collapsed="false">
      <c r="B30" s="3" t="s">
        <v>27</v>
      </c>
    </row>
    <row r="32" customFormat="false" ht="15" hidden="false" customHeight="true" outlineLevel="0" collapsed="false">
      <c r="B32" s="4" t="s">
        <v>28</v>
      </c>
    </row>
    <row r="33" customFormat="false" ht="34.5" hidden="false" customHeight="true" outlineLevel="0" collapsed="false">
      <c r="B33"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6" min="2" style="1" width="12"/>
    <col collapsed="false" customWidth="true" hidden="false" outlineLevel="0" max="7" min="7" style="1" width="14"/>
  </cols>
  <sheetData>
    <row r="1" customFormat="false" ht="15" hidden="false" customHeight="true" outlineLevel="0" collapsed="false">
      <c r="A1" s="6" t="s">
        <v>30</v>
      </c>
    </row>
    <row r="2" customFormat="false" ht="15" hidden="false" customHeight="true" outlineLevel="0" collapsed="false">
      <c r="A2" s="3" t="s">
        <v>31</v>
      </c>
    </row>
    <row r="4" customFormat="false" ht="15" hidden="false" customHeight="true" outlineLevel="0" collapsed="false">
      <c r="A4" s="7" t="s">
        <v>32</v>
      </c>
      <c r="B4" s="8" t="s">
        <v>33</v>
      </c>
      <c r="C4" s="8" t="s">
        <v>34</v>
      </c>
      <c r="D4" s="8" t="s">
        <v>35</v>
      </c>
      <c r="E4" s="8" t="s">
        <v>36</v>
      </c>
      <c r="F4" s="8" t="s">
        <v>37</v>
      </c>
      <c r="G4" s="8" t="s">
        <v>38</v>
      </c>
    </row>
    <row r="5" customFormat="false" ht="15" hidden="false" customHeight="true" outlineLevel="0" collapsed="false">
      <c r="A5" s="4" t="s">
        <v>39</v>
      </c>
      <c r="B5" s="9" t="n">
        <v>14</v>
      </c>
      <c r="C5" s="9" t="n">
        <v>25</v>
      </c>
      <c r="D5" s="9" t="n">
        <v>19</v>
      </c>
      <c r="E5" s="9" t="n">
        <v>13</v>
      </c>
      <c r="F5" s="9" t="n">
        <v>9</v>
      </c>
      <c r="G5" s="10" t="n">
        <f aca="false">IFERROR(F5/B5-1,"")</f>
        <v>-0.357142857142857</v>
      </c>
    </row>
    <row r="6" customFormat="false" ht="15" hidden="false" customHeight="true" outlineLevel="0" collapsed="false">
      <c r="A6" s="4" t="s">
        <v>40</v>
      </c>
      <c r="B6" s="9" t="n">
        <v>5735</v>
      </c>
      <c r="C6" s="9" t="n">
        <v>9152</v>
      </c>
      <c r="D6" s="9" t="n">
        <v>8763</v>
      </c>
      <c r="E6" s="9" t="n">
        <v>12426</v>
      </c>
      <c r="F6" s="9" t="n">
        <v>9463</v>
      </c>
      <c r="G6" s="10" t="n">
        <f aca="false">IFERROR(F6/B6-1,"")</f>
        <v>0.650043591979076</v>
      </c>
    </row>
    <row r="7" customFormat="false" ht="15" hidden="false" customHeight="true" outlineLevel="0" collapsed="false">
      <c r="A7" s="4" t="s">
        <v>41</v>
      </c>
      <c r="B7" s="11" t="n">
        <v>323742</v>
      </c>
      <c r="C7" s="11" t="n">
        <v>498473</v>
      </c>
      <c r="D7" s="11" t="n">
        <v>509810</v>
      </c>
      <c r="E7" s="11" t="n">
        <v>1235009</v>
      </c>
      <c r="F7" s="11" t="n">
        <v>1007959</v>
      </c>
      <c r="G7" s="10" t="n">
        <f aca="false">IFERROR(F7/B7-1,"")</f>
        <v>2.11346380759988</v>
      </c>
    </row>
    <row r="8" customFormat="false" ht="15" hidden="false" customHeight="true" outlineLevel="0" collapsed="false">
      <c r="A8" s="4" t="s">
        <v>42</v>
      </c>
      <c r="B8" s="12" t="n">
        <v>0.66</v>
      </c>
      <c r="C8" s="12" t="n">
        <v>0.85</v>
      </c>
      <c r="D8" s="12" t="n">
        <v>0.88</v>
      </c>
      <c r="E8" s="12" t="n">
        <v>0.96</v>
      </c>
      <c r="F8" s="12" t="n">
        <v>0.87</v>
      </c>
      <c r="G8" s="13" t="n">
        <f aca="false">F8-B8</f>
        <v>0.21</v>
      </c>
    </row>
    <row r="9" customFormat="false" ht="15" hidden="false" customHeight="true" outlineLevel="0" collapsed="false">
      <c r="A9" s="4" t="s">
        <v>43</v>
      </c>
      <c r="B9" s="11" t="n">
        <v>60</v>
      </c>
      <c r="C9" s="11" t="n">
        <v>53</v>
      </c>
      <c r="D9" s="11" t="n">
        <v>59</v>
      </c>
      <c r="E9" s="11" t="n">
        <v>98</v>
      </c>
      <c r="F9" s="11" t="n">
        <v>105</v>
      </c>
      <c r="G9" s="10" t="n">
        <f aca="false">IFERROR(F9/B9-1,"")</f>
        <v>0.75</v>
      </c>
    </row>
    <row r="10" customFormat="false" ht="15" hidden="false" customHeight="true" outlineLevel="0" collapsed="false">
      <c r="A10" s="4" t="s">
        <v>44</v>
      </c>
      <c r="B10" s="11" t="n">
        <v>136</v>
      </c>
      <c r="C10" s="11" t="n">
        <v>148</v>
      </c>
      <c r="D10" s="11" t="n">
        <v>137</v>
      </c>
      <c r="E10" s="11" t="n">
        <v>391</v>
      </c>
      <c r="F10" s="11" t="n">
        <v>807</v>
      </c>
      <c r="G10" s="10" t="n">
        <f aca="false">IFERROR(F10/B10-1,"")</f>
        <v>4.93382352941176</v>
      </c>
    </row>
    <row r="11" customFormat="false" ht="15" hidden="false" customHeight="true" outlineLevel="0" collapsed="false">
      <c r="A11" s="4" t="s">
        <v>45</v>
      </c>
      <c r="B11" s="11" t="n">
        <v>21</v>
      </c>
      <c r="C11" s="11" t="n">
        <v>25</v>
      </c>
      <c r="D11" s="11" t="n">
        <v>25</v>
      </c>
      <c r="E11" s="11" t="n">
        <v>39</v>
      </c>
      <c r="F11" s="11" t="n">
        <v>50</v>
      </c>
      <c r="G11" s="10" t="n">
        <f aca="false">IFERROR(F11/B11-1,"")</f>
        <v>1.38095238095238</v>
      </c>
    </row>
    <row r="12" customFormat="false" ht="15" hidden="false" customHeight="true" outlineLevel="0" collapsed="false">
      <c r="A12" s="4" t="s">
        <v>46</v>
      </c>
      <c r="B12" s="12" t="n">
        <v>0.14</v>
      </c>
      <c r="C12" s="12" t="n">
        <v>0.36</v>
      </c>
      <c r="D12" s="12" t="n">
        <v>0.53</v>
      </c>
      <c r="E12" s="12" t="n">
        <v>0.77</v>
      </c>
      <c r="F12" s="12" t="n">
        <v>0.44</v>
      </c>
      <c r="G12" s="13" t="n">
        <f aca="false">F12-B12</f>
        <v>0.3</v>
      </c>
    </row>
    <row r="14" customFormat="false" ht="15" hidden="false" customHeight="true" outlineLevel="0" collapsed="false">
      <c r="A14" s="4" t="s">
        <v>47</v>
      </c>
    </row>
    <row r="15" customFormat="false" ht="15" hidden="false" customHeight="true" outlineLevel="0" collapsed="false">
      <c r="A15" s="14" t="s">
        <v>48</v>
      </c>
      <c r="B15" s="15" t="s">
        <v>49</v>
      </c>
      <c r="C15" s="15"/>
      <c r="D15" s="15"/>
      <c r="E15" s="11" t="n">
        <v>869977.5</v>
      </c>
    </row>
    <row r="16" customFormat="false" ht="15" hidden="false" customHeight="true" outlineLevel="0" collapsed="false">
      <c r="A16" s="14" t="s">
        <v>50</v>
      </c>
      <c r="B16" s="15" t="s">
        <v>51</v>
      </c>
      <c r="C16" s="15"/>
      <c r="D16" s="15"/>
      <c r="E16" s="11" t="n">
        <v>1181835</v>
      </c>
    </row>
    <row r="17" customFormat="false" ht="15" hidden="false" customHeight="true" outlineLevel="0" collapsed="false">
      <c r="A17" s="14" t="s">
        <v>52</v>
      </c>
      <c r="B17" s="15" t="s">
        <v>53</v>
      </c>
      <c r="C17" s="15"/>
      <c r="D17" s="15"/>
      <c r="E17" s="11" t="n">
        <v>1035270</v>
      </c>
    </row>
    <row r="18" customFormat="false" ht="15" hidden="false" customHeight="true" outlineLevel="0" collapsed="false">
      <c r="A18" s="14" t="s">
        <v>54</v>
      </c>
      <c r="B18" s="15" t="s">
        <v>55</v>
      </c>
      <c r="C18" s="15"/>
      <c r="D18" s="15"/>
      <c r="E18" s="11" t="n">
        <v>4898365</v>
      </c>
    </row>
    <row r="19" customFormat="false" ht="15" hidden="false" customHeight="true" outlineLevel="0" collapsed="false">
      <c r="A19" s="14" t="s">
        <v>56</v>
      </c>
      <c r="B19" s="15" t="s">
        <v>57</v>
      </c>
      <c r="C19" s="15"/>
      <c r="D19" s="15"/>
      <c r="E19" s="11" t="n">
        <v>1617180.25</v>
      </c>
    </row>
  </sheetData>
  <mergeCells count="5">
    <mergeCell ref="B15:D15"/>
    <mergeCell ref="B16:D16"/>
    <mergeCell ref="B17:D17"/>
    <mergeCell ref="B18:D18"/>
    <mergeCell ref="B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8" min="3" style="1" width="12"/>
  </cols>
  <sheetData>
    <row r="1" customFormat="false" ht="15" hidden="false" customHeight="true" outlineLevel="0" collapsed="false">
      <c r="A1" s="6" t="s">
        <v>58</v>
      </c>
    </row>
    <row r="2" customFormat="false" ht="15" hidden="false" customHeight="true" outlineLevel="0" collapsed="false">
      <c r="A2" s="3" t="s">
        <v>59</v>
      </c>
    </row>
    <row r="4" customFormat="false" ht="15" hidden="false" customHeight="true" outlineLevel="0" collapsed="false">
      <c r="A4" s="16" t="s">
        <v>60</v>
      </c>
      <c r="B4" s="16" t="s">
        <v>61</v>
      </c>
      <c r="C4" s="8" t="s">
        <v>62</v>
      </c>
      <c r="D4" s="8" t="s">
        <v>63</v>
      </c>
      <c r="E4" s="8" t="s">
        <v>64</v>
      </c>
      <c r="F4" s="8" t="s">
        <v>65</v>
      </c>
      <c r="G4" s="8" t="s">
        <v>66</v>
      </c>
      <c r="H4" s="8" t="s">
        <v>67</v>
      </c>
    </row>
    <row r="5" customFormat="false" ht="15" hidden="false" customHeight="true" outlineLevel="0" collapsed="false">
      <c r="A5" s="14" t="s">
        <v>68</v>
      </c>
      <c r="B5" s="14" t="s">
        <v>69</v>
      </c>
      <c r="C5" s="17" t="s">
        <v>70</v>
      </c>
      <c r="D5" s="17" t="s">
        <v>71</v>
      </c>
      <c r="E5" s="11" t="n">
        <v>262035</v>
      </c>
      <c r="F5" s="11" t="n">
        <v>1481387</v>
      </c>
      <c r="G5" s="11" t="n">
        <v>63</v>
      </c>
      <c r="H5" s="11" t="n">
        <v>127</v>
      </c>
    </row>
    <row r="6" customFormat="false" ht="15" hidden="false" customHeight="true" outlineLevel="0" collapsed="false">
      <c r="A6" s="14" t="s">
        <v>72</v>
      </c>
      <c r="B6" s="14" t="s">
        <v>73</v>
      </c>
      <c r="C6" s="17" t="s">
        <v>74</v>
      </c>
      <c r="D6" s="17" t="s">
        <v>71</v>
      </c>
      <c r="E6" s="11" t="n">
        <v>1025846</v>
      </c>
      <c r="F6" s="11" t="n">
        <v>1190420</v>
      </c>
      <c r="G6" s="11" t="n">
        <v>81</v>
      </c>
      <c r="H6" s="11" t="n">
        <v>117</v>
      </c>
    </row>
    <row r="7" customFormat="false" ht="15" hidden="false" customHeight="true" outlineLevel="0" collapsed="false">
      <c r="A7" s="14" t="s">
        <v>75</v>
      </c>
      <c r="B7" s="14" t="s">
        <v>76</v>
      </c>
      <c r="C7" s="17" t="s">
        <v>74</v>
      </c>
      <c r="D7" s="17" t="s">
        <v>71</v>
      </c>
      <c r="E7" s="11" t="n">
        <v>584840</v>
      </c>
      <c r="F7" s="11" t="n">
        <v>1280370</v>
      </c>
      <c r="G7" s="11" t="n">
        <v>47</v>
      </c>
      <c r="H7" s="11" t="n">
        <v>105</v>
      </c>
    </row>
    <row r="8" customFormat="false" ht="15" hidden="false" customHeight="true" outlineLevel="0" collapsed="false">
      <c r="A8" s="14" t="s">
        <v>77</v>
      </c>
      <c r="B8" s="14" t="s">
        <v>78</v>
      </c>
      <c r="C8" s="17" t="s">
        <v>79</v>
      </c>
      <c r="D8" s="17" t="s">
        <v>80</v>
      </c>
      <c r="E8" s="11" t="n">
        <v>245699</v>
      </c>
      <c r="F8" s="11" t="n">
        <v>1213566</v>
      </c>
      <c r="G8" s="11" t="n">
        <v>45</v>
      </c>
      <c r="H8" s="11" t="n">
        <v>88</v>
      </c>
    </row>
    <row r="9" customFormat="false" ht="15" hidden="false" customHeight="true" outlineLevel="0" collapsed="false">
      <c r="A9" s="14" t="s">
        <v>81</v>
      </c>
      <c r="B9" s="14" t="s">
        <v>82</v>
      </c>
      <c r="C9" s="17" t="s">
        <v>70</v>
      </c>
      <c r="D9" s="17" t="s">
        <v>80</v>
      </c>
      <c r="E9" s="11" t="n">
        <v>303444</v>
      </c>
      <c r="F9" s="11" t="n">
        <v>964235</v>
      </c>
      <c r="G9" s="11" t="n">
        <v>50</v>
      </c>
      <c r="H9" s="11" t="n">
        <v>77</v>
      </c>
    </row>
    <row r="10" customFormat="false" ht="15" hidden="false" customHeight="true" outlineLevel="0" collapsed="false">
      <c r="A10" s="14" t="s">
        <v>83</v>
      </c>
      <c r="B10" s="14" t="s">
        <v>84</v>
      </c>
      <c r="C10" s="17" t="s">
        <v>70</v>
      </c>
      <c r="D10" s="17" t="s">
        <v>74</v>
      </c>
      <c r="E10" s="11" t="n">
        <v>273428</v>
      </c>
      <c r="F10" s="11" t="n">
        <v>469019</v>
      </c>
      <c r="G10" s="11" t="n">
        <v>48</v>
      </c>
      <c r="H10" s="11" t="n">
        <v>74</v>
      </c>
    </row>
    <row r="13" customFormat="false" ht="15" hidden="false" customHeight="true" outlineLevel="0" collapsed="false">
      <c r="A13" s="4" t="s">
        <v>85</v>
      </c>
    </row>
    <row r="14" customFormat="false" ht="15" hidden="false" customHeight="true" outlineLevel="0" collapsed="false">
      <c r="A14" s="16" t="s">
        <v>60</v>
      </c>
      <c r="B14" s="16" t="s">
        <v>61</v>
      </c>
      <c r="C14" s="8"/>
      <c r="D14" s="8"/>
      <c r="E14" s="8" t="s">
        <v>86</v>
      </c>
      <c r="F14" s="8" t="s">
        <v>87</v>
      </c>
      <c r="G14" s="8" t="s">
        <v>88</v>
      </c>
      <c r="H14" s="8" t="s">
        <v>89</v>
      </c>
    </row>
    <row r="16" customFormat="false" ht="15" hidden="false" customHeight="true" outlineLevel="0" collapsed="false">
      <c r="A16" s="3" t="s">
        <v>90</v>
      </c>
    </row>
    <row r="17" customFormat="false" ht="15" hidden="false" customHeight="true" outlineLevel="0" collapsed="false">
      <c r="A17" s="16" t="s">
        <v>60</v>
      </c>
      <c r="B17" s="16"/>
      <c r="C17" s="8" t="s">
        <v>64</v>
      </c>
      <c r="D17" s="8" t="s">
        <v>65</v>
      </c>
      <c r="E17" s="8" t="s">
        <v>66</v>
      </c>
      <c r="F17" s="8" t="s">
        <v>67</v>
      </c>
      <c r="G17" s="8" t="s">
        <v>91</v>
      </c>
      <c r="H17" s="8" t="s">
        <v>92</v>
      </c>
    </row>
    <row r="18" customFormat="false" ht="15" hidden="false" customHeight="true" outlineLevel="0" collapsed="false">
      <c r="A18" s="14" t="s">
        <v>68</v>
      </c>
      <c r="B18" s="14" t="s">
        <v>69</v>
      </c>
      <c r="C18" s="11" t="n">
        <v>262035</v>
      </c>
      <c r="D18" s="11" t="n">
        <v>1481387</v>
      </c>
      <c r="E18" s="11" t="n">
        <v>63</v>
      </c>
      <c r="F18" s="11" t="n">
        <v>127</v>
      </c>
      <c r="G18" s="11" t="n">
        <v>126</v>
      </c>
      <c r="H18" s="11" t="n">
        <v>1500</v>
      </c>
    </row>
    <row r="19" customFormat="false" ht="15" hidden="false" customHeight="true" outlineLevel="0" collapsed="false">
      <c r="A19" s="14" t="s">
        <v>72</v>
      </c>
      <c r="B19" s="14" t="s">
        <v>73</v>
      </c>
      <c r="C19" s="11" t="n">
        <v>1025846</v>
      </c>
      <c r="D19" s="11" t="n">
        <v>1190420</v>
      </c>
      <c r="E19" s="11" t="n">
        <v>81</v>
      </c>
      <c r="F19" s="11" t="n">
        <v>117</v>
      </c>
      <c r="G19" s="11" t="n">
        <v>125</v>
      </c>
      <c r="H19" s="11" t="n">
        <v>800</v>
      </c>
    </row>
    <row r="20" customFormat="false" ht="15" hidden="false" customHeight="true" outlineLevel="0" collapsed="false">
      <c r="A20" s="14" t="s">
        <v>75</v>
      </c>
      <c r="B20" s="14" t="s">
        <v>76</v>
      </c>
      <c r="C20" s="11" t="n">
        <v>584840</v>
      </c>
      <c r="D20" s="11" t="n">
        <v>1280370</v>
      </c>
      <c r="E20" s="11" t="n">
        <v>47</v>
      </c>
      <c r="F20" s="11" t="n">
        <v>105</v>
      </c>
      <c r="G20" s="11" t="n">
        <v>150</v>
      </c>
      <c r="H20" s="11" t="n">
        <v>750</v>
      </c>
    </row>
    <row r="21" customFormat="false" ht="15" hidden="false" customHeight="true" outlineLevel="0" collapsed="false">
      <c r="A21" s="14" t="s">
        <v>77</v>
      </c>
      <c r="B21" s="14" t="s">
        <v>78</v>
      </c>
      <c r="C21" s="11" t="n">
        <v>245699</v>
      </c>
      <c r="D21" s="11" t="n">
        <v>1213566</v>
      </c>
      <c r="E21" s="11" t="n">
        <v>45</v>
      </c>
      <c r="F21" s="11" t="n">
        <v>88</v>
      </c>
      <c r="G21" s="11" t="n">
        <v>150</v>
      </c>
      <c r="H21" s="11" t="n">
        <v>304</v>
      </c>
    </row>
    <row r="22" customFormat="false" ht="15" hidden="false" customHeight="true" outlineLevel="0" collapsed="false">
      <c r="A22" s="14" t="s">
        <v>81</v>
      </c>
      <c r="B22" s="14" t="s">
        <v>82</v>
      </c>
      <c r="C22" s="11" t="n">
        <v>303444</v>
      </c>
      <c r="D22" s="11" t="n">
        <v>964235</v>
      </c>
      <c r="E22" s="11" t="n">
        <v>50</v>
      </c>
      <c r="F22" s="11" t="n">
        <v>77</v>
      </c>
      <c r="G22" s="11" t="n">
        <v>126</v>
      </c>
      <c r="H22" s="11" t="n">
        <v>258</v>
      </c>
    </row>
    <row r="23" customFormat="false" ht="15" hidden="false" customHeight="true" outlineLevel="0" collapsed="false">
      <c r="A23" s="14" t="s">
        <v>83</v>
      </c>
      <c r="B23" s="14" t="s">
        <v>84</v>
      </c>
      <c r="C23" s="11" t="n">
        <v>273428</v>
      </c>
      <c r="D23" s="11" t="n">
        <v>469019</v>
      </c>
      <c r="E23" s="11" t="n">
        <v>48</v>
      </c>
      <c r="F23" s="11" t="n">
        <v>74</v>
      </c>
      <c r="G23" s="11" t="n">
        <v>125</v>
      </c>
      <c r="H23" s="11" t="n">
        <v>155</v>
      </c>
    </row>
    <row r="25" customFormat="false" ht="15" hidden="false" customHeight="true" outlineLevel="0" collapsed="false">
      <c r="A25" s="4" t="s">
        <v>93</v>
      </c>
    </row>
    <row r="26" customFormat="false" ht="15" hidden="false" customHeight="true" outlineLevel="0" collapsed="false">
      <c r="A26" s="16" t="s">
        <v>60</v>
      </c>
      <c r="B26" s="16" t="s">
        <v>61</v>
      </c>
      <c r="C26" s="8" t="s">
        <v>86</v>
      </c>
      <c r="D26" s="8" t="s">
        <v>87</v>
      </c>
      <c r="E26" s="8" t="s">
        <v>88</v>
      </c>
    </row>
    <row r="27" customFormat="false" ht="15" hidden="false" customHeight="true" outlineLevel="0" collapsed="false">
      <c r="A27" s="14" t="s">
        <v>68</v>
      </c>
      <c r="B27" s="14" t="s">
        <v>69</v>
      </c>
      <c r="C27" s="10" t="n">
        <f aca="false">D18/C18-1</f>
        <v>4.65339363062186</v>
      </c>
      <c r="D27" s="10" t="n">
        <f aca="false">F18/E18-1</f>
        <v>1.01587301587302</v>
      </c>
      <c r="E27" s="10" t="n">
        <f aca="false">IFERROR(H18/G18-1,"")</f>
        <v>10.9047619047619</v>
      </c>
    </row>
    <row r="28" customFormat="false" ht="15" hidden="false" customHeight="true" outlineLevel="0" collapsed="false">
      <c r="A28" s="14" t="s">
        <v>72</v>
      </c>
      <c r="B28" s="14" t="s">
        <v>73</v>
      </c>
      <c r="C28" s="10" t="n">
        <f aca="false">D19/C19-1</f>
        <v>0.160427588546429</v>
      </c>
      <c r="D28" s="10" t="n">
        <f aca="false">F19/E19-1</f>
        <v>0.444444444444444</v>
      </c>
      <c r="E28" s="10" t="n">
        <f aca="false">IFERROR(H19/G19-1,"")</f>
        <v>5.4</v>
      </c>
    </row>
    <row r="29" customFormat="false" ht="15" hidden="false" customHeight="true" outlineLevel="0" collapsed="false">
      <c r="A29" s="14" t="s">
        <v>75</v>
      </c>
      <c r="B29" s="14" t="s">
        <v>76</v>
      </c>
      <c r="C29" s="10" t="n">
        <f aca="false">D20/C20-1</f>
        <v>1.18926544012037</v>
      </c>
      <c r="D29" s="10" t="n">
        <f aca="false">F20/E20-1</f>
        <v>1.23404255319149</v>
      </c>
      <c r="E29" s="10" t="n">
        <f aca="false">IFERROR(H20/G20-1,"")</f>
        <v>4</v>
      </c>
    </row>
    <row r="30" customFormat="false" ht="15" hidden="false" customHeight="true" outlineLevel="0" collapsed="false">
      <c r="A30" s="14" t="s">
        <v>77</v>
      </c>
      <c r="B30" s="14" t="s">
        <v>78</v>
      </c>
      <c r="C30" s="10" t="n">
        <f aca="false">D21/C21-1</f>
        <v>3.93923866194002</v>
      </c>
      <c r="D30" s="10" t="n">
        <f aca="false">F21/E21-1</f>
        <v>0.955555555555556</v>
      </c>
      <c r="E30" s="10" t="n">
        <f aca="false">IFERROR(H21/G21-1,"")</f>
        <v>1.02666666666667</v>
      </c>
    </row>
    <row r="31" customFormat="false" ht="15" hidden="false" customHeight="true" outlineLevel="0" collapsed="false">
      <c r="A31" s="14" t="s">
        <v>81</v>
      </c>
      <c r="B31" s="14" t="s">
        <v>82</v>
      </c>
      <c r="C31" s="10" t="n">
        <f aca="false">D22/C22-1</f>
        <v>2.17763738943594</v>
      </c>
      <c r="D31" s="10" t="n">
        <f aca="false">F22/E22-1</f>
        <v>0.54</v>
      </c>
      <c r="E31" s="10" t="n">
        <f aca="false">IFERROR(H22/G22-1,"")</f>
        <v>1.04761904761905</v>
      </c>
    </row>
    <row r="32" customFormat="false" ht="15" hidden="false" customHeight="true" outlineLevel="0" collapsed="false">
      <c r="A32" s="14" t="s">
        <v>83</v>
      </c>
      <c r="B32" s="14" t="s">
        <v>84</v>
      </c>
      <c r="C32" s="10" t="n">
        <f aca="false">D23/C23-1</f>
        <v>0.715329081147505</v>
      </c>
      <c r="D32" s="10" t="n">
        <f aca="false">F23/E23-1</f>
        <v>0.541666666666667</v>
      </c>
      <c r="E32" s="10" t="n">
        <f aca="false">IFERROR(H23/G23-1,"")</f>
        <v>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6" min="2" style="1" width="12"/>
  </cols>
  <sheetData>
    <row r="1" customFormat="false" ht="15" hidden="false" customHeight="true" outlineLevel="0" collapsed="false">
      <c r="A1" s="6" t="s">
        <v>94</v>
      </c>
    </row>
    <row r="2" customFormat="false" ht="15" hidden="false" customHeight="true" outlineLevel="0" collapsed="false">
      <c r="A2" s="3" t="s">
        <v>95</v>
      </c>
    </row>
    <row r="4" customFormat="false" ht="15" hidden="false" customHeight="true" outlineLevel="0" collapsed="false">
      <c r="A4" s="7" t="s">
        <v>96</v>
      </c>
      <c r="B4" s="8" t="s">
        <v>33</v>
      </c>
      <c r="C4" s="8" t="s">
        <v>34</v>
      </c>
      <c r="D4" s="8" t="s">
        <v>35</v>
      </c>
      <c r="E4" s="8" t="s">
        <v>36</v>
      </c>
      <c r="F4" s="8" t="s">
        <v>37</v>
      </c>
    </row>
    <row r="5" customFormat="false" ht="15" hidden="false" customHeight="true" outlineLevel="0" collapsed="false">
      <c r="A5" s="4" t="s">
        <v>97</v>
      </c>
      <c r="B5" s="9" t="n">
        <v>0</v>
      </c>
      <c r="C5" s="9" t="n">
        <v>1</v>
      </c>
      <c r="D5" s="9" t="n">
        <v>0</v>
      </c>
      <c r="E5" s="9" t="n">
        <v>2</v>
      </c>
      <c r="F5" s="9" t="n">
        <v>6</v>
      </c>
    </row>
    <row r="6" customFormat="false" ht="15" hidden="false" customHeight="true" outlineLevel="0" collapsed="false">
      <c r="A6" s="4" t="s">
        <v>98</v>
      </c>
      <c r="B6" s="9" t="n">
        <v>0</v>
      </c>
      <c r="C6" s="9" t="n">
        <v>0</v>
      </c>
      <c r="D6" s="9" t="n">
        <v>0</v>
      </c>
      <c r="E6" s="9" t="n">
        <v>0</v>
      </c>
      <c r="F6" s="9" t="n">
        <v>2</v>
      </c>
    </row>
    <row r="7" customFormat="false" ht="15" hidden="false" customHeight="true" outlineLevel="0" collapsed="false">
      <c r="A7" s="4" t="s">
        <v>99</v>
      </c>
      <c r="B7" s="9" t="n">
        <v>0</v>
      </c>
      <c r="C7" s="9" t="n">
        <v>0</v>
      </c>
      <c r="D7" s="9" t="n">
        <v>0</v>
      </c>
      <c r="E7" s="9" t="n">
        <v>0</v>
      </c>
      <c r="F7" s="9" t="n">
        <v>2</v>
      </c>
    </row>
    <row r="9" customFormat="false" ht="15" hidden="false" customHeight="true" outlineLevel="0" collapsed="false">
      <c r="A9" s="4" t="s">
        <v>100</v>
      </c>
      <c r="B9" s="9" t="n">
        <v>14</v>
      </c>
      <c r="C9" s="9" t="n">
        <v>25</v>
      </c>
      <c r="D9" s="9" t="n">
        <v>19</v>
      </c>
      <c r="E9" s="9" t="n">
        <v>13</v>
      </c>
      <c r="F9" s="9" t="n">
        <v>9</v>
      </c>
    </row>
    <row r="10" customFormat="false" ht="15" hidden="false" customHeight="true" outlineLevel="0" collapsed="false">
      <c r="A10" s="4" t="s">
        <v>101</v>
      </c>
      <c r="B10" s="18" t="n">
        <f aca="false">B5/B9</f>
        <v>0</v>
      </c>
      <c r="C10" s="18" t="n">
        <f aca="false">C5/C9</f>
        <v>0.04</v>
      </c>
      <c r="D10" s="18" t="n">
        <f aca="false">D5/D9</f>
        <v>0</v>
      </c>
      <c r="E10" s="18" t="n">
        <f aca="false">E5/E9</f>
        <v>0.153846153846154</v>
      </c>
      <c r="F10" s="18" t="n">
        <f aca="false">F5/F9</f>
        <v>0.666666666666667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6" min="2" style="1" width="12"/>
  </cols>
  <sheetData>
    <row r="1" customFormat="false" ht="15" hidden="false" customHeight="true" outlineLevel="0" collapsed="false">
      <c r="A1" s="6" t="s">
        <v>102</v>
      </c>
    </row>
    <row r="2" customFormat="false" ht="15" hidden="false" customHeight="true" outlineLevel="0" collapsed="false">
      <c r="A2" s="3" t="s">
        <v>103</v>
      </c>
    </row>
    <row r="4" customFormat="false" ht="15" hidden="false" customHeight="true" outlineLevel="0" collapsed="false">
      <c r="A4" s="7" t="s">
        <v>32</v>
      </c>
      <c r="B4" s="8" t="s">
        <v>33</v>
      </c>
      <c r="C4" s="8" t="s">
        <v>34</v>
      </c>
      <c r="D4" s="8" t="s">
        <v>35</v>
      </c>
      <c r="E4" s="8" t="s">
        <v>36</v>
      </c>
      <c r="F4" s="8" t="s">
        <v>37</v>
      </c>
    </row>
    <row r="5" customFormat="false" ht="15" hidden="false" customHeight="true" outlineLevel="0" collapsed="false">
      <c r="A5" s="4" t="s">
        <v>104</v>
      </c>
      <c r="B5" s="11" t="n">
        <v>21</v>
      </c>
      <c r="C5" s="11" t="n">
        <v>25</v>
      </c>
      <c r="D5" s="11" t="n">
        <v>25</v>
      </c>
      <c r="E5" s="11" t="n">
        <v>39</v>
      </c>
      <c r="F5" s="11" t="n">
        <v>50</v>
      </c>
    </row>
    <row r="6" customFormat="false" ht="15" hidden="false" customHeight="true" outlineLevel="0" collapsed="false">
      <c r="A6" s="4" t="s">
        <v>43</v>
      </c>
      <c r="B6" s="11" t="n">
        <v>60</v>
      </c>
      <c r="C6" s="11" t="n">
        <v>53</v>
      </c>
      <c r="D6" s="11" t="n">
        <v>59</v>
      </c>
      <c r="E6" s="11" t="n">
        <v>98</v>
      </c>
      <c r="F6" s="11" t="n">
        <v>105</v>
      </c>
    </row>
    <row r="7" customFormat="false" ht="15" hidden="false" customHeight="true" outlineLevel="0" collapsed="false">
      <c r="A7" s="4" t="s">
        <v>105</v>
      </c>
      <c r="B7" s="11" t="n">
        <v>136</v>
      </c>
      <c r="C7" s="11" t="n">
        <v>148</v>
      </c>
      <c r="D7" s="11" t="n">
        <v>137</v>
      </c>
      <c r="E7" s="11" t="n">
        <v>391</v>
      </c>
      <c r="F7" s="11" t="n">
        <v>807</v>
      </c>
    </row>
    <row r="8" customFormat="false" ht="15" hidden="false" customHeight="true" outlineLevel="0" collapsed="false">
      <c r="A8" s="4" t="s">
        <v>106</v>
      </c>
      <c r="B8" s="19" t="n">
        <f aca="false">B7/B5</f>
        <v>6.47619047619048</v>
      </c>
      <c r="C8" s="19" t="n">
        <f aca="false">C7/C5</f>
        <v>5.92</v>
      </c>
      <c r="D8" s="19" t="n">
        <f aca="false">D7/D5</f>
        <v>5.48</v>
      </c>
      <c r="E8" s="19" t="n">
        <f aca="false">E7/E5</f>
        <v>10.025641025641</v>
      </c>
      <c r="F8" s="19" t="n">
        <f aca="false">F7/F5</f>
        <v>16.14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6" min="2" style="1" width="10"/>
  </cols>
  <sheetData>
    <row r="1" customFormat="false" ht="15" hidden="false" customHeight="true" outlineLevel="0" collapsed="false">
      <c r="A1" s="6" t="s">
        <v>107</v>
      </c>
    </row>
    <row r="2" customFormat="false" ht="15" hidden="false" customHeight="true" outlineLevel="0" collapsed="false">
      <c r="A2" s="3" t="s">
        <v>108</v>
      </c>
    </row>
    <row r="4" customFormat="false" ht="15" hidden="false" customHeight="true" outlineLevel="0" collapsed="false">
      <c r="A4" s="7" t="s">
        <v>32</v>
      </c>
      <c r="B4" s="8" t="s">
        <v>33</v>
      </c>
      <c r="C4" s="8" t="s">
        <v>34</v>
      </c>
      <c r="D4" s="8" t="s">
        <v>35</v>
      </c>
      <c r="E4" s="8" t="s">
        <v>36</v>
      </c>
      <c r="F4" s="8" t="s">
        <v>37</v>
      </c>
    </row>
    <row r="5" customFormat="false" ht="15" hidden="false" customHeight="true" outlineLevel="0" collapsed="false">
      <c r="A5" s="4" t="s">
        <v>109</v>
      </c>
      <c r="B5" s="9" t="n">
        <v>2</v>
      </c>
      <c r="C5" s="9" t="n">
        <v>9</v>
      </c>
      <c r="D5" s="9" t="n">
        <v>10</v>
      </c>
      <c r="E5" s="9" t="n">
        <v>10</v>
      </c>
      <c r="F5" s="9" t="n">
        <v>4</v>
      </c>
    </row>
    <row r="6" customFormat="false" ht="15" hidden="false" customHeight="true" outlineLevel="0" collapsed="false">
      <c r="A6" s="4" t="s">
        <v>110</v>
      </c>
      <c r="B6" s="9" t="n">
        <v>1</v>
      </c>
      <c r="C6" s="9" t="n">
        <v>4</v>
      </c>
      <c r="D6" s="9" t="n">
        <v>5</v>
      </c>
      <c r="E6" s="9" t="n">
        <v>6</v>
      </c>
      <c r="F6" s="9" t="n">
        <v>1</v>
      </c>
    </row>
    <row r="7" customFormat="false" ht="15" hidden="false" customHeight="true" outlineLevel="0" collapsed="false">
      <c r="A7" s="4" t="s">
        <v>111</v>
      </c>
      <c r="B7" s="9" t="n">
        <v>14</v>
      </c>
      <c r="C7" s="9" t="n">
        <v>25</v>
      </c>
      <c r="D7" s="9" t="n">
        <v>19</v>
      </c>
      <c r="E7" s="9" t="n">
        <v>13</v>
      </c>
      <c r="F7" s="9" t="n">
        <v>9</v>
      </c>
    </row>
    <row r="8" customFormat="false" ht="15" hidden="false" customHeight="true" outlineLevel="0" collapsed="false">
      <c r="A8" s="4" t="s">
        <v>112</v>
      </c>
      <c r="B8" s="18" t="n">
        <f aca="false">B5/B7</f>
        <v>0.142857142857143</v>
      </c>
      <c r="C8" s="18" t="n">
        <f aca="false">C5/C7</f>
        <v>0.36</v>
      </c>
      <c r="D8" s="18" t="n">
        <f aca="false">D5/D7</f>
        <v>0.526315789473684</v>
      </c>
      <c r="E8" s="18" t="n">
        <f aca="false">E5/E7</f>
        <v>0.769230769230769</v>
      </c>
      <c r="F8" s="18" t="n">
        <f aca="false">F5/F7</f>
        <v>0.444444444444444</v>
      </c>
    </row>
    <row r="9" customFormat="false" ht="15" hidden="false" customHeight="true" outlineLevel="0" collapsed="false">
      <c r="A9" s="4" t="s">
        <v>113</v>
      </c>
      <c r="B9" s="18" t="n">
        <f aca="false">B6/B7</f>
        <v>0.0714285714285714</v>
      </c>
      <c r="C9" s="18" t="n">
        <f aca="false">C6/C7</f>
        <v>0.16</v>
      </c>
      <c r="D9" s="18" t="n">
        <f aca="false">D6/D7</f>
        <v>0.263157894736842</v>
      </c>
      <c r="E9" s="18" t="n">
        <f aca="false">E6/E7</f>
        <v>0.461538461538462</v>
      </c>
      <c r="F9" s="18" t="n">
        <f aca="false">F6/F7</f>
        <v>0.111111111111111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6" min="2" style="1" width="10"/>
  </cols>
  <sheetData>
    <row r="1" customFormat="false" ht="15" hidden="false" customHeight="true" outlineLevel="0" collapsed="false">
      <c r="A1" s="6" t="s">
        <v>114</v>
      </c>
    </row>
    <row r="2" customFormat="false" ht="15" hidden="false" customHeight="true" outlineLevel="0" collapsed="false">
      <c r="A2" s="3" t="s">
        <v>115</v>
      </c>
    </row>
    <row r="4" customFormat="false" ht="15" hidden="false" customHeight="true" outlineLevel="0" collapsed="false">
      <c r="A4" s="7" t="s">
        <v>32</v>
      </c>
      <c r="B4" s="8" t="s">
        <v>33</v>
      </c>
      <c r="C4" s="8" t="s">
        <v>34</v>
      </c>
      <c r="D4" s="8" t="s">
        <v>35</v>
      </c>
      <c r="E4" s="8" t="s">
        <v>36</v>
      </c>
      <c r="F4" s="8" t="s">
        <v>37</v>
      </c>
    </row>
    <row r="5" customFormat="false" ht="15" hidden="false" customHeight="true" outlineLevel="0" collapsed="false">
      <c r="A5" s="4" t="s">
        <v>104</v>
      </c>
      <c r="B5" s="11" t="n">
        <v>21</v>
      </c>
      <c r="C5" s="11" t="n">
        <v>25</v>
      </c>
      <c r="D5" s="11" t="n">
        <v>25</v>
      </c>
      <c r="E5" s="11" t="n">
        <v>39</v>
      </c>
      <c r="F5" s="11" t="n">
        <v>50</v>
      </c>
    </row>
    <row r="6" customFormat="false" ht="15" hidden="false" customHeight="true" outlineLevel="0" collapsed="false">
      <c r="A6" s="4" t="s">
        <v>116</v>
      </c>
      <c r="C6" s="20" t="n">
        <f aca="false">C5-B5</f>
        <v>4</v>
      </c>
      <c r="D6" s="20" t="n">
        <f aca="false">D5-C5</f>
        <v>0</v>
      </c>
      <c r="E6" s="20" t="n">
        <f aca="false">E5-D5</f>
        <v>14</v>
      </c>
      <c r="F6" s="20" t="n">
        <f aca="false">F5-E5</f>
        <v>11</v>
      </c>
    </row>
    <row r="7" customFormat="false" ht="15" hidden="false" customHeight="true" outlineLevel="0" collapsed="false">
      <c r="A7" s="4" t="s">
        <v>117</v>
      </c>
      <c r="C7" s="10" t="n">
        <f aca="false">C5/B5-1</f>
        <v>0.19047619047619</v>
      </c>
      <c r="D7" s="10" t="n">
        <f aca="false">D5/B5-1</f>
        <v>0.19047619047619</v>
      </c>
      <c r="E7" s="10" t="n">
        <f aca="false">E5/B5-1</f>
        <v>0.857142857142857</v>
      </c>
      <c r="F7" s="10" t="n">
        <f aca="false">F5/B5-1</f>
        <v>1.38095238095238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6" min="2" style="1" width="10"/>
  </cols>
  <sheetData>
    <row r="1" customFormat="false" ht="15" hidden="false" customHeight="true" outlineLevel="0" collapsed="false">
      <c r="A1" s="6" t="s">
        <v>118</v>
      </c>
    </row>
    <row r="2" customFormat="false" ht="15" hidden="false" customHeight="true" outlineLevel="0" collapsed="false">
      <c r="A2" s="3" t="s">
        <v>119</v>
      </c>
    </row>
    <row r="4" customFormat="false" ht="15" hidden="false" customHeight="true" outlineLevel="0" collapsed="false">
      <c r="A4" s="7" t="s">
        <v>32</v>
      </c>
      <c r="B4" s="8" t="s">
        <v>33</v>
      </c>
      <c r="C4" s="8" t="s">
        <v>34</v>
      </c>
      <c r="D4" s="8" t="s">
        <v>35</v>
      </c>
      <c r="E4" s="8" t="s">
        <v>36</v>
      </c>
      <c r="F4" s="8" t="s">
        <v>37</v>
      </c>
    </row>
    <row r="5" customFormat="false" ht="15" hidden="false" customHeight="true" outlineLevel="0" collapsed="false">
      <c r="A5" s="4" t="s">
        <v>120</v>
      </c>
      <c r="B5" s="9" t="n">
        <v>12</v>
      </c>
      <c r="C5" s="9" t="n">
        <v>15</v>
      </c>
      <c r="D5" s="9" t="n">
        <v>13</v>
      </c>
      <c r="E5" s="9" t="n">
        <v>3</v>
      </c>
      <c r="F5" s="9" t="n">
        <v>6</v>
      </c>
    </row>
    <row r="6" customFormat="false" ht="15" hidden="false" customHeight="true" outlineLevel="0" collapsed="false">
      <c r="A6" s="4" t="s">
        <v>43</v>
      </c>
      <c r="B6" s="11" t="n">
        <v>52</v>
      </c>
      <c r="C6" s="11" t="n">
        <v>48</v>
      </c>
      <c r="D6" s="11" t="n">
        <v>59</v>
      </c>
      <c r="E6" s="11" t="n">
        <v>97</v>
      </c>
      <c r="F6" s="11" t="n">
        <v>101</v>
      </c>
    </row>
    <row r="7" customFormat="false" ht="15" hidden="false" customHeight="true" outlineLevel="0" collapsed="false">
      <c r="A7" s="4" t="s">
        <v>42</v>
      </c>
      <c r="B7" s="12" t="n">
        <v>0.75</v>
      </c>
      <c r="C7" s="12" t="n">
        <v>0.84</v>
      </c>
      <c r="D7" s="12" t="n">
        <v>0.88</v>
      </c>
      <c r="E7" s="12" t="n">
        <v>0.96</v>
      </c>
      <c r="F7" s="12" t="n">
        <v>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6"/>
    <col collapsed="false" customWidth="true" hidden="false" outlineLevel="0" max="7" min="3" style="1" width="12"/>
    <col collapsed="false" customWidth="true" hidden="false" outlineLevel="0" max="8" min="8" style="1" width="16"/>
  </cols>
  <sheetData>
    <row r="1" customFormat="false" ht="15" hidden="false" customHeight="true" outlineLevel="0" collapsed="false">
      <c r="A1" s="6" t="s">
        <v>121</v>
      </c>
    </row>
    <row r="2" customFormat="false" ht="15" hidden="false" customHeight="true" outlineLevel="0" collapsed="false">
      <c r="A2" s="3" t="s">
        <v>122</v>
      </c>
    </row>
    <row r="4" customFormat="false" ht="15" hidden="false" customHeight="true" outlineLevel="0" collapsed="false">
      <c r="A4" s="16" t="s">
        <v>60</v>
      </c>
      <c r="B4" s="16" t="s">
        <v>61</v>
      </c>
      <c r="C4" s="8" t="s">
        <v>123</v>
      </c>
      <c r="D4" s="8" t="s">
        <v>124</v>
      </c>
      <c r="E4" s="8" t="s">
        <v>125</v>
      </c>
      <c r="F4" s="8" t="s">
        <v>126</v>
      </c>
      <c r="G4" s="8" t="s">
        <v>127</v>
      </c>
      <c r="H4" s="8" t="s">
        <v>128</v>
      </c>
    </row>
    <row r="5" customFormat="false" ht="15" hidden="false" customHeight="true" outlineLevel="0" collapsed="false">
      <c r="A5" s="14" t="s">
        <v>129</v>
      </c>
      <c r="B5" s="14" t="s">
        <v>130</v>
      </c>
      <c r="C5" s="21" t="n">
        <v>46094</v>
      </c>
      <c r="D5" s="11" t="n">
        <v>808965</v>
      </c>
      <c r="E5" s="11" t="n">
        <v>89</v>
      </c>
      <c r="F5" s="11" t="n">
        <v>1500</v>
      </c>
      <c r="G5" s="12" t="n">
        <v>0.84</v>
      </c>
      <c r="H5" s="14" t="s">
        <v>131</v>
      </c>
    </row>
    <row r="6" customFormat="false" ht="15" hidden="false" customHeight="true" outlineLevel="0" collapsed="false">
      <c r="A6" s="14" t="s">
        <v>132</v>
      </c>
      <c r="B6" s="14" t="s">
        <v>133</v>
      </c>
      <c r="C6" s="21" t="n">
        <v>46062</v>
      </c>
      <c r="D6" s="11" t="n">
        <v>1063859</v>
      </c>
      <c r="E6" s="11" t="n">
        <v>114</v>
      </c>
      <c r="F6" s="11" t="n">
        <v>200</v>
      </c>
      <c r="G6" s="12" t="n">
        <v>0.71</v>
      </c>
      <c r="H6" s="14" t="s">
        <v>131</v>
      </c>
    </row>
    <row r="7" customFormat="false" ht="15" hidden="false" customHeight="true" outlineLevel="0" collapsed="false">
      <c r="A7" s="14" t="s">
        <v>134</v>
      </c>
      <c r="B7" s="14" t="s">
        <v>135</v>
      </c>
      <c r="C7" s="21" t="n">
        <v>46026</v>
      </c>
      <c r="D7" s="11" t="n">
        <v>577268</v>
      </c>
      <c r="E7" s="11" t="n">
        <v>80</v>
      </c>
      <c r="F7" s="11" t="n">
        <v>300</v>
      </c>
      <c r="G7" s="12" t="n">
        <v>0.94</v>
      </c>
      <c r="H7" s="14"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2"/>
  </cols>
  <sheetData>
    <row r="1" customFormat="false" ht="15" hidden="false" customHeight="true" outlineLevel="0" collapsed="false">
      <c r="A1" s="6" t="s">
        <v>136</v>
      </c>
    </row>
    <row r="2" customFormat="false" ht="15" hidden="false" customHeight="true" outlineLevel="0" collapsed="false">
      <c r="A2" s="3" t="s">
        <v>137</v>
      </c>
    </row>
    <row r="4" customFormat="false" ht="15" hidden="false" customHeight="true" outlineLevel="0" collapsed="false">
      <c r="A4" s="16" t="s">
        <v>123</v>
      </c>
      <c r="B4" s="8" t="s">
        <v>124</v>
      </c>
      <c r="C4" s="8" t="s">
        <v>138</v>
      </c>
      <c r="D4" s="8" t="s">
        <v>139</v>
      </c>
      <c r="E4" s="8" t="s">
        <v>125</v>
      </c>
      <c r="F4" s="8" t="s">
        <v>126</v>
      </c>
    </row>
    <row r="5" customFormat="false" ht="15" hidden="false" customHeight="true" outlineLevel="0" collapsed="false">
      <c r="A5" s="21" t="n">
        <v>44974</v>
      </c>
      <c r="B5" s="11" t="n">
        <v>649681</v>
      </c>
      <c r="C5" s="9" t="n">
        <v>11744</v>
      </c>
      <c r="D5" s="12" t="n">
        <v>0.99</v>
      </c>
      <c r="E5" s="11" t="n">
        <v>55</v>
      </c>
      <c r="F5" s="11" t="n">
        <v>55</v>
      </c>
    </row>
    <row r="6" customFormat="false" ht="15" hidden="false" customHeight="true" outlineLevel="0" collapsed="false">
      <c r="A6" s="21" t="n">
        <v>44975</v>
      </c>
      <c r="B6" s="11" t="n">
        <v>997637</v>
      </c>
      <c r="C6" s="9" t="n">
        <v>13807</v>
      </c>
      <c r="D6" s="12" t="n">
        <v>0.99</v>
      </c>
      <c r="E6" s="11" t="n">
        <v>72</v>
      </c>
      <c r="F6" s="11" t="n">
        <v>72</v>
      </c>
    </row>
    <row r="7" customFormat="false" ht="15" hidden="false" customHeight="true" outlineLevel="0" collapsed="false">
      <c r="A7" s="21" t="n">
        <v>45397</v>
      </c>
      <c r="B7" s="11" t="n">
        <v>766950</v>
      </c>
      <c r="C7" s="9" t="n">
        <v>11614</v>
      </c>
      <c r="D7" s="12" t="n">
        <v>1</v>
      </c>
      <c r="E7" s="11" t="n">
        <v>66</v>
      </c>
      <c r="F7" s="11" t="n">
        <v>160</v>
      </c>
    </row>
    <row r="8" customFormat="false" ht="15" hidden="false" customHeight="true" outlineLevel="0" collapsed="false">
      <c r="A8" s="21" t="n">
        <v>45877</v>
      </c>
      <c r="B8" s="11" t="n">
        <v>1361576</v>
      </c>
      <c r="C8" s="9" t="n">
        <v>13230</v>
      </c>
      <c r="D8" s="12" t="n">
        <v>0.99</v>
      </c>
      <c r="E8" s="11" t="n">
        <v>103</v>
      </c>
      <c r="F8" s="11" t="n">
        <v>364</v>
      </c>
    </row>
    <row r="9" customFormat="false" ht="15" hidden="false" customHeight="true" outlineLevel="0" collapsed="false">
      <c r="A9" s="21" t="n">
        <v>46045</v>
      </c>
      <c r="B9" s="11" t="n">
        <v>700270</v>
      </c>
      <c r="C9" s="9" t="n">
        <v>7376</v>
      </c>
      <c r="D9" s="12" t="n">
        <v>0.96</v>
      </c>
      <c r="E9" s="11" t="n">
        <v>95</v>
      </c>
      <c r="F9" s="11" t="n">
        <v>906</v>
      </c>
    </row>
    <row r="10" customFormat="false" ht="15" hidden="false" customHeight="true" outlineLevel="0" collapsed="false">
      <c r="A10" s="21" t="n">
        <v>46046</v>
      </c>
      <c r="B10" s="11" t="n">
        <v>1066122</v>
      </c>
      <c r="C10" s="9" t="n">
        <v>10789</v>
      </c>
      <c r="D10" s="12" t="n">
        <v>0.97</v>
      </c>
      <c r="E10" s="11" t="n">
        <v>99</v>
      </c>
      <c r="F10" s="11" t="n">
        <v>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3" min="3" style="1" width="16"/>
    <col collapsed="false" customWidth="true" hidden="false" outlineLevel="0" max="4" min="4" style="1" width="12"/>
    <col collapsed="false" customWidth="true" hidden="false" outlineLevel="0" max="9" min="5" style="1" width="10"/>
  </cols>
  <sheetData>
    <row r="1" customFormat="false" ht="15" hidden="false" customHeight="true" outlineLevel="0" collapsed="false">
      <c r="A1" s="6" t="s">
        <v>140</v>
      </c>
    </row>
    <row r="2" customFormat="false" ht="15" hidden="false" customHeight="true" outlineLevel="0" collapsed="false">
      <c r="A2" s="3" t="s">
        <v>141</v>
      </c>
    </row>
    <row r="4" customFormat="false" ht="15" hidden="false" customHeight="true" outlineLevel="0" collapsed="false">
      <c r="A4" s="16" t="s">
        <v>123</v>
      </c>
      <c r="B4" s="16" t="s">
        <v>60</v>
      </c>
      <c r="C4" s="16" t="s">
        <v>61</v>
      </c>
      <c r="D4" s="8" t="s">
        <v>124</v>
      </c>
      <c r="E4" s="8" t="s">
        <v>138</v>
      </c>
      <c r="F4" s="8" t="s">
        <v>142</v>
      </c>
      <c r="G4" s="8" t="s">
        <v>139</v>
      </c>
      <c r="H4" s="8" t="s">
        <v>125</v>
      </c>
      <c r="I4" s="8" t="s">
        <v>126</v>
      </c>
    </row>
    <row r="5" customFormat="false" ht="15" hidden="false" customHeight="true" outlineLevel="0" collapsed="false">
      <c r="A5" s="21" t="n">
        <v>46024</v>
      </c>
      <c r="B5" s="14" t="s">
        <v>143</v>
      </c>
      <c r="C5" s="14" t="s">
        <v>144</v>
      </c>
      <c r="D5" s="11" t="n">
        <v>902970</v>
      </c>
      <c r="E5" s="9" t="n">
        <v>7467</v>
      </c>
      <c r="F5" s="9" t="n">
        <v>12780</v>
      </c>
      <c r="G5" s="12" t="n">
        <v>0.58</v>
      </c>
      <c r="H5" s="11" t="n">
        <v>121</v>
      </c>
      <c r="I5" s="11" t="n">
        <v>400</v>
      </c>
    </row>
    <row r="6" customFormat="false" ht="15" hidden="false" customHeight="true" outlineLevel="0" collapsed="false">
      <c r="A6" s="21" t="n">
        <v>46026</v>
      </c>
      <c r="B6" s="14" t="s">
        <v>134</v>
      </c>
      <c r="C6" s="14" t="s">
        <v>135</v>
      </c>
      <c r="D6" s="11" t="n">
        <v>577268</v>
      </c>
      <c r="E6" s="9" t="n">
        <v>7172</v>
      </c>
      <c r="F6" s="9" t="n">
        <v>7570</v>
      </c>
      <c r="G6" s="12" t="n">
        <v>0.94</v>
      </c>
      <c r="H6" s="11" t="n">
        <v>80</v>
      </c>
      <c r="I6" s="11" t="n">
        <v>300</v>
      </c>
    </row>
    <row r="7" customFormat="false" ht="15" hidden="false" customHeight="true" outlineLevel="0" collapsed="false">
      <c r="A7" s="21" t="n">
        <v>46027</v>
      </c>
      <c r="B7" s="14" t="s">
        <v>145</v>
      </c>
      <c r="C7" s="14" t="s">
        <v>146</v>
      </c>
      <c r="D7" s="11" t="n">
        <v>1617180</v>
      </c>
      <c r="E7" s="9" t="n">
        <v>14728</v>
      </c>
      <c r="F7" s="9" t="n">
        <v>14728</v>
      </c>
      <c r="G7" s="12" t="n">
        <v>1</v>
      </c>
      <c r="H7" s="11" t="n">
        <v>110</v>
      </c>
      <c r="I7" s="11" t="n">
        <v>1000</v>
      </c>
    </row>
    <row r="8" customFormat="false" ht="15" hidden="false" customHeight="true" outlineLevel="0" collapsed="false">
      <c r="A8" s="21" t="n">
        <v>46045</v>
      </c>
      <c r="B8" s="14" t="s">
        <v>147</v>
      </c>
      <c r="C8" s="14" t="s">
        <v>148</v>
      </c>
      <c r="D8" s="11" t="n">
        <v>700270</v>
      </c>
      <c r="E8" s="9" t="n">
        <v>7376</v>
      </c>
      <c r="F8" s="9" t="n">
        <v>7642</v>
      </c>
      <c r="G8" s="12" t="n">
        <v>0.96</v>
      </c>
      <c r="H8" s="11" t="n">
        <v>95</v>
      </c>
      <c r="I8" s="11" t="n">
        <v>906</v>
      </c>
    </row>
    <row r="9" customFormat="false" ht="15" hidden="false" customHeight="true" outlineLevel="0" collapsed="false">
      <c r="A9" s="21" t="n">
        <v>46046</v>
      </c>
      <c r="B9" s="14" t="s">
        <v>147</v>
      </c>
      <c r="C9" s="14" t="s">
        <v>148</v>
      </c>
      <c r="D9" s="11" t="n">
        <v>1066122</v>
      </c>
      <c r="E9" s="9" t="n">
        <v>10789</v>
      </c>
      <c r="F9" s="9" t="n">
        <v>11045</v>
      </c>
      <c r="G9" s="12" t="n">
        <v>0.97</v>
      </c>
      <c r="H9" s="11" t="n">
        <v>99</v>
      </c>
      <c r="I9" s="11" t="n">
        <v>911</v>
      </c>
    </row>
    <row r="10" customFormat="false" ht="15" hidden="false" customHeight="true" outlineLevel="0" collapsed="false">
      <c r="A10" s="21" t="n">
        <v>46062</v>
      </c>
      <c r="B10" s="14" t="s">
        <v>132</v>
      </c>
      <c r="C10" s="14" t="s">
        <v>133</v>
      </c>
      <c r="D10" s="11" t="n">
        <v>1063859</v>
      </c>
      <c r="E10" s="9" t="n">
        <v>9342</v>
      </c>
      <c r="F10" s="9" t="n">
        <v>12978</v>
      </c>
      <c r="G10" s="12" t="n">
        <v>0.71</v>
      </c>
      <c r="H10" s="11" t="n">
        <v>114</v>
      </c>
      <c r="I10" s="11" t="n">
        <v>200</v>
      </c>
    </row>
    <row r="11" customFormat="false" ht="15" hidden="false" customHeight="true" outlineLevel="0" collapsed="false">
      <c r="A11" s="21" t="n">
        <v>46066</v>
      </c>
      <c r="B11" s="14" t="s">
        <v>72</v>
      </c>
      <c r="C11" s="14" t="s">
        <v>73</v>
      </c>
      <c r="D11" s="11" t="n">
        <v>1190420</v>
      </c>
      <c r="E11" s="9" t="n">
        <v>10137</v>
      </c>
      <c r="F11" s="9" t="n">
        <v>11945</v>
      </c>
      <c r="G11" s="12" t="n">
        <v>0.84</v>
      </c>
      <c r="H11" s="11" t="n">
        <v>117</v>
      </c>
      <c r="I11" s="11" t="n">
        <v>800</v>
      </c>
    </row>
    <row r="12" customFormat="false" ht="15" hidden="false" customHeight="true" outlineLevel="0" collapsed="false">
      <c r="A12" s="21" t="n">
        <v>46076</v>
      </c>
      <c r="B12" s="14" t="s">
        <v>75</v>
      </c>
      <c r="C12" s="14" t="s">
        <v>76</v>
      </c>
      <c r="D12" s="11" t="n">
        <v>1280370</v>
      </c>
      <c r="E12" s="9" t="n">
        <v>12145</v>
      </c>
      <c r="F12" s="9" t="n">
        <v>12145</v>
      </c>
      <c r="G12" s="12" t="n">
        <v>1</v>
      </c>
      <c r="H12" s="11" t="n">
        <v>105</v>
      </c>
      <c r="I12" s="11" t="n">
        <v>750</v>
      </c>
    </row>
    <row r="13" customFormat="false" ht="15" hidden="false" customHeight="true" outlineLevel="0" collapsed="false">
      <c r="A13" s="21" t="n">
        <v>46094</v>
      </c>
      <c r="B13" s="14" t="s">
        <v>129</v>
      </c>
      <c r="C13" s="14" t="s">
        <v>130</v>
      </c>
      <c r="D13" s="11" t="n">
        <v>808965</v>
      </c>
      <c r="E13" s="9" t="n">
        <v>9048</v>
      </c>
      <c r="F13" s="9" t="n">
        <v>10753</v>
      </c>
      <c r="G13" s="12" t="n">
        <v>0.84</v>
      </c>
      <c r="H13" s="11" t="n">
        <v>89</v>
      </c>
      <c r="I13" s="11" t="n">
        <v>1500</v>
      </c>
    </row>
    <row r="14" customFormat="false" ht="15" hidden="false" customHeight="true" outlineLevel="0" collapsed="false">
      <c r="A14" s="21" t="n">
        <v>46104</v>
      </c>
      <c r="B14" s="14" t="s">
        <v>68</v>
      </c>
      <c r="C14" s="14" t="s">
        <v>69</v>
      </c>
      <c r="D14" s="11" t="n">
        <v>1481387</v>
      </c>
      <c r="E14" s="9" t="n">
        <v>11691</v>
      </c>
      <c r="F14" s="9" t="n">
        <v>11925</v>
      </c>
      <c r="G14" s="12" t="n">
        <v>0.98</v>
      </c>
      <c r="H14" s="11" t="n">
        <v>127</v>
      </c>
      <c r="I14" s="11" t="n">
        <v>1500</v>
      </c>
    </row>
    <row r="16" customFormat="false" ht="15" hidden="false" customHeight="true" outlineLevel="0" collapsed="false">
      <c r="A16" s="4" t="s">
        <v>149</v>
      </c>
      <c r="D16" s="20" t="n">
        <f aca="false">AVERAGE(D5:D14)</f>
        <v>1068881.1</v>
      </c>
      <c r="E16" s="22" t="n">
        <f aca="false">AVERAGE(E5:E14)</f>
        <v>9989.5</v>
      </c>
      <c r="F16" s="22" t="n">
        <f aca="false">AVERAGE(F5:F14)</f>
        <v>11351.1</v>
      </c>
      <c r="G16" s="18" t="n">
        <f aca="false">AVERAGE(G5:G14)</f>
        <v>0.882</v>
      </c>
      <c r="H16" s="20" t="n">
        <f aca="false">AVERAGE(H5:H14)</f>
        <v>105.7</v>
      </c>
      <c r="I16" s="20" t="n">
        <f aca="false">AVERAGE(I5:I14)</f>
        <v>826.7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0"/>
    <col collapsed="false" customWidth="true" hidden="false" outlineLevel="0" max="3" min="3" style="1" width="90"/>
  </cols>
  <sheetData>
    <row r="2" customFormat="false" ht="17.25" hidden="false" customHeight="true" outlineLevel="0" collapsed="false">
      <c r="B2" s="2" t="s">
        <v>150</v>
      </c>
    </row>
    <row r="3" customFormat="false" ht="15" hidden="false" customHeight="true" outlineLevel="0" collapsed="false">
      <c r="B3" s="3" t="s">
        <v>151</v>
      </c>
    </row>
    <row r="5" customFormat="false" ht="49.5" hidden="false" customHeight="true" outlineLevel="0" collapsed="false">
      <c r="B5" s="4" t="s">
        <v>152</v>
      </c>
      <c r="C5" s="5" t="s">
        <v>153</v>
      </c>
    </row>
    <row r="6" customFormat="false" ht="49.5" hidden="false" customHeight="true" outlineLevel="0" collapsed="false">
      <c r="B6" s="4" t="s">
        <v>154</v>
      </c>
      <c r="C6" s="5" t="s">
        <v>155</v>
      </c>
    </row>
    <row r="7" customFormat="false" ht="49.5" hidden="false" customHeight="true" outlineLevel="0" collapsed="false">
      <c r="B7" s="4" t="s">
        <v>156</v>
      </c>
      <c r="C7" s="5" t="s">
        <v>157</v>
      </c>
    </row>
    <row r="8" customFormat="false" ht="49.5" hidden="false" customHeight="true" outlineLevel="0" collapsed="false">
      <c r="B8" s="4" t="s">
        <v>158</v>
      </c>
      <c r="C8" s="5" t="s">
        <v>159</v>
      </c>
    </row>
    <row r="9" customFormat="false" ht="49.5" hidden="false" customHeight="true" outlineLevel="0" collapsed="false">
      <c r="B9" s="4" t="s">
        <v>160</v>
      </c>
      <c r="C9" s="5" t="s">
        <v>161</v>
      </c>
    </row>
    <row r="10" customFormat="false" ht="49.5" hidden="false" customHeight="true" outlineLevel="0" collapsed="false">
      <c r="B10" s="4" t="s">
        <v>162</v>
      </c>
      <c r="C10" s="5" t="s">
        <v>163</v>
      </c>
    </row>
    <row r="11" customFormat="false" ht="49.5" hidden="false" customHeight="true" outlineLevel="0" collapsed="false">
      <c r="B11" s="4" t="s">
        <v>164</v>
      </c>
      <c r="C11" s="5" t="s">
        <v>165</v>
      </c>
    </row>
    <row r="12" customFormat="false" ht="49.5" hidden="false" customHeight="true" outlineLevel="0" collapsed="false">
      <c r="B12" s="4" t="s">
        <v>166</v>
      </c>
      <c r="C12" s="5" t="s">
        <v>167</v>
      </c>
    </row>
    <row r="13" customFormat="false" ht="49.5" hidden="false" customHeight="true" outlineLevel="0" collapsed="false">
      <c r="B13" s="4" t="s">
        <v>168</v>
      </c>
      <c r="C13" s="5"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3" style="1" width="16"/>
    <col collapsed="false" customWidth="true" hidden="false" outlineLevel="0" max="11" min="5" style="1" width="12"/>
  </cols>
  <sheetData>
    <row r="1" customFormat="false" ht="15" hidden="false" customHeight="true" outlineLevel="0" collapsed="false">
      <c r="A1" s="6" t="s">
        <v>170</v>
      </c>
    </row>
    <row r="2" customFormat="false" ht="15" hidden="false" customHeight="true" outlineLevel="0" collapsed="false">
      <c r="A2" s="3" t="s">
        <v>171</v>
      </c>
    </row>
    <row r="4" customFormat="false" ht="15" hidden="false" customHeight="true" outlineLevel="0" collapsed="false">
      <c r="A4" s="16" t="s">
        <v>123</v>
      </c>
      <c r="B4" s="16" t="s">
        <v>60</v>
      </c>
      <c r="C4" s="16" t="s">
        <v>61</v>
      </c>
      <c r="D4" s="16" t="s">
        <v>172</v>
      </c>
      <c r="E4" s="8" t="s">
        <v>173</v>
      </c>
      <c r="F4" s="8" t="s">
        <v>142</v>
      </c>
      <c r="G4" s="8" t="s">
        <v>139</v>
      </c>
      <c r="H4" s="8" t="s">
        <v>174</v>
      </c>
      <c r="I4" s="8" t="s">
        <v>125</v>
      </c>
      <c r="J4" s="8" t="s">
        <v>126</v>
      </c>
      <c r="K4" s="8" t="s">
        <v>124</v>
      </c>
    </row>
    <row r="5" customFormat="false" ht="15" hidden="false" customHeight="true" outlineLevel="0" collapsed="false">
      <c r="A5" s="23" t="n">
        <v>46104</v>
      </c>
      <c r="B5" s="14" t="s">
        <v>68</v>
      </c>
      <c r="C5" s="14" t="s">
        <v>69</v>
      </c>
      <c r="D5" s="14" t="s">
        <v>175</v>
      </c>
      <c r="E5" s="9" t="n">
        <v>11691</v>
      </c>
      <c r="F5" s="9" t="n">
        <v>11925</v>
      </c>
      <c r="G5" s="12" t="n">
        <v>0.98</v>
      </c>
      <c r="H5" s="11" t="n">
        <v>50</v>
      </c>
      <c r="I5" s="11" t="n">
        <v>127</v>
      </c>
      <c r="J5" s="11" t="n">
        <v>1500</v>
      </c>
      <c r="K5" s="11" t="n">
        <v>1481387</v>
      </c>
    </row>
    <row r="6" customFormat="false" ht="15" hidden="false" customHeight="true" outlineLevel="0" collapsed="false">
      <c r="A6" s="23" t="n">
        <v>46094</v>
      </c>
      <c r="B6" s="14" t="s">
        <v>129</v>
      </c>
      <c r="C6" s="14" t="s">
        <v>130</v>
      </c>
      <c r="D6" s="14" t="s">
        <v>175</v>
      </c>
      <c r="E6" s="9" t="n">
        <v>9048</v>
      </c>
      <c r="F6" s="9" t="n">
        <v>10753</v>
      </c>
      <c r="G6" s="12" t="n">
        <v>0.84</v>
      </c>
      <c r="H6" s="11" t="n">
        <v>60</v>
      </c>
      <c r="I6" s="11" t="n">
        <v>89</v>
      </c>
      <c r="J6" s="11" t="n">
        <v>1500</v>
      </c>
      <c r="K6" s="11" t="n">
        <v>808965</v>
      </c>
    </row>
    <row r="7" customFormat="false" ht="15" hidden="false" customHeight="true" outlineLevel="0" collapsed="false">
      <c r="A7" s="23" t="n">
        <v>46076</v>
      </c>
      <c r="B7" s="14" t="s">
        <v>75</v>
      </c>
      <c r="C7" s="14" t="s">
        <v>76</v>
      </c>
      <c r="D7" s="14" t="s">
        <v>175</v>
      </c>
      <c r="E7" s="9" t="n">
        <v>12145</v>
      </c>
      <c r="F7" s="9" t="n">
        <v>12145</v>
      </c>
      <c r="G7" s="12" t="n">
        <v>1</v>
      </c>
      <c r="H7" s="11" t="n">
        <v>50</v>
      </c>
      <c r="I7" s="11" t="n">
        <v>105</v>
      </c>
      <c r="J7" s="11" t="n">
        <v>750</v>
      </c>
      <c r="K7" s="11" t="n">
        <v>1280370</v>
      </c>
    </row>
    <row r="8" customFormat="false" ht="15" hidden="false" customHeight="true" outlineLevel="0" collapsed="false">
      <c r="A8" s="23" t="n">
        <v>46066</v>
      </c>
      <c r="B8" s="14" t="s">
        <v>72</v>
      </c>
      <c r="C8" s="14" t="s">
        <v>73</v>
      </c>
      <c r="D8" s="14" t="s">
        <v>175</v>
      </c>
      <c r="E8" s="9" t="n">
        <v>10137</v>
      </c>
      <c r="F8" s="9" t="n">
        <v>11945</v>
      </c>
      <c r="G8" s="12" t="n">
        <v>0.84</v>
      </c>
      <c r="H8" s="11" t="n">
        <v>70</v>
      </c>
      <c r="I8" s="11" t="n">
        <v>117</v>
      </c>
      <c r="J8" s="11" t="n">
        <v>800</v>
      </c>
      <c r="K8" s="11" t="n">
        <v>1190420</v>
      </c>
    </row>
    <row r="9" customFormat="false" ht="15" hidden="false" customHeight="true" outlineLevel="0" collapsed="false">
      <c r="A9" s="23" t="n">
        <v>46062</v>
      </c>
      <c r="B9" s="14" t="s">
        <v>132</v>
      </c>
      <c r="C9" s="14" t="s">
        <v>133</v>
      </c>
      <c r="D9" s="14" t="s">
        <v>175</v>
      </c>
      <c r="E9" s="9" t="n">
        <v>9342</v>
      </c>
      <c r="F9" s="9" t="n">
        <v>12978</v>
      </c>
      <c r="G9" s="12" t="n">
        <v>0.71</v>
      </c>
      <c r="H9" s="11" t="n">
        <v>40</v>
      </c>
      <c r="I9" s="11" t="n">
        <v>114</v>
      </c>
      <c r="J9" s="11" t="n">
        <v>200</v>
      </c>
      <c r="K9" s="11" t="n">
        <v>1063859</v>
      </c>
    </row>
    <row r="10" customFormat="false" ht="15" hidden="false" customHeight="true" outlineLevel="0" collapsed="false">
      <c r="A10" s="23" t="n">
        <v>46046</v>
      </c>
      <c r="B10" s="14" t="s">
        <v>147</v>
      </c>
      <c r="C10" s="14" t="s">
        <v>148</v>
      </c>
      <c r="D10" s="14" t="s">
        <v>176</v>
      </c>
      <c r="E10" s="9" t="n">
        <v>10789</v>
      </c>
      <c r="F10" s="9" t="n">
        <v>11045</v>
      </c>
      <c r="G10" s="12" t="n">
        <v>0.97</v>
      </c>
      <c r="H10" s="11" t="n">
        <v>44</v>
      </c>
      <c r="I10" s="11" t="n">
        <v>99</v>
      </c>
      <c r="J10" s="11" t="n">
        <v>911</v>
      </c>
      <c r="K10" s="11" t="n">
        <v>1066122</v>
      </c>
    </row>
    <row r="11" customFormat="false" ht="15" hidden="false" customHeight="true" outlineLevel="0" collapsed="false">
      <c r="A11" s="23" t="n">
        <v>46045</v>
      </c>
      <c r="B11" s="14" t="s">
        <v>147</v>
      </c>
      <c r="C11" s="14" t="s">
        <v>148</v>
      </c>
      <c r="D11" s="14" t="s">
        <v>176</v>
      </c>
      <c r="E11" s="9" t="n">
        <v>7376</v>
      </c>
      <c r="F11" s="9" t="n">
        <v>7642</v>
      </c>
      <c r="G11" s="12" t="n">
        <v>0.96</v>
      </c>
      <c r="H11" s="11" t="n">
        <v>44</v>
      </c>
      <c r="I11" s="11" t="n">
        <v>95</v>
      </c>
      <c r="J11" s="11" t="n">
        <v>906</v>
      </c>
      <c r="K11" s="11" t="n">
        <v>700270</v>
      </c>
    </row>
    <row r="12" customFormat="false" ht="15" hidden="false" customHeight="true" outlineLevel="0" collapsed="false">
      <c r="A12" s="23" t="n">
        <v>46027</v>
      </c>
      <c r="B12" s="14" t="s">
        <v>145</v>
      </c>
      <c r="C12" s="14" t="s">
        <v>146</v>
      </c>
      <c r="D12" s="14" t="s">
        <v>175</v>
      </c>
      <c r="E12" s="9" t="n">
        <v>14728</v>
      </c>
      <c r="F12" s="9" t="n">
        <v>14728</v>
      </c>
      <c r="G12" s="12" t="n">
        <v>1</v>
      </c>
      <c r="H12" s="11" t="n">
        <v>40</v>
      </c>
      <c r="I12" s="11" t="n">
        <v>110</v>
      </c>
      <c r="J12" s="11" t="n">
        <v>1000</v>
      </c>
      <c r="K12" s="11" t="n">
        <v>1617180</v>
      </c>
    </row>
    <row r="13" customFormat="false" ht="15" hidden="false" customHeight="true" outlineLevel="0" collapsed="false">
      <c r="A13" s="23" t="n">
        <v>46026</v>
      </c>
      <c r="B13" s="14" t="s">
        <v>134</v>
      </c>
      <c r="C13" s="14" t="s">
        <v>135</v>
      </c>
      <c r="D13" s="14" t="s">
        <v>175</v>
      </c>
      <c r="E13" s="9" t="n">
        <v>7172</v>
      </c>
      <c r="F13" s="9" t="n">
        <v>7570</v>
      </c>
      <c r="G13" s="12" t="n">
        <v>0.94</v>
      </c>
      <c r="H13" s="11" t="n">
        <v>50</v>
      </c>
      <c r="I13" s="11" t="n">
        <v>80</v>
      </c>
      <c r="J13" s="11" t="n">
        <v>300</v>
      </c>
      <c r="K13" s="11" t="n">
        <v>577268</v>
      </c>
    </row>
    <row r="14" customFormat="false" ht="15" hidden="false" customHeight="true" outlineLevel="0" collapsed="false">
      <c r="A14" s="23" t="n">
        <v>46024</v>
      </c>
      <c r="B14" s="14" t="s">
        <v>143</v>
      </c>
      <c r="C14" s="14" t="s">
        <v>144</v>
      </c>
      <c r="D14" s="14" t="s">
        <v>175</v>
      </c>
      <c r="E14" s="9" t="n">
        <v>7467</v>
      </c>
      <c r="F14" s="9" t="n">
        <v>12780</v>
      </c>
      <c r="G14" s="12" t="n">
        <v>0.58</v>
      </c>
      <c r="H14" s="11" t="n">
        <v>45</v>
      </c>
      <c r="I14" s="11" t="n">
        <v>121</v>
      </c>
      <c r="J14" s="11" t="n">
        <v>400</v>
      </c>
      <c r="K14" s="11" t="n">
        <v>902970</v>
      </c>
    </row>
    <row r="15" customFormat="false" ht="15" hidden="false" customHeight="true" outlineLevel="0" collapsed="false">
      <c r="A15" s="23" t="n">
        <v>46017</v>
      </c>
      <c r="B15" s="14" t="s">
        <v>177</v>
      </c>
      <c r="C15" s="14" t="s">
        <v>178</v>
      </c>
      <c r="D15" s="14" t="s">
        <v>175</v>
      </c>
      <c r="E15" s="9" t="n">
        <v>8612</v>
      </c>
      <c r="F15" s="9" t="n">
        <v>10093</v>
      </c>
      <c r="G15" s="12" t="n">
        <v>0.85</v>
      </c>
      <c r="H15" s="11" t="n">
        <v>30</v>
      </c>
      <c r="I15" s="11" t="n">
        <v>79</v>
      </c>
      <c r="J15" s="11" t="n">
        <v>200</v>
      </c>
      <c r="K15" s="11" t="n">
        <v>683746</v>
      </c>
    </row>
    <row r="16" customFormat="false" ht="15" hidden="false" customHeight="true" outlineLevel="0" collapsed="false">
      <c r="A16" s="23" t="n">
        <v>46004</v>
      </c>
      <c r="B16" s="14" t="s">
        <v>179</v>
      </c>
      <c r="C16" s="14" t="s">
        <v>180</v>
      </c>
      <c r="D16" s="14" t="s">
        <v>175</v>
      </c>
      <c r="E16" s="9" t="n">
        <v>17121</v>
      </c>
      <c r="F16" s="9" t="n">
        <v>17715</v>
      </c>
      <c r="G16" s="12" t="n">
        <v>0.96</v>
      </c>
      <c r="H16" s="11" t="n">
        <v>105</v>
      </c>
      <c r="I16" s="11" t="n">
        <v>383</v>
      </c>
      <c r="J16" s="11" t="n">
        <v>2005</v>
      </c>
      <c r="K16" s="11" t="n">
        <v>6553883</v>
      </c>
    </row>
    <row r="17" customFormat="false" ht="15" hidden="false" customHeight="true" outlineLevel="0" collapsed="false">
      <c r="A17" s="23" t="n">
        <v>45999</v>
      </c>
      <c r="B17" s="14" t="s">
        <v>181</v>
      </c>
      <c r="C17" s="14" t="s">
        <v>182</v>
      </c>
      <c r="D17" s="14" t="s">
        <v>175</v>
      </c>
      <c r="E17" s="9" t="n">
        <v>7542</v>
      </c>
      <c r="F17" s="9" t="n">
        <v>12310</v>
      </c>
      <c r="G17" s="12" t="n">
        <v>0.61</v>
      </c>
      <c r="H17" s="11" t="n">
        <v>50</v>
      </c>
      <c r="I17" s="11" t="n">
        <v>89</v>
      </c>
      <c r="J17" s="11" t="n">
        <v>600</v>
      </c>
      <c r="K17" s="11" t="n">
        <v>668130</v>
      </c>
    </row>
    <row r="18" customFormat="false" ht="15" hidden="false" customHeight="true" outlineLevel="0" collapsed="false">
      <c r="A18" s="23" t="n">
        <v>45996</v>
      </c>
      <c r="B18" s="14" t="s">
        <v>183</v>
      </c>
      <c r="C18" s="14" t="s">
        <v>184</v>
      </c>
      <c r="D18" s="14" t="s">
        <v>175</v>
      </c>
      <c r="E18" s="9" t="n">
        <v>7163</v>
      </c>
      <c r="F18" s="9" t="n">
        <v>7163</v>
      </c>
      <c r="G18" s="12" t="n">
        <v>1</v>
      </c>
      <c r="H18" s="11" t="n">
        <v>50</v>
      </c>
      <c r="I18" s="11" t="n">
        <v>89</v>
      </c>
      <c r="J18" s="11" t="n">
        <v>425</v>
      </c>
      <c r="K18" s="11" t="n">
        <v>636604</v>
      </c>
    </row>
    <row r="19" customFormat="false" ht="15" hidden="false" customHeight="true" outlineLevel="0" collapsed="false">
      <c r="A19" s="23" t="n">
        <v>45985</v>
      </c>
      <c r="B19" s="14" t="s">
        <v>185</v>
      </c>
      <c r="C19" s="14" t="s">
        <v>186</v>
      </c>
      <c r="D19" s="14" t="s">
        <v>175</v>
      </c>
      <c r="E19" s="9" t="n">
        <v>9165</v>
      </c>
      <c r="F19" s="9" t="n">
        <v>11139</v>
      </c>
      <c r="G19" s="12" t="n">
        <v>0.82</v>
      </c>
      <c r="H19" s="11" t="n">
        <v>30</v>
      </c>
      <c r="I19" s="11" t="n">
        <v>90</v>
      </c>
      <c r="J19" s="11" t="n">
        <v>500</v>
      </c>
      <c r="K19" s="11" t="n">
        <v>829470</v>
      </c>
    </row>
    <row r="20" customFormat="false" ht="15" hidden="false" customHeight="true" outlineLevel="0" collapsed="false">
      <c r="A20" s="23" t="n">
        <v>45978</v>
      </c>
      <c r="B20" s="14" t="s">
        <v>187</v>
      </c>
      <c r="C20" s="14" t="s">
        <v>188</v>
      </c>
      <c r="D20" s="14" t="s">
        <v>175</v>
      </c>
      <c r="E20" s="9" t="n">
        <v>17990</v>
      </c>
      <c r="F20" s="9" t="n">
        <v>17990</v>
      </c>
      <c r="G20" s="12" t="n">
        <v>1</v>
      </c>
      <c r="H20" s="11" t="n">
        <v>87</v>
      </c>
      <c r="I20" s="11" t="n">
        <v>248</v>
      </c>
      <c r="J20" s="11" t="n">
        <v>1757</v>
      </c>
      <c r="K20" s="11" t="n">
        <v>4455764</v>
      </c>
    </row>
    <row r="21" customFormat="false" ht="15" hidden="false" customHeight="true" outlineLevel="0" collapsed="false">
      <c r="A21" s="23" t="n">
        <v>45971</v>
      </c>
      <c r="B21" s="14" t="s">
        <v>68</v>
      </c>
      <c r="C21" s="14" t="s">
        <v>69</v>
      </c>
      <c r="D21" s="14" t="s">
        <v>175</v>
      </c>
      <c r="E21" s="9" t="n">
        <v>15719</v>
      </c>
      <c r="F21" s="9" t="n">
        <v>16026</v>
      </c>
      <c r="G21" s="12" t="n">
        <v>0.98</v>
      </c>
      <c r="H21" s="11" t="n">
        <v>62</v>
      </c>
      <c r="I21" s="11" t="n">
        <v>191</v>
      </c>
      <c r="J21" s="11" t="n">
        <v>1492</v>
      </c>
      <c r="K21" s="11" t="n">
        <v>3000965</v>
      </c>
    </row>
    <row r="22" customFormat="false" ht="15" hidden="false" customHeight="true" outlineLevel="0" collapsed="false">
      <c r="A22" s="23" t="n">
        <v>45947</v>
      </c>
      <c r="B22" s="14" t="s">
        <v>189</v>
      </c>
      <c r="C22" s="14" t="s">
        <v>190</v>
      </c>
      <c r="D22" s="14" t="s">
        <v>175</v>
      </c>
      <c r="E22" s="9" t="n">
        <v>9503</v>
      </c>
      <c r="F22" s="9" t="n">
        <v>11103</v>
      </c>
      <c r="G22" s="12" t="n">
        <v>0.85</v>
      </c>
      <c r="H22" s="11" t="n">
        <v>125</v>
      </c>
      <c r="I22" s="11" t="n">
        <v>114</v>
      </c>
      <c r="J22" s="11" t="n">
        <v>750</v>
      </c>
      <c r="K22" s="11" t="n">
        <v>1083085</v>
      </c>
    </row>
    <row r="23" customFormat="false" ht="15" hidden="false" customHeight="true" outlineLevel="0" collapsed="false">
      <c r="A23" s="23" t="n">
        <v>45936</v>
      </c>
      <c r="B23" s="14" t="s">
        <v>72</v>
      </c>
      <c r="C23" s="14" t="s">
        <v>73</v>
      </c>
      <c r="D23" s="14" t="s">
        <v>175</v>
      </c>
      <c r="E23" s="9" t="n">
        <v>10532</v>
      </c>
      <c r="F23" s="9" t="n">
        <v>12055</v>
      </c>
      <c r="G23" s="12" t="n">
        <v>0.87</v>
      </c>
      <c r="H23" s="11" t="n">
        <v>50</v>
      </c>
      <c r="I23" s="11" t="n">
        <v>140</v>
      </c>
      <c r="J23" s="11" t="n">
        <v>750</v>
      </c>
      <c r="K23" s="11" t="n">
        <v>1473914</v>
      </c>
    </row>
    <row r="24" customFormat="false" ht="15" hidden="false" customHeight="true" outlineLevel="0" collapsed="false">
      <c r="A24" s="23" t="n">
        <v>45927</v>
      </c>
      <c r="B24" s="14" t="s">
        <v>191</v>
      </c>
      <c r="C24" s="14" t="s">
        <v>192</v>
      </c>
      <c r="D24" s="14" t="s">
        <v>175</v>
      </c>
      <c r="E24" s="9" t="n">
        <v>11818</v>
      </c>
      <c r="F24" s="9" t="n">
        <v>11818</v>
      </c>
      <c r="G24" s="12" t="n">
        <v>1</v>
      </c>
      <c r="H24" s="11" t="n">
        <v>50</v>
      </c>
      <c r="I24" s="11" t="n">
        <v>142</v>
      </c>
      <c r="J24" s="11" t="n">
        <v>500</v>
      </c>
      <c r="K24" s="11" t="n">
        <v>1681275</v>
      </c>
    </row>
    <row r="25" customFormat="false" ht="15" hidden="false" customHeight="true" outlineLevel="0" collapsed="false">
      <c r="A25" s="23" t="n">
        <v>45926</v>
      </c>
      <c r="B25" s="14" t="s">
        <v>193</v>
      </c>
      <c r="C25" s="14" t="s">
        <v>194</v>
      </c>
      <c r="D25" s="14" t="s">
        <v>175</v>
      </c>
      <c r="E25" s="9" t="n">
        <v>9203</v>
      </c>
      <c r="F25" s="9" t="n">
        <v>13054</v>
      </c>
      <c r="G25" s="12" t="n">
        <v>0.7</v>
      </c>
      <c r="H25" s="11" t="n">
        <v>50</v>
      </c>
      <c r="I25" s="11" t="n">
        <v>128</v>
      </c>
      <c r="J25" s="11" t="n">
        <v>550</v>
      </c>
      <c r="K25" s="11" t="n">
        <v>1174592</v>
      </c>
    </row>
    <row r="26" customFormat="false" ht="15" hidden="false" customHeight="true" outlineLevel="0" collapsed="false">
      <c r="A26" s="23" t="n">
        <v>45920</v>
      </c>
      <c r="B26" s="14" t="s">
        <v>195</v>
      </c>
      <c r="C26" s="14" t="s">
        <v>196</v>
      </c>
      <c r="D26" s="14" t="s">
        <v>175</v>
      </c>
      <c r="E26" s="9" t="n">
        <v>13289</v>
      </c>
      <c r="F26" s="9" t="n">
        <v>13289</v>
      </c>
      <c r="G26" s="12" t="n">
        <v>1</v>
      </c>
      <c r="H26" s="11" t="n">
        <v>86</v>
      </c>
      <c r="I26" s="11" t="n">
        <v>245</v>
      </c>
      <c r="J26" s="11" t="n">
        <v>1654</v>
      </c>
      <c r="K26" s="11" t="n">
        <v>3257687</v>
      </c>
    </row>
    <row r="27" customFormat="false" ht="15" hidden="false" customHeight="true" outlineLevel="0" collapsed="false">
      <c r="A27" s="23" t="n">
        <v>45919</v>
      </c>
      <c r="B27" s="14" t="s">
        <v>197</v>
      </c>
      <c r="C27" s="14" t="s">
        <v>198</v>
      </c>
      <c r="D27" s="14" t="s">
        <v>175</v>
      </c>
      <c r="E27" s="9" t="n">
        <v>6018</v>
      </c>
      <c r="F27" s="9" t="n">
        <v>6258</v>
      </c>
      <c r="G27" s="12" t="n">
        <v>0.96</v>
      </c>
      <c r="H27" s="11" t="n">
        <v>50</v>
      </c>
      <c r="I27" s="11" t="n">
        <v>89</v>
      </c>
      <c r="J27" s="11" t="n">
        <v>350</v>
      </c>
      <c r="K27" s="11" t="n">
        <v>538205</v>
      </c>
    </row>
    <row r="28" customFormat="false" ht="15" hidden="false" customHeight="true" outlineLevel="0" collapsed="false">
      <c r="A28" s="23" t="n">
        <v>45908</v>
      </c>
      <c r="B28" s="14" t="s">
        <v>199</v>
      </c>
      <c r="C28" s="14" t="s">
        <v>200</v>
      </c>
      <c r="D28" s="14" t="s">
        <v>175</v>
      </c>
      <c r="E28" s="9" t="n">
        <v>6721</v>
      </c>
      <c r="F28" s="9" t="n">
        <v>10853</v>
      </c>
      <c r="G28" s="12" t="n">
        <v>0.61</v>
      </c>
      <c r="H28" s="11" t="n">
        <v>55</v>
      </c>
      <c r="I28" s="11" t="n">
        <v>112</v>
      </c>
      <c r="J28" s="11" t="n">
        <v>750</v>
      </c>
      <c r="K28" s="11" t="n">
        <v>750836</v>
      </c>
    </row>
    <row r="29" customFormat="false" ht="15" hidden="false" customHeight="true" outlineLevel="0" collapsed="false">
      <c r="A29" s="23" t="n">
        <v>45906</v>
      </c>
      <c r="B29" s="14" t="s">
        <v>201</v>
      </c>
      <c r="C29" s="14" t="s">
        <v>202</v>
      </c>
      <c r="D29" s="14" t="s">
        <v>175</v>
      </c>
      <c r="E29" s="9" t="n">
        <v>16283</v>
      </c>
      <c r="F29" s="9" t="n">
        <v>16283</v>
      </c>
      <c r="G29" s="12" t="n">
        <v>1</v>
      </c>
      <c r="H29" s="11" t="n">
        <v>75</v>
      </c>
      <c r="I29" s="11" t="n">
        <v>165</v>
      </c>
      <c r="J29" s="11" t="n">
        <v>600</v>
      </c>
      <c r="K29" s="11" t="n">
        <v>2682050</v>
      </c>
    </row>
    <row r="30" customFormat="false" ht="15" hidden="false" customHeight="true" outlineLevel="0" collapsed="false">
      <c r="A30" s="23" t="n">
        <v>45884</v>
      </c>
      <c r="B30" s="14" t="s">
        <v>68</v>
      </c>
      <c r="C30" s="14" t="s">
        <v>69</v>
      </c>
      <c r="D30" s="14" t="s">
        <v>175</v>
      </c>
      <c r="E30" s="9" t="n">
        <v>11361</v>
      </c>
      <c r="F30" s="9" t="n">
        <v>11602</v>
      </c>
      <c r="G30" s="12" t="n">
        <v>0.97</v>
      </c>
      <c r="H30" s="11" t="n">
        <v>50</v>
      </c>
      <c r="I30" s="11" t="n">
        <v>124</v>
      </c>
      <c r="J30" s="11" t="n">
        <v>500</v>
      </c>
      <c r="K30" s="11" t="n">
        <v>1413350</v>
      </c>
    </row>
    <row r="31" customFormat="false" ht="15" hidden="false" customHeight="true" outlineLevel="0" collapsed="false">
      <c r="A31" s="23" t="n">
        <v>45880</v>
      </c>
      <c r="B31" s="14" t="s">
        <v>203</v>
      </c>
      <c r="C31" s="14" t="s">
        <v>204</v>
      </c>
      <c r="D31" s="14" t="s">
        <v>176</v>
      </c>
      <c r="E31" s="9" t="n">
        <v>9039</v>
      </c>
      <c r="F31" s="9" t="n">
        <v>12235</v>
      </c>
      <c r="G31" s="12" t="n">
        <v>0.73</v>
      </c>
      <c r="H31" s="11" t="n">
        <v>44</v>
      </c>
      <c r="I31" s="11" t="n">
        <v>97</v>
      </c>
      <c r="J31" s="11" t="n">
        <v>291</v>
      </c>
      <c r="K31" s="11" t="n">
        <v>880191</v>
      </c>
    </row>
    <row r="32" customFormat="false" ht="15" hidden="false" customHeight="true" outlineLevel="0" collapsed="false">
      <c r="A32" s="23" t="n">
        <v>45877</v>
      </c>
      <c r="B32" s="14" t="s">
        <v>147</v>
      </c>
      <c r="C32" s="14" t="s">
        <v>148</v>
      </c>
      <c r="D32" s="14" t="s">
        <v>176</v>
      </c>
      <c r="E32" s="9" t="n">
        <v>13230</v>
      </c>
      <c r="F32" s="9" t="n">
        <v>13231</v>
      </c>
      <c r="G32" s="12" t="n">
        <v>0.99</v>
      </c>
      <c r="H32" s="11" t="n">
        <v>44</v>
      </c>
      <c r="I32" s="11" t="n">
        <v>103</v>
      </c>
      <c r="J32" s="11" t="n">
        <v>364</v>
      </c>
      <c r="K32" s="11" t="n">
        <v>1361576</v>
      </c>
    </row>
    <row r="33" customFormat="false" ht="15" hidden="false" customHeight="true" outlineLevel="0" collapsed="false">
      <c r="A33" s="23" t="n">
        <v>45873</v>
      </c>
      <c r="B33" s="14" t="s">
        <v>145</v>
      </c>
      <c r="C33" s="14" t="s">
        <v>146</v>
      </c>
      <c r="D33" s="14" t="s">
        <v>175</v>
      </c>
      <c r="E33" s="9" t="n">
        <v>12338</v>
      </c>
      <c r="F33" s="9" t="n">
        <v>12944</v>
      </c>
      <c r="G33" s="12" t="n">
        <v>0.95</v>
      </c>
      <c r="H33" s="11" t="n">
        <v>50</v>
      </c>
      <c r="I33" s="11" t="n">
        <v>128</v>
      </c>
      <c r="J33" s="11" t="n">
        <v>1000</v>
      </c>
      <c r="K33" s="11" t="n">
        <v>1578880</v>
      </c>
    </row>
    <row r="34" customFormat="false" ht="15" hidden="false" customHeight="true" outlineLevel="0" collapsed="false">
      <c r="A34" s="23" t="n">
        <v>45866</v>
      </c>
      <c r="B34" s="14" t="s">
        <v>205</v>
      </c>
      <c r="C34" s="14" t="s">
        <v>206</v>
      </c>
      <c r="D34" s="14" t="s">
        <v>175</v>
      </c>
      <c r="E34" s="9" t="n">
        <v>13615</v>
      </c>
      <c r="F34" s="9" t="n">
        <v>13615</v>
      </c>
      <c r="G34" s="12" t="n">
        <v>1</v>
      </c>
      <c r="H34" s="11" t="n">
        <v>50</v>
      </c>
      <c r="I34" s="11" t="n">
        <v>123</v>
      </c>
      <c r="J34" s="11" t="n">
        <v>750</v>
      </c>
      <c r="K34" s="11" t="n">
        <v>1668573</v>
      </c>
    </row>
    <row r="35" customFormat="false" ht="15" hidden="false" customHeight="true" outlineLevel="0" collapsed="false">
      <c r="A35" s="23" t="n">
        <v>45856</v>
      </c>
      <c r="B35" s="14" t="s">
        <v>207</v>
      </c>
      <c r="C35" s="14" t="s">
        <v>208</v>
      </c>
      <c r="D35" s="14" t="s">
        <v>175</v>
      </c>
      <c r="E35" s="9" t="n">
        <v>14922</v>
      </c>
      <c r="F35" s="9" t="n">
        <v>14922</v>
      </c>
      <c r="G35" s="12" t="n">
        <v>1</v>
      </c>
      <c r="H35" s="11" t="n">
        <v>35</v>
      </c>
      <c r="I35" s="11" t="n">
        <v>118</v>
      </c>
      <c r="J35" s="11" t="n">
        <v>500</v>
      </c>
      <c r="K35" s="11" t="n">
        <v>1763150</v>
      </c>
    </row>
    <row r="36" customFormat="false" ht="15" hidden="false" customHeight="true" outlineLevel="0" collapsed="false">
      <c r="A36" s="23" t="n">
        <v>45850</v>
      </c>
      <c r="B36" s="14" t="s">
        <v>75</v>
      </c>
      <c r="C36" s="14" t="s">
        <v>76</v>
      </c>
      <c r="D36" s="14" t="s">
        <v>175</v>
      </c>
      <c r="E36" s="9" t="n">
        <v>10258</v>
      </c>
      <c r="F36" s="9" t="n">
        <v>10259</v>
      </c>
      <c r="G36" s="12" t="n">
        <v>0.99</v>
      </c>
      <c r="H36" s="11" t="n">
        <v>65</v>
      </c>
      <c r="I36" s="11" t="n">
        <v>98</v>
      </c>
      <c r="J36" s="11" t="n">
        <v>1500</v>
      </c>
      <c r="K36" s="11" t="n">
        <v>1003208</v>
      </c>
    </row>
    <row r="37" customFormat="false" ht="15" hidden="false" customHeight="true" outlineLevel="0" collapsed="false">
      <c r="A37" s="23" t="n">
        <v>45849</v>
      </c>
      <c r="B37" s="14" t="s">
        <v>81</v>
      </c>
      <c r="C37" s="14" t="s">
        <v>82</v>
      </c>
      <c r="D37" s="14" t="s">
        <v>175</v>
      </c>
      <c r="E37" s="9" t="n">
        <v>10472</v>
      </c>
      <c r="F37" s="9" t="n">
        <v>10872</v>
      </c>
      <c r="G37" s="12" t="n">
        <v>0.96</v>
      </c>
      <c r="H37" s="11" t="n">
        <v>42</v>
      </c>
      <c r="I37" s="11" t="n">
        <v>90</v>
      </c>
      <c r="J37" s="11" t="n">
        <v>408</v>
      </c>
      <c r="K37" s="11" t="n">
        <v>940720</v>
      </c>
    </row>
    <row r="38" customFormat="false" ht="15" hidden="false" customHeight="true" outlineLevel="0" collapsed="false">
      <c r="A38" s="23" t="n">
        <v>45817</v>
      </c>
      <c r="B38" s="14" t="s">
        <v>209</v>
      </c>
      <c r="C38" s="14" t="s">
        <v>130</v>
      </c>
      <c r="D38" s="14" t="s">
        <v>175</v>
      </c>
      <c r="E38" s="9" t="n">
        <v>12213</v>
      </c>
      <c r="F38" s="9" t="n">
        <v>13161</v>
      </c>
      <c r="G38" s="12" t="n">
        <v>0.92</v>
      </c>
      <c r="H38" s="11" t="n">
        <v>30</v>
      </c>
      <c r="I38" s="11" t="n">
        <v>142</v>
      </c>
      <c r="J38" s="11" t="n">
        <v>900</v>
      </c>
      <c r="K38" s="11" t="n">
        <v>1731135</v>
      </c>
    </row>
    <row r="39" customFormat="false" ht="15" hidden="false" customHeight="true" outlineLevel="0" collapsed="false">
      <c r="A39" s="23" t="n">
        <v>45810</v>
      </c>
      <c r="B39" s="14" t="s">
        <v>210</v>
      </c>
      <c r="C39" s="14" t="s">
        <v>211</v>
      </c>
      <c r="D39" s="14" t="s">
        <v>175</v>
      </c>
      <c r="E39" s="9" t="n">
        <v>8256</v>
      </c>
      <c r="F39" s="9" t="n">
        <v>10890</v>
      </c>
      <c r="G39" s="12" t="n">
        <v>0.75</v>
      </c>
      <c r="H39" s="11" t="n">
        <v>35</v>
      </c>
      <c r="I39" s="11" t="n">
        <v>94</v>
      </c>
      <c r="J39" s="11" t="n">
        <v>300</v>
      </c>
      <c r="K39" s="11" t="n">
        <v>780180</v>
      </c>
    </row>
    <row r="40" customFormat="false" ht="15" hidden="false" customHeight="true" outlineLevel="0" collapsed="false">
      <c r="A40" s="23" t="n">
        <v>45800</v>
      </c>
      <c r="B40" s="14" t="s">
        <v>212</v>
      </c>
      <c r="C40" s="14" t="s">
        <v>213</v>
      </c>
      <c r="D40" s="14" t="s">
        <v>175</v>
      </c>
      <c r="E40" s="9" t="n">
        <v>6107</v>
      </c>
      <c r="F40" s="9" t="n">
        <v>6220</v>
      </c>
      <c r="G40" s="12" t="n">
        <v>0.98</v>
      </c>
      <c r="H40" s="11" t="n">
        <v>30</v>
      </c>
      <c r="I40" s="11" t="n">
        <v>86</v>
      </c>
      <c r="J40" s="11" t="n">
        <v>325</v>
      </c>
      <c r="K40" s="11" t="n">
        <v>523935</v>
      </c>
    </row>
    <row r="41" customFormat="false" ht="15" hidden="false" customHeight="true" outlineLevel="0" collapsed="false">
      <c r="A41" s="23" t="n">
        <v>45782</v>
      </c>
      <c r="B41" s="14" t="s">
        <v>214</v>
      </c>
      <c r="C41" s="14" t="s">
        <v>215</v>
      </c>
      <c r="D41" s="14" t="s">
        <v>175</v>
      </c>
      <c r="E41" s="9" t="n">
        <v>10881</v>
      </c>
      <c r="F41" s="9" t="n">
        <v>13136</v>
      </c>
      <c r="G41" s="12" t="n">
        <v>0.82</v>
      </c>
      <c r="H41" s="11" t="n">
        <v>30</v>
      </c>
      <c r="I41" s="11" t="n">
        <v>81</v>
      </c>
      <c r="J41" s="11" t="n">
        <v>250</v>
      </c>
      <c r="K41" s="11" t="n">
        <v>881850</v>
      </c>
    </row>
    <row r="42" customFormat="false" ht="15" hidden="false" customHeight="true" outlineLevel="0" collapsed="false">
      <c r="A42" s="23" t="n">
        <v>45772</v>
      </c>
      <c r="B42" s="14" t="s">
        <v>216</v>
      </c>
      <c r="C42" s="14" t="s">
        <v>217</v>
      </c>
      <c r="D42" s="14" t="s">
        <v>175</v>
      </c>
      <c r="E42" s="9" t="n">
        <v>11462</v>
      </c>
      <c r="F42" s="9" t="n">
        <v>11667</v>
      </c>
      <c r="G42" s="12" t="n">
        <v>0.98</v>
      </c>
      <c r="H42" s="11" t="n">
        <v>48</v>
      </c>
      <c r="I42" s="11" t="n">
        <v>130</v>
      </c>
      <c r="J42" s="11" t="n">
        <v>554</v>
      </c>
      <c r="K42" s="11" t="n">
        <v>1493662</v>
      </c>
    </row>
    <row r="43" customFormat="false" ht="15" hidden="false" customHeight="true" outlineLevel="0" collapsed="false">
      <c r="A43" s="23" t="n">
        <v>45768</v>
      </c>
      <c r="B43" s="14" t="s">
        <v>218</v>
      </c>
      <c r="C43" s="14" t="s">
        <v>219</v>
      </c>
      <c r="D43" s="14" t="s">
        <v>175</v>
      </c>
      <c r="E43" s="9" t="n">
        <v>16738</v>
      </c>
      <c r="F43" s="9" t="n">
        <v>16738</v>
      </c>
      <c r="G43" s="12" t="n">
        <v>1</v>
      </c>
      <c r="H43" s="11" t="n">
        <v>82</v>
      </c>
      <c r="I43" s="11" t="n">
        <v>208</v>
      </c>
      <c r="J43" s="11" t="n">
        <v>1368</v>
      </c>
      <c r="K43" s="11" t="n">
        <v>3480131</v>
      </c>
    </row>
    <row r="44" customFormat="false" ht="15" hidden="false" customHeight="true" outlineLevel="0" collapsed="false">
      <c r="A44" s="23" t="n">
        <v>45766</v>
      </c>
      <c r="B44" s="14" t="s">
        <v>218</v>
      </c>
      <c r="C44" s="14" t="s">
        <v>219</v>
      </c>
      <c r="D44" s="14" t="s">
        <v>175</v>
      </c>
      <c r="E44" s="9" t="n">
        <v>9854</v>
      </c>
      <c r="F44" s="9" t="n">
        <v>12686</v>
      </c>
      <c r="G44" s="12" t="n">
        <v>0.77</v>
      </c>
      <c r="H44" s="11" t="n">
        <v>39</v>
      </c>
      <c r="I44" s="11" t="n">
        <v>94</v>
      </c>
      <c r="J44" s="11" t="n">
        <v>388</v>
      </c>
      <c r="K44" s="11" t="n">
        <v>924449</v>
      </c>
    </row>
    <row r="45" customFormat="false" ht="15" hidden="false" customHeight="true" outlineLevel="0" collapsed="false">
      <c r="A45" s="23" t="n">
        <v>45765</v>
      </c>
      <c r="B45" s="14" t="s">
        <v>218</v>
      </c>
      <c r="C45" s="14" t="s">
        <v>219</v>
      </c>
      <c r="D45" s="14" t="s">
        <v>175</v>
      </c>
      <c r="E45" s="9" t="n">
        <v>15956</v>
      </c>
      <c r="F45" s="9" t="n">
        <v>15956</v>
      </c>
      <c r="G45" s="12" t="n">
        <v>1</v>
      </c>
      <c r="H45" s="11" t="n">
        <v>82</v>
      </c>
      <c r="I45" s="11" t="n">
        <v>157</v>
      </c>
      <c r="J45" s="11" t="n">
        <v>1368</v>
      </c>
      <c r="K45" s="11" t="n">
        <v>2503179</v>
      </c>
    </row>
    <row r="46" customFormat="false" ht="15" hidden="false" customHeight="true" outlineLevel="0" collapsed="false">
      <c r="A46" s="23" t="n">
        <v>45761</v>
      </c>
      <c r="B46" s="14" t="s">
        <v>220</v>
      </c>
      <c r="C46" s="14" t="s">
        <v>221</v>
      </c>
      <c r="D46" s="14" t="s">
        <v>175</v>
      </c>
      <c r="E46" s="9" t="n">
        <v>13435</v>
      </c>
      <c r="F46" s="9" t="n">
        <v>13465</v>
      </c>
      <c r="G46" s="12" t="n">
        <v>0.99</v>
      </c>
      <c r="H46" s="11" t="n">
        <v>50</v>
      </c>
      <c r="I46" s="11" t="n">
        <v>126</v>
      </c>
      <c r="J46" s="11" t="n">
        <v>500</v>
      </c>
      <c r="K46" s="11" t="n">
        <v>1697100</v>
      </c>
    </row>
    <row r="47" customFormat="false" ht="15" hidden="false" customHeight="true" outlineLevel="0" collapsed="false">
      <c r="A47" s="23" t="n">
        <v>45758</v>
      </c>
      <c r="B47" s="14" t="s">
        <v>222</v>
      </c>
      <c r="C47" s="14" t="s">
        <v>223</v>
      </c>
      <c r="D47" s="14" t="s">
        <v>175</v>
      </c>
      <c r="E47" s="9" t="n">
        <v>10322</v>
      </c>
      <c r="F47" s="9" t="n">
        <v>12799</v>
      </c>
      <c r="G47" s="12" t="n">
        <v>0.8</v>
      </c>
      <c r="H47" s="11" t="n">
        <v>56</v>
      </c>
      <c r="I47" s="11" t="n">
        <v>128</v>
      </c>
      <c r="J47" s="11" t="n">
        <v>756</v>
      </c>
      <c r="K47" s="11" t="n">
        <v>1323262</v>
      </c>
    </row>
    <row r="48" customFormat="false" ht="15" hidden="false" customHeight="true" outlineLevel="0" collapsed="false">
      <c r="A48" s="23" t="n">
        <v>45751</v>
      </c>
      <c r="B48" s="14" t="s">
        <v>201</v>
      </c>
      <c r="C48" s="14" t="s">
        <v>202</v>
      </c>
      <c r="D48" s="14" t="s">
        <v>175</v>
      </c>
      <c r="E48" s="9" t="n">
        <v>15364</v>
      </c>
      <c r="F48" s="9" t="n">
        <v>15364</v>
      </c>
      <c r="G48" s="12" t="n">
        <v>1</v>
      </c>
      <c r="H48" s="11" t="n">
        <v>65</v>
      </c>
      <c r="I48" s="11" t="n">
        <v>149</v>
      </c>
      <c r="J48" s="11" t="n">
        <v>950</v>
      </c>
      <c r="K48" s="11" t="n">
        <v>2293705</v>
      </c>
    </row>
    <row r="49" customFormat="false" ht="15" hidden="false" customHeight="true" outlineLevel="0" collapsed="false">
      <c r="A49" s="23" t="n">
        <v>45723</v>
      </c>
      <c r="B49" s="14" t="s">
        <v>224</v>
      </c>
      <c r="C49" s="14" t="s">
        <v>225</v>
      </c>
      <c r="D49" s="14" t="s">
        <v>175</v>
      </c>
      <c r="E49" s="9" t="n">
        <v>16033</v>
      </c>
      <c r="F49" s="9" t="n">
        <v>16033</v>
      </c>
      <c r="G49" s="12" t="n">
        <v>1</v>
      </c>
      <c r="H49" s="11" t="n">
        <v>50</v>
      </c>
      <c r="I49" s="11" t="n">
        <v>125</v>
      </c>
      <c r="J49" s="11" t="n">
        <v>750</v>
      </c>
      <c r="K49" s="11" t="n">
        <v>2002300</v>
      </c>
    </row>
    <row r="50" customFormat="false" ht="15" hidden="false" customHeight="true" outlineLevel="0" collapsed="false">
      <c r="A50" s="23" t="n">
        <v>45719</v>
      </c>
      <c r="B50" s="14" t="s">
        <v>143</v>
      </c>
      <c r="C50" s="14" t="s">
        <v>144</v>
      </c>
      <c r="D50" s="14" t="s">
        <v>175</v>
      </c>
      <c r="E50" s="9" t="n">
        <v>12879</v>
      </c>
      <c r="F50" s="9" t="n">
        <v>12879</v>
      </c>
      <c r="G50" s="12" t="n">
        <v>1</v>
      </c>
      <c r="H50" s="11" t="n">
        <v>25</v>
      </c>
      <c r="I50" s="11" t="n">
        <v>91</v>
      </c>
      <c r="J50" s="11" t="n">
        <v>400</v>
      </c>
      <c r="K50" s="11" t="n">
        <v>1170770</v>
      </c>
    </row>
    <row r="51" customFormat="false" ht="15" hidden="false" customHeight="true" outlineLevel="0" collapsed="false">
      <c r="A51" s="23" t="n">
        <v>45705</v>
      </c>
      <c r="B51" s="14" t="s">
        <v>77</v>
      </c>
      <c r="C51" s="14" t="s">
        <v>78</v>
      </c>
      <c r="D51" s="14" t="s">
        <v>175</v>
      </c>
      <c r="E51" s="9" t="n">
        <v>13721</v>
      </c>
      <c r="F51" s="9" t="n">
        <v>14034</v>
      </c>
      <c r="G51" s="12" t="n">
        <v>0.97</v>
      </c>
      <c r="H51" s="11" t="n">
        <v>38</v>
      </c>
      <c r="I51" s="11" t="n">
        <v>88</v>
      </c>
      <c r="J51" s="11" t="n">
        <v>304</v>
      </c>
      <c r="K51" s="11" t="n">
        <v>1213566</v>
      </c>
    </row>
    <row r="52" customFormat="false" ht="15" hidden="false" customHeight="true" outlineLevel="0" collapsed="false">
      <c r="A52" s="23" t="n">
        <v>45702</v>
      </c>
      <c r="B52" s="14" t="s">
        <v>179</v>
      </c>
      <c r="C52" s="14" t="s">
        <v>180</v>
      </c>
      <c r="D52" s="14" t="s">
        <v>175</v>
      </c>
      <c r="E52" s="9" t="n">
        <v>11569</v>
      </c>
      <c r="F52" s="9" t="n">
        <v>12213</v>
      </c>
      <c r="G52" s="12" t="n">
        <v>0.94</v>
      </c>
      <c r="H52" s="11" t="n">
        <v>45</v>
      </c>
      <c r="I52" s="11" t="n">
        <v>108</v>
      </c>
      <c r="J52" s="11" t="n">
        <v>355</v>
      </c>
      <c r="K52" s="11" t="n">
        <v>1250567</v>
      </c>
    </row>
    <row r="53" customFormat="false" ht="15" hidden="false" customHeight="true" outlineLevel="0" collapsed="false">
      <c r="A53" s="23" t="n">
        <v>45698</v>
      </c>
      <c r="B53" s="14" t="s">
        <v>81</v>
      </c>
      <c r="C53" s="14" t="s">
        <v>82</v>
      </c>
      <c r="D53" s="14" t="s">
        <v>175</v>
      </c>
      <c r="E53" s="9" t="n">
        <v>12452</v>
      </c>
      <c r="F53" s="9" t="n">
        <v>12812</v>
      </c>
      <c r="G53" s="12" t="n">
        <v>0.97</v>
      </c>
      <c r="H53" s="11" t="n">
        <v>27</v>
      </c>
      <c r="I53" s="11" t="n">
        <v>77</v>
      </c>
      <c r="J53" s="11" t="n">
        <v>258</v>
      </c>
      <c r="K53" s="11" t="n">
        <v>964235</v>
      </c>
    </row>
    <row r="54" customFormat="false" ht="15" hidden="false" customHeight="true" outlineLevel="0" collapsed="false">
      <c r="A54" s="23" t="n">
        <v>45688</v>
      </c>
      <c r="B54" s="14" t="s">
        <v>195</v>
      </c>
      <c r="C54" s="14" t="s">
        <v>196</v>
      </c>
      <c r="D54" s="14" t="s">
        <v>175</v>
      </c>
      <c r="E54" s="9" t="n">
        <v>11549</v>
      </c>
      <c r="F54" s="9" t="n">
        <v>11549</v>
      </c>
      <c r="G54" s="12" t="n">
        <v>1</v>
      </c>
      <c r="H54" s="11" t="n">
        <v>44</v>
      </c>
      <c r="I54" s="11" t="n">
        <v>97</v>
      </c>
      <c r="J54" s="11" t="n">
        <v>454</v>
      </c>
      <c r="K54" s="11" t="n">
        <v>1117166</v>
      </c>
    </row>
    <row r="55" customFormat="false" ht="15" hidden="false" customHeight="true" outlineLevel="0" collapsed="false">
      <c r="A55" s="23" t="n">
        <v>45684</v>
      </c>
      <c r="B55" s="14" t="s">
        <v>75</v>
      </c>
      <c r="C55" s="14" t="s">
        <v>76</v>
      </c>
      <c r="D55" s="14" t="s">
        <v>175</v>
      </c>
      <c r="E55" s="9" t="n">
        <v>12835</v>
      </c>
      <c r="F55" s="9" t="n">
        <v>12835</v>
      </c>
      <c r="G55" s="12" t="n">
        <v>1</v>
      </c>
      <c r="H55" s="11" t="n">
        <v>50</v>
      </c>
      <c r="I55" s="11" t="n">
        <v>101</v>
      </c>
      <c r="J55" s="11" t="n">
        <v>250</v>
      </c>
      <c r="K55" s="11" t="n">
        <v>1299338</v>
      </c>
    </row>
    <row r="56" customFormat="false" ht="15" hidden="false" customHeight="true" outlineLevel="0" collapsed="false">
      <c r="A56" s="23" t="n">
        <v>45682</v>
      </c>
      <c r="B56" s="14" t="s">
        <v>207</v>
      </c>
      <c r="C56" s="14" t="s">
        <v>208</v>
      </c>
      <c r="D56" s="14" t="s">
        <v>175</v>
      </c>
      <c r="E56" s="9" t="n">
        <v>15330</v>
      </c>
      <c r="F56" s="9" t="n">
        <v>15330</v>
      </c>
      <c r="G56" s="12" t="n">
        <v>1</v>
      </c>
      <c r="H56" s="11" t="n">
        <v>35</v>
      </c>
      <c r="I56" s="11" t="n">
        <v>105</v>
      </c>
      <c r="J56" s="11" t="n">
        <v>35</v>
      </c>
      <c r="K56" s="11" t="n">
        <v>1615820</v>
      </c>
    </row>
    <row r="57" customFormat="false" ht="15" hidden="false" customHeight="true" outlineLevel="0" collapsed="false">
      <c r="A57" s="23" t="n">
        <v>45677</v>
      </c>
      <c r="B57" s="14" t="s">
        <v>72</v>
      </c>
      <c r="C57" s="14" t="s">
        <v>73</v>
      </c>
      <c r="D57" s="14" t="s">
        <v>175</v>
      </c>
      <c r="E57" s="9" t="n">
        <v>13133</v>
      </c>
      <c r="F57" s="9" t="n">
        <v>13133</v>
      </c>
      <c r="G57" s="12" t="n">
        <v>1</v>
      </c>
      <c r="H57" s="11" t="n">
        <v>40</v>
      </c>
      <c r="I57" s="11" t="n">
        <v>110</v>
      </c>
      <c r="J57" s="11" t="n">
        <v>400</v>
      </c>
      <c r="K57" s="11" t="n">
        <v>1440685</v>
      </c>
    </row>
    <row r="58" customFormat="false" ht="15" hidden="false" customHeight="true" outlineLevel="0" collapsed="false">
      <c r="A58" s="23" t="n">
        <v>45674</v>
      </c>
      <c r="B58" s="14" t="s">
        <v>226</v>
      </c>
      <c r="C58" s="14" t="s">
        <v>227</v>
      </c>
      <c r="D58" s="14" t="s">
        <v>175</v>
      </c>
      <c r="E58" s="9" t="n">
        <v>10474</v>
      </c>
      <c r="F58" s="9" t="n">
        <v>10600</v>
      </c>
      <c r="G58" s="12" t="n">
        <v>0.98</v>
      </c>
      <c r="H58" s="11" t="n">
        <v>35</v>
      </c>
      <c r="I58" s="11" t="n">
        <v>87</v>
      </c>
      <c r="J58" s="11" t="n">
        <v>400</v>
      </c>
      <c r="K58" s="11" t="n">
        <v>916157</v>
      </c>
    </row>
    <row r="59" customFormat="false" ht="15" hidden="false" customHeight="true" outlineLevel="0" collapsed="false">
      <c r="A59" s="23" t="n">
        <v>45670</v>
      </c>
      <c r="B59" s="14" t="s">
        <v>189</v>
      </c>
      <c r="C59" s="14" t="s">
        <v>190</v>
      </c>
      <c r="D59" s="14" t="s">
        <v>175</v>
      </c>
      <c r="E59" s="9" t="n">
        <v>12489</v>
      </c>
      <c r="F59" s="9" t="n">
        <v>12500</v>
      </c>
      <c r="G59" s="12" t="n">
        <v>0.99</v>
      </c>
      <c r="H59" s="11" t="n">
        <v>44</v>
      </c>
      <c r="I59" s="11" t="n">
        <v>99</v>
      </c>
      <c r="J59" s="11" t="n">
        <v>404</v>
      </c>
      <c r="K59" s="11" t="n">
        <v>1233746</v>
      </c>
    </row>
    <row r="60" customFormat="false" ht="15" hidden="false" customHeight="true" outlineLevel="0" collapsed="false">
      <c r="A60" s="23" t="n">
        <v>45667</v>
      </c>
      <c r="B60" s="14" t="s">
        <v>228</v>
      </c>
      <c r="C60" s="14" t="s">
        <v>229</v>
      </c>
      <c r="D60" s="14" t="s">
        <v>175</v>
      </c>
      <c r="E60" s="9" t="n">
        <v>8872</v>
      </c>
      <c r="F60" s="9" t="n">
        <v>12806</v>
      </c>
      <c r="G60" s="12" t="n">
        <v>0.69</v>
      </c>
      <c r="H60" s="11" t="n">
        <v>35</v>
      </c>
      <c r="I60" s="11" t="n">
        <v>83</v>
      </c>
      <c r="J60" s="11" t="n">
        <v>375</v>
      </c>
      <c r="K60" s="11" t="n">
        <v>736258</v>
      </c>
    </row>
    <row r="61" customFormat="false" ht="15" hidden="false" customHeight="true" outlineLevel="0" collapsed="false">
      <c r="A61" s="23" t="n">
        <v>45663</v>
      </c>
      <c r="B61" s="14" t="s">
        <v>230</v>
      </c>
      <c r="C61" s="14" t="s">
        <v>231</v>
      </c>
      <c r="D61" s="14" t="s">
        <v>175</v>
      </c>
      <c r="E61" s="9" t="n">
        <v>16313</v>
      </c>
      <c r="F61" s="9" t="n">
        <v>16313</v>
      </c>
      <c r="G61" s="12" t="n">
        <v>1</v>
      </c>
      <c r="H61" s="11" t="n">
        <v>300</v>
      </c>
      <c r="I61" s="11" t="n">
        <v>300</v>
      </c>
      <c r="J61" s="11" t="n">
        <v>300</v>
      </c>
      <c r="K61" s="11" t="n">
        <v>4898365</v>
      </c>
    </row>
    <row r="62" customFormat="false" ht="15" hidden="false" customHeight="true" outlineLevel="0" collapsed="false">
      <c r="A62" s="23" t="n">
        <v>45660</v>
      </c>
      <c r="B62" s="14" t="s">
        <v>232</v>
      </c>
      <c r="C62" s="14" t="s">
        <v>130</v>
      </c>
      <c r="D62" s="14" t="s">
        <v>175</v>
      </c>
      <c r="E62" s="9" t="n">
        <v>10201</v>
      </c>
      <c r="F62" s="9" t="n">
        <v>11136</v>
      </c>
      <c r="G62" s="12" t="n">
        <v>0.91</v>
      </c>
      <c r="H62" s="11" t="n">
        <v>35</v>
      </c>
      <c r="I62" s="11" t="n">
        <v>107</v>
      </c>
      <c r="J62" s="11" t="n">
        <v>700</v>
      </c>
      <c r="K62" s="11" t="n">
        <v>1094509</v>
      </c>
    </row>
    <row r="63" customFormat="false" ht="15" hidden="false" customHeight="true" outlineLevel="0" collapsed="false">
      <c r="A63" s="23" t="n">
        <v>45656</v>
      </c>
      <c r="B63" s="14" t="s">
        <v>205</v>
      </c>
      <c r="C63" s="14" t="s">
        <v>206</v>
      </c>
      <c r="D63" s="14" t="s">
        <v>175</v>
      </c>
      <c r="E63" s="9" t="n">
        <v>9437</v>
      </c>
      <c r="F63" s="9" t="n">
        <v>13736</v>
      </c>
      <c r="G63" s="12" t="n">
        <v>0.68</v>
      </c>
      <c r="H63" s="11" t="n">
        <v>25</v>
      </c>
      <c r="I63" s="11" t="n">
        <v>76</v>
      </c>
      <c r="J63" s="11" t="n">
        <v>300</v>
      </c>
      <c r="K63" s="11" t="n">
        <v>716966</v>
      </c>
    </row>
    <row r="64" customFormat="false" ht="15" hidden="false" customHeight="true" outlineLevel="0" collapsed="false">
      <c r="A64" s="23" t="n">
        <v>45655</v>
      </c>
      <c r="B64" s="14" t="s">
        <v>233</v>
      </c>
      <c r="C64" s="14" t="s">
        <v>234</v>
      </c>
      <c r="D64" s="14" t="s">
        <v>175</v>
      </c>
      <c r="E64" s="9" t="n">
        <v>6619</v>
      </c>
      <c r="F64" s="9" t="n">
        <v>6619</v>
      </c>
      <c r="G64" s="12" t="n">
        <v>1</v>
      </c>
      <c r="H64" s="11" t="n">
        <v>25</v>
      </c>
      <c r="I64" s="11" t="n">
        <v>74</v>
      </c>
      <c r="J64" s="11" t="n">
        <v>275</v>
      </c>
      <c r="K64" s="11" t="n">
        <v>492911</v>
      </c>
    </row>
    <row r="65" customFormat="false" ht="15" hidden="false" customHeight="true" outlineLevel="0" collapsed="false">
      <c r="A65" s="23" t="n">
        <v>45655</v>
      </c>
      <c r="B65" s="14" t="s">
        <v>201</v>
      </c>
      <c r="C65" s="14" t="s">
        <v>202</v>
      </c>
      <c r="D65" s="14" t="s">
        <v>175</v>
      </c>
      <c r="E65" s="9" t="n">
        <v>12153</v>
      </c>
      <c r="F65" s="9" t="n">
        <v>12820</v>
      </c>
      <c r="G65" s="12" t="n">
        <v>0.94</v>
      </c>
      <c r="H65" s="11" t="n">
        <v>30</v>
      </c>
      <c r="I65" s="11" t="n">
        <v>78</v>
      </c>
      <c r="J65" s="11" t="n">
        <v>300</v>
      </c>
      <c r="K65" s="11" t="n">
        <v>953188</v>
      </c>
    </row>
    <row r="66" customFormat="false" ht="15" hidden="false" customHeight="true" outlineLevel="0" collapsed="false">
      <c r="A66" s="23" t="n">
        <v>45654</v>
      </c>
      <c r="B66" s="14" t="s">
        <v>177</v>
      </c>
      <c r="C66" s="14" t="s">
        <v>178</v>
      </c>
      <c r="D66" s="14" t="s">
        <v>175</v>
      </c>
      <c r="E66" s="9" t="n">
        <v>7349</v>
      </c>
      <c r="F66" s="9" t="n">
        <v>8072</v>
      </c>
      <c r="G66" s="12" t="n">
        <v>0.91</v>
      </c>
      <c r="H66" s="11" t="n">
        <v>30</v>
      </c>
      <c r="I66" s="11" t="n">
        <v>68</v>
      </c>
      <c r="J66" s="11" t="n">
        <v>250</v>
      </c>
      <c r="K66" s="11" t="n">
        <v>500262</v>
      </c>
    </row>
    <row r="67" customFormat="false" ht="15" hidden="false" customHeight="true" outlineLevel="0" collapsed="false">
      <c r="A67" s="23" t="n">
        <v>45653</v>
      </c>
      <c r="B67" s="14" t="s">
        <v>235</v>
      </c>
      <c r="C67" s="14" t="s">
        <v>236</v>
      </c>
      <c r="D67" s="14" t="s">
        <v>175</v>
      </c>
      <c r="E67" s="9" t="n">
        <v>11559</v>
      </c>
      <c r="F67" s="9" t="n">
        <v>11954</v>
      </c>
      <c r="G67" s="12" t="n">
        <v>0.96</v>
      </c>
      <c r="H67" s="11" t="n">
        <v>25</v>
      </c>
      <c r="I67" s="11" t="n">
        <v>96</v>
      </c>
      <c r="J67" s="11" t="n">
        <v>250</v>
      </c>
      <c r="K67" s="11" t="n">
        <v>1107440</v>
      </c>
    </row>
    <row r="68" customFormat="false" ht="15" hidden="false" customHeight="true" outlineLevel="0" collapsed="false">
      <c r="A68" s="23" t="n">
        <v>45652</v>
      </c>
      <c r="B68" s="14" t="s">
        <v>187</v>
      </c>
      <c r="C68" s="14" t="s">
        <v>188</v>
      </c>
      <c r="D68" s="14" t="s">
        <v>175</v>
      </c>
      <c r="E68" s="9" t="n">
        <v>12524</v>
      </c>
      <c r="F68" s="9" t="n">
        <v>14552</v>
      </c>
      <c r="G68" s="12" t="n">
        <v>0.86</v>
      </c>
      <c r="H68" s="11" t="n">
        <v>47</v>
      </c>
      <c r="I68" s="11" t="n">
        <v>99</v>
      </c>
      <c r="J68" s="11" t="n">
        <v>507</v>
      </c>
      <c r="K68" s="11" t="n">
        <v>1238281</v>
      </c>
    </row>
    <row r="69" customFormat="false" ht="15" hidden="false" customHeight="true" outlineLevel="0" collapsed="false">
      <c r="A69" s="23" t="n">
        <v>45642</v>
      </c>
      <c r="B69" s="14" t="s">
        <v>68</v>
      </c>
      <c r="C69" s="14" t="s">
        <v>69</v>
      </c>
      <c r="D69" s="14" t="s">
        <v>175</v>
      </c>
      <c r="E69" s="9" t="n">
        <v>10459</v>
      </c>
      <c r="F69" s="9" t="n">
        <v>10739</v>
      </c>
      <c r="G69" s="12" t="n">
        <v>0.97</v>
      </c>
      <c r="H69" s="11" t="n">
        <v>36</v>
      </c>
      <c r="I69" s="11" t="n">
        <v>108</v>
      </c>
      <c r="J69" s="11" t="n">
        <v>301</v>
      </c>
      <c r="K69" s="11" t="n">
        <v>1131681</v>
      </c>
    </row>
    <row r="70" customFormat="false" ht="15" hidden="false" customHeight="true" outlineLevel="0" collapsed="false">
      <c r="A70" s="23" t="n">
        <v>45635</v>
      </c>
      <c r="B70" s="14" t="s">
        <v>237</v>
      </c>
      <c r="C70" s="14" t="s">
        <v>238</v>
      </c>
      <c r="D70" s="14" t="s">
        <v>175</v>
      </c>
      <c r="E70" s="9" t="n">
        <v>6049</v>
      </c>
      <c r="F70" s="9" t="n">
        <v>9869</v>
      </c>
      <c r="G70" s="12" t="n">
        <v>0.61</v>
      </c>
      <c r="H70" s="11" t="n">
        <v>25</v>
      </c>
      <c r="I70" s="11" t="n">
        <v>60</v>
      </c>
      <c r="J70" s="11" t="n">
        <v>150</v>
      </c>
      <c r="K70" s="11" t="n">
        <v>360563</v>
      </c>
    </row>
    <row r="71" customFormat="false" ht="15" hidden="false" customHeight="true" outlineLevel="0" collapsed="false">
      <c r="A71" s="23" t="n">
        <v>45628</v>
      </c>
      <c r="B71" s="14" t="s">
        <v>239</v>
      </c>
      <c r="C71" s="14" t="s">
        <v>240</v>
      </c>
      <c r="D71" s="14" t="s">
        <v>175</v>
      </c>
      <c r="E71" s="9" t="n">
        <v>7381</v>
      </c>
      <c r="F71" s="9" t="n">
        <v>7895</v>
      </c>
      <c r="G71" s="12" t="n">
        <v>0.93</v>
      </c>
      <c r="H71" s="11" t="n">
        <v>30</v>
      </c>
      <c r="I71" s="11" t="n">
        <v>85</v>
      </c>
      <c r="J71" s="11" t="n">
        <v>175</v>
      </c>
      <c r="K71" s="11" t="n">
        <v>624595</v>
      </c>
    </row>
    <row r="72" customFormat="false" ht="15" hidden="false" customHeight="true" outlineLevel="0" collapsed="false">
      <c r="A72" s="23" t="n">
        <v>45611</v>
      </c>
      <c r="B72" s="14" t="s">
        <v>199</v>
      </c>
      <c r="C72" s="14" t="s">
        <v>200</v>
      </c>
      <c r="D72" s="14" t="s">
        <v>175</v>
      </c>
      <c r="E72" s="9" t="n">
        <v>10346</v>
      </c>
      <c r="F72" s="9" t="n">
        <v>10346</v>
      </c>
      <c r="G72" s="12" t="n">
        <v>1</v>
      </c>
      <c r="H72" s="11" t="n">
        <v>40</v>
      </c>
      <c r="I72" s="11" t="n">
        <v>71</v>
      </c>
      <c r="J72" s="11" t="n">
        <v>200</v>
      </c>
      <c r="K72" s="11" t="n">
        <v>733195</v>
      </c>
    </row>
    <row r="73" customFormat="false" ht="15" hidden="false" customHeight="true" outlineLevel="0" collapsed="false">
      <c r="A73" s="23" t="n">
        <v>45611</v>
      </c>
      <c r="B73" s="14" t="s">
        <v>241</v>
      </c>
      <c r="C73" s="14" t="s">
        <v>148</v>
      </c>
      <c r="D73" s="14" t="s">
        <v>176</v>
      </c>
      <c r="E73" s="9" t="n">
        <v>153</v>
      </c>
      <c r="F73" s="9" t="n">
        <v>266</v>
      </c>
      <c r="G73" s="12" t="n">
        <v>0.57</v>
      </c>
      <c r="H73" s="11" t="n">
        <v>21</v>
      </c>
      <c r="I73" s="11" t="n">
        <v>24</v>
      </c>
      <c r="J73" s="11" t="n">
        <v>26</v>
      </c>
      <c r="K73" s="11" t="n">
        <v>3725</v>
      </c>
    </row>
    <row r="74" customFormat="false" ht="15" hidden="false" customHeight="true" outlineLevel="0" collapsed="false">
      <c r="A74" s="23" t="n">
        <v>45604</v>
      </c>
      <c r="B74" s="14" t="s">
        <v>143</v>
      </c>
      <c r="C74" s="14" t="s">
        <v>144</v>
      </c>
      <c r="D74" s="14" t="s">
        <v>175</v>
      </c>
      <c r="E74" s="9" t="n">
        <v>12256</v>
      </c>
      <c r="F74" s="9" t="n">
        <v>12969</v>
      </c>
      <c r="G74" s="12" t="n">
        <v>0.94</v>
      </c>
      <c r="H74" s="11" t="n">
        <v>30</v>
      </c>
      <c r="I74" s="11" t="n">
        <v>72</v>
      </c>
      <c r="J74" s="11" t="n">
        <v>210</v>
      </c>
      <c r="K74" s="11" t="n">
        <v>888235</v>
      </c>
    </row>
    <row r="75" customFormat="false" ht="15" hidden="false" customHeight="true" outlineLevel="0" collapsed="false">
      <c r="A75" s="23" t="n">
        <v>45590</v>
      </c>
      <c r="B75" s="14" t="s">
        <v>145</v>
      </c>
      <c r="C75" s="14" t="s">
        <v>146</v>
      </c>
      <c r="D75" s="14" t="s">
        <v>175</v>
      </c>
      <c r="E75" s="9" t="n">
        <v>12391</v>
      </c>
      <c r="F75" s="9" t="n">
        <v>12391</v>
      </c>
      <c r="G75" s="12" t="n">
        <v>1</v>
      </c>
      <c r="H75" s="11" t="n">
        <v>40</v>
      </c>
      <c r="I75" s="11" t="n">
        <v>125</v>
      </c>
      <c r="J75" s="11" t="n">
        <v>750</v>
      </c>
      <c r="K75" s="11" t="n">
        <v>1549696</v>
      </c>
    </row>
    <row r="76" customFormat="false" ht="15" hidden="false" customHeight="true" outlineLevel="0" collapsed="false">
      <c r="A76" s="23" t="n">
        <v>45586</v>
      </c>
      <c r="B76" s="14" t="s">
        <v>224</v>
      </c>
      <c r="C76" s="14" t="s">
        <v>225</v>
      </c>
      <c r="D76" s="14" t="s">
        <v>175</v>
      </c>
      <c r="E76" s="9" t="n">
        <v>11698</v>
      </c>
      <c r="F76" s="9" t="n">
        <v>12178</v>
      </c>
      <c r="G76" s="12" t="n">
        <v>0.96</v>
      </c>
      <c r="H76" s="11" t="n">
        <v>35</v>
      </c>
      <c r="I76" s="11" t="n">
        <v>114</v>
      </c>
      <c r="J76" s="11" t="n">
        <v>700</v>
      </c>
      <c r="K76" s="11" t="n">
        <v>1330992</v>
      </c>
    </row>
    <row r="77" customFormat="false" ht="15" hidden="false" customHeight="true" outlineLevel="0" collapsed="false">
      <c r="A77" s="23" t="n">
        <v>45583</v>
      </c>
      <c r="B77" s="14" t="s">
        <v>242</v>
      </c>
      <c r="C77" s="14" t="s">
        <v>243</v>
      </c>
      <c r="D77" s="14" t="s">
        <v>175</v>
      </c>
      <c r="E77" s="9" t="n">
        <v>9656</v>
      </c>
      <c r="F77" s="9" t="n">
        <v>11225</v>
      </c>
      <c r="G77" s="12" t="n">
        <v>0.86</v>
      </c>
      <c r="H77" s="11" t="n">
        <v>20</v>
      </c>
      <c r="I77" s="11" t="n">
        <v>60</v>
      </c>
      <c r="J77" s="11" t="n">
        <v>175</v>
      </c>
      <c r="K77" s="11" t="n">
        <v>575520</v>
      </c>
    </row>
    <row r="78" customFormat="false" ht="15" hidden="false" customHeight="true" outlineLevel="0" collapsed="false">
      <c r="A78" s="23" t="n">
        <v>45577</v>
      </c>
      <c r="B78" s="14" t="s">
        <v>241</v>
      </c>
      <c r="C78" s="14" t="s">
        <v>148</v>
      </c>
      <c r="D78" s="14" t="s">
        <v>176</v>
      </c>
      <c r="E78" s="9" t="n">
        <v>200</v>
      </c>
      <c r="F78" s="9" t="n">
        <v>200</v>
      </c>
      <c r="G78" s="12" t="n">
        <v>1</v>
      </c>
      <c r="H78" s="11" t="n">
        <v>20</v>
      </c>
      <c r="I78" s="11" t="n">
        <v>20</v>
      </c>
      <c r="J78" s="11" t="n">
        <v>20</v>
      </c>
      <c r="K78" s="11" t="n">
        <v>4030</v>
      </c>
    </row>
    <row r="79" customFormat="false" ht="15" hidden="false" customHeight="true" outlineLevel="0" collapsed="false">
      <c r="A79" s="23" t="n">
        <v>45576</v>
      </c>
      <c r="B79" s="14" t="s">
        <v>244</v>
      </c>
      <c r="C79" s="14" t="s">
        <v>245</v>
      </c>
      <c r="D79" s="14" t="s">
        <v>175</v>
      </c>
      <c r="E79" s="9" t="n">
        <v>7160</v>
      </c>
      <c r="F79" s="9" t="n">
        <v>14059</v>
      </c>
      <c r="G79" s="12" t="n">
        <v>0.5</v>
      </c>
      <c r="H79" s="11" t="n">
        <v>20</v>
      </c>
      <c r="I79" s="11" t="n">
        <v>70</v>
      </c>
      <c r="J79" s="11" t="n">
        <v>135</v>
      </c>
      <c r="K79" s="11" t="n">
        <v>501675</v>
      </c>
    </row>
    <row r="80" customFormat="false" ht="15" hidden="false" customHeight="true" outlineLevel="0" collapsed="false">
      <c r="A80" s="23" t="n">
        <v>45570</v>
      </c>
      <c r="B80" s="14" t="s">
        <v>75</v>
      </c>
      <c r="C80" s="14" t="s">
        <v>76</v>
      </c>
      <c r="D80" s="14" t="s">
        <v>175</v>
      </c>
      <c r="E80" s="9" t="n">
        <v>15141</v>
      </c>
      <c r="F80" s="9" t="n">
        <v>15141</v>
      </c>
      <c r="G80" s="12" t="n">
        <v>1</v>
      </c>
      <c r="H80" s="11" t="n">
        <v>50</v>
      </c>
      <c r="I80" s="11" t="n">
        <v>155</v>
      </c>
      <c r="J80" s="11" t="n">
        <v>1000</v>
      </c>
      <c r="K80" s="11" t="n">
        <v>2343970</v>
      </c>
    </row>
    <row r="81" customFormat="false" ht="15" hidden="false" customHeight="true" outlineLevel="0" collapsed="false">
      <c r="A81" s="23" t="n">
        <v>45569</v>
      </c>
      <c r="B81" s="14" t="s">
        <v>81</v>
      </c>
      <c r="C81" s="14" t="s">
        <v>82</v>
      </c>
      <c r="D81" s="14" t="s">
        <v>175</v>
      </c>
      <c r="E81" s="9" t="n">
        <v>10571</v>
      </c>
      <c r="F81" s="9" t="n">
        <v>11172</v>
      </c>
      <c r="G81" s="12" t="n">
        <v>0.94</v>
      </c>
      <c r="H81" s="11" t="n">
        <v>31</v>
      </c>
      <c r="I81" s="11" t="n">
        <v>72</v>
      </c>
      <c r="J81" s="11" t="n">
        <v>258</v>
      </c>
      <c r="K81" s="11" t="n">
        <v>755908</v>
      </c>
    </row>
    <row r="82" customFormat="false" ht="15" hidden="false" customHeight="true" outlineLevel="0" collapsed="false">
      <c r="A82" s="23" t="n">
        <v>45566</v>
      </c>
      <c r="B82" s="14" t="s">
        <v>201</v>
      </c>
      <c r="C82" s="14" t="s">
        <v>202</v>
      </c>
      <c r="D82" s="14" t="s">
        <v>175</v>
      </c>
      <c r="E82" s="9" t="n">
        <v>7458</v>
      </c>
      <c r="F82" s="9" t="n">
        <v>12526</v>
      </c>
      <c r="G82" s="12" t="n">
        <v>0.59</v>
      </c>
      <c r="H82" s="11" t="n">
        <v>25</v>
      </c>
      <c r="I82" s="11" t="n">
        <v>60</v>
      </c>
      <c r="J82" s="11" t="n">
        <v>250</v>
      </c>
      <c r="K82" s="11" t="n">
        <v>450225</v>
      </c>
    </row>
    <row r="83" customFormat="false" ht="15" hidden="false" customHeight="true" outlineLevel="0" collapsed="false">
      <c r="A83" s="23" t="n">
        <v>45562</v>
      </c>
      <c r="B83" s="14" t="s">
        <v>185</v>
      </c>
      <c r="C83" s="14" t="s">
        <v>186</v>
      </c>
      <c r="D83" s="14" t="s">
        <v>175</v>
      </c>
      <c r="E83" s="9" t="n">
        <v>7821</v>
      </c>
      <c r="F83" s="9" t="n">
        <v>11937</v>
      </c>
      <c r="G83" s="12" t="n">
        <v>0.65</v>
      </c>
      <c r="H83" s="11" t="n">
        <v>25</v>
      </c>
      <c r="I83" s="11" t="n">
        <v>57</v>
      </c>
      <c r="J83" s="11" t="n">
        <v>150</v>
      </c>
      <c r="K83" s="11" t="n">
        <v>449275</v>
      </c>
    </row>
    <row r="84" customFormat="false" ht="15" hidden="false" customHeight="true" outlineLevel="0" collapsed="false">
      <c r="A84" s="23" t="n">
        <v>45558</v>
      </c>
      <c r="B84" s="14" t="s">
        <v>246</v>
      </c>
      <c r="C84" s="14" t="s">
        <v>247</v>
      </c>
      <c r="D84" s="14" t="s">
        <v>175</v>
      </c>
      <c r="E84" s="9" t="n">
        <v>8080</v>
      </c>
      <c r="F84" s="9" t="n">
        <v>8080</v>
      </c>
      <c r="G84" s="12" t="n">
        <v>1</v>
      </c>
      <c r="H84" s="11" t="n">
        <v>30</v>
      </c>
      <c r="I84" s="11" t="n">
        <v>124</v>
      </c>
      <c r="J84" s="11" t="n">
        <v>250</v>
      </c>
      <c r="K84" s="11" t="n">
        <v>999373</v>
      </c>
    </row>
    <row r="85" customFormat="false" ht="15" hidden="false" customHeight="true" outlineLevel="0" collapsed="false">
      <c r="A85" s="23" t="n">
        <v>45555</v>
      </c>
      <c r="B85" s="14" t="s">
        <v>220</v>
      </c>
      <c r="C85" s="14" t="s">
        <v>221</v>
      </c>
      <c r="D85" s="14" t="s">
        <v>175</v>
      </c>
      <c r="E85" s="9" t="n">
        <v>13149</v>
      </c>
      <c r="F85" s="9" t="n">
        <v>13149</v>
      </c>
      <c r="G85" s="12" t="n">
        <v>1</v>
      </c>
      <c r="H85" s="11" t="n">
        <v>25</v>
      </c>
      <c r="I85" s="11" t="n">
        <v>70</v>
      </c>
      <c r="J85" s="11" t="n">
        <v>225</v>
      </c>
      <c r="K85" s="11" t="n">
        <v>917453</v>
      </c>
    </row>
    <row r="86" customFormat="false" ht="15" hidden="false" customHeight="true" outlineLevel="0" collapsed="false">
      <c r="A86" s="23" t="n">
        <v>45548</v>
      </c>
      <c r="B86" s="14" t="s">
        <v>222</v>
      </c>
      <c r="C86" s="14" t="s">
        <v>223</v>
      </c>
      <c r="D86" s="14" t="s">
        <v>175</v>
      </c>
      <c r="E86" s="9" t="n">
        <v>12991</v>
      </c>
      <c r="F86" s="9" t="n">
        <v>12991</v>
      </c>
      <c r="G86" s="12" t="n">
        <v>1</v>
      </c>
      <c r="H86" s="11" t="n">
        <v>30</v>
      </c>
      <c r="I86" s="11" t="n">
        <v>81</v>
      </c>
      <c r="J86" s="11" t="n">
        <v>256</v>
      </c>
      <c r="K86" s="11" t="n">
        <v>1047728</v>
      </c>
    </row>
    <row r="87" customFormat="false" ht="15" hidden="false" customHeight="true" outlineLevel="0" collapsed="false">
      <c r="A87" s="23" t="n">
        <v>45534</v>
      </c>
      <c r="B87" s="14" t="s">
        <v>241</v>
      </c>
      <c r="C87" s="14" t="s">
        <v>148</v>
      </c>
      <c r="D87" s="14" t="s">
        <v>176</v>
      </c>
      <c r="E87" s="9" t="n">
        <v>178</v>
      </c>
      <c r="F87" s="9" t="n">
        <v>269</v>
      </c>
      <c r="G87" s="12" t="n">
        <v>0.66</v>
      </c>
      <c r="H87" s="11" t="n">
        <v>22</v>
      </c>
      <c r="I87" s="11" t="n">
        <v>25</v>
      </c>
      <c r="J87" s="11" t="n">
        <v>28</v>
      </c>
      <c r="K87" s="11" t="n">
        <v>4450</v>
      </c>
    </row>
    <row r="88" customFormat="false" ht="15" hidden="false" customHeight="true" outlineLevel="0" collapsed="false">
      <c r="A88" s="23" t="n">
        <v>45523</v>
      </c>
      <c r="B88" s="14" t="s">
        <v>248</v>
      </c>
      <c r="C88" s="14" t="s">
        <v>249</v>
      </c>
      <c r="D88" s="14" t="s">
        <v>175</v>
      </c>
      <c r="E88" s="9" t="n">
        <v>10822</v>
      </c>
      <c r="F88" s="9" t="n">
        <v>12719</v>
      </c>
      <c r="G88" s="12" t="n">
        <v>0.85</v>
      </c>
      <c r="H88" s="11" t="n">
        <v>30</v>
      </c>
      <c r="I88" s="11" t="n">
        <v>73</v>
      </c>
      <c r="J88" s="11" t="n">
        <v>150</v>
      </c>
      <c r="K88" s="11" t="n">
        <v>792244</v>
      </c>
    </row>
    <row r="89" customFormat="false" ht="15" hidden="false" customHeight="true" outlineLevel="0" collapsed="false">
      <c r="A89" s="23" t="n">
        <v>45522</v>
      </c>
      <c r="B89" s="14" t="s">
        <v>250</v>
      </c>
      <c r="C89" s="14" t="s">
        <v>251</v>
      </c>
      <c r="D89" s="14" t="s">
        <v>175</v>
      </c>
      <c r="E89" s="9" t="n">
        <v>4867</v>
      </c>
      <c r="F89" s="9" t="n">
        <v>6295</v>
      </c>
      <c r="G89" s="12" t="n">
        <v>0.77</v>
      </c>
      <c r="H89" s="11" t="n">
        <v>25</v>
      </c>
      <c r="I89" s="11" t="n">
        <v>65</v>
      </c>
      <c r="J89" s="11" t="n">
        <v>150</v>
      </c>
      <c r="K89" s="11" t="n">
        <v>316555</v>
      </c>
    </row>
    <row r="90" customFormat="false" ht="15" hidden="false" customHeight="true" outlineLevel="0" collapsed="false">
      <c r="A90" s="23" t="n">
        <v>45520</v>
      </c>
      <c r="B90" s="14" t="s">
        <v>193</v>
      </c>
      <c r="C90" s="14" t="s">
        <v>194</v>
      </c>
      <c r="D90" s="14" t="s">
        <v>175</v>
      </c>
      <c r="E90" s="9" t="n">
        <v>13694</v>
      </c>
      <c r="F90" s="9" t="n">
        <v>14172</v>
      </c>
      <c r="G90" s="12" t="n">
        <v>0.96</v>
      </c>
      <c r="H90" s="11" t="n">
        <v>25</v>
      </c>
      <c r="I90" s="11" t="n">
        <v>73</v>
      </c>
      <c r="J90" s="11" t="n">
        <v>225</v>
      </c>
      <c r="K90" s="11" t="n">
        <v>1000730</v>
      </c>
    </row>
    <row r="91" customFormat="false" ht="15" hidden="false" customHeight="true" outlineLevel="0" collapsed="false">
      <c r="A91" s="23" t="n">
        <v>45516</v>
      </c>
      <c r="B91" s="14" t="s">
        <v>183</v>
      </c>
      <c r="C91" s="14" t="s">
        <v>184</v>
      </c>
      <c r="D91" s="14" t="s">
        <v>175</v>
      </c>
      <c r="E91" s="9" t="n">
        <v>11659</v>
      </c>
      <c r="F91" s="9" t="n">
        <v>11659</v>
      </c>
      <c r="G91" s="12" t="n">
        <v>1</v>
      </c>
      <c r="H91" s="11" t="n">
        <v>25</v>
      </c>
      <c r="I91" s="11" t="n">
        <v>59</v>
      </c>
      <c r="J91" s="11" t="n">
        <v>225</v>
      </c>
      <c r="K91" s="11" t="n">
        <v>690154</v>
      </c>
    </row>
    <row r="92" customFormat="false" ht="15" hidden="false" customHeight="true" outlineLevel="0" collapsed="false">
      <c r="A92" s="23" t="n">
        <v>45513</v>
      </c>
      <c r="B92" s="14" t="s">
        <v>210</v>
      </c>
      <c r="C92" s="14" t="s">
        <v>211</v>
      </c>
      <c r="D92" s="14" t="s">
        <v>175</v>
      </c>
      <c r="E92" s="9" t="n">
        <v>10077</v>
      </c>
      <c r="F92" s="9" t="n">
        <v>11464</v>
      </c>
      <c r="G92" s="12" t="n">
        <v>0.87</v>
      </c>
      <c r="H92" s="11" t="n">
        <v>20</v>
      </c>
      <c r="I92" s="11" t="n">
        <v>49</v>
      </c>
      <c r="J92" s="11" t="n">
        <v>125</v>
      </c>
      <c r="K92" s="11" t="n">
        <v>495165</v>
      </c>
    </row>
    <row r="93" customFormat="false" ht="15" hidden="false" customHeight="true" outlineLevel="0" collapsed="false">
      <c r="A93" s="23" t="n">
        <v>45509</v>
      </c>
      <c r="B93" s="14" t="s">
        <v>177</v>
      </c>
      <c r="C93" s="14" t="s">
        <v>178</v>
      </c>
      <c r="D93" s="14" t="s">
        <v>175</v>
      </c>
      <c r="E93" s="9" t="n">
        <v>10351</v>
      </c>
      <c r="F93" s="9" t="n">
        <v>10351</v>
      </c>
      <c r="G93" s="12" t="n">
        <v>1</v>
      </c>
      <c r="H93" s="11" t="n">
        <v>25</v>
      </c>
      <c r="I93" s="11" t="n">
        <v>79</v>
      </c>
      <c r="J93" s="11" t="n">
        <v>165</v>
      </c>
      <c r="K93" s="11" t="n">
        <v>821285</v>
      </c>
    </row>
    <row r="94" customFormat="false" ht="15" hidden="false" customHeight="true" outlineLevel="0" collapsed="false">
      <c r="A94" s="23" t="n">
        <v>45506</v>
      </c>
      <c r="B94" s="14" t="s">
        <v>252</v>
      </c>
      <c r="C94" s="14" t="s">
        <v>133</v>
      </c>
      <c r="D94" s="14" t="s">
        <v>175</v>
      </c>
      <c r="E94" s="9" t="n">
        <v>9949</v>
      </c>
      <c r="F94" s="9" t="n">
        <v>13722</v>
      </c>
      <c r="G94" s="12" t="n">
        <v>0.72</v>
      </c>
      <c r="H94" s="11" t="n">
        <v>25</v>
      </c>
      <c r="I94" s="11" t="n">
        <v>96</v>
      </c>
      <c r="J94" s="11" t="n">
        <v>400</v>
      </c>
      <c r="K94" s="11" t="n">
        <v>958846</v>
      </c>
    </row>
    <row r="95" customFormat="false" ht="15" hidden="false" customHeight="true" outlineLevel="0" collapsed="false">
      <c r="A95" s="23" t="n">
        <v>45502</v>
      </c>
      <c r="B95" s="14" t="s">
        <v>253</v>
      </c>
      <c r="C95" s="14" t="s">
        <v>254</v>
      </c>
      <c r="D95" s="14" t="s">
        <v>175</v>
      </c>
      <c r="E95" s="9" t="n">
        <v>11837</v>
      </c>
      <c r="F95" s="9" t="n">
        <v>13735</v>
      </c>
      <c r="G95" s="12" t="n">
        <v>0.86</v>
      </c>
      <c r="H95" s="11" t="n">
        <v>25</v>
      </c>
      <c r="I95" s="11" t="n">
        <v>64</v>
      </c>
      <c r="J95" s="11" t="n">
        <v>150</v>
      </c>
      <c r="K95" s="11" t="n">
        <v>756675</v>
      </c>
    </row>
    <row r="96" customFormat="false" ht="15" hidden="false" customHeight="true" outlineLevel="0" collapsed="false">
      <c r="A96" s="23" t="n">
        <v>45495</v>
      </c>
      <c r="B96" s="14" t="s">
        <v>255</v>
      </c>
      <c r="C96" s="14" t="s">
        <v>256</v>
      </c>
      <c r="D96" s="14" t="s">
        <v>175</v>
      </c>
      <c r="E96" s="9" t="n">
        <v>5936</v>
      </c>
      <c r="F96" s="9" t="n">
        <v>6337</v>
      </c>
      <c r="G96" s="12" t="n">
        <v>0.93</v>
      </c>
      <c r="H96" s="11" t="n">
        <v>33</v>
      </c>
      <c r="I96" s="11" t="n">
        <v>83</v>
      </c>
      <c r="J96" s="11" t="n">
        <v>153</v>
      </c>
      <c r="K96" s="11" t="n">
        <v>491838</v>
      </c>
    </row>
    <row r="97" customFormat="false" ht="15" hidden="false" customHeight="true" outlineLevel="0" collapsed="false">
      <c r="A97" s="23" t="n">
        <v>45481</v>
      </c>
      <c r="B97" s="14" t="s">
        <v>257</v>
      </c>
      <c r="C97" s="14" t="s">
        <v>258</v>
      </c>
      <c r="D97" s="14" t="s">
        <v>176</v>
      </c>
      <c r="E97" s="9" t="n">
        <v>7399</v>
      </c>
      <c r="F97" s="9" t="n">
        <v>11485</v>
      </c>
      <c r="G97" s="12" t="n">
        <v>0.64</v>
      </c>
      <c r="H97" s="11" t="n">
        <v>18</v>
      </c>
      <c r="I97" s="11" t="n">
        <v>50</v>
      </c>
      <c r="J97" s="11" t="n">
        <v>95</v>
      </c>
      <c r="K97" s="11" t="n">
        <v>368280</v>
      </c>
    </row>
    <row r="98" customFormat="false" ht="15" hidden="false" customHeight="true" outlineLevel="0" collapsed="false">
      <c r="A98" s="23" t="n">
        <v>45474</v>
      </c>
      <c r="B98" s="14" t="s">
        <v>68</v>
      </c>
      <c r="C98" s="14" t="s">
        <v>69</v>
      </c>
      <c r="D98" s="14" t="s">
        <v>175</v>
      </c>
      <c r="E98" s="9" t="n">
        <v>11778</v>
      </c>
      <c r="F98" s="9" t="n">
        <v>13046</v>
      </c>
      <c r="G98" s="12" t="n">
        <v>0.9</v>
      </c>
      <c r="H98" s="11" t="n">
        <v>35</v>
      </c>
      <c r="I98" s="11" t="n">
        <v>87</v>
      </c>
      <c r="J98" s="11" t="n">
        <v>175</v>
      </c>
      <c r="K98" s="11" t="n">
        <v>1028894</v>
      </c>
    </row>
    <row r="99" customFormat="false" ht="15" hidden="false" customHeight="true" outlineLevel="0" collapsed="false">
      <c r="A99" s="23" t="n">
        <v>45471</v>
      </c>
      <c r="B99" s="14" t="s">
        <v>187</v>
      </c>
      <c r="C99" s="14" t="s">
        <v>188</v>
      </c>
      <c r="D99" s="14" t="s">
        <v>175</v>
      </c>
      <c r="E99" s="9" t="n">
        <v>17283</v>
      </c>
      <c r="F99" s="9" t="n">
        <v>17283</v>
      </c>
      <c r="G99" s="12" t="n">
        <v>1</v>
      </c>
      <c r="H99" s="11" t="n">
        <v>47</v>
      </c>
      <c r="I99" s="11" t="n">
        <v>118</v>
      </c>
      <c r="J99" s="11" t="n">
        <v>757</v>
      </c>
      <c r="K99" s="11" t="n">
        <v>2045985</v>
      </c>
    </row>
    <row r="100" customFormat="false" ht="15" hidden="false" customHeight="true" outlineLevel="0" collapsed="false">
      <c r="A100" s="23" t="n">
        <v>45467</v>
      </c>
      <c r="B100" s="14" t="s">
        <v>195</v>
      </c>
      <c r="C100" s="14" t="s">
        <v>196</v>
      </c>
      <c r="D100" s="14" t="s">
        <v>175</v>
      </c>
      <c r="E100" s="9" t="n">
        <v>10694</v>
      </c>
      <c r="F100" s="9" t="n">
        <v>10694</v>
      </c>
      <c r="G100" s="12" t="n">
        <v>1</v>
      </c>
      <c r="H100" s="11" t="n">
        <v>29</v>
      </c>
      <c r="I100" s="11" t="n">
        <v>66</v>
      </c>
      <c r="J100" s="11" t="n">
        <v>129</v>
      </c>
      <c r="K100" s="11" t="n">
        <v>709039</v>
      </c>
    </row>
    <row r="101" customFormat="false" ht="15" hidden="false" customHeight="true" outlineLevel="0" collapsed="false">
      <c r="A101" s="23" t="n">
        <v>45464</v>
      </c>
      <c r="B101" s="14" t="s">
        <v>201</v>
      </c>
      <c r="C101" s="14" t="s">
        <v>202</v>
      </c>
      <c r="D101" s="14" t="s">
        <v>175</v>
      </c>
      <c r="E101" s="9" t="n">
        <v>14519</v>
      </c>
      <c r="F101" s="9" t="n">
        <v>14519</v>
      </c>
      <c r="G101" s="12" t="n">
        <v>1</v>
      </c>
      <c r="H101" s="11" t="n">
        <v>30</v>
      </c>
      <c r="I101" s="11" t="n">
        <v>91</v>
      </c>
      <c r="J101" s="11" t="n">
        <v>500</v>
      </c>
      <c r="K101" s="11" t="n">
        <v>1323710</v>
      </c>
    </row>
    <row r="102" customFormat="false" ht="15" hidden="false" customHeight="true" outlineLevel="0" collapsed="false">
      <c r="A102" s="23" t="n">
        <v>45457</v>
      </c>
      <c r="B102" s="14" t="s">
        <v>259</v>
      </c>
      <c r="C102" s="14" t="s">
        <v>260</v>
      </c>
      <c r="D102" s="14" t="s">
        <v>261</v>
      </c>
      <c r="E102" s="9" t="n">
        <v>9980</v>
      </c>
      <c r="F102" s="9" t="n">
        <v>9980</v>
      </c>
      <c r="G102" s="12" t="n">
        <v>1</v>
      </c>
      <c r="H102" s="11" t="n">
        <v>172</v>
      </c>
      <c r="I102" s="11" t="n">
        <v>293</v>
      </c>
      <c r="J102" s="11" t="n">
        <v>1913</v>
      </c>
      <c r="K102" s="11" t="n">
        <v>2920892</v>
      </c>
    </row>
    <row r="103" customFormat="false" ht="15" hidden="false" customHeight="true" outlineLevel="0" collapsed="false">
      <c r="A103" s="23" t="n">
        <v>45453</v>
      </c>
      <c r="B103" s="14" t="s">
        <v>197</v>
      </c>
      <c r="C103" s="14" t="s">
        <v>198</v>
      </c>
      <c r="D103" s="14" t="s">
        <v>175</v>
      </c>
      <c r="E103" s="9" t="n">
        <v>6461</v>
      </c>
      <c r="F103" s="9" t="n">
        <v>6461</v>
      </c>
      <c r="G103" s="12" t="n">
        <v>1</v>
      </c>
      <c r="H103" s="11" t="n">
        <v>25</v>
      </c>
      <c r="I103" s="11" t="n">
        <v>66</v>
      </c>
      <c r="J103" s="11" t="n">
        <v>120</v>
      </c>
      <c r="K103" s="11" t="n">
        <v>427889</v>
      </c>
    </row>
    <row r="104" customFormat="false" ht="15" hidden="false" customHeight="true" outlineLevel="0" collapsed="false">
      <c r="A104" s="23" t="n">
        <v>45444</v>
      </c>
      <c r="B104" s="14" t="s">
        <v>262</v>
      </c>
      <c r="C104" s="14" t="s">
        <v>263</v>
      </c>
      <c r="D104" s="14" t="s">
        <v>175</v>
      </c>
      <c r="E104" s="9" t="n">
        <v>3880</v>
      </c>
      <c r="F104" s="9" t="n">
        <v>3880</v>
      </c>
      <c r="G104" s="12" t="n">
        <v>1</v>
      </c>
      <c r="H104" s="11" t="n">
        <v>49</v>
      </c>
      <c r="I104" s="11" t="n">
        <v>95</v>
      </c>
      <c r="J104" s="11" t="n">
        <v>154</v>
      </c>
      <c r="K104" s="11" t="n">
        <v>370205</v>
      </c>
    </row>
    <row r="105" customFormat="false" ht="15" hidden="false" customHeight="true" outlineLevel="0" collapsed="false">
      <c r="A105" s="23" t="n">
        <v>45443</v>
      </c>
      <c r="B105" s="14" t="s">
        <v>264</v>
      </c>
      <c r="C105" s="14" t="s">
        <v>265</v>
      </c>
      <c r="D105" s="14" t="s">
        <v>175</v>
      </c>
      <c r="E105" s="9" t="n">
        <v>7278</v>
      </c>
      <c r="F105" s="9" t="n">
        <v>7554</v>
      </c>
      <c r="G105" s="12" t="n">
        <v>0.96</v>
      </c>
      <c r="H105" s="11" t="n">
        <v>25</v>
      </c>
      <c r="I105" s="11" t="n">
        <v>72</v>
      </c>
      <c r="J105" s="11" t="n">
        <v>145</v>
      </c>
      <c r="K105" s="11" t="n">
        <v>526329</v>
      </c>
    </row>
    <row r="106" customFormat="false" ht="15" hidden="false" customHeight="true" outlineLevel="0" collapsed="false">
      <c r="A106" s="23" t="n">
        <v>45432</v>
      </c>
      <c r="B106" s="14" t="s">
        <v>266</v>
      </c>
      <c r="C106" s="14" t="s">
        <v>267</v>
      </c>
      <c r="D106" s="14" t="s">
        <v>175</v>
      </c>
      <c r="E106" s="9" t="n">
        <v>9833</v>
      </c>
      <c r="F106" s="9" t="n">
        <v>20000</v>
      </c>
      <c r="G106" s="12" t="n">
        <v>0.49</v>
      </c>
      <c r="H106" s="11" t="n">
        <v>22</v>
      </c>
      <c r="I106" s="11" t="n">
        <v>62</v>
      </c>
      <c r="J106" s="11" t="n">
        <v>137</v>
      </c>
      <c r="K106" s="11" t="n">
        <v>614258</v>
      </c>
    </row>
    <row r="107" customFormat="false" ht="15" hidden="false" customHeight="true" outlineLevel="0" collapsed="false">
      <c r="A107" s="23" t="n">
        <v>45425</v>
      </c>
      <c r="B107" s="14" t="s">
        <v>244</v>
      </c>
      <c r="C107" s="14" t="s">
        <v>245</v>
      </c>
      <c r="D107" s="14" t="s">
        <v>175</v>
      </c>
      <c r="E107" s="9" t="n">
        <v>8136</v>
      </c>
      <c r="F107" s="9" t="n">
        <v>9719</v>
      </c>
      <c r="G107" s="12" t="n">
        <v>0.83</v>
      </c>
      <c r="H107" s="11" t="n">
        <v>20</v>
      </c>
      <c r="I107" s="11" t="n">
        <v>55</v>
      </c>
      <c r="J107" s="11" t="n">
        <v>135</v>
      </c>
      <c r="K107" s="11" t="n">
        <v>447872</v>
      </c>
    </row>
    <row r="108" customFormat="false" ht="15" hidden="false" customHeight="true" outlineLevel="0" collapsed="false">
      <c r="A108" s="23" t="n">
        <v>45401</v>
      </c>
      <c r="B108" s="14" t="s">
        <v>268</v>
      </c>
      <c r="C108" s="14" t="s">
        <v>269</v>
      </c>
      <c r="D108" s="14" t="s">
        <v>175</v>
      </c>
      <c r="E108" s="9" t="n">
        <v>12031</v>
      </c>
      <c r="F108" s="9" t="n">
        <v>12680</v>
      </c>
      <c r="G108" s="12" t="n">
        <v>0.94</v>
      </c>
      <c r="H108" s="11" t="n">
        <v>25</v>
      </c>
      <c r="I108" s="11" t="n">
        <v>55</v>
      </c>
      <c r="J108" s="11" t="n">
        <v>130</v>
      </c>
      <c r="K108" s="11" t="n">
        <v>659530</v>
      </c>
    </row>
    <row r="109" customFormat="false" ht="15" hidden="false" customHeight="true" outlineLevel="0" collapsed="false">
      <c r="A109" s="23" t="n">
        <v>45397</v>
      </c>
      <c r="B109" s="14" t="s">
        <v>147</v>
      </c>
      <c r="C109" s="14" t="s">
        <v>148</v>
      </c>
      <c r="D109" s="14" t="s">
        <v>176</v>
      </c>
      <c r="E109" s="9" t="n">
        <v>11614</v>
      </c>
      <c r="F109" s="9" t="n">
        <v>11614</v>
      </c>
      <c r="G109" s="12" t="n">
        <v>1</v>
      </c>
      <c r="H109" s="11" t="n">
        <v>18</v>
      </c>
      <c r="I109" s="11" t="n">
        <v>66</v>
      </c>
      <c r="J109" s="11" t="n">
        <v>160</v>
      </c>
      <c r="K109" s="11" t="n">
        <v>766950</v>
      </c>
    </row>
    <row r="110" customFormat="false" ht="15" hidden="false" customHeight="true" outlineLevel="0" collapsed="false">
      <c r="A110" s="23" t="n">
        <v>45394</v>
      </c>
      <c r="B110" s="14" t="s">
        <v>205</v>
      </c>
      <c r="C110" s="14" t="s">
        <v>206</v>
      </c>
      <c r="D110" s="14" t="s">
        <v>175</v>
      </c>
      <c r="E110" s="9" t="n">
        <v>13600</v>
      </c>
      <c r="F110" s="9" t="n">
        <v>14475</v>
      </c>
      <c r="G110" s="12" t="n">
        <v>0.93</v>
      </c>
      <c r="H110" s="11" t="n">
        <v>78</v>
      </c>
      <c r="I110" s="11" t="n">
        <v>67</v>
      </c>
      <c r="J110" s="11" t="n">
        <v>78</v>
      </c>
      <c r="K110" s="11" t="n">
        <v>910762</v>
      </c>
    </row>
    <row r="111" customFormat="false" ht="15" hidden="false" customHeight="true" outlineLevel="0" collapsed="false">
      <c r="A111" s="23" t="n">
        <v>45387</v>
      </c>
      <c r="B111" s="14" t="s">
        <v>224</v>
      </c>
      <c r="C111" s="14" t="s">
        <v>225</v>
      </c>
      <c r="D111" s="14" t="s">
        <v>175</v>
      </c>
      <c r="E111" s="9" t="n">
        <v>12027</v>
      </c>
      <c r="F111" s="9" t="n">
        <v>12027</v>
      </c>
      <c r="G111" s="12" t="n">
        <v>1</v>
      </c>
      <c r="H111" s="11" t="n">
        <v>25</v>
      </c>
      <c r="I111" s="11" t="n">
        <v>112</v>
      </c>
      <c r="J111" s="11" t="n">
        <v>750</v>
      </c>
      <c r="K111" s="11" t="n">
        <v>1343666</v>
      </c>
    </row>
    <row r="112" customFormat="false" ht="15" hidden="false" customHeight="true" outlineLevel="0" collapsed="false">
      <c r="A112" s="23" t="n">
        <v>45383</v>
      </c>
      <c r="B112" s="14" t="s">
        <v>145</v>
      </c>
      <c r="C112" s="14" t="s">
        <v>146</v>
      </c>
      <c r="D112" s="14" t="s">
        <v>175</v>
      </c>
      <c r="E112" s="9" t="n">
        <v>14837</v>
      </c>
      <c r="F112" s="9" t="n">
        <v>14837</v>
      </c>
      <c r="G112" s="12" t="n">
        <v>1</v>
      </c>
      <c r="H112" s="11" t="n">
        <v>35</v>
      </c>
      <c r="I112" s="11" t="n">
        <v>126</v>
      </c>
      <c r="J112" s="11" t="n">
        <v>510</v>
      </c>
      <c r="K112" s="11" t="n">
        <v>1875417</v>
      </c>
    </row>
    <row r="113" customFormat="false" ht="15" hidden="false" customHeight="true" outlineLevel="0" collapsed="false">
      <c r="A113" s="23" t="n">
        <v>45381</v>
      </c>
      <c r="B113" s="14" t="s">
        <v>270</v>
      </c>
      <c r="C113" s="14" t="s">
        <v>271</v>
      </c>
      <c r="D113" s="14" t="s">
        <v>175</v>
      </c>
      <c r="E113" s="9" t="n">
        <v>6243</v>
      </c>
      <c r="F113" s="9" t="n">
        <v>6500</v>
      </c>
      <c r="G113" s="12" t="n">
        <v>0.96</v>
      </c>
      <c r="H113" s="11" t="n">
        <v>30</v>
      </c>
      <c r="I113" s="11" t="n">
        <v>67</v>
      </c>
      <c r="J113" s="11" t="n">
        <v>125</v>
      </c>
      <c r="K113" s="11" t="n">
        <v>420331</v>
      </c>
    </row>
    <row r="114" customFormat="false" ht="15" hidden="false" customHeight="true" outlineLevel="0" collapsed="false">
      <c r="A114" s="23" t="n">
        <v>45380</v>
      </c>
      <c r="B114" s="14" t="s">
        <v>83</v>
      </c>
      <c r="C114" s="14" t="s">
        <v>84</v>
      </c>
      <c r="D114" s="14" t="s">
        <v>175</v>
      </c>
      <c r="E114" s="9" t="n">
        <v>6314</v>
      </c>
      <c r="F114" s="9" t="n">
        <v>6314</v>
      </c>
      <c r="G114" s="12" t="n">
        <v>1</v>
      </c>
      <c r="H114" s="11" t="n">
        <v>30</v>
      </c>
      <c r="I114" s="11" t="n">
        <v>74</v>
      </c>
      <c r="J114" s="11" t="n">
        <v>155</v>
      </c>
      <c r="K114" s="11" t="n">
        <v>469019</v>
      </c>
    </row>
    <row r="115" customFormat="false" ht="15" hidden="false" customHeight="true" outlineLevel="0" collapsed="false">
      <c r="A115" s="23" t="n">
        <v>45376</v>
      </c>
      <c r="B115" s="14" t="s">
        <v>201</v>
      </c>
      <c r="C115" s="14" t="s">
        <v>202</v>
      </c>
      <c r="D115" s="14" t="s">
        <v>175</v>
      </c>
      <c r="E115" s="9" t="n">
        <v>15431</v>
      </c>
      <c r="F115" s="9" t="n">
        <v>15431</v>
      </c>
      <c r="G115" s="12" t="n">
        <v>1</v>
      </c>
      <c r="H115" s="11" t="n">
        <v>25</v>
      </c>
      <c r="I115" s="11" t="n">
        <v>67</v>
      </c>
      <c r="J115" s="11" t="n">
        <v>200</v>
      </c>
      <c r="K115" s="11" t="n">
        <v>1035270</v>
      </c>
    </row>
    <row r="116" customFormat="false" ht="15" hidden="false" customHeight="true" outlineLevel="0" collapsed="false">
      <c r="A116" s="23" t="n">
        <v>45359</v>
      </c>
      <c r="B116" s="14" t="s">
        <v>72</v>
      </c>
      <c r="C116" s="14" t="s">
        <v>73</v>
      </c>
      <c r="D116" s="14" t="s">
        <v>175</v>
      </c>
      <c r="E116" s="9" t="n">
        <v>12721</v>
      </c>
      <c r="F116" s="9" t="n">
        <v>12721</v>
      </c>
      <c r="G116" s="12" t="n">
        <v>1</v>
      </c>
      <c r="H116" s="11" t="n">
        <v>20</v>
      </c>
      <c r="I116" s="11" t="n">
        <v>81</v>
      </c>
      <c r="J116" s="11" t="n">
        <v>125</v>
      </c>
      <c r="K116" s="11" t="n">
        <v>1025846</v>
      </c>
    </row>
    <row r="117" customFormat="false" ht="15" hidden="false" customHeight="true" outlineLevel="0" collapsed="false">
      <c r="A117" s="23" t="n">
        <v>45354</v>
      </c>
      <c r="B117" s="14" t="s">
        <v>272</v>
      </c>
      <c r="C117" s="14" t="s">
        <v>273</v>
      </c>
      <c r="D117" s="14" t="s">
        <v>175</v>
      </c>
      <c r="E117" s="9" t="n">
        <v>5226</v>
      </c>
      <c r="F117" s="9" t="n">
        <v>6114</v>
      </c>
      <c r="G117" s="12" t="n">
        <v>0.85</v>
      </c>
      <c r="H117" s="11" t="n">
        <v>20</v>
      </c>
      <c r="I117" s="11" t="n">
        <v>57</v>
      </c>
      <c r="J117" s="11" t="n">
        <v>125</v>
      </c>
      <c r="K117" s="11" t="n">
        <v>298892</v>
      </c>
    </row>
    <row r="118" customFormat="false" ht="15" hidden="false" customHeight="true" outlineLevel="0" collapsed="false">
      <c r="A118" s="23" t="n">
        <v>45353</v>
      </c>
      <c r="B118" s="14" t="s">
        <v>274</v>
      </c>
      <c r="C118" s="14" t="s">
        <v>275</v>
      </c>
      <c r="D118" s="14" t="s">
        <v>175</v>
      </c>
      <c r="E118" s="9" t="n">
        <v>7062</v>
      </c>
      <c r="F118" s="9" t="n">
        <v>9006</v>
      </c>
      <c r="G118" s="12" t="n">
        <v>0.78</v>
      </c>
      <c r="H118" s="11" t="n">
        <v>26</v>
      </c>
      <c r="I118" s="11" t="n">
        <v>60</v>
      </c>
      <c r="J118" s="11" t="n">
        <v>131</v>
      </c>
      <c r="K118" s="11" t="n">
        <v>426504</v>
      </c>
    </row>
    <row r="119" customFormat="false" ht="15" hidden="false" customHeight="true" outlineLevel="0" collapsed="false">
      <c r="A119" s="23" t="n">
        <v>45352</v>
      </c>
      <c r="B119" s="14" t="s">
        <v>276</v>
      </c>
      <c r="C119" s="14" t="s">
        <v>277</v>
      </c>
      <c r="D119" s="14" t="s">
        <v>175</v>
      </c>
      <c r="E119" s="9" t="n">
        <v>11565</v>
      </c>
      <c r="F119" s="9" t="n">
        <v>12171</v>
      </c>
      <c r="G119" s="12" t="n">
        <v>0.95</v>
      </c>
      <c r="H119" s="11" t="n">
        <v>25</v>
      </c>
      <c r="I119" s="11" t="n">
        <v>53</v>
      </c>
      <c r="J119" s="11" t="n">
        <v>225</v>
      </c>
      <c r="K119" s="11" t="n">
        <v>607750</v>
      </c>
    </row>
    <row r="120" customFormat="false" ht="15" hidden="false" customHeight="true" outlineLevel="0" collapsed="false">
      <c r="A120" s="23" t="n">
        <v>45341</v>
      </c>
      <c r="B120" s="14" t="s">
        <v>191</v>
      </c>
      <c r="C120" s="14" t="s">
        <v>192</v>
      </c>
      <c r="D120" s="14" t="s">
        <v>175</v>
      </c>
      <c r="E120" s="9" t="n">
        <v>10204</v>
      </c>
      <c r="F120" s="9" t="n">
        <v>10249</v>
      </c>
      <c r="G120" s="12" t="n">
        <v>0.99</v>
      </c>
      <c r="H120" s="11" t="n">
        <v>30</v>
      </c>
      <c r="I120" s="11" t="n">
        <v>74</v>
      </c>
      <c r="J120" s="11" t="n">
        <v>155</v>
      </c>
      <c r="K120" s="11" t="n">
        <v>753168</v>
      </c>
    </row>
    <row r="121" customFormat="false" ht="15" hidden="false" customHeight="true" outlineLevel="0" collapsed="false">
      <c r="A121" s="23" t="n">
        <v>45340</v>
      </c>
      <c r="B121" s="14" t="s">
        <v>278</v>
      </c>
      <c r="C121" s="14" t="s">
        <v>279</v>
      </c>
      <c r="D121" s="14" t="s">
        <v>175</v>
      </c>
      <c r="E121" s="9" t="n">
        <v>9367</v>
      </c>
      <c r="F121" s="9" t="n">
        <v>9543</v>
      </c>
      <c r="G121" s="12" t="n">
        <v>0.98</v>
      </c>
      <c r="H121" s="11" t="n">
        <v>20</v>
      </c>
      <c r="I121" s="11" t="n">
        <v>45</v>
      </c>
      <c r="J121" s="11" t="n">
        <v>100</v>
      </c>
      <c r="K121" s="11" t="n">
        <v>425845</v>
      </c>
    </row>
    <row r="122" customFormat="false" ht="15" hidden="false" customHeight="true" outlineLevel="0" collapsed="false">
      <c r="A122" s="23" t="n">
        <v>45339</v>
      </c>
      <c r="B122" s="14" t="s">
        <v>280</v>
      </c>
      <c r="C122" s="14" t="s">
        <v>281</v>
      </c>
      <c r="D122" s="14" t="s">
        <v>175</v>
      </c>
      <c r="E122" s="9" t="n">
        <v>7270</v>
      </c>
      <c r="F122" s="9" t="n">
        <v>7700</v>
      </c>
      <c r="G122" s="12" t="n">
        <v>0.94</v>
      </c>
      <c r="H122" s="11" t="n">
        <v>37</v>
      </c>
      <c r="I122" s="11" t="n">
        <v>63</v>
      </c>
      <c r="J122" s="11" t="n">
        <v>190</v>
      </c>
      <c r="K122" s="11" t="n">
        <v>457936</v>
      </c>
    </row>
    <row r="123" customFormat="false" ht="15" hidden="false" customHeight="true" outlineLevel="0" collapsed="false">
      <c r="A123" s="23" t="n">
        <v>45334</v>
      </c>
      <c r="B123" s="14" t="s">
        <v>282</v>
      </c>
      <c r="C123" s="14" t="s">
        <v>283</v>
      </c>
      <c r="D123" s="14" t="s">
        <v>175</v>
      </c>
      <c r="E123" s="9" t="n">
        <v>9855</v>
      </c>
      <c r="F123" s="9" t="n">
        <v>14903</v>
      </c>
      <c r="G123" s="12" t="n">
        <v>0.66</v>
      </c>
      <c r="H123" s="11" t="n">
        <v>25</v>
      </c>
      <c r="I123" s="11" t="n">
        <v>59</v>
      </c>
      <c r="J123" s="11" t="n">
        <v>25</v>
      </c>
      <c r="K123" s="11" t="n">
        <v>578866</v>
      </c>
    </row>
    <row r="124" customFormat="false" ht="15" hidden="false" customHeight="true" outlineLevel="0" collapsed="false">
      <c r="A124" s="23" t="n">
        <v>45331</v>
      </c>
      <c r="B124" s="14" t="s">
        <v>77</v>
      </c>
      <c r="C124" s="14" t="s">
        <v>78</v>
      </c>
      <c r="D124" s="14" t="s">
        <v>175</v>
      </c>
      <c r="E124" s="9" t="n">
        <v>12219</v>
      </c>
      <c r="F124" s="9" t="n">
        <v>12810</v>
      </c>
      <c r="G124" s="12" t="n">
        <v>0.95</v>
      </c>
      <c r="H124" s="11" t="n">
        <v>24</v>
      </c>
      <c r="I124" s="11" t="n">
        <v>47</v>
      </c>
      <c r="J124" s="11" t="n">
        <v>154</v>
      </c>
      <c r="K124" s="11" t="n">
        <v>578727</v>
      </c>
    </row>
    <row r="125" customFormat="false" ht="15" hidden="false" customHeight="true" outlineLevel="0" collapsed="false">
      <c r="A125" s="23" t="n">
        <v>45326</v>
      </c>
      <c r="B125" s="14" t="s">
        <v>284</v>
      </c>
      <c r="C125" s="14" t="s">
        <v>285</v>
      </c>
      <c r="D125" s="14" t="s">
        <v>175</v>
      </c>
      <c r="E125" s="9" t="n">
        <v>3737</v>
      </c>
      <c r="F125" s="9" t="n">
        <v>4206</v>
      </c>
      <c r="G125" s="12" t="n">
        <v>0.88</v>
      </c>
      <c r="H125" s="11" t="n">
        <v>23</v>
      </c>
      <c r="I125" s="11" t="n">
        <v>51</v>
      </c>
      <c r="J125" s="11" t="n">
        <v>163</v>
      </c>
      <c r="K125" s="11" t="n">
        <v>190100</v>
      </c>
    </row>
    <row r="126" customFormat="false" ht="15" hidden="false" customHeight="true" outlineLevel="0" collapsed="false">
      <c r="A126" s="23" t="n">
        <v>45320</v>
      </c>
      <c r="B126" s="14" t="s">
        <v>235</v>
      </c>
      <c r="C126" s="14" t="s">
        <v>236</v>
      </c>
      <c r="D126" s="14" t="s">
        <v>175</v>
      </c>
      <c r="E126" s="9" t="n">
        <v>11843</v>
      </c>
      <c r="F126" s="9" t="n">
        <v>11843</v>
      </c>
      <c r="G126" s="12" t="n">
        <v>1</v>
      </c>
      <c r="H126" s="11" t="n">
        <v>20</v>
      </c>
      <c r="I126" s="11" t="n">
        <v>52</v>
      </c>
      <c r="J126" s="11" t="n">
        <v>150</v>
      </c>
      <c r="K126" s="11" t="n">
        <v>613032</v>
      </c>
    </row>
    <row r="127" customFormat="false" ht="15" hidden="false" customHeight="true" outlineLevel="0" collapsed="false">
      <c r="A127" s="23" t="n">
        <v>45317</v>
      </c>
      <c r="B127" s="14" t="s">
        <v>233</v>
      </c>
      <c r="C127" s="14" t="s">
        <v>234</v>
      </c>
      <c r="D127" s="14" t="s">
        <v>175</v>
      </c>
      <c r="E127" s="9" t="n">
        <v>9484</v>
      </c>
      <c r="F127" s="9" t="n">
        <v>9484</v>
      </c>
      <c r="G127" s="12" t="n">
        <v>1</v>
      </c>
      <c r="H127" s="11" t="n">
        <v>20</v>
      </c>
      <c r="I127" s="11" t="n">
        <v>60</v>
      </c>
      <c r="J127" s="11" t="n">
        <v>150</v>
      </c>
      <c r="K127" s="11" t="n">
        <v>572494</v>
      </c>
    </row>
    <row r="128" customFormat="false" ht="15" hidden="false" customHeight="true" outlineLevel="0" collapsed="false">
      <c r="A128" s="23" t="n">
        <v>45310</v>
      </c>
      <c r="B128" s="14" t="s">
        <v>75</v>
      </c>
      <c r="C128" s="14" t="s">
        <v>76</v>
      </c>
      <c r="D128" s="14" t="s">
        <v>175</v>
      </c>
      <c r="E128" s="9" t="n">
        <v>12342</v>
      </c>
      <c r="F128" s="9" t="n">
        <v>12342</v>
      </c>
      <c r="G128" s="12" t="n">
        <v>1</v>
      </c>
      <c r="H128" s="11" t="n">
        <v>20</v>
      </c>
      <c r="I128" s="11" t="n">
        <v>47</v>
      </c>
      <c r="J128" s="11" t="n">
        <v>150</v>
      </c>
      <c r="K128" s="11" t="n">
        <v>584840</v>
      </c>
    </row>
    <row r="129" customFormat="false" ht="15" hidden="false" customHeight="true" outlineLevel="0" collapsed="false">
      <c r="A129" s="23" t="n">
        <v>45306</v>
      </c>
      <c r="B129" s="14" t="s">
        <v>286</v>
      </c>
      <c r="C129" s="14" t="s">
        <v>287</v>
      </c>
      <c r="D129" s="14" t="s">
        <v>175</v>
      </c>
      <c r="E129" s="9" t="n">
        <v>6793</v>
      </c>
      <c r="F129" s="9" t="n">
        <v>10000</v>
      </c>
      <c r="G129" s="12" t="n">
        <v>0.67</v>
      </c>
      <c r="H129" s="11" t="n">
        <v>24</v>
      </c>
      <c r="I129" s="11" t="n">
        <v>55</v>
      </c>
      <c r="J129" s="11" t="n">
        <v>139</v>
      </c>
      <c r="K129" s="11" t="n">
        <v>373267</v>
      </c>
    </row>
    <row r="130" customFormat="false" ht="15" hidden="false" customHeight="true" outlineLevel="0" collapsed="false">
      <c r="A130" s="23" t="n">
        <v>45299</v>
      </c>
      <c r="B130" s="14" t="s">
        <v>228</v>
      </c>
      <c r="C130" s="14" t="s">
        <v>229</v>
      </c>
      <c r="D130" s="14" t="s">
        <v>175</v>
      </c>
      <c r="E130" s="9" t="n">
        <v>9422</v>
      </c>
      <c r="F130" s="9" t="n">
        <v>12188</v>
      </c>
      <c r="G130" s="12" t="n">
        <v>0.77</v>
      </c>
      <c r="H130" s="11" t="n">
        <v>35</v>
      </c>
      <c r="I130" s="11" t="n">
        <v>56</v>
      </c>
      <c r="J130" s="11" t="n">
        <v>125</v>
      </c>
      <c r="K130" s="11" t="n">
        <v>527563</v>
      </c>
    </row>
    <row r="131" customFormat="false" ht="15" hidden="false" customHeight="true" outlineLevel="0" collapsed="false">
      <c r="A131" s="23" t="n">
        <v>45297</v>
      </c>
      <c r="B131" s="14" t="s">
        <v>288</v>
      </c>
      <c r="C131" s="14" t="s">
        <v>289</v>
      </c>
      <c r="D131" s="14" t="s">
        <v>175</v>
      </c>
      <c r="E131" s="9" t="n">
        <v>5309</v>
      </c>
      <c r="F131" s="9" t="n">
        <v>10724</v>
      </c>
      <c r="G131" s="12" t="n">
        <v>0.49</v>
      </c>
      <c r="H131" s="11" t="n">
        <v>20</v>
      </c>
      <c r="I131" s="11" t="n">
        <v>63</v>
      </c>
      <c r="J131" s="11" t="n">
        <v>115</v>
      </c>
      <c r="K131" s="11" t="n">
        <v>332595</v>
      </c>
    </row>
    <row r="132" customFormat="false" ht="15" hidden="false" customHeight="true" outlineLevel="0" collapsed="false">
      <c r="A132" s="23" t="n">
        <v>45292</v>
      </c>
      <c r="B132" s="14" t="s">
        <v>226</v>
      </c>
      <c r="C132" s="14" t="s">
        <v>227</v>
      </c>
      <c r="D132" s="14" t="s">
        <v>175</v>
      </c>
      <c r="E132" s="9" t="n">
        <v>9526</v>
      </c>
      <c r="F132" s="9" t="n">
        <v>10404</v>
      </c>
      <c r="G132" s="12" t="n">
        <v>0.91</v>
      </c>
      <c r="H132" s="11" t="n">
        <v>20</v>
      </c>
      <c r="I132" s="11" t="n">
        <v>47</v>
      </c>
      <c r="J132" s="11" t="n">
        <v>110</v>
      </c>
      <c r="K132" s="11" t="n">
        <v>449625</v>
      </c>
    </row>
    <row r="133" customFormat="false" ht="15" hidden="false" customHeight="true" outlineLevel="0" collapsed="false">
      <c r="A133" s="23" t="n">
        <v>45289</v>
      </c>
      <c r="B133" s="14" t="s">
        <v>290</v>
      </c>
      <c r="C133" s="14" t="s">
        <v>219</v>
      </c>
      <c r="D133" s="14" t="s">
        <v>175</v>
      </c>
      <c r="E133" s="9" t="n">
        <v>6808</v>
      </c>
      <c r="F133" s="9" t="n">
        <v>6808</v>
      </c>
      <c r="G133" s="12" t="n">
        <v>1</v>
      </c>
      <c r="H133" s="11" t="n">
        <v>26</v>
      </c>
      <c r="I133" s="11" t="n">
        <v>54</v>
      </c>
      <c r="J133" s="11" t="n">
        <v>168</v>
      </c>
      <c r="K133" s="11" t="n">
        <v>366122</v>
      </c>
    </row>
    <row r="134" customFormat="false" ht="15" hidden="false" customHeight="true" outlineLevel="0" collapsed="false">
      <c r="A134" s="23" t="n">
        <v>45287</v>
      </c>
      <c r="B134" s="14" t="s">
        <v>68</v>
      </c>
      <c r="C134" s="14" t="s">
        <v>69</v>
      </c>
      <c r="D134" s="14" t="s">
        <v>175</v>
      </c>
      <c r="E134" s="9" t="n">
        <v>9109</v>
      </c>
      <c r="F134" s="9" t="n">
        <v>9788</v>
      </c>
      <c r="G134" s="12" t="n">
        <v>0.93</v>
      </c>
      <c r="H134" s="11" t="n">
        <v>20</v>
      </c>
      <c r="I134" s="11" t="n">
        <v>73</v>
      </c>
      <c r="J134" s="11" t="n">
        <v>160</v>
      </c>
      <c r="K134" s="11" t="n">
        <v>666243</v>
      </c>
    </row>
    <row r="135" customFormat="false" ht="15" hidden="false" customHeight="true" outlineLevel="0" collapsed="false">
      <c r="A135" s="23" t="n">
        <v>45287</v>
      </c>
      <c r="B135" s="14" t="s">
        <v>205</v>
      </c>
      <c r="C135" s="14" t="s">
        <v>206</v>
      </c>
      <c r="D135" s="14" t="s">
        <v>175</v>
      </c>
      <c r="E135" s="9" t="n">
        <v>7779</v>
      </c>
      <c r="F135" s="9" t="n">
        <v>14329</v>
      </c>
      <c r="G135" s="12" t="n">
        <v>0.54</v>
      </c>
      <c r="H135" s="11" t="n">
        <v>66</v>
      </c>
      <c r="I135" s="11" t="n">
        <v>66</v>
      </c>
      <c r="J135" s="11" t="n">
        <v>66</v>
      </c>
      <c r="K135" s="11" t="n">
        <v>516999</v>
      </c>
    </row>
    <row r="136" customFormat="false" ht="15" hidden="false" customHeight="true" outlineLevel="0" collapsed="false">
      <c r="A136" s="23" t="n">
        <v>45286</v>
      </c>
      <c r="B136" s="14" t="s">
        <v>177</v>
      </c>
      <c r="C136" s="14" t="s">
        <v>178</v>
      </c>
      <c r="D136" s="14" t="s">
        <v>175</v>
      </c>
      <c r="E136" s="9" t="n">
        <v>5660</v>
      </c>
      <c r="F136" s="9" t="n">
        <v>6777</v>
      </c>
      <c r="G136" s="12" t="n">
        <v>0.83</v>
      </c>
      <c r="H136" s="11" t="n">
        <v>25</v>
      </c>
      <c r="I136" s="11" t="n">
        <v>66</v>
      </c>
      <c r="J136" s="11" t="n">
        <v>135</v>
      </c>
      <c r="K136" s="11" t="n">
        <v>372161</v>
      </c>
    </row>
    <row r="137" customFormat="false" ht="15" hidden="false" customHeight="true" outlineLevel="0" collapsed="false">
      <c r="A137" s="23" t="n">
        <v>45286</v>
      </c>
      <c r="B137" s="14" t="s">
        <v>187</v>
      </c>
      <c r="C137" s="14" t="s">
        <v>188</v>
      </c>
      <c r="D137" s="14" t="s">
        <v>175</v>
      </c>
      <c r="E137" s="9" t="n">
        <v>15722</v>
      </c>
      <c r="F137" s="9" t="n">
        <v>15722</v>
      </c>
      <c r="G137" s="12" t="n">
        <v>1</v>
      </c>
      <c r="H137" s="11" t="n">
        <v>32</v>
      </c>
      <c r="I137" s="11" t="n">
        <v>72</v>
      </c>
      <c r="J137" s="11" t="n">
        <v>307</v>
      </c>
      <c r="K137" s="11" t="n">
        <v>1134966</v>
      </c>
    </row>
    <row r="138" customFormat="false" ht="15" hidden="false" customHeight="true" outlineLevel="0" collapsed="false">
      <c r="A138" s="23" t="n">
        <v>45278</v>
      </c>
      <c r="B138" s="14" t="s">
        <v>291</v>
      </c>
      <c r="C138" s="14" t="s">
        <v>292</v>
      </c>
      <c r="D138" s="14" t="s">
        <v>175</v>
      </c>
      <c r="E138" s="9" t="n">
        <v>6483</v>
      </c>
      <c r="F138" s="9" t="n">
        <v>6500</v>
      </c>
      <c r="G138" s="12" t="n">
        <v>0.99</v>
      </c>
      <c r="H138" s="11" t="n">
        <v>25</v>
      </c>
      <c r="I138" s="11" t="n">
        <v>60</v>
      </c>
      <c r="J138" s="11" t="n">
        <v>120</v>
      </c>
      <c r="K138" s="11" t="n">
        <v>392244</v>
      </c>
    </row>
    <row r="139" customFormat="false" ht="15" hidden="false" customHeight="true" outlineLevel="0" collapsed="false">
      <c r="A139" s="23" t="n">
        <v>45276</v>
      </c>
      <c r="B139" s="14" t="s">
        <v>293</v>
      </c>
      <c r="C139" s="14" t="s">
        <v>294</v>
      </c>
      <c r="D139" s="14" t="s">
        <v>175</v>
      </c>
      <c r="E139" s="9" t="n">
        <v>4616</v>
      </c>
      <c r="F139" s="9" t="n">
        <v>5038</v>
      </c>
      <c r="G139" s="12" t="n">
        <v>0.91</v>
      </c>
      <c r="H139" s="11" t="n">
        <v>20</v>
      </c>
      <c r="I139" s="11" t="n">
        <v>51</v>
      </c>
      <c r="J139" s="11" t="n">
        <v>120</v>
      </c>
      <c r="K139" s="11" t="n">
        <v>234394</v>
      </c>
    </row>
    <row r="140" customFormat="false" ht="15" hidden="false" customHeight="true" outlineLevel="0" collapsed="false">
      <c r="A140" s="23" t="n">
        <v>45275</v>
      </c>
      <c r="B140" s="14" t="s">
        <v>255</v>
      </c>
      <c r="C140" s="14" t="s">
        <v>256</v>
      </c>
      <c r="D140" s="14" t="s">
        <v>175</v>
      </c>
      <c r="E140" s="9" t="n">
        <v>5574</v>
      </c>
      <c r="F140" s="9" t="n">
        <v>6381</v>
      </c>
      <c r="G140" s="12" t="n">
        <v>0.87</v>
      </c>
      <c r="H140" s="11" t="n">
        <v>23</v>
      </c>
      <c r="I140" s="11" t="n">
        <v>74</v>
      </c>
      <c r="J140" s="11" t="n">
        <v>128</v>
      </c>
      <c r="K140" s="11" t="n">
        <v>410532</v>
      </c>
    </row>
    <row r="141" customFormat="false" ht="15" hidden="false" customHeight="true" outlineLevel="0" collapsed="false">
      <c r="A141" s="23" t="n">
        <v>45271</v>
      </c>
      <c r="B141" s="14" t="s">
        <v>252</v>
      </c>
      <c r="C141" s="14" t="s">
        <v>133</v>
      </c>
      <c r="D141" s="14" t="s">
        <v>175</v>
      </c>
      <c r="E141" s="9" t="n">
        <v>8417</v>
      </c>
      <c r="F141" s="9" t="n">
        <v>14011</v>
      </c>
      <c r="G141" s="12" t="n">
        <v>0.6</v>
      </c>
      <c r="H141" s="11" t="n">
        <v>20</v>
      </c>
      <c r="I141" s="11" t="n">
        <v>71</v>
      </c>
      <c r="J141" s="11" t="n">
        <v>130</v>
      </c>
      <c r="K141" s="11" t="n">
        <v>600554</v>
      </c>
    </row>
    <row r="142" customFormat="false" ht="15" hidden="false" customHeight="true" outlineLevel="0" collapsed="false">
      <c r="A142" s="23" t="n">
        <v>45264</v>
      </c>
      <c r="B142" s="14" t="s">
        <v>264</v>
      </c>
      <c r="C142" s="14" t="s">
        <v>265</v>
      </c>
      <c r="D142" s="14" t="s">
        <v>175</v>
      </c>
      <c r="E142" s="9" t="n">
        <v>6608</v>
      </c>
      <c r="F142" s="9" t="n">
        <v>6608</v>
      </c>
      <c r="G142" s="12" t="n">
        <v>1</v>
      </c>
      <c r="H142" s="11" t="n">
        <v>25</v>
      </c>
      <c r="I142" s="11" t="n">
        <v>62</v>
      </c>
      <c r="J142" s="11" t="n">
        <v>135</v>
      </c>
      <c r="K142" s="11" t="n">
        <v>410369</v>
      </c>
    </row>
    <row r="143" customFormat="false" ht="15" hidden="false" customHeight="true" outlineLevel="0" collapsed="false">
      <c r="A143" s="23" t="n">
        <v>45262</v>
      </c>
      <c r="B143" s="14" t="s">
        <v>295</v>
      </c>
      <c r="C143" s="14" t="s">
        <v>296</v>
      </c>
      <c r="D143" s="14" t="s">
        <v>175</v>
      </c>
      <c r="E143" s="9" t="n">
        <v>5205</v>
      </c>
      <c r="F143" s="9" t="n">
        <v>6258</v>
      </c>
      <c r="G143" s="12" t="n">
        <v>0.83</v>
      </c>
      <c r="H143" s="11" t="n">
        <v>20</v>
      </c>
      <c r="I143" s="11" t="n">
        <v>59</v>
      </c>
      <c r="J143" s="11" t="n">
        <v>105</v>
      </c>
      <c r="K143" s="11" t="n">
        <v>307440</v>
      </c>
    </row>
    <row r="144" customFormat="false" ht="15" hidden="false" customHeight="true" outlineLevel="0" collapsed="false">
      <c r="A144" s="23" t="n">
        <v>45261</v>
      </c>
      <c r="B144" s="14" t="s">
        <v>145</v>
      </c>
      <c r="C144" s="14" t="s">
        <v>146</v>
      </c>
      <c r="D144" s="14" t="s">
        <v>175</v>
      </c>
      <c r="E144" s="9" t="n">
        <v>13330</v>
      </c>
      <c r="F144" s="9" t="n">
        <v>13330</v>
      </c>
      <c r="G144" s="12" t="n">
        <v>1</v>
      </c>
      <c r="H144" s="11" t="n">
        <v>30</v>
      </c>
      <c r="I144" s="11" t="n">
        <v>77</v>
      </c>
      <c r="J144" s="11" t="n">
        <v>350</v>
      </c>
      <c r="K144" s="11" t="n">
        <v>1021359</v>
      </c>
    </row>
    <row r="145" customFormat="false" ht="15" hidden="false" customHeight="true" outlineLevel="0" collapsed="false">
      <c r="A145" s="23" t="n">
        <v>45257</v>
      </c>
      <c r="B145" s="14" t="s">
        <v>81</v>
      </c>
      <c r="C145" s="14" t="s">
        <v>82</v>
      </c>
      <c r="D145" s="14" t="s">
        <v>175</v>
      </c>
      <c r="E145" s="9" t="n">
        <v>10803</v>
      </c>
      <c r="F145" s="9" t="n">
        <v>11488</v>
      </c>
      <c r="G145" s="12" t="n">
        <v>0.94</v>
      </c>
      <c r="H145" s="11" t="n">
        <v>25</v>
      </c>
      <c r="I145" s="11" t="n">
        <v>57</v>
      </c>
      <c r="J145" s="11" t="n">
        <v>167</v>
      </c>
      <c r="K145" s="11" t="n">
        <v>612298</v>
      </c>
    </row>
    <row r="146" customFormat="false" ht="15" hidden="false" customHeight="true" outlineLevel="0" collapsed="false">
      <c r="A146" s="23" t="n">
        <v>45256</v>
      </c>
      <c r="B146" s="14" t="s">
        <v>297</v>
      </c>
      <c r="C146" s="14" t="s">
        <v>298</v>
      </c>
      <c r="D146" s="14" t="s">
        <v>175</v>
      </c>
      <c r="E146" s="9" t="n">
        <v>2995</v>
      </c>
      <c r="F146" s="9" t="n">
        <v>8452</v>
      </c>
      <c r="G146" s="12" t="n">
        <v>0.35</v>
      </c>
      <c r="H146" s="11" t="n">
        <v>24</v>
      </c>
      <c r="I146" s="11" t="n">
        <v>62</v>
      </c>
      <c r="J146" s="11" t="n">
        <v>119</v>
      </c>
      <c r="K146" s="11" t="n">
        <v>186739</v>
      </c>
    </row>
    <row r="147" customFormat="false" ht="15" hidden="false" customHeight="true" outlineLevel="0" collapsed="false">
      <c r="A147" s="23" t="n">
        <v>45255</v>
      </c>
      <c r="B147" s="14" t="s">
        <v>201</v>
      </c>
      <c r="C147" s="14" t="s">
        <v>202</v>
      </c>
      <c r="D147" s="14" t="s">
        <v>175</v>
      </c>
      <c r="E147" s="9" t="n">
        <v>16579</v>
      </c>
      <c r="F147" s="9" t="n">
        <v>17570</v>
      </c>
      <c r="G147" s="12" t="n">
        <v>0.94</v>
      </c>
      <c r="H147" s="11" t="n">
        <v>30</v>
      </c>
      <c r="I147" s="11" t="n">
        <v>135</v>
      </c>
      <c r="J147" s="11" t="n">
        <v>750</v>
      </c>
      <c r="K147" s="11" t="n">
        <v>2240645</v>
      </c>
    </row>
    <row r="148" customFormat="false" ht="15" hidden="false" customHeight="true" outlineLevel="0" collapsed="false">
      <c r="A148" s="23" t="n">
        <v>45254</v>
      </c>
      <c r="B148" s="14" t="s">
        <v>201</v>
      </c>
      <c r="C148" s="14" t="s">
        <v>202</v>
      </c>
      <c r="D148" s="14" t="s">
        <v>175</v>
      </c>
      <c r="E148" s="9" t="n">
        <v>15777</v>
      </c>
      <c r="F148" s="9" t="n">
        <v>17570</v>
      </c>
      <c r="G148" s="12" t="n">
        <v>0.89</v>
      </c>
      <c r="H148" s="11" t="n">
        <v>20</v>
      </c>
      <c r="I148" s="11" t="n">
        <v>62</v>
      </c>
      <c r="J148" s="11" t="n">
        <v>200</v>
      </c>
      <c r="K148" s="11" t="n">
        <v>982372</v>
      </c>
    </row>
    <row r="149" customFormat="false" ht="15" hidden="false" customHeight="true" outlineLevel="0" collapsed="false">
      <c r="A149" s="23" t="n">
        <v>45247</v>
      </c>
      <c r="B149" s="14" t="s">
        <v>299</v>
      </c>
      <c r="C149" s="14" t="s">
        <v>300</v>
      </c>
      <c r="D149" s="14" t="s">
        <v>175</v>
      </c>
      <c r="E149" s="9" t="n">
        <v>5149</v>
      </c>
      <c r="F149" s="9" t="n">
        <v>7643</v>
      </c>
      <c r="G149" s="12" t="n">
        <v>0.67</v>
      </c>
      <c r="H149" s="11" t="n">
        <v>20</v>
      </c>
      <c r="I149" s="11" t="n">
        <v>68</v>
      </c>
      <c r="J149" s="11" t="n">
        <v>120</v>
      </c>
      <c r="K149" s="11" t="n">
        <v>351420</v>
      </c>
    </row>
    <row r="150" customFormat="false" ht="15" hidden="false" customHeight="true" outlineLevel="0" collapsed="false">
      <c r="A150" s="23" t="n">
        <v>45243</v>
      </c>
      <c r="B150" s="14" t="s">
        <v>179</v>
      </c>
      <c r="C150" s="14" t="s">
        <v>180</v>
      </c>
      <c r="D150" s="14" t="s">
        <v>175</v>
      </c>
      <c r="E150" s="9" t="n">
        <v>8756</v>
      </c>
      <c r="F150" s="9" t="n">
        <v>12760</v>
      </c>
      <c r="G150" s="12" t="n">
        <v>0.68</v>
      </c>
      <c r="H150" s="11" t="n">
        <v>25</v>
      </c>
      <c r="I150" s="11" t="n">
        <v>69</v>
      </c>
      <c r="J150" s="11" t="n">
        <v>145</v>
      </c>
      <c r="K150" s="11" t="n">
        <v>604278</v>
      </c>
    </row>
    <row r="151" customFormat="false" ht="15" hidden="false" customHeight="true" outlineLevel="0" collapsed="false">
      <c r="A151" s="23" t="n">
        <v>45236</v>
      </c>
      <c r="B151" s="14" t="s">
        <v>301</v>
      </c>
      <c r="C151" s="14" t="s">
        <v>302</v>
      </c>
      <c r="D151" s="14" t="s">
        <v>175</v>
      </c>
      <c r="E151" s="9" t="n">
        <v>6461</v>
      </c>
      <c r="F151" s="9" t="n">
        <v>6461</v>
      </c>
      <c r="G151" s="12" t="n">
        <v>1</v>
      </c>
      <c r="H151" s="11" t="n">
        <v>24</v>
      </c>
      <c r="I151" s="11" t="n">
        <v>62</v>
      </c>
      <c r="J151" s="11" t="n">
        <v>140</v>
      </c>
      <c r="K151" s="11" t="n">
        <v>399125</v>
      </c>
    </row>
    <row r="152" customFormat="false" ht="15" hidden="false" customHeight="true" outlineLevel="0" collapsed="false">
      <c r="A152" s="23" t="n">
        <v>45226</v>
      </c>
      <c r="B152" s="14" t="s">
        <v>199</v>
      </c>
      <c r="C152" s="14" t="s">
        <v>200</v>
      </c>
      <c r="D152" s="14" t="s">
        <v>175</v>
      </c>
      <c r="E152" s="9" t="n">
        <v>10857</v>
      </c>
      <c r="F152" s="9" t="n">
        <v>10857</v>
      </c>
      <c r="G152" s="12" t="n">
        <v>1</v>
      </c>
      <c r="H152" s="11" t="n">
        <v>30</v>
      </c>
      <c r="I152" s="11" t="n">
        <v>47</v>
      </c>
      <c r="J152" s="11" t="n">
        <v>115</v>
      </c>
      <c r="K152" s="11" t="n">
        <v>508035</v>
      </c>
    </row>
    <row r="153" customFormat="false" ht="15" hidden="false" customHeight="true" outlineLevel="0" collapsed="false">
      <c r="A153" s="23" t="n">
        <v>45222</v>
      </c>
      <c r="B153" s="14" t="s">
        <v>72</v>
      </c>
      <c r="C153" s="14" t="s">
        <v>73</v>
      </c>
      <c r="D153" s="14" t="s">
        <v>175</v>
      </c>
      <c r="E153" s="9" t="n">
        <v>10839</v>
      </c>
      <c r="F153" s="9" t="n">
        <v>12088</v>
      </c>
      <c r="G153" s="12" t="n">
        <v>0.89</v>
      </c>
      <c r="H153" s="11" t="n">
        <v>30</v>
      </c>
      <c r="I153" s="11" t="n">
        <v>61</v>
      </c>
      <c r="J153" s="11" t="n">
        <v>135</v>
      </c>
      <c r="K153" s="11" t="n">
        <v>661293</v>
      </c>
    </row>
    <row r="154" customFormat="false" ht="15" hidden="false" customHeight="true" outlineLevel="0" collapsed="false">
      <c r="A154" s="23" t="n">
        <v>45219</v>
      </c>
      <c r="B154" s="14" t="s">
        <v>207</v>
      </c>
      <c r="C154" s="14" t="s">
        <v>208</v>
      </c>
      <c r="D154" s="14" t="s">
        <v>175</v>
      </c>
      <c r="E154" s="9" t="n">
        <v>13452</v>
      </c>
      <c r="F154" s="9" t="n">
        <v>14043</v>
      </c>
      <c r="G154" s="12" t="n">
        <v>0.95</v>
      </c>
      <c r="H154" s="11" t="n">
        <v>20</v>
      </c>
      <c r="I154" s="11" t="n">
        <v>44</v>
      </c>
      <c r="J154" s="11" t="n">
        <v>115</v>
      </c>
      <c r="K154" s="11" t="n">
        <v>593480</v>
      </c>
    </row>
    <row r="155" customFormat="false" ht="15" hidden="false" customHeight="true" outlineLevel="0" collapsed="false">
      <c r="A155" s="23" t="n">
        <v>45215</v>
      </c>
      <c r="B155" s="14" t="s">
        <v>185</v>
      </c>
      <c r="C155" s="14" t="s">
        <v>186</v>
      </c>
      <c r="D155" s="14" t="s">
        <v>175</v>
      </c>
      <c r="E155" s="9" t="n">
        <v>7412</v>
      </c>
      <c r="F155" s="9" t="n">
        <v>11114</v>
      </c>
      <c r="G155" s="12" t="n">
        <v>0.66</v>
      </c>
      <c r="H155" s="11" t="n">
        <v>20</v>
      </c>
      <c r="I155" s="11" t="n">
        <v>43</v>
      </c>
      <c r="J155" s="11" t="n">
        <v>105</v>
      </c>
      <c r="K155" s="11" t="n">
        <v>321929</v>
      </c>
    </row>
    <row r="156" customFormat="false" ht="15" hidden="false" customHeight="true" outlineLevel="0" collapsed="false">
      <c r="A156" s="23" t="n">
        <v>45212</v>
      </c>
      <c r="B156" s="14" t="s">
        <v>210</v>
      </c>
      <c r="C156" s="14" t="s">
        <v>211</v>
      </c>
      <c r="D156" s="14" t="s">
        <v>175</v>
      </c>
      <c r="E156" s="9" t="n">
        <v>9759</v>
      </c>
      <c r="F156" s="9" t="n">
        <v>11874</v>
      </c>
      <c r="G156" s="12" t="n">
        <v>0.82</v>
      </c>
      <c r="H156" s="11" t="n">
        <v>19</v>
      </c>
      <c r="I156" s="11" t="n">
        <v>42</v>
      </c>
      <c r="J156" s="11" t="n">
        <v>114</v>
      </c>
      <c r="K156" s="11" t="n">
        <v>413102</v>
      </c>
    </row>
    <row r="157" customFormat="false" ht="15" hidden="false" customHeight="true" outlineLevel="0" collapsed="false">
      <c r="A157" s="23" t="n">
        <v>45206</v>
      </c>
      <c r="B157" s="14" t="s">
        <v>195</v>
      </c>
      <c r="C157" s="14" t="s">
        <v>196</v>
      </c>
      <c r="D157" s="14" t="s">
        <v>175</v>
      </c>
      <c r="E157" s="9" t="n">
        <v>12046</v>
      </c>
      <c r="F157" s="9" t="n">
        <v>12046</v>
      </c>
      <c r="G157" s="12" t="n">
        <v>1</v>
      </c>
      <c r="H157" s="11" t="n">
        <v>29</v>
      </c>
      <c r="I157" s="11" t="n">
        <v>98</v>
      </c>
      <c r="J157" s="11" t="n">
        <v>554</v>
      </c>
      <c r="K157" s="11" t="n">
        <v>1181229</v>
      </c>
    </row>
    <row r="158" customFormat="false" ht="15" hidden="false" customHeight="true" outlineLevel="0" collapsed="false">
      <c r="A158" s="23" t="n">
        <v>45201</v>
      </c>
      <c r="B158" s="14" t="s">
        <v>303</v>
      </c>
      <c r="C158" s="14" t="s">
        <v>190</v>
      </c>
      <c r="D158" s="14" t="s">
        <v>175</v>
      </c>
      <c r="E158" s="9" t="n">
        <v>9624</v>
      </c>
      <c r="F158" s="9" t="n">
        <v>11974</v>
      </c>
      <c r="G158" s="12" t="n">
        <v>0.8</v>
      </c>
      <c r="H158" s="11" t="n">
        <v>24</v>
      </c>
      <c r="I158" s="11" t="n">
        <v>55</v>
      </c>
      <c r="J158" s="11" t="n">
        <v>129</v>
      </c>
      <c r="K158" s="11" t="n">
        <v>531394</v>
      </c>
    </row>
    <row r="159" customFormat="false" ht="15" hidden="false" customHeight="true" outlineLevel="0" collapsed="false">
      <c r="A159" s="23" t="n">
        <v>45199</v>
      </c>
      <c r="B159" s="14" t="s">
        <v>272</v>
      </c>
      <c r="C159" s="14" t="s">
        <v>273</v>
      </c>
      <c r="D159" s="14" t="s">
        <v>175</v>
      </c>
      <c r="E159" s="9" t="n">
        <v>4308</v>
      </c>
      <c r="F159" s="9" t="n">
        <v>4767</v>
      </c>
      <c r="G159" s="12" t="n">
        <v>0.9</v>
      </c>
      <c r="H159" s="11" t="n">
        <v>20</v>
      </c>
      <c r="I159" s="11" t="n">
        <v>61</v>
      </c>
      <c r="J159" s="11" t="n">
        <v>150</v>
      </c>
      <c r="K159" s="11" t="n">
        <v>262262</v>
      </c>
    </row>
    <row r="160" customFormat="false" ht="15" hidden="false" customHeight="true" outlineLevel="0" collapsed="false">
      <c r="A160" s="23" t="n">
        <v>45194</v>
      </c>
      <c r="B160" s="14" t="s">
        <v>246</v>
      </c>
      <c r="C160" s="14" t="s">
        <v>247</v>
      </c>
      <c r="D160" s="14" t="s">
        <v>175</v>
      </c>
      <c r="E160" s="9" t="n">
        <v>7602</v>
      </c>
      <c r="F160" s="9" t="n">
        <v>7602</v>
      </c>
      <c r="G160" s="12" t="n">
        <v>1</v>
      </c>
      <c r="H160" s="11" t="n">
        <v>20</v>
      </c>
      <c r="I160" s="11" t="n">
        <v>53</v>
      </c>
      <c r="J160" s="11" t="n">
        <v>125</v>
      </c>
      <c r="K160" s="11" t="n">
        <v>400535</v>
      </c>
    </row>
    <row r="161" customFormat="false" ht="15" hidden="false" customHeight="true" outlineLevel="0" collapsed="false">
      <c r="A161" s="23" t="n">
        <v>45193</v>
      </c>
      <c r="B161" s="14" t="s">
        <v>278</v>
      </c>
      <c r="C161" s="14" t="s">
        <v>279</v>
      </c>
      <c r="D161" s="14" t="s">
        <v>175</v>
      </c>
      <c r="E161" s="9" t="n">
        <v>7744</v>
      </c>
      <c r="F161" s="9" t="n">
        <v>10513</v>
      </c>
      <c r="G161" s="12" t="n">
        <v>0.73</v>
      </c>
      <c r="H161" s="11" t="n">
        <v>15</v>
      </c>
      <c r="I161" s="11" t="n">
        <v>46</v>
      </c>
      <c r="J161" s="11" t="n">
        <v>100</v>
      </c>
      <c r="K161" s="11" t="n">
        <v>356780</v>
      </c>
    </row>
    <row r="162" customFormat="false" ht="15" hidden="false" customHeight="true" outlineLevel="0" collapsed="false">
      <c r="A162" s="23" t="n">
        <v>45180</v>
      </c>
      <c r="B162" s="14" t="s">
        <v>304</v>
      </c>
      <c r="C162" s="14" t="s">
        <v>305</v>
      </c>
      <c r="D162" s="14" t="s">
        <v>175</v>
      </c>
      <c r="E162" s="9" t="n">
        <v>6798</v>
      </c>
      <c r="F162" s="9" t="n">
        <v>6798</v>
      </c>
      <c r="G162" s="12" t="n">
        <v>1</v>
      </c>
      <c r="H162" s="11" t="n">
        <v>20</v>
      </c>
      <c r="I162" s="11" t="n">
        <v>48</v>
      </c>
      <c r="J162" s="11" t="n">
        <v>120</v>
      </c>
      <c r="K162" s="11" t="n">
        <v>328873</v>
      </c>
    </row>
    <row r="163" customFormat="false" ht="15" hidden="false" customHeight="true" outlineLevel="0" collapsed="false">
      <c r="A163" s="23" t="n">
        <v>45177</v>
      </c>
      <c r="B163" s="14" t="s">
        <v>68</v>
      </c>
      <c r="C163" s="14" t="s">
        <v>69</v>
      </c>
      <c r="D163" s="14" t="s">
        <v>175</v>
      </c>
      <c r="E163" s="9" t="n">
        <v>11048</v>
      </c>
      <c r="F163" s="9" t="n">
        <v>13229</v>
      </c>
      <c r="G163" s="12" t="n">
        <v>0.83</v>
      </c>
      <c r="H163" s="11" t="n">
        <v>20</v>
      </c>
      <c r="I163" s="11" t="n">
        <v>73</v>
      </c>
      <c r="J163" s="11" t="n">
        <v>160</v>
      </c>
      <c r="K163" s="11" t="n">
        <v>805489</v>
      </c>
    </row>
    <row r="164" customFormat="false" ht="15" hidden="false" customHeight="true" outlineLevel="0" collapsed="false">
      <c r="A164" s="23" t="n">
        <v>45171</v>
      </c>
      <c r="B164" s="14" t="s">
        <v>268</v>
      </c>
      <c r="C164" s="14" t="s">
        <v>269</v>
      </c>
      <c r="D164" s="14" t="s">
        <v>175</v>
      </c>
      <c r="E164" s="9" t="n">
        <v>11680</v>
      </c>
      <c r="F164" s="9" t="n">
        <v>12468</v>
      </c>
      <c r="G164" s="12" t="n">
        <v>0.93</v>
      </c>
      <c r="H164" s="11" t="n">
        <v>25</v>
      </c>
      <c r="I164" s="11" t="n">
        <v>99</v>
      </c>
      <c r="J164" s="11" t="n">
        <v>600</v>
      </c>
      <c r="K164" s="11" t="n">
        <v>1161555</v>
      </c>
    </row>
    <row r="165" customFormat="false" ht="15" hidden="false" customHeight="true" outlineLevel="0" collapsed="false">
      <c r="A165" s="23" t="n">
        <v>45159</v>
      </c>
      <c r="B165" s="14" t="s">
        <v>203</v>
      </c>
      <c r="C165" s="14" t="s">
        <v>204</v>
      </c>
      <c r="D165" s="14" t="s">
        <v>176</v>
      </c>
      <c r="E165" s="9" t="n">
        <v>10147</v>
      </c>
      <c r="F165" s="9" t="n">
        <v>12269</v>
      </c>
      <c r="G165" s="12" t="n">
        <v>0.82</v>
      </c>
      <c r="H165" s="11" t="n">
        <v>15</v>
      </c>
      <c r="I165" s="11" t="n">
        <v>36</v>
      </c>
      <c r="J165" s="11" t="n">
        <v>87</v>
      </c>
      <c r="K165" s="11" t="n">
        <v>368510</v>
      </c>
    </row>
    <row r="166" customFormat="false" ht="15" hidden="false" customHeight="true" outlineLevel="0" collapsed="false">
      <c r="A166" s="23" t="n">
        <v>45158</v>
      </c>
      <c r="B166" s="14" t="s">
        <v>306</v>
      </c>
      <c r="C166" s="14" t="s">
        <v>307</v>
      </c>
      <c r="D166" s="14" t="s">
        <v>176</v>
      </c>
      <c r="E166" s="9" t="n">
        <v>6506</v>
      </c>
      <c r="F166" s="9" t="n">
        <v>6512</v>
      </c>
      <c r="G166" s="12" t="n">
        <v>0.99</v>
      </c>
      <c r="H166" s="11" t="n">
        <v>15</v>
      </c>
      <c r="I166" s="11" t="n">
        <v>44</v>
      </c>
      <c r="J166" s="11" t="n">
        <v>114</v>
      </c>
      <c r="K166" s="11" t="n">
        <v>288932</v>
      </c>
    </row>
    <row r="167" customFormat="false" ht="15" hidden="false" customHeight="true" outlineLevel="0" collapsed="false">
      <c r="A167" s="23" t="n">
        <v>45151</v>
      </c>
      <c r="B167" s="14" t="s">
        <v>308</v>
      </c>
      <c r="C167" s="14" t="s">
        <v>309</v>
      </c>
      <c r="D167" s="14" t="s">
        <v>176</v>
      </c>
      <c r="E167" s="9" t="n">
        <v>9716</v>
      </c>
      <c r="F167" s="9" t="n">
        <v>10716</v>
      </c>
      <c r="G167" s="12" t="n">
        <v>0.9</v>
      </c>
      <c r="H167" s="11" t="n">
        <v>19</v>
      </c>
      <c r="I167" s="11" t="n">
        <v>32</v>
      </c>
      <c r="J167" s="11" t="n">
        <v>95</v>
      </c>
      <c r="K167" s="11" t="n">
        <v>310377</v>
      </c>
    </row>
    <row r="168" customFormat="false" ht="15" hidden="false" customHeight="true" outlineLevel="0" collapsed="false">
      <c r="A168" s="23" t="n">
        <v>45137</v>
      </c>
      <c r="B168" s="14" t="s">
        <v>310</v>
      </c>
      <c r="C168" s="14" t="s">
        <v>311</v>
      </c>
      <c r="D168" s="14" t="s">
        <v>175</v>
      </c>
      <c r="E168" s="9" t="n">
        <v>3812</v>
      </c>
      <c r="F168" s="9" t="n">
        <v>4560</v>
      </c>
      <c r="G168" s="12" t="n">
        <v>0.83</v>
      </c>
      <c r="H168" s="11" t="n">
        <v>20</v>
      </c>
      <c r="I168" s="11" t="n">
        <v>55</v>
      </c>
      <c r="J168" s="11" t="n">
        <v>160</v>
      </c>
      <c r="K168" s="11" t="n">
        <v>209199</v>
      </c>
    </row>
    <row r="169" customFormat="false" ht="15" hidden="false" customHeight="true" outlineLevel="0" collapsed="false">
      <c r="A169" s="23" t="n">
        <v>45136</v>
      </c>
      <c r="B169" s="14" t="s">
        <v>250</v>
      </c>
      <c r="C169" s="14" t="s">
        <v>251</v>
      </c>
      <c r="D169" s="14" t="s">
        <v>175</v>
      </c>
      <c r="E169" s="9" t="n">
        <v>4606</v>
      </c>
      <c r="F169" s="9" t="n">
        <v>6108</v>
      </c>
      <c r="G169" s="12" t="n">
        <v>0.75</v>
      </c>
      <c r="H169" s="11" t="n">
        <v>19</v>
      </c>
      <c r="I169" s="11" t="n">
        <v>49</v>
      </c>
      <c r="J169" s="11" t="n">
        <v>125</v>
      </c>
      <c r="K169" s="11" t="n">
        <v>226217</v>
      </c>
    </row>
    <row r="170" customFormat="false" ht="15" hidden="false" customHeight="true" outlineLevel="0" collapsed="false">
      <c r="A170" s="23" t="n">
        <v>45128</v>
      </c>
      <c r="B170" s="14" t="s">
        <v>312</v>
      </c>
      <c r="C170" s="14" t="s">
        <v>194</v>
      </c>
      <c r="D170" s="14" t="s">
        <v>175</v>
      </c>
      <c r="E170" s="9" t="n">
        <v>11458</v>
      </c>
      <c r="F170" s="9" t="n">
        <v>12172</v>
      </c>
      <c r="G170" s="12" t="n">
        <v>0.94</v>
      </c>
      <c r="H170" s="11" t="n">
        <v>20</v>
      </c>
      <c r="I170" s="11" t="n">
        <v>43</v>
      </c>
      <c r="J170" s="11" t="n">
        <v>120</v>
      </c>
      <c r="K170" s="11" t="n">
        <v>494955</v>
      </c>
    </row>
    <row r="171" customFormat="false" ht="15" hidden="false" customHeight="true" outlineLevel="0" collapsed="false">
      <c r="A171" s="23" t="n">
        <v>45124</v>
      </c>
      <c r="B171" s="14" t="s">
        <v>75</v>
      </c>
      <c r="C171" s="14" t="s">
        <v>76</v>
      </c>
      <c r="D171" s="14" t="s">
        <v>175</v>
      </c>
      <c r="E171" s="9" t="n">
        <v>11082</v>
      </c>
      <c r="F171" s="9" t="n">
        <v>11082</v>
      </c>
      <c r="G171" s="12" t="n">
        <v>1</v>
      </c>
      <c r="H171" s="11" t="n">
        <v>20</v>
      </c>
      <c r="I171" s="11" t="n">
        <v>46</v>
      </c>
      <c r="J171" s="11" t="n">
        <v>125</v>
      </c>
      <c r="K171" s="11" t="n">
        <v>513206</v>
      </c>
    </row>
    <row r="172" customFormat="false" ht="15" hidden="false" customHeight="true" outlineLevel="0" collapsed="false">
      <c r="A172" s="23" t="n">
        <v>45122</v>
      </c>
      <c r="B172" s="14" t="s">
        <v>313</v>
      </c>
      <c r="C172" s="14" t="s">
        <v>314</v>
      </c>
      <c r="D172" s="14" t="s">
        <v>175</v>
      </c>
      <c r="E172" s="9" t="n">
        <v>6492</v>
      </c>
      <c r="F172" s="9" t="n">
        <v>7789</v>
      </c>
      <c r="G172" s="12" t="n">
        <v>0.83</v>
      </c>
      <c r="H172" s="11" t="n">
        <v>20</v>
      </c>
      <c r="I172" s="11" t="n">
        <v>51</v>
      </c>
      <c r="J172" s="11" t="n">
        <v>120</v>
      </c>
      <c r="K172" s="11" t="n">
        <v>328914</v>
      </c>
    </row>
    <row r="173" customFormat="false" ht="15" hidden="false" customHeight="true" outlineLevel="0" collapsed="false">
      <c r="A173" s="23" t="n">
        <v>45114</v>
      </c>
      <c r="B173" s="14" t="s">
        <v>187</v>
      </c>
      <c r="C173" s="14" t="s">
        <v>188</v>
      </c>
      <c r="D173" s="14" t="s">
        <v>175</v>
      </c>
      <c r="E173" s="9" t="n">
        <v>13393</v>
      </c>
      <c r="F173" s="9" t="n">
        <v>13393</v>
      </c>
      <c r="G173" s="12" t="n">
        <v>1</v>
      </c>
      <c r="H173" s="11" t="n">
        <v>31</v>
      </c>
      <c r="I173" s="11" t="n">
        <v>93</v>
      </c>
      <c r="J173" s="11" t="n">
        <v>406</v>
      </c>
      <c r="K173" s="11" t="n">
        <v>1243276</v>
      </c>
    </row>
    <row r="174" customFormat="false" ht="15" hidden="false" customHeight="true" outlineLevel="0" collapsed="false">
      <c r="A174" s="23" t="n">
        <v>45110</v>
      </c>
      <c r="B174" s="14" t="s">
        <v>177</v>
      </c>
      <c r="C174" s="14" t="s">
        <v>178</v>
      </c>
      <c r="D174" s="14" t="s">
        <v>175</v>
      </c>
      <c r="E174" s="9" t="n">
        <v>8808</v>
      </c>
      <c r="F174" s="9" t="n">
        <v>9226</v>
      </c>
      <c r="G174" s="12" t="n">
        <v>0.95</v>
      </c>
      <c r="H174" s="11" t="n">
        <v>20</v>
      </c>
      <c r="I174" s="11" t="n">
        <v>67</v>
      </c>
      <c r="J174" s="11" t="n">
        <v>135</v>
      </c>
      <c r="K174" s="11" t="n">
        <v>589549</v>
      </c>
    </row>
    <row r="175" customFormat="false" ht="15" hidden="false" customHeight="true" outlineLevel="0" collapsed="false">
      <c r="A175" s="23" t="n">
        <v>45103</v>
      </c>
      <c r="B175" s="14" t="s">
        <v>212</v>
      </c>
      <c r="C175" s="14" t="s">
        <v>213</v>
      </c>
      <c r="D175" s="14" t="s">
        <v>175</v>
      </c>
      <c r="E175" s="9" t="n">
        <v>5977</v>
      </c>
      <c r="F175" s="9" t="n">
        <v>6500</v>
      </c>
      <c r="G175" s="12" t="n">
        <v>0.91</v>
      </c>
      <c r="H175" s="11" t="n">
        <v>53</v>
      </c>
      <c r="I175" s="11" t="n">
        <v>54</v>
      </c>
      <c r="J175" s="11" t="n">
        <v>53</v>
      </c>
      <c r="K175" s="11" t="n">
        <v>320630</v>
      </c>
    </row>
    <row r="176" customFormat="false" ht="15" hidden="false" customHeight="true" outlineLevel="0" collapsed="false">
      <c r="A176" s="23" t="n">
        <v>45096</v>
      </c>
      <c r="B176" s="14" t="s">
        <v>252</v>
      </c>
      <c r="C176" s="14" t="s">
        <v>133</v>
      </c>
      <c r="D176" s="14" t="s">
        <v>175</v>
      </c>
      <c r="E176" s="9" t="n">
        <v>9432</v>
      </c>
      <c r="F176" s="9" t="n">
        <v>14278</v>
      </c>
      <c r="G176" s="12" t="n">
        <v>0.66</v>
      </c>
      <c r="H176" s="11" t="n">
        <v>20</v>
      </c>
      <c r="I176" s="11" t="n">
        <v>60</v>
      </c>
      <c r="J176" s="11" t="n">
        <v>125</v>
      </c>
      <c r="K176" s="11" t="n">
        <v>561928</v>
      </c>
    </row>
    <row r="177" customFormat="false" ht="15" hidden="false" customHeight="true" outlineLevel="0" collapsed="false">
      <c r="A177" s="23" t="n">
        <v>45095</v>
      </c>
      <c r="B177" s="14" t="s">
        <v>315</v>
      </c>
      <c r="C177" s="14" t="s">
        <v>316</v>
      </c>
      <c r="D177" s="14" t="s">
        <v>175</v>
      </c>
      <c r="E177" s="9" t="n">
        <v>4280</v>
      </c>
      <c r="F177" s="9" t="n">
        <v>9153</v>
      </c>
      <c r="G177" s="12" t="n">
        <v>0.46</v>
      </c>
      <c r="H177" s="11" t="n">
        <v>20</v>
      </c>
      <c r="I177" s="11" t="n">
        <v>51</v>
      </c>
      <c r="J177" s="11" t="n">
        <v>110</v>
      </c>
      <c r="K177" s="11" t="n">
        <v>216540</v>
      </c>
    </row>
    <row r="178" customFormat="false" ht="15" hidden="false" customHeight="true" outlineLevel="0" collapsed="false">
      <c r="A178" s="23" t="n">
        <v>45093</v>
      </c>
      <c r="B178" s="14" t="s">
        <v>282</v>
      </c>
      <c r="C178" s="14" t="s">
        <v>283</v>
      </c>
      <c r="D178" s="14" t="s">
        <v>175</v>
      </c>
      <c r="E178" s="9" t="n">
        <v>9084</v>
      </c>
      <c r="F178" s="9" t="n">
        <v>9084</v>
      </c>
      <c r="G178" s="12" t="n">
        <v>1</v>
      </c>
      <c r="H178" s="11" t="n">
        <v>20</v>
      </c>
      <c r="I178" s="11" t="n">
        <v>48</v>
      </c>
      <c r="J178" s="11" t="n">
        <v>120</v>
      </c>
      <c r="K178" s="11" t="n">
        <v>438042</v>
      </c>
    </row>
    <row r="179" customFormat="false" ht="15" hidden="false" customHeight="true" outlineLevel="0" collapsed="false">
      <c r="A179" s="23" t="n">
        <v>45081</v>
      </c>
      <c r="B179" s="14" t="s">
        <v>270</v>
      </c>
      <c r="C179" s="14" t="s">
        <v>271</v>
      </c>
      <c r="D179" s="14" t="s">
        <v>175</v>
      </c>
      <c r="E179" s="9" t="n">
        <v>4861</v>
      </c>
      <c r="F179" s="9" t="n">
        <v>5000</v>
      </c>
      <c r="G179" s="12" t="n">
        <v>0.97</v>
      </c>
      <c r="H179" s="11" t="n">
        <v>25</v>
      </c>
      <c r="I179" s="11" t="n">
        <v>57</v>
      </c>
      <c r="J179" s="11" t="n">
        <v>115</v>
      </c>
      <c r="K179" s="11" t="n">
        <v>278707</v>
      </c>
    </row>
    <row r="180" customFormat="false" ht="15" hidden="false" customHeight="true" outlineLevel="0" collapsed="false">
      <c r="A180" s="23" t="n">
        <v>45079</v>
      </c>
      <c r="B180" s="14" t="s">
        <v>301</v>
      </c>
      <c r="C180" s="14" t="s">
        <v>302</v>
      </c>
      <c r="D180" s="14" t="s">
        <v>175</v>
      </c>
      <c r="E180" s="9" t="n">
        <v>6828</v>
      </c>
      <c r="F180" s="9" t="n">
        <v>6828</v>
      </c>
      <c r="G180" s="12" t="n">
        <v>1</v>
      </c>
      <c r="H180" s="11" t="n">
        <v>24</v>
      </c>
      <c r="I180" s="11" t="n">
        <v>55</v>
      </c>
      <c r="J180" s="11" t="n">
        <v>140</v>
      </c>
      <c r="K180" s="11" t="n">
        <v>372623</v>
      </c>
    </row>
    <row r="181" customFormat="false" ht="15" hidden="false" customHeight="true" outlineLevel="0" collapsed="false">
      <c r="A181" s="23" t="n">
        <v>45058</v>
      </c>
      <c r="B181" s="14" t="s">
        <v>317</v>
      </c>
      <c r="C181" s="14" t="s">
        <v>318</v>
      </c>
      <c r="D181" s="14" t="s">
        <v>175</v>
      </c>
      <c r="E181" s="9" t="n">
        <v>9379</v>
      </c>
      <c r="F181" s="9" t="n">
        <v>9885</v>
      </c>
      <c r="G181" s="12" t="n">
        <v>0.94</v>
      </c>
      <c r="H181" s="11" t="n">
        <v>20</v>
      </c>
      <c r="I181" s="11" t="n">
        <v>56</v>
      </c>
      <c r="J181" s="11" t="n">
        <v>130</v>
      </c>
      <c r="K181" s="11" t="n">
        <v>528902</v>
      </c>
    </row>
    <row r="182" customFormat="false" ht="15" hidden="false" customHeight="true" outlineLevel="0" collapsed="false">
      <c r="A182" s="23" t="n">
        <v>45057</v>
      </c>
      <c r="B182" s="14" t="s">
        <v>317</v>
      </c>
      <c r="C182" s="14" t="s">
        <v>318</v>
      </c>
      <c r="D182" s="14" t="s">
        <v>175</v>
      </c>
      <c r="E182" s="9" t="n">
        <v>9379</v>
      </c>
      <c r="F182" s="9" t="n">
        <v>9885</v>
      </c>
      <c r="G182" s="12" t="n">
        <v>0.94</v>
      </c>
      <c r="H182" s="11" t="n">
        <v>20</v>
      </c>
      <c r="I182" s="11" t="n">
        <v>53</v>
      </c>
      <c r="J182" s="11" t="n">
        <v>130</v>
      </c>
      <c r="K182" s="11" t="n">
        <v>495462</v>
      </c>
    </row>
    <row r="183" customFormat="false" ht="15" hidden="false" customHeight="true" outlineLevel="0" collapsed="false">
      <c r="A183" s="23" t="n">
        <v>45047</v>
      </c>
      <c r="B183" s="14" t="s">
        <v>216</v>
      </c>
      <c r="C183" s="14" t="s">
        <v>217</v>
      </c>
      <c r="D183" s="14" t="s">
        <v>175</v>
      </c>
      <c r="E183" s="9" t="n">
        <v>11199</v>
      </c>
      <c r="F183" s="9" t="n">
        <v>11457</v>
      </c>
      <c r="G183" s="12" t="n">
        <v>0.97</v>
      </c>
      <c r="H183" s="11" t="n">
        <v>24</v>
      </c>
      <c r="I183" s="11" t="n">
        <v>45</v>
      </c>
      <c r="J183" s="11" t="n">
        <v>129</v>
      </c>
      <c r="K183" s="11" t="n">
        <v>506369</v>
      </c>
    </row>
    <row r="184" customFormat="false" ht="15" hidden="false" customHeight="true" outlineLevel="0" collapsed="false">
      <c r="A184" s="23" t="n">
        <v>45040</v>
      </c>
      <c r="B184" s="14" t="s">
        <v>201</v>
      </c>
      <c r="C184" s="14" t="s">
        <v>202</v>
      </c>
      <c r="D184" s="14" t="s">
        <v>175</v>
      </c>
      <c r="E184" s="9" t="n">
        <v>12446</v>
      </c>
      <c r="F184" s="9" t="n">
        <v>12446</v>
      </c>
      <c r="G184" s="12" t="n">
        <v>1</v>
      </c>
      <c r="H184" s="11" t="n">
        <v>20</v>
      </c>
      <c r="I184" s="11" t="n">
        <v>50</v>
      </c>
      <c r="J184" s="11" t="n">
        <v>150</v>
      </c>
      <c r="K184" s="11" t="n">
        <v>619116</v>
      </c>
    </row>
    <row r="185" customFormat="false" ht="15" hidden="false" customHeight="true" outlineLevel="0" collapsed="false">
      <c r="A185" s="23" t="n">
        <v>45033</v>
      </c>
      <c r="B185" s="14" t="s">
        <v>286</v>
      </c>
      <c r="C185" s="14" t="s">
        <v>287</v>
      </c>
      <c r="D185" s="14" t="s">
        <v>175</v>
      </c>
      <c r="E185" s="9" t="n">
        <v>7640</v>
      </c>
      <c r="F185" s="9" t="n">
        <v>12000</v>
      </c>
      <c r="G185" s="12" t="n">
        <v>0.63</v>
      </c>
      <c r="H185" s="11" t="n">
        <v>24</v>
      </c>
      <c r="I185" s="11" t="n">
        <v>50</v>
      </c>
      <c r="J185" s="11" t="n">
        <v>124</v>
      </c>
      <c r="K185" s="11" t="n">
        <v>384749</v>
      </c>
    </row>
    <row r="186" customFormat="false" ht="15" hidden="false" customHeight="true" outlineLevel="0" collapsed="false">
      <c r="A186" s="23" t="n">
        <v>45026</v>
      </c>
      <c r="B186" s="14" t="s">
        <v>222</v>
      </c>
      <c r="C186" s="14" t="s">
        <v>223</v>
      </c>
      <c r="D186" s="14" t="s">
        <v>175</v>
      </c>
      <c r="E186" s="9" t="n">
        <v>9906</v>
      </c>
      <c r="F186" s="9" t="n">
        <v>10074</v>
      </c>
      <c r="G186" s="12" t="n">
        <v>0.98</v>
      </c>
      <c r="H186" s="11" t="n">
        <v>26</v>
      </c>
      <c r="I186" s="11" t="n">
        <v>58</v>
      </c>
      <c r="J186" s="11" t="n">
        <v>130</v>
      </c>
      <c r="K186" s="11" t="n">
        <v>579150</v>
      </c>
    </row>
    <row r="187" customFormat="false" ht="15" hidden="false" customHeight="true" outlineLevel="0" collapsed="false">
      <c r="A187" s="23" t="n">
        <v>45023</v>
      </c>
      <c r="B187" s="14" t="s">
        <v>228</v>
      </c>
      <c r="C187" s="14" t="s">
        <v>229</v>
      </c>
      <c r="D187" s="14" t="s">
        <v>175</v>
      </c>
      <c r="E187" s="9" t="n">
        <v>9314</v>
      </c>
      <c r="F187" s="9" t="n">
        <v>12071</v>
      </c>
      <c r="G187" s="12" t="n">
        <v>0.77</v>
      </c>
      <c r="H187" s="11" t="n">
        <v>20</v>
      </c>
      <c r="I187" s="11" t="n">
        <v>52</v>
      </c>
      <c r="J187" s="11" t="n">
        <v>110</v>
      </c>
      <c r="K187" s="11" t="n">
        <v>482774</v>
      </c>
    </row>
    <row r="188" customFormat="false" ht="15" hidden="false" customHeight="true" outlineLevel="0" collapsed="false">
      <c r="A188" s="23" t="n">
        <v>45019</v>
      </c>
      <c r="B188" s="14" t="s">
        <v>319</v>
      </c>
      <c r="C188" s="14" t="s">
        <v>320</v>
      </c>
      <c r="D188" s="14" t="s">
        <v>175</v>
      </c>
      <c r="E188" s="9" t="n">
        <v>13616</v>
      </c>
      <c r="F188" s="9" t="n">
        <v>13616</v>
      </c>
      <c r="G188" s="12" t="n">
        <v>1</v>
      </c>
      <c r="H188" s="11" t="n">
        <v>26</v>
      </c>
      <c r="I188" s="11" t="n">
        <v>68</v>
      </c>
      <c r="J188" s="11" t="n">
        <v>310</v>
      </c>
      <c r="K188" s="11" t="n">
        <v>920190</v>
      </c>
    </row>
    <row r="189" customFormat="false" ht="15" hidden="false" customHeight="true" outlineLevel="0" collapsed="false">
      <c r="A189" s="23" t="n">
        <v>45017</v>
      </c>
      <c r="B189" s="14" t="s">
        <v>319</v>
      </c>
      <c r="C189" s="14" t="s">
        <v>320</v>
      </c>
      <c r="D189" s="14" t="s">
        <v>175</v>
      </c>
      <c r="E189" s="9" t="n">
        <v>7816</v>
      </c>
      <c r="F189" s="9" t="n">
        <v>8989</v>
      </c>
      <c r="G189" s="12" t="n">
        <v>0.86</v>
      </c>
      <c r="H189" s="11" t="n">
        <v>21</v>
      </c>
      <c r="I189" s="11" t="n">
        <v>39</v>
      </c>
      <c r="J189" s="11" t="n">
        <v>104</v>
      </c>
      <c r="K189" s="11" t="n">
        <v>307923</v>
      </c>
    </row>
    <row r="190" customFormat="false" ht="15" hidden="false" customHeight="true" outlineLevel="0" collapsed="false">
      <c r="A190" s="23" t="n">
        <v>45017</v>
      </c>
      <c r="B190" s="14" t="s">
        <v>321</v>
      </c>
      <c r="C190" s="14" t="s">
        <v>231</v>
      </c>
      <c r="D190" s="14" t="s">
        <v>175</v>
      </c>
      <c r="E190" s="9" t="n">
        <v>68397</v>
      </c>
      <c r="F190" s="9" t="n">
        <v>73252</v>
      </c>
      <c r="G190" s="12" t="n">
        <v>0.93</v>
      </c>
      <c r="H190" s="11" t="n">
        <v>25</v>
      </c>
      <c r="I190" s="11" t="n">
        <v>144</v>
      </c>
      <c r="J190" s="11" t="n">
        <v>5000</v>
      </c>
      <c r="K190" s="11" t="n">
        <v>9874536</v>
      </c>
    </row>
    <row r="191" customFormat="false" ht="15" hidden="false" customHeight="true" outlineLevel="0" collapsed="false">
      <c r="A191" s="23" t="n">
        <v>45016</v>
      </c>
      <c r="B191" s="14" t="s">
        <v>319</v>
      </c>
      <c r="C191" s="14" t="s">
        <v>320</v>
      </c>
      <c r="D191" s="14" t="s">
        <v>175</v>
      </c>
      <c r="E191" s="9" t="n">
        <v>13050</v>
      </c>
      <c r="F191" s="9" t="n">
        <v>13050</v>
      </c>
      <c r="G191" s="12" t="n">
        <v>1</v>
      </c>
      <c r="H191" s="11" t="n">
        <v>26</v>
      </c>
      <c r="I191" s="11" t="n">
        <v>63</v>
      </c>
      <c r="J191" s="11" t="n">
        <v>310</v>
      </c>
      <c r="K191" s="11" t="n">
        <v>823440</v>
      </c>
    </row>
    <row r="192" customFormat="false" ht="15" hidden="false" customHeight="true" outlineLevel="0" collapsed="false">
      <c r="A192" s="23" t="n">
        <v>45012</v>
      </c>
      <c r="B192" s="14" t="s">
        <v>232</v>
      </c>
      <c r="C192" s="14" t="s">
        <v>130</v>
      </c>
      <c r="D192" s="14" t="s">
        <v>175</v>
      </c>
      <c r="E192" s="9" t="n">
        <v>10857</v>
      </c>
      <c r="F192" s="9" t="n">
        <v>11001</v>
      </c>
      <c r="G192" s="12" t="n">
        <v>0.98</v>
      </c>
      <c r="H192" s="11" t="n">
        <v>20</v>
      </c>
      <c r="I192" s="11" t="n">
        <v>53</v>
      </c>
      <c r="J192" s="11" t="n">
        <v>500</v>
      </c>
      <c r="K192" s="11" t="n">
        <v>572538</v>
      </c>
    </row>
    <row r="193" customFormat="false" ht="15" hidden="false" customHeight="true" outlineLevel="0" collapsed="false">
      <c r="A193" s="23" t="n">
        <v>45009</v>
      </c>
      <c r="B193" s="14" t="s">
        <v>290</v>
      </c>
      <c r="C193" s="14" t="s">
        <v>219</v>
      </c>
      <c r="D193" s="14" t="s">
        <v>175</v>
      </c>
      <c r="E193" s="9" t="n">
        <v>9409</v>
      </c>
      <c r="F193" s="9" t="n">
        <v>11088</v>
      </c>
      <c r="G193" s="12" t="n">
        <v>0.84</v>
      </c>
      <c r="H193" s="11" t="n">
        <v>26</v>
      </c>
      <c r="I193" s="11" t="n">
        <v>47</v>
      </c>
      <c r="J193" s="11" t="n">
        <v>140</v>
      </c>
      <c r="K193" s="11" t="n">
        <v>439268</v>
      </c>
    </row>
    <row r="194" customFormat="false" ht="15" hidden="false" customHeight="true" outlineLevel="0" collapsed="false">
      <c r="A194" s="23" t="n">
        <v>45009</v>
      </c>
      <c r="B194" s="14" t="s">
        <v>322</v>
      </c>
      <c r="C194" s="14" t="s">
        <v>323</v>
      </c>
      <c r="D194" s="14" t="s">
        <v>175</v>
      </c>
      <c r="E194" s="9" t="n">
        <v>5206</v>
      </c>
      <c r="F194" s="9" t="n">
        <v>7306</v>
      </c>
      <c r="G194" s="12" t="n">
        <v>0.71</v>
      </c>
      <c r="H194" s="11" t="n">
        <v>20</v>
      </c>
      <c r="I194" s="11" t="n">
        <v>55</v>
      </c>
      <c r="J194" s="11" t="n">
        <v>115</v>
      </c>
      <c r="K194" s="11" t="n">
        <v>285881</v>
      </c>
    </row>
    <row r="195" customFormat="false" ht="15" hidden="false" customHeight="true" outlineLevel="0" collapsed="false">
      <c r="A195" s="23" t="n">
        <v>45003</v>
      </c>
      <c r="B195" s="14" t="s">
        <v>199</v>
      </c>
      <c r="C195" s="14" t="s">
        <v>200</v>
      </c>
      <c r="D195" s="14" t="s">
        <v>175</v>
      </c>
      <c r="E195" s="9" t="n">
        <v>5953</v>
      </c>
      <c r="F195" s="9" t="n">
        <v>11546</v>
      </c>
      <c r="G195" s="12" t="n">
        <v>0.51</v>
      </c>
      <c r="H195" s="11" t="n">
        <v>30</v>
      </c>
      <c r="I195" s="11" t="n">
        <v>46</v>
      </c>
      <c r="J195" s="11" t="n">
        <v>115</v>
      </c>
      <c r="K195" s="11" t="n">
        <v>276757</v>
      </c>
    </row>
    <row r="196" customFormat="false" ht="15" hidden="false" customHeight="true" outlineLevel="0" collapsed="false">
      <c r="A196" s="23" t="n">
        <v>44997</v>
      </c>
      <c r="B196" s="14" t="s">
        <v>290</v>
      </c>
      <c r="C196" s="14" t="s">
        <v>219</v>
      </c>
      <c r="D196" s="14" t="s">
        <v>175</v>
      </c>
      <c r="E196" s="9" t="n">
        <v>10529</v>
      </c>
      <c r="F196" s="9" t="n">
        <v>13718</v>
      </c>
      <c r="G196" s="12" t="n">
        <v>0.76</v>
      </c>
      <c r="H196" s="11" t="n">
        <v>26</v>
      </c>
      <c r="I196" s="11" t="n">
        <v>65</v>
      </c>
      <c r="J196" s="11" t="n">
        <v>206</v>
      </c>
      <c r="K196" s="11" t="n">
        <v>685715</v>
      </c>
    </row>
    <row r="197" customFormat="false" ht="15" hidden="false" customHeight="true" outlineLevel="0" collapsed="false">
      <c r="A197" s="23" t="n">
        <v>44997</v>
      </c>
      <c r="B197" s="14" t="s">
        <v>187</v>
      </c>
      <c r="C197" s="14" t="s">
        <v>188</v>
      </c>
      <c r="D197" s="14" t="s">
        <v>175</v>
      </c>
      <c r="E197" s="9" t="n">
        <v>10529</v>
      </c>
      <c r="F197" s="9" t="n">
        <v>13718</v>
      </c>
      <c r="G197" s="12" t="n">
        <v>0.76</v>
      </c>
      <c r="H197" s="11" t="n">
        <v>26</v>
      </c>
      <c r="I197" s="11" t="n">
        <v>65</v>
      </c>
      <c r="J197" s="11" t="n">
        <v>206</v>
      </c>
      <c r="K197" s="11" t="n">
        <v>685715</v>
      </c>
    </row>
    <row r="198" customFormat="false" ht="15" hidden="false" customHeight="true" outlineLevel="0" collapsed="false">
      <c r="A198" s="23" t="n">
        <v>44995</v>
      </c>
      <c r="B198" s="14" t="s">
        <v>268</v>
      </c>
      <c r="C198" s="14" t="s">
        <v>269</v>
      </c>
      <c r="D198" s="14" t="s">
        <v>175</v>
      </c>
      <c r="E198" s="9" t="n">
        <v>9019</v>
      </c>
      <c r="F198" s="9" t="n">
        <v>13143</v>
      </c>
      <c r="G198" s="12" t="n">
        <v>0.68</v>
      </c>
      <c r="H198" s="11" t="n">
        <v>20</v>
      </c>
      <c r="I198" s="11" t="n">
        <v>51</v>
      </c>
      <c r="J198" s="11" t="n">
        <v>125</v>
      </c>
      <c r="K198" s="11" t="n">
        <v>457689</v>
      </c>
    </row>
    <row r="199" customFormat="false" ht="15" hidden="false" customHeight="true" outlineLevel="0" collapsed="false">
      <c r="A199" s="23" t="n">
        <v>44991</v>
      </c>
      <c r="B199" s="14" t="s">
        <v>68</v>
      </c>
      <c r="C199" s="14" t="s">
        <v>69</v>
      </c>
      <c r="D199" s="14" t="s">
        <v>175</v>
      </c>
      <c r="E199" s="9" t="n">
        <v>12239</v>
      </c>
      <c r="F199" s="9" t="n">
        <v>13169</v>
      </c>
      <c r="G199" s="12" t="n">
        <v>0.92</v>
      </c>
      <c r="H199" s="11" t="n">
        <v>20</v>
      </c>
      <c r="I199" s="11" t="n">
        <v>72</v>
      </c>
      <c r="J199" s="11" t="n">
        <v>150</v>
      </c>
      <c r="K199" s="11" t="n">
        <v>884269</v>
      </c>
    </row>
    <row r="200" customFormat="false" ht="15" hidden="false" customHeight="true" outlineLevel="0" collapsed="false">
      <c r="A200" s="23" t="n">
        <v>44989</v>
      </c>
      <c r="B200" s="14" t="s">
        <v>324</v>
      </c>
      <c r="C200" s="14" t="s">
        <v>325</v>
      </c>
      <c r="D200" s="14" t="s">
        <v>176</v>
      </c>
      <c r="E200" s="9" t="n">
        <v>7294</v>
      </c>
      <c r="F200" s="9" t="n">
        <v>7294</v>
      </c>
      <c r="G200" s="12" t="n">
        <v>1</v>
      </c>
      <c r="H200" s="11" t="n">
        <v>18</v>
      </c>
      <c r="I200" s="11" t="n">
        <v>48</v>
      </c>
      <c r="J200" s="11" t="n">
        <v>118</v>
      </c>
      <c r="K200" s="11" t="n">
        <v>349709</v>
      </c>
    </row>
    <row r="201" customFormat="false" ht="15" hidden="false" customHeight="true" outlineLevel="0" collapsed="false">
      <c r="A201" s="23" t="n">
        <v>44988</v>
      </c>
      <c r="B201" s="14" t="s">
        <v>179</v>
      </c>
      <c r="C201" s="14" t="s">
        <v>180</v>
      </c>
      <c r="D201" s="14" t="s">
        <v>175</v>
      </c>
      <c r="E201" s="9" t="n">
        <v>11998</v>
      </c>
      <c r="F201" s="9" t="n">
        <v>12676</v>
      </c>
      <c r="G201" s="12" t="n">
        <v>0.94</v>
      </c>
      <c r="H201" s="11" t="n">
        <v>20</v>
      </c>
      <c r="I201" s="11" t="n">
        <v>61</v>
      </c>
      <c r="J201" s="11" t="n">
        <v>125</v>
      </c>
      <c r="K201" s="11" t="n">
        <v>727358</v>
      </c>
    </row>
    <row r="202" customFormat="false" ht="15" hidden="false" customHeight="true" outlineLevel="0" collapsed="false">
      <c r="A202" s="23" t="n">
        <v>44983</v>
      </c>
      <c r="B202" s="14" t="s">
        <v>322</v>
      </c>
      <c r="C202" s="14" t="s">
        <v>323</v>
      </c>
      <c r="D202" s="14" t="s">
        <v>175</v>
      </c>
      <c r="E202" s="9" t="n">
        <v>4431</v>
      </c>
      <c r="F202" s="9" t="n">
        <v>7307</v>
      </c>
      <c r="G202" s="12" t="n">
        <v>0.6</v>
      </c>
      <c r="H202" s="11" t="n">
        <v>20</v>
      </c>
      <c r="I202" s="11" t="n">
        <v>52</v>
      </c>
      <c r="J202" s="11" t="n">
        <v>110</v>
      </c>
      <c r="K202" s="11" t="n">
        <v>231642</v>
      </c>
    </row>
    <row r="203" customFormat="false" ht="15" hidden="false" customHeight="true" outlineLevel="0" collapsed="false">
      <c r="A203" s="23" t="n">
        <v>44981</v>
      </c>
      <c r="B203" s="14" t="s">
        <v>299</v>
      </c>
      <c r="C203" s="14" t="s">
        <v>300</v>
      </c>
      <c r="D203" s="14" t="s">
        <v>175</v>
      </c>
      <c r="E203" s="9" t="n">
        <v>7530</v>
      </c>
      <c r="F203" s="9" t="n">
        <v>7530</v>
      </c>
      <c r="G203" s="12" t="n">
        <v>1</v>
      </c>
      <c r="H203" s="11" t="n">
        <v>25</v>
      </c>
      <c r="I203" s="11" t="n">
        <v>44</v>
      </c>
      <c r="J203" s="11" t="n">
        <v>115</v>
      </c>
      <c r="K203" s="11" t="n">
        <v>334188</v>
      </c>
    </row>
    <row r="204" customFormat="false" ht="15" hidden="false" customHeight="true" outlineLevel="0" collapsed="false">
      <c r="A204" s="23" t="n">
        <v>44977</v>
      </c>
      <c r="B204" s="14" t="s">
        <v>257</v>
      </c>
      <c r="C204" s="14" t="s">
        <v>258</v>
      </c>
      <c r="D204" s="14" t="s">
        <v>176</v>
      </c>
      <c r="E204" s="9" t="n">
        <v>7663</v>
      </c>
      <c r="F204" s="9" t="n">
        <v>8604</v>
      </c>
      <c r="G204" s="12" t="n">
        <v>0.89</v>
      </c>
      <c r="H204" s="11" t="n">
        <v>19</v>
      </c>
      <c r="I204" s="11" t="n">
        <v>41</v>
      </c>
      <c r="J204" s="11" t="n">
        <v>93</v>
      </c>
      <c r="K204" s="11" t="n">
        <v>312662</v>
      </c>
    </row>
    <row r="205" customFormat="false" ht="15" hidden="false" customHeight="true" outlineLevel="0" collapsed="false">
      <c r="A205" s="23" t="n">
        <v>44975</v>
      </c>
      <c r="B205" s="14" t="s">
        <v>147</v>
      </c>
      <c r="C205" s="14" t="s">
        <v>148</v>
      </c>
      <c r="D205" s="14" t="s">
        <v>176</v>
      </c>
      <c r="E205" s="9" t="n">
        <v>13807</v>
      </c>
      <c r="F205" s="9" t="n">
        <v>13809</v>
      </c>
      <c r="G205" s="12" t="n">
        <v>0.99</v>
      </c>
      <c r="H205" s="11" t="n">
        <v>72</v>
      </c>
      <c r="I205" s="11" t="n">
        <v>72</v>
      </c>
      <c r="J205" s="11" t="n">
        <v>72</v>
      </c>
      <c r="K205" s="11" t="n">
        <v>997637</v>
      </c>
    </row>
    <row r="206" customFormat="false" ht="15" hidden="false" customHeight="true" outlineLevel="0" collapsed="false">
      <c r="A206" s="23" t="n">
        <v>44974</v>
      </c>
      <c r="B206" s="14" t="s">
        <v>147</v>
      </c>
      <c r="C206" s="14" t="s">
        <v>148</v>
      </c>
      <c r="D206" s="14" t="s">
        <v>176</v>
      </c>
      <c r="E206" s="9" t="n">
        <v>11744</v>
      </c>
      <c r="F206" s="9" t="n">
        <v>11746</v>
      </c>
      <c r="G206" s="12" t="n">
        <v>0.99</v>
      </c>
      <c r="H206" s="11" t="n">
        <v>55</v>
      </c>
      <c r="I206" s="11" t="n">
        <v>55</v>
      </c>
      <c r="J206" s="11" t="n">
        <v>55</v>
      </c>
      <c r="K206" s="11" t="n">
        <v>649681</v>
      </c>
    </row>
    <row r="207" customFormat="false" ht="15" hidden="false" customHeight="true" outlineLevel="0" collapsed="false">
      <c r="A207" s="23" t="n">
        <v>44970</v>
      </c>
      <c r="B207" s="14" t="s">
        <v>145</v>
      </c>
      <c r="C207" s="14" t="s">
        <v>146</v>
      </c>
      <c r="D207" s="14" t="s">
        <v>175</v>
      </c>
      <c r="E207" s="9" t="n">
        <v>11739</v>
      </c>
      <c r="F207" s="9" t="n">
        <v>13215</v>
      </c>
      <c r="G207" s="12" t="n">
        <v>0.88</v>
      </c>
      <c r="H207" s="11" t="n">
        <v>20</v>
      </c>
      <c r="I207" s="11" t="n">
        <v>57</v>
      </c>
      <c r="J207" s="11" t="n">
        <v>150</v>
      </c>
      <c r="K207" s="11" t="n">
        <v>664282</v>
      </c>
    </row>
    <row r="208" customFormat="false" ht="15" hidden="false" customHeight="true" outlineLevel="0" collapsed="false">
      <c r="A208" s="23" t="n">
        <v>44967</v>
      </c>
      <c r="B208" s="14" t="s">
        <v>83</v>
      </c>
      <c r="C208" s="14" t="s">
        <v>84</v>
      </c>
      <c r="D208" s="14" t="s">
        <v>175</v>
      </c>
      <c r="E208" s="9" t="n">
        <v>5752</v>
      </c>
      <c r="F208" s="9" t="n">
        <v>5752</v>
      </c>
      <c r="G208" s="12" t="n">
        <v>1</v>
      </c>
      <c r="H208" s="11" t="n">
        <v>20</v>
      </c>
      <c r="I208" s="11" t="n">
        <v>54</v>
      </c>
      <c r="J208" s="11" t="n">
        <v>130</v>
      </c>
      <c r="K208" s="11" t="n">
        <v>311110</v>
      </c>
    </row>
    <row r="209" customFormat="false" ht="15" hidden="false" customHeight="true" outlineLevel="0" collapsed="false">
      <c r="A209" s="23" t="n">
        <v>44963</v>
      </c>
      <c r="B209" s="14" t="s">
        <v>312</v>
      </c>
      <c r="C209" s="14" t="s">
        <v>194</v>
      </c>
      <c r="D209" s="14" t="s">
        <v>175</v>
      </c>
      <c r="E209" s="9" t="n">
        <v>9453</v>
      </c>
      <c r="F209" s="9" t="n">
        <v>11411</v>
      </c>
      <c r="G209" s="12" t="n">
        <v>0.82</v>
      </c>
      <c r="H209" s="11" t="n">
        <v>20</v>
      </c>
      <c r="I209" s="11" t="n">
        <v>44</v>
      </c>
      <c r="J209" s="11" t="n">
        <v>120</v>
      </c>
      <c r="K209" s="11" t="n">
        <v>414498</v>
      </c>
    </row>
    <row r="210" customFormat="false" ht="15" hidden="false" customHeight="true" outlineLevel="0" collapsed="false">
      <c r="A210" s="23" t="n">
        <v>44961</v>
      </c>
      <c r="B210" s="14" t="s">
        <v>77</v>
      </c>
      <c r="C210" s="14" t="s">
        <v>78</v>
      </c>
      <c r="D210" s="14" t="s">
        <v>175</v>
      </c>
      <c r="E210" s="9" t="n">
        <v>5462</v>
      </c>
      <c r="F210" s="9" t="n">
        <v>6008</v>
      </c>
      <c r="G210" s="12" t="n">
        <v>0.9</v>
      </c>
      <c r="H210" s="11" t="n">
        <v>20</v>
      </c>
      <c r="I210" s="11" t="n">
        <v>45</v>
      </c>
      <c r="J210" s="11" t="n">
        <v>150</v>
      </c>
      <c r="K210" s="11" t="n">
        <v>245699</v>
      </c>
    </row>
    <row r="211" customFormat="false" ht="15" hidden="false" customHeight="true" outlineLevel="0" collapsed="false">
      <c r="A211" s="23" t="n">
        <v>44956</v>
      </c>
      <c r="B211" s="14" t="s">
        <v>210</v>
      </c>
      <c r="C211" s="14" t="s">
        <v>211</v>
      </c>
      <c r="D211" s="14" t="s">
        <v>175</v>
      </c>
      <c r="E211" s="9" t="n">
        <v>5734</v>
      </c>
      <c r="F211" s="9" t="n">
        <v>11992</v>
      </c>
      <c r="G211" s="12" t="n">
        <v>0.47</v>
      </c>
      <c r="H211" s="11" t="n">
        <v>24</v>
      </c>
      <c r="I211" s="11" t="n">
        <v>51</v>
      </c>
      <c r="J211" s="11" t="n">
        <v>114</v>
      </c>
      <c r="K211" s="11" t="n">
        <v>289938</v>
      </c>
    </row>
    <row r="212" customFormat="false" ht="15" hidden="false" customHeight="true" outlineLevel="0" collapsed="false">
      <c r="A212" s="23" t="n">
        <v>44949</v>
      </c>
      <c r="B212" s="14" t="s">
        <v>224</v>
      </c>
      <c r="C212" s="14" t="s">
        <v>225</v>
      </c>
      <c r="D212" s="14" t="s">
        <v>175</v>
      </c>
      <c r="E212" s="9" t="n">
        <v>13528</v>
      </c>
      <c r="F212" s="9" t="n">
        <v>13528</v>
      </c>
      <c r="G212" s="12" t="n">
        <v>1</v>
      </c>
      <c r="H212" s="11" t="n">
        <v>20</v>
      </c>
      <c r="I212" s="11" t="n">
        <v>87</v>
      </c>
      <c r="J212" s="11" t="n">
        <v>500</v>
      </c>
      <c r="K212" s="11" t="n">
        <v>1181835</v>
      </c>
    </row>
    <row r="213" customFormat="false" ht="15" hidden="false" customHeight="true" outlineLevel="0" collapsed="false">
      <c r="A213" s="23" t="n">
        <v>44946</v>
      </c>
      <c r="B213" s="14" t="s">
        <v>205</v>
      </c>
      <c r="C213" s="14" t="s">
        <v>206</v>
      </c>
      <c r="D213" s="14" t="s">
        <v>175</v>
      </c>
      <c r="E213" s="9" t="n">
        <v>13466</v>
      </c>
      <c r="F213" s="9" t="n">
        <v>14000</v>
      </c>
      <c r="G213" s="12" t="n">
        <v>0.96</v>
      </c>
      <c r="H213" s="11" t="n">
        <v>25</v>
      </c>
      <c r="I213" s="11" t="n">
        <v>46</v>
      </c>
      <c r="J213" s="11" t="n">
        <v>120</v>
      </c>
      <c r="K213" s="11" t="n">
        <v>625642</v>
      </c>
    </row>
    <row r="214" customFormat="false" ht="15" hidden="false" customHeight="true" outlineLevel="0" collapsed="false">
      <c r="A214" s="23" t="n">
        <v>44935</v>
      </c>
      <c r="B214" s="14" t="s">
        <v>326</v>
      </c>
      <c r="C214" s="14" t="s">
        <v>327</v>
      </c>
      <c r="D214" s="14" t="s">
        <v>175</v>
      </c>
      <c r="E214" s="9" t="n">
        <v>7094</v>
      </c>
      <c r="F214" s="9" t="n">
        <v>7136</v>
      </c>
      <c r="G214" s="12" t="n">
        <v>0.99</v>
      </c>
      <c r="H214" s="11" t="n">
        <v>20</v>
      </c>
      <c r="I214" s="11" t="n">
        <v>44</v>
      </c>
      <c r="J214" s="11" t="n">
        <v>110</v>
      </c>
      <c r="K214" s="11" t="n">
        <v>310592</v>
      </c>
    </row>
    <row r="215" customFormat="false" ht="15" hidden="false" customHeight="true" outlineLevel="0" collapsed="false">
      <c r="A215" s="23" t="n">
        <v>44932</v>
      </c>
      <c r="B215" s="14" t="s">
        <v>328</v>
      </c>
      <c r="C215" s="14" t="s">
        <v>329</v>
      </c>
      <c r="D215" s="14" t="s">
        <v>175</v>
      </c>
      <c r="E215" s="9" t="n">
        <v>9083</v>
      </c>
      <c r="F215" s="9" t="n">
        <v>12619</v>
      </c>
      <c r="G215" s="12" t="n">
        <v>0.71</v>
      </c>
      <c r="H215" s="11" t="n">
        <v>20</v>
      </c>
      <c r="I215" s="11" t="n">
        <v>48</v>
      </c>
      <c r="J215" s="11" t="n">
        <v>115</v>
      </c>
      <c r="K215" s="11" t="n">
        <v>437038</v>
      </c>
    </row>
    <row r="216" customFormat="false" ht="15" hidden="false" customHeight="true" outlineLevel="0" collapsed="false">
      <c r="A216" s="23" t="n">
        <v>44928</v>
      </c>
      <c r="B216" s="14" t="s">
        <v>81</v>
      </c>
      <c r="C216" s="14" t="s">
        <v>82</v>
      </c>
      <c r="D216" s="14" t="s">
        <v>175</v>
      </c>
      <c r="E216" s="9" t="n">
        <v>9762</v>
      </c>
      <c r="F216" s="9" t="n">
        <v>10452</v>
      </c>
      <c r="G216" s="12" t="n">
        <v>0.93</v>
      </c>
      <c r="H216" s="11" t="n">
        <v>25</v>
      </c>
      <c r="I216" s="11" t="n">
        <v>46</v>
      </c>
      <c r="J216" s="11" t="n">
        <v>137</v>
      </c>
      <c r="K216" s="11" t="n">
        <v>448873</v>
      </c>
    </row>
    <row r="217" customFormat="false" ht="15" hidden="false" customHeight="true" outlineLevel="0" collapsed="false">
      <c r="A217" s="23" t="n">
        <v>44925</v>
      </c>
      <c r="B217" s="14" t="s">
        <v>235</v>
      </c>
      <c r="C217" s="14" t="s">
        <v>236</v>
      </c>
      <c r="D217" s="14" t="s">
        <v>175</v>
      </c>
      <c r="E217" s="9" t="n">
        <v>12188</v>
      </c>
      <c r="F217" s="9" t="n">
        <v>12188</v>
      </c>
      <c r="G217" s="12" t="n">
        <v>1</v>
      </c>
      <c r="H217" s="11" t="n">
        <v>20</v>
      </c>
      <c r="I217" s="11" t="n">
        <v>43</v>
      </c>
      <c r="J217" s="11" t="n">
        <v>120</v>
      </c>
      <c r="K217" s="11" t="n">
        <v>523526</v>
      </c>
    </row>
    <row r="218" customFormat="false" ht="15" hidden="false" customHeight="true" outlineLevel="0" collapsed="false">
      <c r="A218" s="23" t="n">
        <v>44925</v>
      </c>
      <c r="B218" s="14" t="s">
        <v>324</v>
      </c>
      <c r="C218" s="14" t="s">
        <v>325</v>
      </c>
      <c r="D218" s="14" t="s">
        <v>176</v>
      </c>
      <c r="E218" s="9" t="n">
        <v>7923</v>
      </c>
      <c r="F218" s="9" t="n">
        <v>7923</v>
      </c>
      <c r="G218" s="12" t="n">
        <v>1</v>
      </c>
      <c r="H218" s="11" t="n">
        <v>18</v>
      </c>
      <c r="I218" s="11" t="n">
        <v>48</v>
      </c>
      <c r="J218" s="11" t="n">
        <v>111</v>
      </c>
      <c r="K218" s="11" t="n">
        <v>377887</v>
      </c>
    </row>
    <row r="219" customFormat="false" ht="15" hidden="false" customHeight="true" outlineLevel="0" collapsed="false">
      <c r="A219" s="23" t="n">
        <v>44924</v>
      </c>
      <c r="B219" s="14" t="s">
        <v>330</v>
      </c>
      <c r="C219" s="14" t="s">
        <v>234</v>
      </c>
      <c r="D219" s="14" t="s">
        <v>175</v>
      </c>
      <c r="E219" s="9" t="n">
        <v>4998</v>
      </c>
      <c r="F219" s="9" t="n">
        <v>4998</v>
      </c>
      <c r="G219" s="12" t="n">
        <v>1</v>
      </c>
      <c r="H219" s="11" t="n">
        <v>20</v>
      </c>
      <c r="I219" s="11" t="n">
        <v>50</v>
      </c>
      <c r="J219" s="11" t="n">
        <v>135</v>
      </c>
      <c r="K219" s="11" t="n">
        <v>249016</v>
      </c>
    </row>
    <row r="220" customFormat="false" ht="15" hidden="false" customHeight="true" outlineLevel="0" collapsed="false">
      <c r="A220" s="23" t="n">
        <v>44923</v>
      </c>
      <c r="B220" s="14" t="s">
        <v>252</v>
      </c>
      <c r="C220" s="14" t="s">
        <v>133</v>
      </c>
      <c r="D220" s="14" t="s">
        <v>175</v>
      </c>
      <c r="E220" s="9" t="n">
        <v>4901</v>
      </c>
      <c r="F220" s="9" t="n">
        <v>6302</v>
      </c>
      <c r="G220" s="12" t="n">
        <v>0.77</v>
      </c>
      <c r="H220" s="11" t="n">
        <v>20</v>
      </c>
      <c r="I220" s="11" t="n">
        <v>58</v>
      </c>
      <c r="J220" s="11" t="n">
        <v>120</v>
      </c>
      <c r="K220" s="11" t="n">
        <v>283450</v>
      </c>
    </row>
    <row r="221" customFormat="false" ht="15" hidden="false" customHeight="true" outlineLevel="0" collapsed="false">
      <c r="A221" s="23" t="n">
        <v>44922</v>
      </c>
      <c r="B221" s="14" t="s">
        <v>75</v>
      </c>
      <c r="C221" s="14" t="s">
        <v>76</v>
      </c>
      <c r="D221" s="14" t="s">
        <v>175</v>
      </c>
      <c r="E221" s="9" t="n">
        <v>8020</v>
      </c>
      <c r="F221" s="9" t="n">
        <v>12413</v>
      </c>
      <c r="G221" s="12" t="n">
        <v>0.64</v>
      </c>
      <c r="H221" s="11" t="n">
        <v>20</v>
      </c>
      <c r="I221" s="11" t="n">
        <v>50</v>
      </c>
      <c r="J221" s="11" t="n">
        <v>125</v>
      </c>
      <c r="K221" s="11" t="n">
        <v>401255</v>
      </c>
    </row>
    <row r="222" customFormat="false" ht="15" hidden="false" customHeight="true" outlineLevel="0" collapsed="false">
      <c r="A222" s="23" t="n">
        <v>44921</v>
      </c>
      <c r="B222" s="14" t="s">
        <v>187</v>
      </c>
      <c r="C222" s="14" t="s">
        <v>188</v>
      </c>
      <c r="D222" s="14" t="s">
        <v>175</v>
      </c>
      <c r="E222" s="9" t="n">
        <v>11080</v>
      </c>
      <c r="F222" s="9" t="n">
        <v>13357</v>
      </c>
      <c r="G222" s="12" t="n">
        <v>0.82</v>
      </c>
      <c r="H222" s="11" t="n">
        <v>26</v>
      </c>
      <c r="I222" s="11" t="n">
        <v>65</v>
      </c>
      <c r="J222" s="11" t="n">
        <v>206</v>
      </c>
      <c r="K222" s="11" t="n">
        <v>723239</v>
      </c>
    </row>
    <row r="223" customFormat="false" ht="15" hidden="false" customHeight="true" outlineLevel="0" collapsed="false">
      <c r="A223" s="23" t="n">
        <v>44912</v>
      </c>
      <c r="B223" s="14" t="s">
        <v>293</v>
      </c>
      <c r="C223" s="14" t="s">
        <v>294</v>
      </c>
      <c r="D223" s="14" t="s">
        <v>175</v>
      </c>
      <c r="E223" s="9" t="n">
        <v>3137</v>
      </c>
      <c r="F223" s="9" t="n">
        <v>4297</v>
      </c>
      <c r="G223" s="12" t="n">
        <v>0.73</v>
      </c>
      <c r="H223" s="11" t="n">
        <v>20</v>
      </c>
      <c r="I223" s="11" t="n">
        <v>44</v>
      </c>
      <c r="J223" s="11" t="n">
        <v>115</v>
      </c>
      <c r="K223" s="11" t="n">
        <v>136750</v>
      </c>
    </row>
    <row r="224" customFormat="false" ht="15" hidden="false" customHeight="true" outlineLevel="0" collapsed="false">
      <c r="A224" s="23" t="n">
        <v>44911</v>
      </c>
      <c r="B224" s="14" t="s">
        <v>201</v>
      </c>
      <c r="C224" s="14" t="s">
        <v>202</v>
      </c>
      <c r="D224" s="14" t="s">
        <v>175</v>
      </c>
      <c r="E224" s="9" t="n">
        <v>12503</v>
      </c>
      <c r="F224" s="9" t="n">
        <v>12503</v>
      </c>
      <c r="G224" s="12" t="n">
        <v>1</v>
      </c>
      <c r="H224" s="11" t="n">
        <v>20</v>
      </c>
      <c r="I224" s="11" t="n">
        <v>48</v>
      </c>
      <c r="J224" s="11" t="n">
        <v>150</v>
      </c>
      <c r="K224" s="11" t="n">
        <v>603074</v>
      </c>
    </row>
    <row r="225" customFormat="false" ht="15" hidden="false" customHeight="true" outlineLevel="0" collapsed="false">
      <c r="A225" s="23" t="n">
        <v>44907</v>
      </c>
      <c r="B225" s="14" t="s">
        <v>199</v>
      </c>
      <c r="C225" s="14" t="s">
        <v>200</v>
      </c>
      <c r="D225" s="14" t="s">
        <v>175</v>
      </c>
      <c r="E225" s="9" t="n">
        <v>5964</v>
      </c>
      <c r="F225" s="9" t="n">
        <v>11007</v>
      </c>
      <c r="G225" s="12" t="n">
        <v>0.54</v>
      </c>
      <c r="H225" s="11" t="n">
        <v>30</v>
      </c>
      <c r="I225" s="11" t="n">
        <v>48</v>
      </c>
      <c r="J225" s="11" t="n">
        <v>125</v>
      </c>
      <c r="K225" s="11" t="n">
        <v>285980</v>
      </c>
    </row>
    <row r="226" customFormat="false" ht="15" hidden="false" customHeight="true" outlineLevel="0" collapsed="false">
      <c r="A226" s="23" t="n">
        <v>44906</v>
      </c>
      <c r="B226" s="14" t="s">
        <v>315</v>
      </c>
      <c r="C226" s="14" t="s">
        <v>316</v>
      </c>
      <c r="D226" s="14" t="s">
        <v>175</v>
      </c>
      <c r="E226" s="9" t="n">
        <v>2818</v>
      </c>
      <c r="F226" s="9" t="n">
        <v>9155</v>
      </c>
      <c r="G226" s="12" t="n">
        <v>0.3</v>
      </c>
      <c r="H226" s="11" t="n">
        <v>20</v>
      </c>
      <c r="I226" s="11" t="n">
        <v>48</v>
      </c>
      <c r="J226" s="11" t="n">
        <v>110</v>
      </c>
      <c r="K226" s="11" t="n">
        <v>135136</v>
      </c>
    </row>
    <row r="227" customFormat="false" ht="15" hidden="false" customHeight="true" outlineLevel="0" collapsed="false">
      <c r="A227" s="23" t="n">
        <v>44904</v>
      </c>
      <c r="B227" s="14" t="s">
        <v>268</v>
      </c>
      <c r="C227" s="14" t="s">
        <v>269</v>
      </c>
      <c r="D227" s="14" t="s">
        <v>175</v>
      </c>
      <c r="E227" s="9" t="n">
        <v>6531</v>
      </c>
      <c r="F227" s="9" t="n">
        <v>13164</v>
      </c>
      <c r="G227" s="12" t="n">
        <v>0.49</v>
      </c>
      <c r="H227" s="11" t="n">
        <v>20</v>
      </c>
      <c r="I227" s="11" t="n">
        <v>59</v>
      </c>
      <c r="J227" s="11" t="n">
        <v>120</v>
      </c>
      <c r="K227" s="11" t="n">
        <v>382824</v>
      </c>
    </row>
    <row r="228" customFormat="false" ht="15" hidden="false" customHeight="true" outlineLevel="0" collapsed="false">
      <c r="A228" s="23" t="n">
        <v>44900</v>
      </c>
      <c r="B228" s="14" t="s">
        <v>179</v>
      </c>
      <c r="C228" s="14" t="s">
        <v>180</v>
      </c>
      <c r="D228" s="14" t="s">
        <v>175</v>
      </c>
      <c r="E228" s="9" t="n">
        <v>6881</v>
      </c>
      <c r="F228" s="9" t="n">
        <v>12762</v>
      </c>
      <c r="G228" s="12" t="n">
        <v>0.53</v>
      </c>
      <c r="H228" s="11" t="n">
        <v>20</v>
      </c>
      <c r="I228" s="11" t="n">
        <v>66</v>
      </c>
      <c r="J228" s="11" t="n">
        <v>125</v>
      </c>
      <c r="K228" s="11" t="n">
        <v>454348</v>
      </c>
    </row>
    <row r="229" customFormat="false" ht="15" hidden="false" customHeight="true" outlineLevel="0" collapsed="false">
      <c r="A229" s="23" t="n">
        <v>44891</v>
      </c>
      <c r="B229" s="14" t="s">
        <v>68</v>
      </c>
      <c r="C229" s="14" t="s">
        <v>69</v>
      </c>
      <c r="D229" s="14" t="s">
        <v>175</v>
      </c>
      <c r="E229" s="9" t="n">
        <v>12375</v>
      </c>
      <c r="F229" s="9" t="n">
        <v>12887</v>
      </c>
      <c r="G229" s="12" t="n">
        <v>0.96</v>
      </c>
      <c r="H229" s="11" t="n">
        <v>20</v>
      </c>
      <c r="I229" s="11" t="n">
        <v>127</v>
      </c>
      <c r="J229" s="11" t="n">
        <v>600</v>
      </c>
      <c r="K229" s="11" t="n">
        <v>1574882</v>
      </c>
    </row>
    <row r="230" customFormat="false" ht="15" hidden="false" customHeight="true" outlineLevel="0" collapsed="false">
      <c r="A230" s="23" t="n">
        <v>44884</v>
      </c>
      <c r="B230" s="14" t="s">
        <v>295</v>
      </c>
      <c r="C230" s="14" t="s">
        <v>296</v>
      </c>
      <c r="D230" s="14" t="s">
        <v>175</v>
      </c>
      <c r="E230" s="9" t="n">
        <v>3619</v>
      </c>
      <c r="F230" s="9" t="n">
        <v>6541</v>
      </c>
      <c r="G230" s="12" t="n">
        <v>0.55</v>
      </c>
      <c r="H230" s="11" t="n">
        <v>20</v>
      </c>
      <c r="I230" s="11" t="n">
        <v>52</v>
      </c>
      <c r="J230" s="11" t="n">
        <v>105</v>
      </c>
      <c r="K230" s="11" t="n">
        <v>186558</v>
      </c>
    </row>
    <row r="231" customFormat="false" ht="15" hidden="false" customHeight="true" outlineLevel="0" collapsed="false">
      <c r="A231" s="23" t="n">
        <v>44879</v>
      </c>
      <c r="B231" s="14" t="s">
        <v>331</v>
      </c>
      <c r="C231" s="14" t="s">
        <v>332</v>
      </c>
      <c r="D231" s="14" t="s">
        <v>175</v>
      </c>
      <c r="E231" s="9" t="n">
        <v>7807</v>
      </c>
      <c r="F231" s="9" t="n">
        <v>14875</v>
      </c>
      <c r="G231" s="12" t="n">
        <v>0.52</v>
      </c>
      <c r="H231" s="11" t="n">
        <v>20</v>
      </c>
      <c r="I231" s="11" t="n">
        <v>39</v>
      </c>
      <c r="J231" s="11" t="n">
        <v>120</v>
      </c>
      <c r="K231" s="11" t="n">
        <v>303142</v>
      </c>
    </row>
    <row r="232" customFormat="false" ht="15" hidden="false" customHeight="true" outlineLevel="0" collapsed="false">
      <c r="A232" s="23" t="n">
        <v>44877</v>
      </c>
      <c r="B232" s="14" t="s">
        <v>297</v>
      </c>
      <c r="C232" s="14" t="s">
        <v>298</v>
      </c>
      <c r="D232" s="14" t="s">
        <v>175</v>
      </c>
      <c r="E232" s="9" t="n">
        <v>3943</v>
      </c>
      <c r="F232" s="9" t="n">
        <v>7888</v>
      </c>
      <c r="G232" s="12" t="n">
        <v>0.49</v>
      </c>
      <c r="H232" s="11" t="n">
        <v>20</v>
      </c>
      <c r="I232" s="11" t="n">
        <v>57</v>
      </c>
      <c r="J232" s="11" t="n">
        <v>115</v>
      </c>
      <c r="K232" s="11" t="n">
        <v>225898</v>
      </c>
    </row>
    <row r="233" customFormat="false" ht="15" hidden="false" customHeight="true" outlineLevel="0" collapsed="false">
      <c r="A233" s="23" t="n">
        <v>44876</v>
      </c>
      <c r="B233" s="14" t="s">
        <v>195</v>
      </c>
      <c r="C233" s="14" t="s">
        <v>196</v>
      </c>
      <c r="D233" s="14" t="s">
        <v>175</v>
      </c>
      <c r="E233" s="9" t="n">
        <v>8395</v>
      </c>
      <c r="F233" s="9" t="n">
        <v>10000</v>
      </c>
      <c r="G233" s="12" t="n">
        <v>0.83</v>
      </c>
      <c r="H233" s="11" t="n">
        <v>24</v>
      </c>
      <c r="I233" s="11" t="n">
        <v>50</v>
      </c>
      <c r="J233" s="11" t="n">
        <v>119</v>
      </c>
      <c r="K233" s="11" t="n">
        <v>420767</v>
      </c>
    </row>
    <row r="234" customFormat="false" ht="15" hidden="false" customHeight="true" outlineLevel="0" collapsed="false">
      <c r="A234" s="23" t="n">
        <v>44865</v>
      </c>
      <c r="B234" s="14" t="s">
        <v>72</v>
      </c>
      <c r="C234" s="14" t="s">
        <v>73</v>
      </c>
      <c r="D234" s="14" t="s">
        <v>175</v>
      </c>
      <c r="E234" s="9" t="n">
        <v>7536</v>
      </c>
      <c r="F234" s="9" t="n">
        <v>12241</v>
      </c>
      <c r="G234" s="12" t="n">
        <v>0.61</v>
      </c>
      <c r="H234" s="11" t="n">
        <v>26</v>
      </c>
      <c r="I234" s="11" t="n">
        <v>61</v>
      </c>
      <c r="J234" s="11" t="n">
        <v>126</v>
      </c>
      <c r="K234" s="11" t="n">
        <v>457457</v>
      </c>
    </row>
    <row r="235" customFormat="false" ht="15" hidden="false" customHeight="true" outlineLevel="0" collapsed="false">
      <c r="A235" s="23" t="n">
        <v>44855</v>
      </c>
      <c r="B235" s="14" t="s">
        <v>197</v>
      </c>
      <c r="C235" s="14" t="s">
        <v>198</v>
      </c>
      <c r="D235" s="14" t="s">
        <v>175</v>
      </c>
      <c r="E235" s="9" t="n">
        <v>6362</v>
      </c>
      <c r="F235" s="9" t="n">
        <v>6362</v>
      </c>
      <c r="G235" s="12" t="n">
        <v>1</v>
      </c>
      <c r="H235" s="11" t="n">
        <v>20</v>
      </c>
      <c r="I235" s="11" t="n">
        <v>46</v>
      </c>
      <c r="J235" s="11" t="n">
        <v>115</v>
      </c>
      <c r="K235" s="11" t="n">
        <v>292845</v>
      </c>
    </row>
    <row r="236" customFormat="false" ht="15" hidden="false" customHeight="true" outlineLevel="0" collapsed="false">
      <c r="A236" s="23" t="n">
        <v>44851</v>
      </c>
      <c r="B236" s="14" t="s">
        <v>185</v>
      </c>
      <c r="C236" s="14" t="s">
        <v>186</v>
      </c>
      <c r="D236" s="14" t="s">
        <v>175</v>
      </c>
      <c r="E236" s="9" t="n">
        <v>5777</v>
      </c>
      <c r="F236" s="9" t="n">
        <v>11222</v>
      </c>
      <c r="G236" s="12" t="n">
        <v>0.51</v>
      </c>
      <c r="H236" s="11" t="n">
        <v>20</v>
      </c>
      <c r="I236" s="11" t="n">
        <v>45</v>
      </c>
      <c r="J236" s="11" t="n">
        <v>105</v>
      </c>
      <c r="K236" s="11" t="n">
        <v>258165</v>
      </c>
    </row>
    <row r="237" customFormat="false" ht="15" hidden="false" customHeight="true" outlineLevel="0" collapsed="false">
      <c r="A237" s="23" t="n">
        <v>44849</v>
      </c>
      <c r="B237" s="14" t="s">
        <v>232</v>
      </c>
      <c r="C237" s="14" t="s">
        <v>130</v>
      </c>
      <c r="D237" s="14" t="s">
        <v>175</v>
      </c>
      <c r="E237" s="9" t="n">
        <v>4575</v>
      </c>
      <c r="F237" s="9" t="n">
        <v>6425</v>
      </c>
      <c r="G237" s="12" t="n">
        <v>0.71</v>
      </c>
      <c r="H237" s="11" t="n">
        <v>20</v>
      </c>
      <c r="I237" s="11" t="n">
        <v>60</v>
      </c>
      <c r="J237" s="11" t="n">
        <v>550</v>
      </c>
      <c r="K237" s="11" t="n">
        <v>275730</v>
      </c>
    </row>
    <row r="238" customFormat="false" ht="15" hidden="false" customHeight="true" outlineLevel="0" collapsed="false">
      <c r="A238" s="23" t="n">
        <v>44844</v>
      </c>
      <c r="B238" s="14" t="s">
        <v>145</v>
      </c>
      <c r="C238" s="14" t="s">
        <v>146</v>
      </c>
      <c r="D238" s="14" t="s">
        <v>175</v>
      </c>
      <c r="E238" s="9" t="n">
        <v>12010</v>
      </c>
      <c r="F238" s="9" t="n">
        <v>12010</v>
      </c>
      <c r="G238" s="12" t="n">
        <v>1</v>
      </c>
      <c r="H238" s="11" t="n">
        <v>20</v>
      </c>
      <c r="I238" s="11" t="n">
        <v>52</v>
      </c>
      <c r="J238" s="11" t="n">
        <v>150</v>
      </c>
      <c r="K238" s="11" t="n">
        <v>621834</v>
      </c>
    </row>
    <row r="239" customFormat="false" ht="15" hidden="false" customHeight="true" outlineLevel="0" collapsed="false">
      <c r="A239" s="23" t="n">
        <v>44842</v>
      </c>
      <c r="B239" s="14" t="s">
        <v>224</v>
      </c>
      <c r="C239" s="14" t="s">
        <v>225</v>
      </c>
      <c r="D239" s="14" t="s">
        <v>175</v>
      </c>
      <c r="E239" s="9" t="n">
        <v>12136</v>
      </c>
      <c r="F239" s="9" t="n">
        <v>12136</v>
      </c>
      <c r="G239" s="12" t="n">
        <v>1</v>
      </c>
      <c r="H239" s="11" t="n">
        <v>25</v>
      </c>
      <c r="I239" s="11" t="n">
        <v>91</v>
      </c>
      <c r="J239" s="11" t="n">
        <v>600</v>
      </c>
      <c r="K239" s="11" t="n">
        <v>1109760</v>
      </c>
    </row>
    <row r="240" customFormat="false" ht="15" hidden="false" customHeight="true" outlineLevel="0" collapsed="false">
      <c r="A240" s="23" t="n">
        <v>44837</v>
      </c>
      <c r="B240" s="14" t="s">
        <v>253</v>
      </c>
      <c r="C240" s="14" t="s">
        <v>254</v>
      </c>
      <c r="D240" s="14" t="s">
        <v>175</v>
      </c>
      <c r="E240" s="9" t="n">
        <v>7029</v>
      </c>
      <c r="F240" s="9" t="n">
        <v>14118</v>
      </c>
      <c r="G240" s="12" t="n">
        <v>0.49</v>
      </c>
      <c r="H240" s="11" t="n">
        <v>20</v>
      </c>
      <c r="I240" s="11" t="n">
        <v>40</v>
      </c>
      <c r="J240" s="11" t="n">
        <v>120</v>
      </c>
      <c r="K240" s="11" t="n">
        <v>282485</v>
      </c>
    </row>
    <row r="241" customFormat="false" ht="15" hidden="false" customHeight="true" outlineLevel="0" collapsed="false">
      <c r="A241" s="23" t="n">
        <v>44836</v>
      </c>
      <c r="B241" s="14" t="s">
        <v>333</v>
      </c>
      <c r="C241" s="14" t="s">
        <v>334</v>
      </c>
      <c r="D241" s="14" t="s">
        <v>176</v>
      </c>
      <c r="E241" s="9" t="n">
        <v>2929</v>
      </c>
      <c r="F241" s="9" t="n">
        <v>6000</v>
      </c>
      <c r="G241" s="12" t="n">
        <v>0.48</v>
      </c>
      <c r="H241" s="11" t="n">
        <v>15</v>
      </c>
      <c r="I241" s="11" t="n">
        <v>39</v>
      </c>
      <c r="J241" s="11" t="n">
        <v>87</v>
      </c>
      <c r="K241" s="11" t="n">
        <v>113971</v>
      </c>
    </row>
    <row r="242" customFormat="false" ht="15" hidden="false" customHeight="true" outlineLevel="0" collapsed="false">
      <c r="A242" s="23" t="n">
        <v>44834</v>
      </c>
      <c r="B242" s="14" t="s">
        <v>308</v>
      </c>
      <c r="C242" s="14" t="s">
        <v>309</v>
      </c>
      <c r="D242" s="14" t="s">
        <v>176</v>
      </c>
      <c r="E242" s="9" t="n">
        <v>9137</v>
      </c>
      <c r="F242" s="9" t="n">
        <v>10679</v>
      </c>
      <c r="G242" s="12" t="n">
        <v>0.85</v>
      </c>
      <c r="H242" s="11" t="n">
        <v>15</v>
      </c>
      <c r="I242" s="11" t="n">
        <v>34</v>
      </c>
      <c r="J242" s="11" t="n">
        <v>95</v>
      </c>
      <c r="K242" s="11" t="n">
        <v>309951</v>
      </c>
    </row>
    <row r="243" customFormat="false" ht="15" hidden="false" customHeight="true" outlineLevel="0" collapsed="false">
      <c r="A243" s="23" t="n">
        <v>44829</v>
      </c>
      <c r="B243" s="14" t="s">
        <v>278</v>
      </c>
      <c r="C243" s="14" t="s">
        <v>279</v>
      </c>
      <c r="D243" s="14" t="s">
        <v>175</v>
      </c>
      <c r="E243" s="9" t="n">
        <v>3924</v>
      </c>
      <c r="F243" s="9" t="n">
        <v>6218</v>
      </c>
      <c r="G243" s="12" t="n">
        <v>0.63</v>
      </c>
      <c r="H243" s="11" t="n">
        <v>15</v>
      </c>
      <c r="I243" s="11" t="n">
        <v>45</v>
      </c>
      <c r="J243" s="11" t="n">
        <v>100</v>
      </c>
      <c r="K243" s="11" t="n">
        <v>177495</v>
      </c>
    </row>
    <row r="244" customFormat="false" ht="15" hidden="false" customHeight="true" outlineLevel="0" collapsed="false">
      <c r="A244" s="23" t="n">
        <v>44823</v>
      </c>
      <c r="B244" s="14" t="s">
        <v>303</v>
      </c>
      <c r="C244" s="14" t="s">
        <v>190</v>
      </c>
      <c r="D244" s="14" t="s">
        <v>175</v>
      </c>
      <c r="E244" s="9" t="n">
        <v>6936</v>
      </c>
      <c r="F244" s="9" t="n">
        <v>12116</v>
      </c>
      <c r="G244" s="12" t="n">
        <v>0.57</v>
      </c>
      <c r="H244" s="11" t="n">
        <v>24</v>
      </c>
      <c r="I244" s="11" t="n">
        <v>49</v>
      </c>
      <c r="J244" s="11" t="n">
        <v>129</v>
      </c>
      <c r="K244" s="11" t="n">
        <v>338991</v>
      </c>
    </row>
    <row r="245" customFormat="false" ht="15" hidden="false" customHeight="true" outlineLevel="0" collapsed="false">
      <c r="A245" s="23" t="n">
        <v>44821</v>
      </c>
      <c r="B245" s="14" t="s">
        <v>272</v>
      </c>
      <c r="C245" s="14" t="s">
        <v>273</v>
      </c>
      <c r="D245" s="14" t="s">
        <v>175</v>
      </c>
      <c r="E245" s="9" t="n">
        <v>3846</v>
      </c>
      <c r="F245" s="9" t="n">
        <v>4060</v>
      </c>
      <c r="G245" s="12" t="n">
        <v>0.94</v>
      </c>
      <c r="H245" s="11" t="n">
        <v>15</v>
      </c>
      <c r="I245" s="11" t="n">
        <v>43</v>
      </c>
      <c r="J245" s="11" t="n">
        <v>95</v>
      </c>
      <c r="K245" s="11" t="n">
        <v>164010</v>
      </c>
    </row>
    <row r="246" customFormat="false" ht="15" hidden="false" customHeight="true" outlineLevel="0" collapsed="false">
      <c r="A246" s="23" t="n">
        <v>44820</v>
      </c>
      <c r="B246" s="14" t="s">
        <v>191</v>
      </c>
      <c r="C246" s="14" t="s">
        <v>192</v>
      </c>
      <c r="D246" s="14" t="s">
        <v>175</v>
      </c>
      <c r="E246" s="9" t="n">
        <v>8046</v>
      </c>
      <c r="F246" s="9" t="n">
        <v>13122</v>
      </c>
      <c r="G246" s="12" t="n">
        <v>0.61</v>
      </c>
      <c r="H246" s="11" t="n">
        <v>24</v>
      </c>
      <c r="I246" s="11" t="n">
        <v>51</v>
      </c>
      <c r="J246" s="11" t="n">
        <v>124</v>
      </c>
      <c r="K246" s="11" t="n">
        <v>407703</v>
      </c>
    </row>
    <row r="247" customFormat="false" ht="15" hidden="false" customHeight="true" outlineLevel="0" collapsed="false">
      <c r="A247" s="23" t="n">
        <v>44813</v>
      </c>
      <c r="B247" s="14" t="s">
        <v>222</v>
      </c>
      <c r="C247" s="14" t="s">
        <v>223</v>
      </c>
      <c r="D247" s="14" t="s">
        <v>175</v>
      </c>
      <c r="E247" s="9" t="n">
        <v>9565</v>
      </c>
      <c r="F247" s="9" t="n">
        <v>9777</v>
      </c>
      <c r="G247" s="12" t="n">
        <v>0.97</v>
      </c>
      <c r="H247" s="11" t="n">
        <v>25</v>
      </c>
      <c r="I247" s="11" t="n">
        <v>57</v>
      </c>
      <c r="J247" s="11" t="n">
        <v>130</v>
      </c>
      <c r="K247" s="11" t="n">
        <v>549625</v>
      </c>
    </row>
    <row r="248" customFormat="false" ht="15" hidden="false" customHeight="true" outlineLevel="0" collapsed="false">
      <c r="A248" s="23" t="n">
        <v>44802</v>
      </c>
      <c r="B248" s="14" t="s">
        <v>268</v>
      </c>
      <c r="C248" s="14" t="s">
        <v>269</v>
      </c>
      <c r="D248" s="14" t="s">
        <v>175</v>
      </c>
      <c r="E248" s="9" t="n">
        <v>6175</v>
      </c>
      <c r="F248" s="9" t="n">
        <v>13168</v>
      </c>
      <c r="G248" s="12" t="n">
        <v>0.46</v>
      </c>
      <c r="H248" s="11" t="n">
        <v>20</v>
      </c>
      <c r="I248" s="11" t="n">
        <v>53</v>
      </c>
      <c r="J248" s="11" t="n">
        <v>120</v>
      </c>
      <c r="K248" s="11" t="n">
        <v>327736</v>
      </c>
    </row>
    <row r="249" customFormat="false" ht="15" hidden="false" customHeight="true" outlineLevel="0" collapsed="false">
      <c r="A249" s="23" t="n">
        <v>44801</v>
      </c>
      <c r="B249" s="14" t="s">
        <v>270</v>
      </c>
      <c r="C249" s="14" t="s">
        <v>271</v>
      </c>
      <c r="D249" s="14" t="s">
        <v>175</v>
      </c>
      <c r="E249" s="9" t="n">
        <v>2679</v>
      </c>
      <c r="F249" s="9" t="n">
        <v>4000</v>
      </c>
      <c r="G249" s="12" t="n">
        <v>0.66</v>
      </c>
      <c r="H249" s="11" t="n">
        <v>25</v>
      </c>
      <c r="I249" s="11" t="n">
        <v>45</v>
      </c>
      <c r="J249" s="11" t="n">
        <v>115</v>
      </c>
      <c r="K249" s="11" t="n">
        <v>121001</v>
      </c>
    </row>
    <row r="250" customFormat="false" ht="15" hidden="false" customHeight="true" outlineLevel="0" collapsed="false">
      <c r="A250" s="23" t="n">
        <v>44800</v>
      </c>
      <c r="B250" s="14" t="s">
        <v>335</v>
      </c>
      <c r="C250" s="14" t="s">
        <v>336</v>
      </c>
      <c r="D250" s="14" t="s">
        <v>175</v>
      </c>
      <c r="E250" s="9" t="n">
        <v>4070</v>
      </c>
      <c r="F250" s="9" t="n">
        <v>5900</v>
      </c>
      <c r="G250" s="12" t="n">
        <v>0.68</v>
      </c>
      <c r="H250" s="11" t="n">
        <v>23</v>
      </c>
      <c r="I250" s="11" t="n">
        <v>47</v>
      </c>
      <c r="J250" s="11" t="n">
        <v>113</v>
      </c>
      <c r="K250" s="11" t="n">
        <v>190356</v>
      </c>
    </row>
    <row r="251" customFormat="false" ht="15" hidden="false" customHeight="true" outlineLevel="0" collapsed="false">
      <c r="A251" s="23" t="n">
        <v>44799</v>
      </c>
      <c r="B251" s="14" t="s">
        <v>205</v>
      </c>
      <c r="C251" s="14" t="s">
        <v>206</v>
      </c>
      <c r="D251" s="14" t="s">
        <v>175</v>
      </c>
      <c r="E251" s="9" t="n">
        <v>10478</v>
      </c>
      <c r="F251" s="9" t="n">
        <v>15000</v>
      </c>
      <c r="G251" s="12" t="n">
        <v>0.69</v>
      </c>
      <c r="H251" s="11" t="n">
        <v>25</v>
      </c>
      <c r="I251" s="11" t="n">
        <v>44</v>
      </c>
      <c r="J251" s="11" t="n">
        <v>130</v>
      </c>
      <c r="K251" s="11" t="n">
        <v>461314</v>
      </c>
    </row>
    <row r="252" customFormat="false" ht="15" hidden="false" customHeight="true" outlineLevel="0" collapsed="false">
      <c r="A252" s="23" t="n">
        <v>44795</v>
      </c>
      <c r="B252" s="14" t="s">
        <v>337</v>
      </c>
      <c r="C252" s="14" t="s">
        <v>325</v>
      </c>
      <c r="D252" s="14" t="s">
        <v>176</v>
      </c>
      <c r="E252" s="9" t="n">
        <v>14063</v>
      </c>
      <c r="F252" s="9" t="n">
        <v>14063</v>
      </c>
      <c r="G252" s="12" t="n">
        <v>1</v>
      </c>
      <c r="H252" s="11" t="n">
        <v>23</v>
      </c>
      <c r="I252" s="11" t="n">
        <v>57</v>
      </c>
      <c r="J252" s="11" t="n">
        <v>156</v>
      </c>
      <c r="K252" s="11" t="n">
        <v>806727</v>
      </c>
    </row>
    <row r="253" customFormat="false" ht="15" hidden="false" customHeight="true" outlineLevel="0" collapsed="false">
      <c r="A253" s="23" t="n">
        <v>44794</v>
      </c>
      <c r="B253" s="14" t="s">
        <v>203</v>
      </c>
      <c r="C253" s="14" t="s">
        <v>204</v>
      </c>
      <c r="D253" s="14" t="s">
        <v>176</v>
      </c>
      <c r="E253" s="9" t="n">
        <v>5535</v>
      </c>
      <c r="F253" s="9" t="n">
        <v>7237</v>
      </c>
      <c r="G253" s="12" t="n">
        <v>0.76</v>
      </c>
      <c r="H253" s="11" t="n">
        <v>18</v>
      </c>
      <c r="I253" s="11" t="n">
        <v>35</v>
      </c>
      <c r="J253" s="11" t="n">
        <v>98</v>
      </c>
      <c r="K253" s="11" t="n">
        <v>193909</v>
      </c>
    </row>
    <row r="254" customFormat="false" ht="15" hidden="false" customHeight="true" outlineLevel="0" collapsed="false">
      <c r="A254" s="23" t="n">
        <v>44773</v>
      </c>
      <c r="B254" s="14" t="s">
        <v>338</v>
      </c>
      <c r="C254" s="14" t="s">
        <v>82</v>
      </c>
      <c r="D254" s="14" t="s">
        <v>175</v>
      </c>
      <c r="E254" s="9" t="n">
        <v>41708</v>
      </c>
      <c r="F254" s="9" t="n">
        <v>46679</v>
      </c>
      <c r="G254" s="12" t="n">
        <v>0.89</v>
      </c>
      <c r="H254" s="11" t="n">
        <v>20</v>
      </c>
      <c r="I254" s="11" t="n">
        <v>115</v>
      </c>
      <c r="J254" s="11" t="n">
        <v>750</v>
      </c>
      <c r="K254" s="11" t="n">
        <v>4797538</v>
      </c>
    </row>
    <row r="255" customFormat="false" ht="15" hidden="false" customHeight="true" outlineLevel="0" collapsed="false">
      <c r="A255" s="23" t="n">
        <v>44771</v>
      </c>
      <c r="B255" s="14" t="s">
        <v>75</v>
      </c>
      <c r="C255" s="14" t="s">
        <v>76</v>
      </c>
      <c r="D255" s="14" t="s">
        <v>175</v>
      </c>
      <c r="E255" s="9" t="n">
        <v>9572</v>
      </c>
      <c r="F255" s="9" t="n">
        <v>10504</v>
      </c>
      <c r="G255" s="12" t="n">
        <v>0.91</v>
      </c>
      <c r="H255" s="11" t="n">
        <v>20</v>
      </c>
      <c r="I255" s="11" t="n">
        <v>42</v>
      </c>
      <c r="J255" s="11" t="n">
        <v>120</v>
      </c>
      <c r="K255" s="11" t="n">
        <v>406158</v>
      </c>
    </row>
    <row r="256" customFormat="false" ht="15" hidden="false" customHeight="true" outlineLevel="0" collapsed="false">
      <c r="A256" s="23" t="n">
        <v>44767</v>
      </c>
      <c r="B256" s="14" t="s">
        <v>187</v>
      </c>
      <c r="C256" s="14" t="s">
        <v>188</v>
      </c>
      <c r="D256" s="14" t="s">
        <v>175</v>
      </c>
      <c r="E256" s="9" t="n">
        <v>13075</v>
      </c>
      <c r="F256" s="9" t="n">
        <v>13075</v>
      </c>
      <c r="G256" s="12" t="n">
        <v>1</v>
      </c>
      <c r="H256" s="11" t="n">
        <v>31</v>
      </c>
      <c r="I256" s="11" t="n">
        <v>76</v>
      </c>
      <c r="J256" s="11" t="n">
        <v>356</v>
      </c>
      <c r="K256" s="11" t="n">
        <v>987371</v>
      </c>
    </row>
    <row r="257" customFormat="false" ht="15" hidden="false" customHeight="true" outlineLevel="0" collapsed="false">
      <c r="A257" s="23" t="n">
        <v>44764</v>
      </c>
      <c r="B257" s="14" t="s">
        <v>68</v>
      </c>
      <c r="C257" s="14" t="s">
        <v>69</v>
      </c>
      <c r="D257" s="14" t="s">
        <v>175</v>
      </c>
      <c r="E257" s="9" t="n">
        <v>6947</v>
      </c>
      <c r="F257" s="9" t="n">
        <v>13106</v>
      </c>
      <c r="G257" s="12" t="n">
        <v>0.53</v>
      </c>
      <c r="H257" s="11" t="n">
        <v>20</v>
      </c>
      <c r="I257" s="11" t="n">
        <v>71</v>
      </c>
      <c r="J257" s="11" t="n">
        <v>150</v>
      </c>
      <c r="K257" s="11" t="n">
        <v>493976</v>
      </c>
    </row>
    <row r="258" customFormat="false" ht="15" hidden="false" customHeight="true" outlineLevel="0" collapsed="false">
      <c r="A258" s="23" t="n">
        <v>44760</v>
      </c>
      <c r="B258" s="14" t="s">
        <v>235</v>
      </c>
      <c r="C258" s="14" t="s">
        <v>236</v>
      </c>
      <c r="D258" s="14" t="s">
        <v>175</v>
      </c>
      <c r="E258" s="9" t="n">
        <v>7760</v>
      </c>
      <c r="F258" s="9" t="n">
        <v>8050</v>
      </c>
      <c r="G258" s="12" t="n">
        <v>0.96</v>
      </c>
      <c r="H258" s="11" t="n">
        <v>20</v>
      </c>
      <c r="I258" s="11" t="n">
        <v>48</v>
      </c>
      <c r="J258" s="11" t="n">
        <v>120</v>
      </c>
      <c r="K258" s="11" t="n">
        <v>373673</v>
      </c>
    </row>
    <row r="259" customFormat="false" ht="15" hidden="false" customHeight="true" outlineLevel="0" collapsed="false">
      <c r="A259" s="23" t="n">
        <v>44759</v>
      </c>
      <c r="B259" s="14" t="s">
        <v>339</v>
      </c>
      <c r="C259" s="14" t="s">
        <v>249</v>
      </c>
      <c r="D259" s="14" t="s">
        <v>175</v>
      </c>
      <c r="E259" s="9" t="n">
        <v>3100</v>
      </c>
      <c r="F259" s="9" t="n">
        <v>7349</v>
      </c>
      <c r="G259" s="12" t="n">
        <v>0.42</v>
      </c>
      <c r="H259" s="11" t="n">
        <v>25</v>
      </c>
      <c r="I259" s="11" t="n">
        <v>51</v>
      </c>
      <c r="J259" s="11" t="n">
        <v>125</v>
      </c>
      <c r="K259" s="11" t="n">
        <v>158758</v>
      </c>
    </row>
    <row r="260" customFormat="false" ht="15" hidden="false" customHeight="true" outlineLevel="0" collapsed="false">
      <c r="A260" s="23" t="n">
        <v>44758</v>
      </c>
      <c r="B260" s="14" t="s">
        <v>250</v>
      </c>
      <c r="C260" s="14" t="s">
        <v>251</v>
      </c>
      <c r="D260" s="14" t="s">
        <v>175</v>
      </c>
      <c r="E260" s="9" t="n">
        <v>3230</v>
      </c>
      <c r="F260" s="9" t="n">
        <v>6016</v>
      </c>
      <c r="G260" s="12" t="n">
        <v>0.53</v>
      </c>
      <c r="H260" s="11" t="n">
        <v>20</v>
      </c>
      <c r="I260" s="11" t="n">
        <v>47</v>
      </c>
      <c r="J260" s="11" t="n">
        <v>120</v>
      </c>
      <c r="K260" s="11" t="n">
        <v>152244</v>
      </c>
    </row>
    <row r="261" customFormat="false" ht="15" hidden="false" customHeight="true" outlineLevel="0" collapsed="false">
      <c r="A261" s="23" t="n">
        <v>44757</v>
      </c>
      <c r="B261" s="14" t="s">
        <v>312</v>
      </c>
      <c r="C261" s="14" t="s">
        <v>194</v>
      </c>
      <c r="D261" s="14" t="s">
        <v>175</v>
      </c>
      <c r="E261" s="9" t="n">
        <v>7231</v>
      </c>
      <c r="F261" s="9" t="n">
        <v>12700</v>
      </c>
      <c r="G261" s="12" t="n">
        <v>0.56</v>
      </c>
      <c r="H261" s="11" t="n">
        <v>15</v>
      </c>
      <c r="I261" s="11" t="n">
        <v>48</v>
      </c>
      <c r="J261" s="11" t="n">
        <v>120</v>
      </c>
      <c r="K261" s="11" t="n">
        <v>350198</v>
      </c>
    </row>
    <row r="262" customFormat="false" ht="15" hidden="false" customHeight="true" outlineLevel="0" collapsed="false">
      <c r="A262" s="23" t="n">
        <v>44751</v>
      </c>
      <c r="B262" s="14" t="s">
        <v>220</v>
      </c>
      <c r="C262" s="14" t="s">
        <v>221</v>
      </c>
      <c r="D262" s="14" t="s">
        <v>175</v>
      </c>
      <c r="E262" s="9" t="n">
        <v>7272</v>
      </c>
      <c r="F262" s="9" t="n">
        <v>12592</v>
      </c>
      <c r="G262" s="12" t="n">
        <v>0.57</v>
      </c>
      <c r="H262" s="11" t="n">
        <v>20</v>
      </c>
      <c r="I262" s="11" t="n">
        <v>49</v>
      </c>
      <c r="J262" s="11" t="n">
        <v>120</v>
      </c>
      <c r="K262" s="11" t="n">
        <v>357577</v>
      </c>
    </row>
    <row r="263" customFormat="false" ht="15" hidden="false" customHeight="true" outlineLevel="0" collapsed="false">
      <c r="A263" s="23" t="n">
        <v>44750</v>
      </c>
      <c r="B263" s="14" t="s">
        <v>216</v>
      </c>
      <c r="C263" s="14" t="s">
        <v>217</v>
      </c>
      <c r="D263" s="14" t="s">
        <v>175</v>
      </c>
      <c r="E263" s="9" t="n">
        <v>8983</v>
      </c>
      <c r="F263" s="9" t="n">
        <v>11018</v>
      </c>
      <c r="G263" s="12" t="n">
        <v>0.81</v>
      </c>
      <c r="H263" s="11" t="n">
        <v>24</v>
      </c>
      <c r="I263" s="11" t="n">
        <v>58</v>
      </c>
      <c r="J263" s="11" t="n">
        <v>124</v>
      </c>
      <c r="K263" s="11" t="n">
        <v>516623</v>
      </c>
    </row>
    <row r="264" customFormat="false" ht="15" hidden="false" customHeight="true" outlineLevel="0" collapsed="false">
      <c r="A264" s="23" t="n">
        <v>44746</v>
      </c>
      <c r="B264" s="14" t="s">
        <v>226</v>
      </c>
      <c r="C264" s="14" t="s">
        <v>227</v>
      </c>
      <c r="D264" s="14" t="s">
        <v>175</v>
      </c>
      <c r="E264" s="9" t="n">
        <v>5136</v>
      </c>
      <c r="F264" s="9" t="n">
        <v>6126</v>
      </c>
      <c r="G264" s="12" t="n">
        <v>0.83</v>
      </c>
      <c r="H264" s="11" t="n">
        <v>25</v>
      </c>
      <c r="I264" s="11" t="n">
        <v>48</v>
      </c>
      <c r="J264" s="11" t="n">
        <v>110</v>
      </c>
      <c r="K264" s="11" t="n">
        <v>245641</v>
      </c>
    </row>
    <row r="265" customFormat="false" ht="15" hidden="false" customHeight="true" outlineLevel="0" collapsed="false">
      <c r="A265" s="23" t="n">
        <v>44744</v>
      </c>
      <c r="B265" s="14" t="s">
        <v>290</v>
      </c>
      <c r="C265" s="14" t="s">
        <v>219</v>
      </c>
      <c r="D265" s="14" t="s">
        <v>175</v>
      </c>
      <c r="E265" s="9" t="n">
        <v>11607</v>
      </c>
      <c r="F265" s="9" t="n">
        <v>11607</v>
      </c>
      <c r="G265" s="12" t="n">
        <v>1</v>
      </c>
      <c r="H265" s="11" t="n">
        <v>37</v>
      </c>
      <c r="I265" s="11" t="n">
        <v>104</v>
      </c>
      <c r="J265" s="11" t="n">
        <v>658</v>
      </c>
      <c r="K265" s="11" t="n">
        <v>1203843</v>
      </c>
    </row>
    <row r="266" customFormat="false" ht="15" hidden="false" customHeight="true" outlineLevel="0" collapsed="false">
      <c r="A266" s="23" t="n">
        <v>44743</v>
      </c>
      <c r="B266" s="14" t="s">
        <v>232</v>
      </c>
      <c r="C266" s="14" t="s">
        <v>130</v>
      </c>
      <c r="D266" s="14" t="s">
        <v>175</v>
      </c>
      <c r="E266" s="9" t="n">
        <v>7368</v>
      </c>
      <c r="F266" s="9" t="n">
        <v>7616</v>
      </c>
      <c r="G266" s="12" t="n">
        <v>0.96</v>
      </c>
      <c r="H266" s="11" t="n">
        <v>20</v>
      </c>
      <c r="I266" s="11" t="n">
        <v>54</v>
      </c>
      <c r="J266" s="11" t="n">
        <v>125</v>
      </c>
      <c r="K266" s="11" t="n">
        <v>399363</v>
      </c>
    </row>
    <row r="267" customFormat="false" ht="15" hidden="false" customHeight="true" outlineLevel="0" collapsed="false">
      <c r="A267" s="23" t="n">
        <v>44738</v>
      </c>
      <c r="B267" s="14" t="s">
        <v>340</v>
      </c>
      <c r="C267" s="14" t="s">
        <v>341</v>
      </c>
      <c r="D267" s="14" t="s">
        <v>175</v>
      </c>
      <c r="E267" s="9" t="n">
        <v>3017</v>
      </c>
      <c r="F267" s="9" t="n">
        <v>5676</v>
      </c>
      <c r="G267" s="12" t="n">
        <v>0.53</v>
      </c>
      <c r="H267" s="11" t="n">
        <v>20</v>
      </c>
      <c r="I267" s="11" t="n">
        <v>53</v>
      </c>
      <c r="J267" s="11" t="n">
        <v>115</v>
      </c>
      <c r="K267" s="11" t="n">
        <v>158796</v>
      </c>
    </row>
    <row r="268" customFormat="false" ht="15" hidden="false" customHeight="true" outlineLevel="0" collapsed="false">
      <c r="A268" s="23" t="n">
        <v>44736</v>
      </c>
      <c r="B268" s="14" t="s">
        <v>342</v>
      </c>
      <c r="C268" s="14" t="s">
        <v>184</v>
      </c>
      <c r="D268" s="14" t="s">
        <v>175</v>
      </c>
      <c r="E268" s="9" t="n">
        <v>4535</v>
      </c>
      <c r="F268" s="9" t="n">
        <v>4535</v>
      </c>
      <c r="G268" s="12" t="n">
        <v>1</v>
      </c>
      <c r="H268" s="11" t="n">
        <v>20</v>
      </c>
      <c r="I268" s="11" t="n">
        <v>54</v>
      </c>
      <c r="J268" s="11" t="n">
        <v>115</v>
      </c>
      <c r="K268" s="11" t="n">
        <v>242871</v>
      </c>
    </row>
    <row r="269" customFormat="false" ht="15" hidden="false" customHeight="true" outlineLevel="0" collapsed="false">
      <c r="A269" s="23" t="n">
        <v>44708</v>
      </c>
      <c r="B269" s="14" t="s">
        <v>286</v>
      </c>
      <c r="C269" s="14" t="s">
        <v>287</v>
      </c>
      <c r="D269" s="14" t="s">
        <v>175</v>
      </c>
      <c r="E269" s="9" t="n">
        <v>6776</v>
      </c>
      <c r="F269" s="9" t="n">
        <v>12000</v>
      </c>
      <c r="G269" s="12" t="n">
        <v>0.56</v>
      </c>
      <c r="H269" s="11" t="n">
        <v>24</v>
      </c>
      <c r="I269" s="11" t="n">
        <v>46</v>
      </c>
      <c r="J269" s="11" t="n">
        <v>124</v>
      </c>
      <c r="K269" s="11" t="n">
        <v>314456</v>
      </c>
    </row>
    <row r="270" customFormat="false" ht="15" hidden="false" customHeight="true" outlineLevel="0" collapsed="false">
      <c r="A270" s="23" t="n">
        <v>44694</v>
      </c>
      <c r="B270" s="14" t="s">
        <v>301</v>
      </c>
      <c r="C270" s="14" t="s">
        <v>302</v>
      </c>
      <c r="D270" s="14" t="s">
        <v>175</v>
      </c>
      <c r="E270" s="9" t="n">
        <v>5517</v>
      </c>
      <c r="F270" s="9" t="n">
        <v>6611</v>
      </c>
      <c r="G270" s="12" t="n">
        <v>0.83</v>
      </c>
      <c r="H270" s="11" t="n">
        <v>20</v>
      </c>
      <c r="I270" s="11" t="n">
        <v>51</v>
      </c>
      <c r="J270" s="11" t="n">
        <v>135</v>
      </c>
      <c r="K270" s="11" t="n">
        <v>283957</v>
      </c>
    </row>
    <row r="271" customFormat="false" ht="15" hidden="false" customHeight="true" outlineLevel="0" collapsed="false">
      <c r="A271" s="23" t="n">
        <v>44688</v>
      </c>
      <c r="B271" s="14" t="s">
        <v>343</v>
      </c>
      <c r="C271" s="14" t="s">
        <v>344</v>
      </c>
      <c r="D271" s="14" t="s">
        <v>175</v>
      </c>
      <c r="E271" s="9" t="n">
        <v>3707</v>
      </c>
      <c r="F271" s="9" t="n">
        <v>6698</v>
      </c>
      <c r="G271" s="12" t="n">
        <v>0.55</v>
      </c>
      <c r="H271" s="11" t="n">
        <v>15</v>
      </c>
      <c r="I271" s="11" t="n">
        <v>49</v>
      </c>
      <c r="J271" s="11" t="n">
        <v>110</v>
      </c>
      <c r="K271" s="11" t="n">
        <v>181254</v>
      </c>
    </row>
    <row r="272" customFormat="false" ht="15" hidden="false" customHeight="true" outlineLevel="0" collapsed="false">
      <c r="A272" s="23" t="n">
        <v>44682</v>
      </c>
      <c r="B272" s="14" t="s">
        <v>313</v>
      </c>
      <c r="C272" s="14" t="s">
        <v>314</v>
      </c>
      <c r="D272" s="14" t="s">
        <v>175</v>
      </c>
      <c r="E272" s="9" t="n">
        <v>4040</v>
      </c>
      <c r="F272" s="9" t="n">
        <v>8016</v>
      </c>
      <c r="G272" s="12" t="n">
        <v>0.5</v>
      </c>
      <c r="H272" s="11" t="n">
        <v>20</v>
      </c>
      <c r="I272" s="11" t="n">
        <v>49</v>
      </c>
      <c r="J272" s="11" t="n">
        <v>115</v>
      </c>
      <c r="K272" s="11" t="n">
        <v>198681</v>
      </c>
    </row>
    <row r="273" customFormat="false" ht="15" hidden="false" customHeight="true" outlineLevel="0" collapsed="false">
      <c r="A273" s="23" t="n">
        <v>44674</v>
      </c>
      <c r="B273" s="14" t="s">
        <v>345</v>
      </c>
      <c r="C273" s="14" t="s">
        <v>346</v>
      </c>
      <c r="D273" s="14" t="s">
        <v>175</v>
      </c>
      <c r="E273" s="9" t="n">
        <v>3874</v>
      </c>
      <c r="F273" s="9" t="n">
        <v>5913</v>
      </c>
      <c r="G273" s="12" t="n">
        <v>0.65</v>
      </c>
      <c r="H273" s="11" t="n">
        <v>15</v>
      </c>
      <c r="I273" s="11" t="n">
        <v>47</v>
      </c>
      <c r="J273" s="11" t="n">
        <v>100</v>
      </c>
      <c r="K273" s="11" t="n">
        <v>182736</v>
      </c>
    </row>
    <row r="274" customFormat="false" ht="15" hidden="false" customHeight="true" outlineLevel="0" collapsed="false">
      <c r="A274" s="23" t="n">
        <v>44672</v>
      </c>
      <c r="B274" s="14" t="s">
        <v>242</v>
      </c>
      <c r="C274" s="14" t="s">
        <v>243</v>
      </c>
      <c r="D274" s="14" t="s">
        <v>175</v>
      </c>
      <c r="E274" s="9" t="n">
        <v>5904</v>
      </c>
      <c r="F274" s="9" t="n">
        <v>10606</v>
      </c>
      <c r="G274" s="12" t="n">
        <v>0.55</v>
      </c>
      <c r="H274" s="11" t="n">
        <v>20</v>
      </c>
      <c r="I274" s="11" t="n">
        <v>38</v>
      </c>
      <c r="J274" s="11" t="n">
        <v>110</v>
      </c>
      <c r="K274" s="11" t="n">
        <v>222645</v>
      </c>
    </row>
    <row r="275" customFormat="false" ht="15" hidden="false" customHeight="true" outlineLevel="0" collapsed="false">
      <c r="A275" s="23" t="n">
        <v>44662</v>
      </c>
      <c r="B275" s="14" t="s">
        <v>205</v>
      </c>
      <c r="C275" s="14" t="s">
        <v>206</v>
      </c>
      <c r="D275" s="14" t="s">
        <v>175</v>
      </c>
      <c r="E275" s="9" t="n">
        <v>10275</v>
      </c>
      <c r="F275" s="9" t="n">
        <v>15000</v>
      </c>
      <c r="G275" s="12" t="n">
        <v>0.68</v>
      </c>
      <c r="H275" s="11" t="n">
        <v>25</v>
      </c>
      <c r="I275" s="11" t="n">
        <v>40</v>
      </c>
      <c r="J275" s="11" t="n">
        <v>130</v>
      </c>
      <c r="K275" s="11" t="n">
        <v>409007</v>
      </c>
    </row>
    <row r="276" customFormat="false" ht="15" hidden="false" customHeight="true" outlineLevel="0" collapsed="false">
      <c r="A276" s="23" t="n">
        <v>44655</v>
      </c>
      <c r="B276" s="14" t="s">
        <v>72</v>
      </c>
      <c r="C276" s="14" t="s">
        <v>73</v>
      </c>
      <c r="D276" s="14" t="s">
        <v>175</v>
      </c>
      <c r="E276" s="9" t="n">
        <v>8827</v>
      </c>
      <c r="F276" s="9" t="n">
        <v>11938</v>
      </c>
      <c r="G276" s="12" t="n">
        <v>0.73</v>
      </c>
      <c r="H276" s="11" t="n">
        <v>26</v>
      </c>
      <c r="I276" s="11" t="n">
        <v>71</v>
      </c>
      <c r="J276" s="11" t="n">
        <v>206</v>
      </c>
      <c r="K276" s="11" t="n">
        <v>623891</v>
      </c>
    </row>
    <row r="277" customFormat="false" ht="15" hidden="false" customHeight="true" outlineLevel="0" collapsed="false">
      <c r="A277" s="23" t="n">
        <v>44653</v>
      </c>
      <c r="B277" s="14" t="s">
        <v>72</v>
      </c>
      <c r="C277" s="14" t="s">
        <v>73</v>
      </c>
      <c r="D277" s="14" t="s">
        <v>175</v>
      </c>
      <c r="E277" s="9" t="n">
        <v>3781</v>
      </c>
      <c r="F277" s="9" t="n">
        <v>4836</v>
      </c>
      <c r="G277" s="12" t="n">
        <v>0.78</v>
      </c>
      <c r="H277" s="11" t="n">
        <v>21</v>
      </c>
      <c r="I277" s="11" t="n">
        <v>38</v>
      </c>
      <c r="J277" s="11" t="n">
        <v>56</v>
      </c>
      <c r="K277" s="11" t="n">
        <v>142493</v>
      </c>
    </row>
    <row r="278" customFormat="false" ht="15" hidden="false" customHeight="true" outlineLevel="0" collapsed="false">
      <c r="A278" s="23" t="n">
        <v>44652</v>
      </c>
      <c r="B278" s="14" t="s">
        <v>72</v>
      </c>
      <c r="C278" s="14" t="s">
        <v>73</v>
      </c>
      <c r="D278" s="14" t="s">
        <v>175</v>
      </c>
      <c r="E278" s="9" t="n">
        <v>9974</v>
      </c>
      <c r="F278" s="9" t="n">
        <v>11130</v>
      </c>
      <c r="G278" s="12" t="n">
        <v>0.89</v>
      </c>
      <c r="H278" s="11" t="n">
        <v>41</v>
      </c>
      <c r="I278" s="11" t="n">
        <v>94</v>
      </c>
      <c r="J278" s="11" t="n">
        <v>356</v>
      </c>
      <c r="K278" s="11" t="n">
        <v>941665</v>
      </c>
    </row>
    <row r="279" customFormat="false" ht="15" hidden="false" customHeight="true" outlineLevel="0" collapsed="false">
      <c r="A279" s="23" t="n">
        <v>44648</v>
      </c>
      <c r="B279" s="14" t="s">
        <v>268</v>
      </c>
      <c r="C279" s="14" t="s">
        <v>269</v>
      </c>
      <c r="D279" s="14" t="s">
        <v>175</v>
      </c>
      <c r="E279" s="9" t="n">
        <v>8637</v>
      </c>
      <c r="F279" s="9" t="n">
        <v>11345</v>
      </c>
      <c r="G279" s="12" t="n">
        <v>0.76</v>
      </c>
      <c r="H279" s="11" t="n">
        <v>20</v>
      </c>
      <c r="I279" s="11" t="n">
        <v>49</v>
      </c>
      <c r="J279" s="11" t="n">
        <v>130</v>
      </c>
      <c r="K279" s="11" t="n">
        <v>425758</v>
      </c>
    </row>
    <row r="280" customFormat="false" ht="15" hidden="false" customHeight="true" outlineLevel="0" collapsed="false">
      <c r="A280" s="23" t="n">
        <v>44645</v>
      </c>
      <c r="B280" s="14" t="s">
        <v>145</v>
      </c>
      <c r="C280" s="14" t="s">
        <v>146</v>
      </c>
      <c r="D280" s="14" t="s">
        <v>175</v>
      </c>
      <c r="E280" s="9" t="n">
        <v>9744</v>
      </c>
      <c r="F280" s="9" t="n">
        <v>12744</v>
      </c>
      <c r="G280" s="12" t="n">
        <v>0.76</v>
      </c>
      <c r="H280" s="11" t="n">
        <v>26</v>
      </c>
      <c r="I280" s="11" t="n">
        <v>57</v>
      </c>
      <c r="J280" s="11" t="n">
        <v>206</v>
      </c>
      <c r="K280" s="11" t="n">
        <v>556778</v>
      </c>
    </row>
    <row r="281" customFormat="false" ht="15" hidden="false" customHeight="true" outlineLevel="0" collapsed="false">
      <c r="A281" s="23" t="n">
        <v>44641</v>
      </c>
      <c r="B281" s="14" t="s">
        <v>201</v>
      </c>
      <c r="C281" s="14" t="s">
        <v>202</v>
      </c>
      <c r="D281" s="14" t="s">
        <v>175</v>
      </c>
      <c r="E281" s="9" t="n">
        <v>8615</v>
      </c>
      <c r="F281" s="9" t="n">
        <v>9500</v>
      </c>
      <c r="G281" s="12" t="n">
        <v>0.9</v>
      </c>
      <c r="H281" s="11" t="n">
        <v>20</v>
      </c>
      <c r="I281" s="11" t="n">
        <v>53</v>
      </c>
      <c r="J281" s="11" t="n">
        <v>150</v>
      </c>
      <c r="K281" s="11" t="n">
        <v>453196</v>
      </c>
    </row>
    <row r="282" customFormat="false" ht="15" hidden="false" customHeight="true" outlineLevel="0" collapsed="false">
      <c r="A282" s="23" t="n">
        <v>44640</v>
      </c>
      <c r="B282" s="14" t="s">
        <v>347</v>
      </c>
      <c r="C282" s="14" t="s">
        <v>294</v>
      </c>
      <c r="D282" s="14" t="s">
        <v>175</v>
      </c>
      <c r="E282" s="9" t="n">
        <v>3693</v>
      </c>
      <c r="F282" s="9" t="n">
        <v>7950</v>
      </c>
      <c r="G282" s="12" t="n">
        <v>0.46</v>
      </c>
      <c r="H282" s="11" t="n">
        <v>20</v>
      </c>
      <c r="I282" s="11" t="n">
        <v>43</v>
      </c>
      <c r="J282" s="11" t="n">
        <v>115</v>
      </c>
      <c r="K282" s="11" t="n">
        <v>157799</v>
      </c>
    </row>
    <row r="283" customFormat="false" ht="15" hidden="false" customHeight="true" outlineLevel="0" collapsed="false">
      <c r="A283" s="23" t="n">
        <v>44634</v>
      </c>
      <c r="B283" s="14" t="s">
        <v>348</v>
      </c>
      <c r="C283" s="14" t="s">
        <v>349</v>
      </c>
      <c r="D283" s="14" t="s">
        <v>175</v>
      </c>
      <c r="E283" s="9" t="n">
        <v>5546</v>
      </c>
      <c r="F283" s="9" t="n">
        <v>10588</v>
      </c>
      <c r="G283" s="12" t="n">
        <v>0.52</v>
      </c>
      <c r="H283" s="11" t="n">
        <v>20</v>
      </c>
      <c r="I283" s="11" t="n">
        <v>40</v>
      </c>
      <c r="J283" s="11" t="n">
        <v>110</v>
      </c>
      <c r="K283" s="11" t="n">
        <v>222855</v>
      </c>
    </row>
    <row r="284" customFormat="false" ht="15" hidden="false" customHeight="true" outlineLevel="0" collapsed="false">
      <c r="A284" s="23" t="n">
        <v>44626</v>
      </c>
      <c r="B284" s="14" t="s">
        <v>295</v>
      </c>
      <c r="C284" s="14" t="s">
        <v>296</v>
      </c>
      <c r="D284" s="14" t="s">
        <v>175</v>
      </c>
      <c r="E284" s="9" t="n">
        <v>3707</v>
      </c>
      <c r="F284" s="9" t="n">
        <v>6513</v>
      </c>
      <c r="G284" s="12" t="n">
        <v>0.56</v>
      </c>
      <c r="H284" s="11" t="n">
        <v>20</v>
      </c>
      <c r="I284" s="11" t="n">
        <v>48</v>
      </c>
      <c r="J284" s="11" t="n">
        <v>100</v>
      </c>
      <c r="K284" s="11" t="n">
        <v>176285</v>
      </c>
    </row>
    <row r="285" customFormat="false" ht="15" hidden="false" customHeight="true" outlineLevel="0" collapsed="false">
      <c r="A285" s="23" t="n">
        <v>44625</v>
      </c>
      <c r="B285" s="14" t="s">
        <v>187</v>
      </c>
      <c r="C285" s="14" t="s">
        <v>188</v>
      </c>
      <c r="D285" s="14" t="s">
        <v>175</v>
      </c>
      <c r="E285" s="9" t="n">
        <v>2991</v>
      </c>
      <c r="F285" s="9" t="n">
        <v>13166</v>
      </c>
      <c r="G285" s="12" t="n">
        <v>0.22</v>
      </c>
      <c r="H285" s="11" t="n">
        <v>20</v>
      </c>
      <c r="I285" s="11" t="n">
        <v>184</v>
      </c>
      <c r="J285" s="11" t="n">
        <v>206</v>
      </c>
      <c r="K285" s="11" t="n">
        <v>551033</v>
      </c>
    </row>
    <row r="286" customFormat="false" ht="15" hidden="false" customHeight="true" outlineLevel="0" collapsed="false">
      <c r="A286" s="23" t="n">
        <v>44606</v>
      </c>
      <c r="B286" s="14" t="s">
        <v>195</v>
      </c>
      <c r="C286" s="14" t="s">
        <v>196</v>
      </c>
      <c r="D286" s="14" t="s">
        <v>175</v>
      </c>
      <c r="E286" s="9" t="n">
        <v>4600</v>
      </c>
      <c r="F286" s="9" t="n">
        <v>5000</v>
      </c>
      <c r="G286" s="12" t="n">
        <v>0.92</v>
      </c>
      <c r="H286" s="11" t="n">
        <v>24</v>
      </c>
      <c r="I286" s="11" t="n">
        <v>55</v>
      </c>
      <c r="J286" s="11" t="n">
        <v>119</v>
      </c>
      <c r="K286" s="11" t="n">
        <v>253399</v>
      </c>
    </row>
    <row r="287" customFormat="false" ht="15" hidden="false" customHeight="true" outlineLevel="0" collapsed="false">
      <c r="A287" s="23" t="n">
        <v>44596</v>
      </c>
      <c r="B287" s="14" t="s">
        <v>185</v>
      </c>
      <c r="C287" s="14" t="s">
        <v>186</v>
      </c>
      <c r="D287" s="14" t="s">
        <v>175</v>
      </c>
      <c r="E287" s="9" t="n">
        <v>4556</v>
      </c>
      <c r="F287" s="9" t="n">
        <v>11387</v>
      </c>
      <c r="G287" s="12" t="n">
        <v>0.4</v>
      </c>
      <c r="H287" s="11" t="n">
        <v>20</v>
      </c>
      <c r="I287" s="11" t="n">
        <v>44</v>
      </c>
      <c r="J287" s="11" t="n">
        <v>105</v>
      </c>
      <c r="K287" s="11" t="n">
        <v>199450</v>
      </c>
    </row>
    <row r="288" customFormat="false" ht="15" hidden="false" customHeight="true" outlineLevel="0" collapsed="false">
      <c r="A288" s="23" t="n">
        <v>44585</v>
      </c>
      <c r="B288" s="14" t="s">
        <v>197</v>
      </c>
      <c r="C288" s="14" t="s">
        <v>198</v>
      </c>
      <c r="D288" s="14" t="s">
        <v>175</v>
      </c>
      <c r="E288" s="9" t="n">
        <v>5744</v>
      </c>
      <c r="F288" s="9" t="n">
        <v>5906</v>
      </c>
      <c r="G288" s="12" t="n">
        <v>0.97</v>
      </c>
      <c r="H288" s="11" t="n">
        <v>20</v>
      </c>
      <c r="I288" s="11" t="n">
        <v>49</v>
      </c>
      <c r="J288" s="11" t="n">
        <v>119</v>
      </c>
      <c r="K288" s="11" t="n">
        <v>281930</v>
      </c>
    </row>
    <row r="289" customFormat="false" ht="15" hidden="false" customHeight="true" outlineLevel="0" collapsed="false">
      <c r="A289" s="23" t="n">
        <v>44582</v>
      </c>
      <c r="B289" s="14" t="s">
        <v>81</v>
      </c>
      <c r="C289" s="14" t="s">
        <v>82</v>
      </c>
      <c r="D289" s="14" t="s">
        <v>175</v>
      </c>
      <c r="E289" s="9" t="n">
        <v>6104</v>
      </c>
      <c r="F289" s="9" t="n">
        <v>6641</v>
      </c>
      <c r="G289" s="12" t="n">
        <v>0.91</v>
      </c>
      <c r="H289" s="11" t="n">
        <v>25</v>
      </c>
      <c r="I289" s="11" t="n">
        <v>50</v>
      </c>
      <c r="J289" s="11" t="n">
        <v>126</v>
      </c>
      <c r="K289" s="11" t="n">
        <v>303444</v>
      </c>
    </row>
    <row r="290" customFormat="false" ht="15" hidden="false" customHeight="true" outlineLevel="0" collapsed="false">
      <c r="A290" s="23" t="n">
        <v>44571</v>
      </c>
      <c r="B290" s="14" t="s">
        <v>224</v>
      </c>
      <c r="C290" s="14" t="s">
        <v>225</v>
      </c>
      <c r="D290" s="14" t="s">
        <v>175</v>
      </c>
      <c r="E290" s="9" t="n">
        <v>6438</v>
      </c>
      <c r="F290" s="9" t="n">
        <v>10634</v>
      </c>
      <c r="G290" s="12" t="n">
        <v>0.6</v>
      </c>
      <c r="H290" s="11" t="n">
        <v>20</v>
      </c>
      <c r="I290" s="11" t="n">
        <v>64</v>
      </c>
      <c r="J290" s="11" t="n">
        <v>160</v>
      </c>
      <c r="K290" s="11" t="n">
        <v>414998</v>
      </c>
    </row>
    <row r="291" customFormat="false" ht="15" hidden="false" customHeight="true" outlineLevel="0" collapsed="false">
      <c r="A291" s="23" t="n">
        <v>44570</v>
      </c>
      <c r="B291" s="14" t="s">
        <v>68</v>
      </c>
      <c r="C291" s="14" t="s">
        <v>69</v>
      </c>
      <c r="D291" s="14" t="s">
        <v>175</v>
      </c>
      <c r="E291" s="9" t="n">
        <v>4192</v>
      </c>
      <c r="F291" s="9" t="n">
        <v>13037</v>
      </c>
      <c r="G291" s="12" t="n">
        <v>0.32</v>
      </c>
      <c r="H291" s="11" t="n">
        <v>21</v>
      </c>
      <c r="I291" s="11" t="n">
        <v>63</v>
      </c>
      <c r="J291" s="11" t="n">
        <v>126</v>
      </c>
      <c r="K291" s="11" t="n">
        <v>262035</v>
      </c>
    </row>
    <row r="292" customFormat="false" ht="15" hidden="false" customHeight="true" outlineLevel="0" collapsed="false">
      <c r="A292" s="23" t="n">
        <v>44568</v>
      </c>
      <c r="B292" s="14" t="s">
        <v>83</v>
      </c>
      <c r="C292" s="14" t="s">
        <v>84</v>
      </c>
      <c r="D292" s="14" t="s">
        <v>175</v>
      </c>
      <c r="E292" s="9" t="n">
        <v>5724</v>
      </c>
      <c r="F292" s="9" t="n">
        <v>5724</v>
      </c>
      <c r="G292" s="12" t="n">
        <v>1</v>
      </c>
      <c r="H292" s="11" t="n">
        <v>20</v>
      </c>
      <c r="I292" s="11" t="n">
        <v>48</v>
      </c>
      <c r="J292" s="11" t="n">
        <v>125</v>
      </c>
      <c r="K292" s="11" t="n">
        <v>273428</v>
      </c>
    </row>
    <row r="293" customFormat="false" ht="15" hidden="false" customHeight="true" outlineLevel="0" collapsed="false">
      <c r="A293" s="23" t="n">
        <v>44562</v>
      </c>
      <c r="B293" s="14" t="s">
        <v>75</v>
      </c>
      <c r="C293" s="14" t="s">
        <v>76</v>
      </c>
      <c r="D293" s="14" t="s">
        <v>175</v>
      </c>
      <c r="E293" s="9" t="n">
        <v>10677</v>
      </c>
      <c r="F293" s="9" t="n">
        <v>10677</v>
      </c>
      <c r="G293" s="12" t="n">
        <v>1</v>
      </c>
      <c r="H293" s="11" t="n">
        <v>26</v>
      </c>
      <c r="I293" s="11" t="n">
        <v>81</v>
      </c>
      <c r="J293" s="11" t="n">
        <v>504</v>
      </c>
      <c r="K293" s="11" t="n">
        <v>869978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2026-05-06T23:47:48Z</dcterms:created>
  <dc:creator>openpyxl</dc:creator>
  <dc:description/>
  <dc:language>en-US</dc:language>
  <cp:lastModifiedBy/>
  <dcterms:modified xsi:type="dcterms:W3CDTF">2026-05-06T23:49:34Z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