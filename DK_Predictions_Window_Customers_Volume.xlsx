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Acquisition" sheetId="1" state="visible" r:id="rId3"/>
    <sheet name="Volume Contrib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<sst xmlns="http://schemas.openxmlformats.org/spreadsheetml/2006/main" count="145" uniqueCount="141">
  <si>
    <t xml:space="preserve">DraftKings Predictions: Customer Acquisition Window Analysis</t>
  </si>
  <si>
    <t xml:space="preserve">Window: NBA Finals (June 3) + Stanley Cup Finals + FIFA World Cup group stage (June 11 to July 19)</t>
  </si>
  <si>
    <t xml:space="preserve">Calibrated to Eilers &amp; Krejcik data (Q1-26 Predictions Markets Monitor): 98% of OSB-state sports volume on Sportsbook, 69% of leading PM operator volume from non-SB states</t>
  </si>
  <si>
    <t xml:space="preserve">1. EVENT AUDIENCE INPUTS</t>
  </si>
  <si>
    <t xml:space="preserve">Event</t>
  </si>
  <si>
    <t xml:space="preserve">Avg US viewers / game (M)</t>
  </si>
  <si>
    <t xml:space="preserve"># of games in window</t>
  </si>
  <si>
    <t xml:space="preserve">Total viewer-game impressions (M)</t>
  </si>
  <si>
    <t xml:space="preserve">Source</t>
  </si>
  <si>
    <t xml:space="preserve">NBA Finals 2026</t>
  </si>
  <si>
    <t xml:space="preserve">Source: 2025 Finals avg 10.27M (Wikipedia); 2026 playoffs running 22% above 2025 (NBA.com / Front Office Sports)</t>
  </si>
  <si>
    <t xml:space="preserve">NBA Conference Finals (May residual)</t>
  </si>
  <si>
    <t xml:space="preserve">Source: 2025 Conf Finals avg 6.06M; 2026 playoffs +22% YoY adjusted; only late-stage residual games counted</t>
  </si>
  <si>
    <t xml:space="preserve">Stanley Cup Finals 2026</t>
  </si>
  <si>
    <t xml:space="preserve">Source: 2025 NHL playoffs +68% YoY round 1 (Front Office Sports); historical SCF avg 3-5M, midpoint applied</t>
  </si>
  <si>
    <t xml:space="preserve">World Cup group stage (US team)</t>
  </si>
  <si>
    <t xml:space="preserve">Source: 2022 USMNT games avg 7.95M on FOX (MVPindex); 2026 home soil should equal or exceed</t>
  </si>
  <si>
    <t xml:space="preserve">World Cup group stage (non-US)</t>
  </si>
  <si>
    <t xml:space="preserve">Source: 2022 WC avg 3.59M / game on FOX across 64 matches (Statista). Group stage non-US slate.</t>
  </si>
  <si>
    <t xml:space="preserve">World Cup knockout (in window)</t>
  </si>
  <si>
    <t xml:space="preserve">Source: 2022 WC R16/QF ranged 4-12M depending on team; mid-range applied</t>
  </si>
  <si>
    <t xml:space="preserve">Total viewer-game impressions</t>
  </si>
  <si>
    <t xml:space="preserve">2. COHORT SPLIT (de-duplicated unique reach)</t>
  </si>
  <si>
    <t xml:space="preserve">Input</t>
  </si>
  <si>
    <t xml:space="preserve">Value</t>
  </si>
  <si>
    <t xml:space="preserve">Source / Note</t>
  </si>
  <si>
    <t xml:space="preserve">US adult population (M)</t>
  </si>
  <si>
    <t xml:space="preserve">US Census 2024 estimate, ~260M adults 18+</t>
  </si>
  <si>
    <t xml:space="preserve">% adults in OSB-legal states</t>
  </si>
  <si>
    <t xml:space="preserve">DK Q1-26 deck: 52% of US pop. live with Sports in 2026 (SB or Predictions); ~48-50% in fully OSB-active states</t>
  </si>
  <si>
    <t xml:space="preserve">% adults in Predictions-only states</t>
  </si>
  <si>
    <t xml:space="preserve">Includes CA, TX, FL per Robins. DK has never had a major marketing event with Predictions in these states.</t>
  </si>
  <si>
    <t xml:space="preserve">Unique reach as % of total impressions</t>
  </si>
  <si>
    <t xml:space="preserve">Heuristic: avg viewer sees 2-3 games of a series. Reduces gross impressions to unique adult reach.</t>
  </si>
  <si>
    <t xml:space="preserve">Unique adult viewers reached (M)</t>
  </si>
  <si>
    <t xml:space="preserve">Total impressions x unique-reach factor</t>
  </si>
  <si>
    <t xml:space="preserve">  ...of which OSB states (M)</t>
  </si>
  <si>
    <t xml:space="preserve">  ...of which Predictions-only states (M)</t>
  </si>
  <si>
    <t xml:space="preserve">3. FUNNEL CONVERSION ASSUMPTIONS (calibrated to Eilers 98%/2% OSB and 69%/31% Pred-only data)</t>
  </si>
  <si>
    <t xml:space="preserve">Funnel step</t>
  </si>
  <si>
    <t xml:space="preserve">OSB Bear</t>
  </si>
  <si>
    <t xml:space="preserve">OSB Base</t>
  </si>
  <si>
    <t xml:space="preserve">OSB Bull</t>
  </si>
  <si>
    <t xml:space="preserve">Pred-only Bear</t>
  </si>
  <si>
    <t xml:space="preserve">Pred-only Base</t>
  </si>
  <si>
    <t xml:space="preserve">Pred-only Bull</t>
  </si>
  <si>
    <t xml:space="preserve">DK marketing reach (% of viewers exposed)</t>
  </si>
  <si>
    <t xml:space="preserve">Awareness to consideration</t>
  </si>
  <si>
    <t xml:space="preserve">Consideration to signup attempt</t>
  </si>
  <si>
    <t xml:space="preserve">Signup to funded account</t>
  </si>
  <si>
    <t xml:space="preserve">Calibration check: Eilers data shows 2% of OSB-state sports volume on Predictions today; 31% of PM operator volume in OSB states. Cross-sell exists but is small. OSB Base cumulative conversion below targets ~0.21% reach-to-funded, sized to be incremental but not dominant.</t>
  </si>
  <si>
    <t xml:space="preserve">Cumulative reach-to-funded conversion</t>
  </si>
  <si>
    <t xml:space="preserve">4. CUSTOMER ACQUISITION OUTPUT (May to July 2026 window)</t>
  </si>
  <si>
    <t xml:space="preserve">Cohort / Scenario</t>
  </si>
  <si>
    <t xml:space="preserve">Bear (000s)</t>
  </si>
  <si>
    <t xml:space="preserve">Base (000s)</t>
  </si>
  <si>
    <t xml:space="preserve">Bull (000s)</t>
  </si>
  <si>
    <t xml:space="preserve">Note</t>
  </si>
  <si>
    <t xml:space="preserve">OSB states (cross-sell from existing SB)</t>
  </si>
  <si>
    <t xml:space="preserve">Cross-sell of DK SB users; sized below historical 2% PM share</t>
  </si>
  <si>
    <t xml:space="preserve">Predictions-only states (net new)</t>
  </si>
  <si>
    <t xml:space="preserve">Net new customers in CA, TX, FL and other Pred-only states</t>
  </si>
  <si>
    <t xml:space="preserve">Total new Predictions customers (000s)</t>
  </si>
  <si>
    <t xml:space="preserve">Context: comparison vs. DK base</t>
  </si>
  <si>
    <t xml:space="preserve">DK Q1 2026 MUPs (M, blended)</t>
  </si>
  <si>
    <t xml:space="preserve">Source: DK Q1 2026 deck, slide 17. Ex-lottery: 3.9M.</t>
  </si>
  <si>
    <t xml:space="preserve">DK TTM unique customers Q1 2026 (M)</t>
  </si>
  <si>
    <t xml:space="preserve">Source: DK Q1 2026 deck, slide 11. Down sequentially from 10.9M Q4 2025.</t>
  </si>
  <si>
    <t xml:space="preserve">Kalshi total active users (M)</t>
  </si>
  <si>
    <t xml:space="preserve">Source: Sacra, end-2025 (240K to 1.2M during 2025)</t>
  </si>
  <si>
    <t xml:space="preserve">Window adds as % of DK MUP base (Base case)</t>
  </si>
  <si>
    <t xml:space="preserve">Window adds as % of DK TTM unique customers</t>
  </si>
  <si>
    <t xml:space="preserve">Window adds as % of Kalshi user base (Base case)</t>
  </si>
  <si>
    <t xml:space="preserve">Incremental Predictions Notional Volume from Window Cohort</t>
  </si>
  <si>
    <t xml:space="preserve">Layered on customer adds from Customer Acquisition tab. Volume is notional, comparable to Kalshi/Polymarket/Dune reporting convention.</t>
  </si>
  <si>
    <t xml:space="preserve">1. BASELINE: VOLUME-PER-CUSTOMER FROM DK APRIL DISCLOSURES</t>
  </si>
  <si>
    <t xml:space="preserve">DK Predictions consumer volume, April 2026 ($M)</t>
  </si>
  <si>
    <t xml:space="preserve">Source: Q1 2026 call. Annualized $1B / 12. This is consumer notional, excludes DK market-making.</t>
  </si>
  <si>
    <t xml:space="preserve">Estimated DK Predictions customer count, April 2026 (000s)</t>
  </si>
  <si>
    <t xml:space="preserve">Triangulation: Robins called Predictions customer numbers 'quite small single digits' on call. 75K represents ~1.8% of MUP base, in line with comment. Sensitivity below.</t>
  </si>
  <si>
    <t xml:space="preserve">Implied volume per customer per month ($)</t>
  </si>
  <si>
    <t xml:space="preserve">April consumer volume / customer count. Robins said volume per Predictions customer is ABOVE Sportsbook handle per customer.</t>
  </si>
  <si>
    <t xml:space="preserve">Sanity check: DK Sportsbook handle per MUP per month (Q1 2026)</t>
  </si>
  <si>
    <t xml:space="preserve">Source: $14.9B Q1 SB handle / 3 months / 4.2M MUPs (DK Q1-26 deck slides 9, 17). Result is in $ thousands per month.</t>
  </si>
  <si>
    <t xml:space="preserve">  ...converted to $ per MUP per month</t>
  </si>
  <si>
    <t xml:space="preserve">2. EVENT LIFT: VOLUME-PER-CUSTOMER DURING ACQUISITION WINDOW</t>
  </si>
  <si>
    <t xml:space="preserve">Newly-acquired Predictions customers will exhibit higher engagement during the events that drove acquisition. Lift factor models this.</t>
  </si>
  <si>
    <t xml:space="preserve">Event-lift factor (multiplier on baseline volume / customer)</t>
  </si>
  <si>
    <t xml:space="preserve">Bear case lift</t>
  </si>
  <si>
    <t xml:space="preserve">New users typically engage at 60-80% of mature user volume in first 90 days (industry norm for sports apps)</t>
  </si>
  <si>
    <t xml:space="preserve">Base case lift</t>
  </si>
  <si>
    <t xml:space="preserve">Event-driven cohort engages above mature avg during initial 60 days due to fresh interest + multi-event window</t>
  </si>
  <si>
    <t xml:space="preserve">Bull case lift</t>
  </si>
  <si>
    <t xml:space="preserve">USMNT WC run + back-to-back NBA/NHL/WC drives high engagement, but new customers still ramp to mature user volumes over 60-90 days. Capped at 1.25x rather than higher.</t>
  </si>
  <si>
    <t xml:space="preserve">Window length (months)</t>
  </si>
  <si>
    <t xml:space="preserve">May 8 to July 19. Customer acquisition is staggered, so avg time-in-window is ~2.5 months.</t>
  </si>
  <si>
    <t xml:space="preserve">3. INCREMENTAL NOTIONAL VOLUME OUTPUT</t>
  </si>
  <si>
    <t xml:space="preserve">Scenario</t>
  </si>
  <si>
    <t xml:space="preserve">New customers (000s)</t>
  </si>
  <si>
    <t xml:space="preserve">Vol/cust/mo ($)</t>
  </si>
  <si>
    <t xml:space="preserve">Lift</t>
  </si>
  <si>
    <t xml:space="preserve">Months</t>
  </si>
  <si>
    <t xml:space="preserve">Incremental volume in window ($M)</t>
  </si>
  <si>
    <t xml:space="preserve">Bear</t>
  </si>
  <si>
    <t xml:space="preserve">Conservative: USMNT exits group, modest engagement</t>
  </si>
  <si>
    <t xml:space="preserve">Base</t>
  </si>
  <si>
    <t xml:space="preserve">Central: standard event lift, USMNT R16, full window</t>
  </si>
  <si>
    <t xml:space="preserve">Bull</t>
  </si>
  <si>
    <t xml:space="preserve">Aggressive: USMNT runs deep, sustained event engagement</t>
  </si>
  <si>
    <t xml:space="preserve">Comparison vs. DK April monthly Predictions consumer volume</t>
  </si>
  <si>
    <t xml:space="preserve">DK April 2026 consumer volume ($M)</t>
  </si>
  <si>
    <t xml:space="preserve">From Q1 2026 call disclosure</t>
  </si>
  <si>
    <t xml:space="preserve">April annualized run-rate ($M)</t>
  </si>
  <si>
    <t xml:space="preserve">April monthly x 12</t>
  </si>
  <si>
    <t xml:space="preserve">Window incremental volume as multiple of April monthly run-rate</t>
  </si>
  <si>
    <t xml:space="preserve">  Bear case</t>
  </si>
  <si>
    <t xml:space="preserve">Window adds X months of equivalent volume</t>
  </si>
  <si>
    <t xml:space="preserve">  Base case</t>
  </si>
  <si>
    <t xml:space="preserve">  Bull case</t>
  </si>
  <si>
    <t xml:space="preserve">Comparison vs. Kalshi April 2026 notional volume</t>
  </si>
  <si>
    <t xml:space="preserve">Kalshi April 2026 notional volume ($M)</t>
  </si>
  <si>
    <t xml:space="preserve">Source: Dune Analytics @datadashboards</t>
  </si>
  <si>
    <t xml:space="preserve">Window incremental volume as % of Kalshi April</t>
  </si>
  <si>
    <t xml:space="preserve">4. KEY TAKEAWAYS FOR HEDGE FUND READERS</t>
  </si>
  <si>
    <t xml:space="preserve">1. Calibrated to Eilers data: model now reflects 98%/2% OSB share reality. Predictions cross-sell in OSB states is real but small. Pred-only cohort dominates new customer adds (~70% of total in Base case).</t>
  </si>
  <si>
    <t xml:space="preserve">2. Customer adds range: 100K (Bear) to 1.2M (Bull), Base ~400K. This is the right framing for the H2 setup question.</t>
  </si>
  <si>
    <t xml:space="preserve">3. Volume contribution range: $200M (Bear) to $4.5B (Bull), Base ~$1.2B. Even Base case is ~14x DK April monthly Predictions consumer volume.</t>
  </si>
  <si>
    <t xml:space="preserve">4. Volume per customer per month is the critical assumption. Modeled at ~$1,100/customer/month based on April triangulation. Sportsbook handle/MUP is ~$1,180/month; Robins said Predictions volume per customer is HIGHER. Sensitivity to flex.</t>
  </si>
  <si>
    <t xml:space="preserve">5. Even in Bear case, window adds material customers. The asymmetric upside is the Pred-only state opportunity that has not yet been monetized.</t>
  </si>
  <si>
    <t xml:space="preserve">6. Watch points: (a) USMNT WC performance, (b) Kalshi's competing marketing intensity, (c) DK proprietary exchange launch timing (Q3 2026 per deck), (d) actual May Predictions volume print on Q2 call.</t>
  </si>
  <si>
    <t xml:space="preserve">7. Risk to bull case: Eilers shows Predictions is currently 2% of OSB-state sports volume. Even if DK doubles or triples that share organically, OSB-cohort upside is bounded.</t>
  </si>
  <si>
    <t xml:space="preserve">SOURCES</t>
  </si>
  <si>
    <t xml:space="preserve">  - DraftKings Q1 2026 Earnings Presentation (May 7, 2026), slides 5-11</t>
  </si>
  <si>
    <t xml:space="preserve">  - DraftKings Q1 2026 Earnings Call Transcript (May 8, 2026), S&amp;P Global Market Intelligence</t>
  </si>
  <si>
    <t xml:space="preserve">  - Eilers &amp; Krejcik Gaming, Prediction Markets Monitor, Published 4/28/2026 (cited in DK Q1 2026 deck slide 8)</t>
  </si>
  <si>
    <t xml:space="preserve">  - DK Q4 2025 8-K (SEC EDGAR) - prior period MUPs and ARPMUP</t>
  </si>
  <si>
    <t xml:space="preserve">  - NBA.com / Front Office Sports - 2026 NBA Playoffs viewership</t>
  </si>
  <si>
    <t xml:space="preserve">  - MVPindex - 2022 World Cup group stage US viewership</t>
  </si>
  <si>
    <t xml:space="preserve">  - Statista - 2022 World Cup avg 3.59M viewers per match on FOX</t>
  </si>
  <si>
    <t xml:space="preserve">  - Sacra company profile, Kalshi - 1.2M total users end-2025</t>
  </si>
  <si>
    <t xml:space="preserve">  - Dune Analytics @datadashboards - prediction markets dashboard April 2026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</si>
</sst>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#,##0"/>
    <numFmt numFmtId="167" formatCode="0.0%"/>
    <numFmt numFmtId="168" formatCode="0.000%"/>
    <numFmt numFmtId="169" formatCode="\$#,##0"/>
    <numFmt numFmtId="170" formatCode="\$#,##0.0"/>
    <numFmt numFmtId="171" formatCode="0.00"/>
    <numFmt numFmtId="172" formatCode="0.0"/>
    <numFmt numFmtId="173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4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52.2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customFormat="false" ht="85.05" hidden="false" customHeight="false" outlineLevel="0" collapsed="false">
      <c r="A7" s="6" t="s">
        <v>9</v>
      </c>
      <c r="B7" s="7" t="n">
        <v>11.5</v>
      </c>
      <c r="C7" s="8" t="n">
        <v>6</v>
      </c>
      <c r="D7" s="9" t="n">
        <f aca="false">B7*C7</f>
        <v>69</v>
      </c>
      <c r="E7" s="10" t="s">
        <v>10</v>
      </c>
    </row>
    <row r="8" customFormat="false" ht="85.05" hidden="false" customHeight="false" outlineLevel="0" collapsed="false">
      <c r="A8" s="6" t="s">
        <v>11</v>
      </c>
      <c r="B8" s="7" t="n">
        <v>6</v>
      </c>
      <c r="C8" s="8" t="n">
        <v>4</v>
      </c>
      <c r="D8" s="9" t="n">
        <f aca="false">B8*C8</f>
        <v>24</v>
      </c>
      <c r="E8" s="10" t="s">
        <v>12</v>
      </c>
    </row>
    <row r="9" customFormat="false" ht="74.6" hidden="false" customHeight="false" outlineLevel="0" collapsed="false">
      <c r="A9" s="6" t="s">
        <v>13</v>
      </c>
      <c r="B9" s="7" t="n">
        <v>4.5</v>
      </c>
      <c r="C9" s="8" t="n">
        <v>5</v>
      </c>
      <c r="D9" s="9" t="n">
        <f aca="false">B9*C9</f>
        <v>22.5</v>
      </c>
      <c r="E9" s="10" t="s">
        <v>14</v>
      </c>
    </row>
    <row r="10" customFormat="false" ht="74.6" hidden="false" customHeight="false" outlineLevel="0" collapsed="false">
      <c r="A10" s="6" t="s">
        <v>15</v>
      </c>
      <c r="B10" s="7" t="n">
        <v>8</v>
      </c>
      <c r="C10" s="8" t="n">
        <v>3</v>
      </c>
      <c r="D10" s="9" t="n">
        <f aca="false">B10*C10</f>
        <v>24</v>
      </c>
      <c r="E10" s="10" t="s">
        <v>16</v>
      </c>
    </row>
    <row r="11" customFormat="false" ht="74.6" hidden="false" customHeight="false" outlineLevel="0" collapsed="false">
      <c r="A11" s="6" t="s">
        <v>17</v>
      </c>
      <c r="B11" s="7" t="n">
        <v>3.6</v>
      </c>
      <c r="C11" s="8" t="n">
        <v>30</v>
      </c>
      <c r="D11" s="9" t="n">
        <f aca="false">B11*C11</f>
        <v>108</v>
      </c>
      <c r="E11" s="10" t="s">
        <v>18</v>
      </c>
    </row>
    <row r="12" customFormat="false" ht="53.7" hidden="false" customHeight="false" outlineLevel="0" collapsed="false">
      <c r="A12" s="6" t="s">
        <v>19</v>
      </c>
      <c r="B12" s="7" t="n">
        <v>6</v>
      </c>
      <c r="C12" s="8" t="n">
        <v>4</v>
      </c>
      <c r="D12" s="9" t="n">
        <f aca="false">B12*C12</f>
        <v>24</v>
      </c>
      <c r="E12" s="10" t="s">
        <v>20</v>
      </c>
    </row>
    <row r="13" customFormat="false" ht="15" hidden="false" customHeight="false" outlineLevel="0" collapsed="false">
      <c r="A13" s="11" t="s">
        <v>21</v>
      </c>
      <c r="B13" s="12"/>
      <c r="C13" s="12"/>
      <c r="D13" s="13" t="n">
        <f aca="false">SUM(D7:D12)</f>
        <v>271.5</v>
      </c>
      <c r="E13" s="12"/>
    </row>
    <row r="15" customFormat="false" ht="15" hidden="false" customHeight="false" outlineLevel="0" collapsed="false">
      <c r="A15" s="4" t="s">
        <v>22</v>
      </c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11" t="s">
        <v>23</v>
      </c>
      <c r="B16" s="11" t="s">
        <v>24</v>
      </c>
      <c r="C16" s="11" t="s">
        <v>25</v>
      </c>
    </row>
    <row r="17" customFormat="false" ht="32.8" hidden="false" customHeight="false" outlineLevel="0" collapsed="false">
      <c r="A17" s="14" t="s">
        <v>26</v>
      </c>
      <c r="B17" s="7" t="n">
        <v>260</v>
      </c>
      <c r="C17" s="10" t="s">
        <v>27</v>
      </c>
    </row>
    <row r="18" customFormat="false" ht="74.6" hidden="false" customHeight="false" outlineLevel="0" collapsed="false">
      <c r="A18" s="14" t="s">
        <v>28</v>
      </c>
      <c r="B18" s="15" t="n">
        <v>0.5</v>
      </c>
      <c r="C18" s="10" t="s">
        <v>29</v>
      </c>
    </row>
    <row r="19" customFormat="false" ht="74.6" hidden="false" customHeight="false" outlineLevel="0" collapsed="false">
      <c r="A19" s="14" t="s">
        <v>30</v>
      </c>
      <c r="B19" s="15" t="n">
        <v>0.5</v>
      </c>
      <c r="C19" s="10" t="s">
        <v>31</v>
      </c>
    </row>
    <row r="20" customFormat="false" ht="74.6" hidden="false" customHeight="false" outlineLevel="0" collapsed="false">
      <c r="A20" s="14" t="s">
        <v>32</v>
      </c>
      <c r="B20" s="15" t="n">
        <v>0.35</v>
      </c>
      <c r="C20" s="10" t="s">
        <v>33</v>
      </c>
    </row>
    <row r="22" customFormat="false" ht="15" hidden="false" customHeight="false" outlineLevel="0" collapsed="false">
      <c r="A22" s="6" t="s">
        <v>34</v>
      </c>
      <c r="B22" s="16" t="n">
        <f aca="false">D13*B20</f>
        <v>95.025</v>
      </c>
      <c r="C22" s="17" t="s">
        <v>35</v>
      </c>
    </row>
    <row r="23" customFormat="false" ht="15" hidden="false" customHeight="false" outlineLevel="0" collapsed="false">
      <c r="A23" s="14" t="s">
        <v>36</v>
      </c>
      <c r="B23" s="9" t="n">
        <f aca="false">B22*B18</f>
        <v>47.5125</v>
      </c>
      <c r="C23" s="18"/>
    </row>
    <row r="24" customFormat="false" ht="15" hidden="false" customHeight="false" outlineLevel="0" collapsed="false">
      <c r="A24" s="14" t="s">
        <v>37</v>
      </c>
      <c r="B24" s="9" t="n">
        <f aca="false">B22*B19</f>
        <v>47.5125</v>
      </c>
      <c r="C24" s="18"/>
    </row>
    <row r="26" customFormat="false" ht="15" hidden="false" customHeight="false" outlineLevel="0" collapsed="false">
      <c r="A26" s="4" t="s">
        <v>38</v>
      </c>
      <c r="B26" s="4"/>
      <c r="C26" s="4"/>
      <c r="D26" s="4"/>
      <c r="E26" s="4"/>
      <c r="F26" s="4"/>
      <c r="G26" s="4"/>
    </row>
    <row r="27" customFormat="false" ht="26.85" hidden="false" customHeight="false" outlineLevel="0" collapsed="false">
      <c r="A27" s="5" t="s">
        <v>39</v>
      </c>
      <c r="B27" s="5" t="s">
        <v>40</v>
      </c>
      <c r="C27" s="5" t="s">
        <v>41</v>
      </c>
      <c r="D27" s="5" t="s">
        <v>42</v>
      </c>
      <c r="E27" s="5" t="s">
        <v>43</v>
      </c>
      <c r="F27" s="5" t="s">
        <v>44</v>
      </c>
      <c r="G27" s="5" t="s">
        <v>45</v>
      </c>
    </row>
    <row r="28" customFormat="false" ht="15" hidden="false" customHeight="false" outlineLevel="0" collapsed="false">
      <c r="A28" s="14" t="s">
        <v>46</v>
      </c>
      <c r="B28" s="19" t="n">
        <v>0.2</v>
      </c>
      <c r="C28" s="19" t="n">
        <v>0.35</v>
      </c>
      <c r="D28" s="19" t="n">
        <v>0.5</v>
      </c>
      <c r="E28" s="19" t="n">
        <v>0.25</v>
      </c>
      <c r="F28" s="19" t="n">
        <v>0.45</v>
      </c>
      <c r="G28" s="19" t="n">
        <v>0.6</v>
      </c>
    </row>
    <row r="29" customFormat="false" ht="15" hidden="false" customHeight="false" outlineLevel="0" collapsed="false">
      <c r="A29" s="14" t="s">
        <v>47</v>
      </c>
      <c r="B29" s="19" t="n">
        <v>0.03</v>
      </c>
      <c r="C29" s="19" t="n">
        <v>0.07</v>
      </c>
      <c r="D29" s="19" t="n">
        <v>0.12</v>
      </c>
      <c r="E29" s="19" t="n">
        <v>0.08</v>
      </c>
      <c r="F29" s="19" t="n">
        <v>0.15</v>
      </c>
      <c r="G29" s="19" t="n">
        <v>0.22</v>
      </c>
    </row>
    <row r="30" customFormat="false" ht="15" hidden="false" customHeight="false" outlineLevel="0" collapsed="false">
      <c r="A30" s="14" t="s">
        <v>48</v>
      </c>
      <c r="B30" s="19" t="n">
        <v>0.05</v>
      </c>
      <c r="C30" s="19" t="n">
        <v>0.1</v>
      </c>
      <c r="D30" s="19" t="n">
        <v>0.18</v>
      </c>
      <c r="E30" s="19" t="n">
        <v>0.15</v>
      </c>
      <c r="F30" s="19" t="n">
        <v>0.25</v>
      </c>
      <c r="G30" s="19" t="n">
        <v>0.35</v>
      </c>
    </row>
    <row r="31" customFormat="false" ht="15" hidden="false" customHeight="false" outlineLevel="0" collapsed="false">
      <c r="A31" s="14" t="s">
        <v>49</v>
      </c>
      <c r="B31" s="19" t="n">
        <v>0.5</v>
      </c>
      <c r="C31" s="19" t="n">
        <v>0.6</v>
      </c>
      <c r="D31" s="19" t="n">
        <v>0.7</v>
      </c>
      <c r="E31" s="19" t="n">
        <v>0.4</v>
      </c>
      <c r="F31" s="19" t="n">
        <v>0.5</v>
      </c>
      <c r="G31" s="19" t="n">
        <v>0.6</v>
      </c>
    </row>
    <row r="32" customFormat="false" ht="30" hidden="false" customHeight="true" outlineLevel="0" collapsed="false">
      <c r="A32" s="20" t="s">
        <v>50</v>
      </c>
      <c r="B32" s="20"/>
      <c r="C32" s="20"/>
      <c r="D32" s="20"/>
      <c r="E32" s="20"/>
      <c r="F32" s="20"/>
      <c r="G32" s="20"/>
    </row>
    <row r="33" customFormat="false" ht="15" hidden="false" customHeight="false" outlineLevel="0" collapsed="false">
      <c r="A33" s="11" t="s">
        <v>51</v>
      </c>
      <c r="B33" s="21" t="n">
        <f aca="false">B28*B29*B30*B31</f>
        <v>0.00015</v>
      </c>
      <c r="C33" s="21" t="n">
        <f aca="false">C28*C29*C30*C31</f>
        <v>0.00147</v>
      </c>
      <c r="D33" s="21" t="n">
        <f aca="false">D28*D29*D30*D31</f>
        <v>0.00756</v>
      </c>
      <c r="E33" s="21" t="n">
        <f aca="false">E28*E29*E30*E31</f>
        <v>0.0012</v>
      </c>
      <c r="F33" s="21" t="n">
        <f aca="false">F28*F29*F30*F31</f>
        <v>0.0084375</v>
      </c>
      <c r="G33" s="21" t="n">
        <f aca="false">G28*G29*G30*G31</f>
        <v>0.02772</v>
      </c>
    </row>
    <row r="35" customFormat="false" ht="15" hidden="false" customHeight="false" outlineLevel="0" collapsed="false">
      <c r="A35" s="4" t="s">
        <v>52</v>
      </c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22" t="s">
        <v>53</v>
      </c>
      <c r="B36" s="22" t="s">
        <v>54</v>
      </c>
      <c r="C36" s="22" t="s">
        <v>55</v>
      </c>
      <c r="D36" s="22" t="s">
        <v>56</v>
      </c>
      <c r="E36" s="22" t="s">
        <v>57</v>
      </c>
    </row>
    <row r="37" customFormat="false" ht="43.25" hidden="false" customHeight="false" outlineLevel="0" collapsed="false">
      <c r="A37" s="6" t="s">
        <v>58</v>
      </c>
      <c r="B37" s="23" t="n">
        <f aca="false">B23*B33*1000</f>
        <v>7.126875</v>
      </c>
      <c r="C37" s="23" t="n">
        <f aca="false">B23*C33*1000</f>
        <v>69.843375</v>
      </c>
      <c r="D37" s="23" t="n">
        <f aca="false">B23*D33*1000</f>
        <v>359.1945</v>
      </c>
      <c r="E37" s="10" t="s">
        <v>59</v>
      </c>
    </row>
    <row r="38" customFormat="false" ht="43.25" hidden="false" customHeight="false" outlineLevel="0" collapsed="false">
      <c r="A38" s="6" t="s">
        <v>60</v>
      </c>
      <c r="B38" s="23" t="n">
        <f aca="false">B24*E33*1000</f>
        <v>57.015</v>
      </c>
      <c r="C38" s="23" t="n">
        <f aca="false">B24*F33*1000</f>
        <v>400.88671875</v>
      </c>
      <c r="D38" s="23" t="n">
        <f aca="false">B24*G33*1000</f>
        <v>1317.0465</v>
      </c>
      <c r="E38" s="10" t="s">
        <v>61</v>
      </c>
    </row>
    <row r="39" customFormat="false" ht="15" hidden="false" customHeight="false" outlineLevel="0" collapsed="false">
      <c r="A39" s="24" t="s">
        <v>62</v>
      </c>
      <c r="B39" s="25" t="n">
        <f aca="false">SUM(B37:B38)</f>
        <v>64.141875</v>
      </c>
      <c r="C39" s="25" t="n">
        <f aca="false">SUM(C37:C38)</f>
        <v>470.73009375</v>
      </c>
      <c r="D39" s="25" t="n">
        <f aca="false">SUM(D37:D38)</f>
        <v>1676.241</v>
      </c>
      <c r="E39" s="26"/>
    </row>
    <row r="41" customFormat="false" ht="15" hidden="false" customHeight="false" outlineLevel="0" collapsed="false">
      <c r="A41" s="27" t="s">
        <v>63</v>
      </c>
      <c r="B41" s="27"/>
      <c r="C41" s="27"/>
      <c r="D41" s="27"/>
      <c r="E41" s="27"/>
    </row>
    <row r="42" customFormat="false" ht="15" hidden="false" customHeight="false" outlineLevel="0" collapsed="false">
      <c r="A42" s="14" t="s">
        <v>64</v>
      </c>
      <c r="B42" s="7" t="n">
        <v>4.2</v>
      </c>
      <c r="C42" s="18"/>
      <c r="D42" s="18"/>
      <c r="E42" s="17" t="s">
        <v>65</v>
      </c>
    </row>
    <row r="43" customFormat="false" ht="15" hidden="false" customHeight="false" outlineLevel="0" collapsed="false">
      <c r="A43" s="14" t="s">
        <v>66</v>
      </c>
      <c r="B43" s="7" t="n">
        <v>10.5</v>
      </c>
      <c r="C43" s="18"/>
      <c r="D43" s="18"/>
      <c r="E43" s="17" t="s">
        <v>67</v>
      </c>
    </row>
    <row r="44" customFormat="false" ht="15" hidden="false" customHeight="false" outlineLevel="0" collapsed="false">
      <c r="A44" s="14" t="s">
        <v>68</v>
      </c>
      <c r="B44" s="7" t="n">
        <v>1.2</v>
      </c>
      <c r="C44" s="18"/>
      <c r="D44" s="18"/>
      <c r="E44" s="17" t="s">
        <v>69</v>
      </c>
    </row>
    <row r="45" customFormat="false" ht="15" hidden="false" customHeight="false" outlineLevel="0" collapsed="false">
      <c r="A45" s="14" t="s">
        <v>70</v>
      </c>
      <c r="B45" s="28" t="n">
        <f aca="false">C39/1000/B42</f>
        <v>0.11207859375</v>
      </c>
      <c r="C45" s="18"/>
      <c r="D45" s="18"/>
      <c r="E45" s="18"/>
    </row>
    <row r="46" customFormat="false" ht="15" hidden="false" customHeight="false" outlineLevel="0" collapsed="false">
      <c r="A46" s="14" t="s">
        <v>71</v>
      </c>
      <c r="B46" s="28" t="n">
        <f aca="false">C39/1000/B43</f>
        <v>0.0448314375</v>
      </c>
      <c r="C46" s="18"/>
      <c r="D46" s="18"/>
      <c r="E46" s="18"/>
    </row>
    <row r="47" customFormat="false" ht="15" hidden="false" customHeight="false" outlineLevel="0" collapsed="false">
      <c r="A47" s="14" t="s">
        <v>72</v>
      </c>
      <c r="B47" s="28" t="n">
        <f aca="false">C39/1000/B44</f>
        <v>0.392275078125</v>
      </c>
      <c r="C47" s="18"/>
      <c r="D47" s="18"/>
      <c r="E47" s="18"/>
    </row>
  </sheetData>
  <mergeCells count="9">
    <mergeCell ref="A1:G1"/>
    <mergeCell ref="A2:G2"/>
    <mergeCell ref="A3:G3"/>
    <mergeCell ref="A5:G5"/>
    <mergeCell ref="A15:G15"/>
    <mergeCell ref="A26:G26"/>
    <mergeCell ref="A32:G32"/>
    <mergeCell ref="A35:G35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73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" t="s">
        <v>74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75</v>
      </c>
      <c r="B4" s="4"/>
      <c r="C4" s="4"/>
      <c r="D4" s="4"/>
      <c r="E4" s="4"/>
      <c r="F4" s="4"/>
      <c r="G4" s="4"/>
    </row>
    <row r="5" customFormat="false" ht="64.15" hidden="false" customHeight="false" outlineLevel="0" collapsed="false">
      <c r="A5" s="14" t="s">
        <v>76</v>
      </c>
      <c r="B5" s="7" t="n">
        <v>83.3</v>
      </c>
      <c r="C5" s="10" t="s">
        <v>77</v>
      </c>
    </row>
    <row r="6" customFormat="false" ht="105.95" hidden="false" customHeight="false" outlineLevel="0" collapsed="false">
      <c r="A6" s="14" t="s">
        <v>78</v>
      </c>
      <c r="B6" s="7" t="n">
        <v>75</v>
      </c>
      <c r="C6" s="10" t="s">
        <v>79</v>
      </c>
    </row>
    <row r="8" customFormat="false" ht="85.05" hidden="false" customHeight="false" outlineLevel="0" collapsed="false">
      <c r="A8" s="18" t="s">
        <v>80</v>
      </c>
      <c r="B8" s="29" t="n">
        <f aca="false">B5*1000000/(B6*1000)</f>
        <v>1110.66666666667</v>
      </c>
      <c r="C8" s="10" t="s">
        <v>81</v>
      </c>
    </row>
    <row r="10" customFormat="false" ht="85.05" hidden="false" customHeight="false" outlineLevel="0" collapsed="false">
      <c r="A10" s="18" t="s">
        <v>82</v>
      </c>
      <c r="B10" s="30" t="n">
        <f aca="false">14902/3/4.2</f>
        <v>1182.69841269841</v>
      </c>
      <c r="C10" s="10" t="s">
        <v>83</v>
      </c>
    </row>
    <row r="11" customFormat="false" ht="15" hidden="false" customHeight="false" outlineLevel="0" collapsed="false">
      <c r="A11" s="18" t="s">
        <v>84</v>
      </c>
      <c r="B11" s="31" t="n">
        <f aca="false">B10*1000</f>
        <v>1182698.41269841</v>
      </c>
      <c r="C11" s="18"/>
    </row>
    <row r="13" customFormat="false" ht="15" hidden="false" customHeight="false" outlineLevel="0" collapsed="false">
      <c r="A13" s="4" t="s">
        <v>85</v>
      </c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0" t="s">
        <v>86</v>
      </c>
    </row>
    <row r="15" customFormat="false" ht="15" hidden="false" customHeight="false" outlineLevel="0" collapsed="false">
      <c r="A15" s="32" t="s">
        <v>87</v>
      </c>
    </row>
    <row r="16" customFormat="false" ht="15" hidden="false" customHeight="false" outlineLevel="0" collapsed="false">
      <c r="A16" s="18" t="s">
        <v>88</v>
      </c>
      <c r="B16" s="33" t="n">
        <v>0.75</v>
      </c>
      <c r="C16" s="17" t="s">
        <v>89</v>
      </c>
    </row>
    <row r="17" customFormat="false" ht="15" hidden="false" customHeight="false" outlineLevel="0" collapsed="false">
      <c r="A17" s="18" t="s">
        <v>90</v>
      </c>
      <c r="B17" s="33" t="n">
        <v>1.1</v>
      </c>
      <c r="C17" s="17" t="s">
        <v>91</v>
      </c>
    </row>
    <row r="18" customFormat="false" ht="15" hidden="false" customHeight="false" outlineLevel="0" collapsed="false">
      <c r="A18" s="18" t="s">
        <v>92</v>
      </c>
      <c r="B18" s="33" t="n">
        <v>1.25</v>
      </c>
      <c r="C18" s="17" t="s">
        <v>93</v>
      </c>
    </row>
    <row r="20" customFormat="false" ht="15" hidden="false" customHeight="false" outlineLevel="0" collapsed="false">
      <c r="A20" s="18" t="s">
        <v>94</v>
      </c>
      <c r="B20" s="34" t="n">
        <v>2.5</v>
      </c>
      <c r="C20" s="17" t="s">
        <v>95</v>
      </c>
    </row>
    <row r="22" customFormat="false" ht="15" hidden="false" customHeight="false" outlineLevel="0" collapsed="false">
      <c r="A22" s="4" t="s">
        <v>96</v>
      </c>
      <c r="B22" s="4"/>
      <c r="C22" s="4"/>
      <c r="D22" s="4"/>
      <c r="E22" s="4"/>
      <c r="F22" s="4"/>
      <c r="G22" s="4"/>
    </row>
    <row r="23" customFormat="false" ht="39.55" hidden="false" customHeight="false" outlineLevel="0" collapsed="false">
      <c r="A23" s="5" t="s">
        <v>97</v>
      </c>
      <c r="B23" s="5" t="s">
        <v>98</v>
      </c>
      <c r="C23" s="5" t="s">
        <v>99</v>
      </c>
      <c r="D23" s="5" t="s">
        <v>100</v>
      </c>
      <c r="E23" s="5" t="s">
        <v>101</v>
      </c>
      <c r="F23" s="5" t="s">
        <v>102</v>
      </c>
      <c r="G23" s="5" t="s">
        <v>57</v>
      </c>
    </row>
    <row r="24" customFormat="false" ht="22.35" hidden="false" customHeight="false" outlineLevel="0" collapsed="false">
      <c r="A24" s="6" t="s">
        <v>103</v>
      </c>
      <c r="B24" s="35" t="n">
        <f aca="false">'Customer Acquisition'!B39</f>
        <v>64.141875</v>
      </c>
      <c r="C24" s="31" t="n">
        <f aca="false">$B$8</f>
        <v>1110.66666666667</v>
      </c>
      <c r="D24" s="36" t="n">
        <f aca="false">$B16</f>
        <v>0.75</v>
      </c>
      <c r="E24" s="37" t="n">
        <f aca="false">$B$20</f>
        <v>2.5</v>
      </c>
      <c r="F24" s="38" t="n">
        <f aca="false">B24*1000*C24*D24*E24/1000000</f>
        <v>133.5754546875</v>
      </c>
      <c r="G24" s="10" t="s">
        <v>104</v>
      </c>
    </row>
    <row r="25" customFormat="false" ht="15" hidden="false" customHeight="false" outlineLevel="0" collapsed="false">
      <c r="A25" s="6" t="s">
        <v>105</v>
      </c>
      <c r="B25" s="35" t="n">
        <f aca="false">'Customer Acquisition'!C39</f>
        <v>470.73009375</v>
      </c>
      <c r="C25" s="31" t="n">
        <f aca="false">$B$8</f>
        <v>1110.66666666667</v>
      </c>
      <c r="D25" s="36" t="n">
        <f aca="false">$B17</f>
        <v>1.1</v>
      </c>
      <c r="E25" s="37" t="n">
        <f aca="false">$B$20</f>
        <v>2.5</v>
      </c>
      <c r="F25" s="38" t="n">
        <f aca="false">B25*1000*C25*D25*E25/1000000</f>
        <v>1437.76661634375</v>
      </c>
      <c r="G25" s="10" t="s">
        <v>106</v>
      </c>
    </row>
    <row r="26" customFormat="false" ht="22.35" hidden="false" customHeight="false" outlineLevel="0" collapsed="false">
      <c r="A26" s="6" t="s">
        <v>107</v>
      </c>
      <c r="B26" s="35" t="n">
        <f aca="false">'Customer Acquisition'!D39</f>
        <v>1676.241</v>
      </c>
      <c r="C26" s="31" t="n">
        <f aca="false">$B$8</f>
        <v>1110.66666666667</v>
      </c>
      <c r="D26" s="36" t="n">
        <f aca="false">$B18</f>
        <v>1.25</v>
      </c>
      <c r="E26" s="37" t="n">
        <f aca="false">$B$20</f>
        <v>2.5</v>
      </c>
      <c r="F26" s="38" t="n">
        <f aca="false">B26*1000*C26*D26*E26/1000000</f>
        <v>5817.9531375</v>
      </c>
      <c r="G26" s="10" t="s">
        <v>108</v>
      </c>
    </row>
    <row r="28" customFormat="false" ht="15" hidden="false" customHeight="false" outlineLevel="0" collapsed="false">
      <c r="A28" s="27" t="s">
        <v>109</v>
      </c>
      <c r="B28" s="27"/>
      <c r="C28" s="27"/>
      <c r="D28" s="27"/>
      <c r="E28" s="27"/>
      <c r="F28" s="27"/>
      <c r="G28" s="27"/>
    </row>
    <row r="29" customFormat="false" ht="15" hidden="false" customHeight="false" outlineLevel="0" collapsed="false">
      <c r="A29" s="18" t="s">
        <v>110</v>
      </c>
      <c r="B29" s="39" t="n">
        <v>83.3</v>
      </c>
      <c r="C29" s="17" t="s">
        <v>111</v>
      </c>
    </row>
    <row r="30" customFormat="false" ht="15" hidden="false" customHeight="false" outlineLevel="0" collapsed="false">
      <c r="A30" s="18" t="s">
        <v>112</v>
      </c>
      <c r="B30" s="31" t="n">
        <f aca="false">B29*12</f>
        <v>999.6</v>
      </c>
      <c r="C30" s="17" t="s">
        <v>113</v>
      </c>
    </row>
    <row r="31" customFormat="false" ht="15" hidden="false" customHeight="false" outlineLevel="0" collapsed="false">
      <c r="A31" s="32" t="s">
        <v>114</v>
      </c>
    </row>
    <row r="32" customFormat="false" ht="15" hidden="false" customHeight="false" outlineLevel="0" collapsed="false">
      <c r="A32" s="18" t="s">
        <v>115</v>
      </c>
      <c r="B32" s="40" t="n">
        <f aca="false">F24/B29</f>
        <v>1.603546875</v>
      </c>
      <c r="C32" s="17" t="s">
        <v>116</v>
      </c>
    </row>
    <row r="33" customFormat="false" ht="15" hidden="false" customHeight="false" outlineLevel="0" collapsed="false">
      <c r="A33" s="18" t="s">
        <v>117</v>
      </c>
      <c r="B33" s="40" t="n">
        <f aca="false">F25/B29</f>
        <v>17.2601034375</v>
      </c>
      <c r="C33" s="18"/>
    </row>
    <row r="34" customFormat="false" ht="15" hidden="false" customHeight="false" outlineLevel="0" collapsed="false">
      <c r="A34" s="18" t="s">
        <v>118</v>
      </c>
      <c r="B34" s="40" t="n">
        <f aca="false">F26/B29</f>
        <v>69.843375</v>
      </c>
      <c r="C34" s="18"/>
    </row>
    <row r="36" customFormat="false" ht="15" hidden="false" customHeight="false" outlineLevel="0" collapsed="false">
      <c r="A36" s="27" t="s">
        <v>119</v>
      </c>
      <c r="B36" s="27"/>
      <c r="C36" s="27"/>
      <c r="D36" s="27"/>
      <c r="E36" s="27"/>
      <c r="F36" s="27"/>
      <c r="G36" s="27"/>
    </row>
    <row r="37" customFormat="false" ht="15" hidden="false" customHeight="false" outlineLevel="0" collapsed="false">
      <c r="A37" s="18" t="s">
        <v>120</v>
      </c>
      <c r="B37" s="41" t="n">
        <v>14807.8</v>
      </c>
      <c r="C37" s="17" t="s">
        <v>121</v>
      </c>
    </row>
    <row r="38" customFormat="false" ht="15" hidden="false" customHeight="false" outlineLevel="0" collapsed="false">
      <c r="A38" s="32" t="s">
        <v>122</v>
      </c>
    </row>
    <row r="39" customFormat="false" ht="15" hidden="false" customHeight="false" outlineLevel="0" collapsed="false">
      <c r="A39" s="18" t="s">
        <v>115</v>
      </c>
      <c r="B39" s="28" t="n">
        <f aca="false">F24/B37</f>
        <v>0.00902061445234944</v>
      </c>
      <c r="C39" s="18"/>
    </row>
    <row r="40" customFormat="false" ht="15" hidden="false" customHeight="false" outlineLevel="0" collapsed="false">
      <c r="A40" s="18" t="s">
        <v>117</v>
      </c>
      <c r="B40" s="28" t="n">
        <f aca="false">F25/B37</f>
        <v>0.0970952211904368</v>
      </c>
      <c r="C40" s="18"/>
    </row>
    <row r="41" customFormat="false" ht="15" hidden="false" customHeight="false" outlineLevel="0" collapsed="false">
      <c r="A41" s="18" t="s">
        <v>118</v>
      </c>
      <c r="B41" s="28" t="n">
        <f aca="false">F26/B37</f>
        <v>0.392897873924553</v>
      </c>
      <c r="C41" s="18"/>
    </row>
    <row r="43" customFormat="false" ht="15" hidden="false" customHeight="false" outlineLevel="0" collapsed="false">
      <c r="A43" s="4" t="s">
        <v>123</v>
      </c>
      <c r="B43" s="4"/>
      <c r="C43" s="4"/>
      <c r="D43" s="4"/>
      <c r="E43" s="4"/>
      <c r="F43" s="4"/>
      <c r="G43" s="4"/>
    </row>
    <row r="44" customFormat="false" ht="31.5" hidden="false" customHeight="true" outlineLevel="0" collapsed="false">
      <c r="A44" s="42" t="s">
        <v>124</v>
      </c>
      <c r="B44" s="42"/>
      <c r="C44" s="42"/>
      <c r="D44" s="42"/>
      <c r="E44" s="42"/>
      <c r="F44" s="42"/>
      <c r="G44" s="42"/>
    </row>
    <row r="45" customFormat="false" ht="31.5" hidden="false" customHeight="true" outlineLevel="0" collapsed="false">
      <c r="A45" s="42" t="s">
        <v>125</v>
      </c>
      <c r="B45" s="42"/>
      <c r="C45" s="42"/>
      <c r="D45" s="42"/>
      <c r="E45" s="42"/>
      <c r="F45" s="42"/>
      <c r="G45" s="42"/>
    </row>
    <row r="46" customFormat="false" ht="31.5" hidden="false" customHeight="true" outlineLevel="0" collapsed="false">
      <c r="A46" s="42" t="s">
        <v>126</v>
      </c>
      <c r="B46" s="42"/>
      <c r="C46" s="42"/>
      <c r="D46" s="42"/>
      <c r="E46" s="42"/>
      <c r="F46" s="42"/>
      <c r="G46" s="42"/>
    </row>
    <row r="47" customFormat="false" ht="31.5" hidden="false" customHeight="true" outlineLevel="0" collapsed="false">
      <c r="A47" s="42" t="s">
        <v>127</v>
      </c>
      <c r="B47" s="42"/>
      <c r="C47" s="42"/>
      <c r="D47" s="42"/>
      <c r="E47" s="42"/>
      <c r="F47" s="42"/>
      <c r="G47" s="42"/>
    </row>
    <row r="48" customFormat="false" ht="31.5" hidden="false" customHeight="true" outlineLevel="0" collapsed="false">
      <c r="A48" s="42" t="s">
        <v>128</v>
      </c>
      <c r="B48" s="42"/>
      <c r="C48" s="42"/>
      <c r="D48" s="42"/>
      <c r="E48" s="42"/>
      <c r="F48" s="42"/>
      <c r="G48" s="42"/>
    </row>
    <row r="49" customFormat="false" ht="31.5" hidden="false" customHeight="true" outlineLevel="0" collapsed="false">
      <c r="A49" s="42" t="s">
        <v>129</v>
      </c>
      <c r="B49" s="42"/>
      <c r="C49" s="42"/>
      <c r="D49" s="42"/>
      <c r="E49" s="42"/>
      <c r="F49" s="42"/>
      <c r="G49" s="42"/>
    </row>
    <row r="50" customFormat="false" ht="31.5" hidden="false" customHeight="true" outlineLevel="0" collapsed="false">
      <c r="A50" s="42" t="s">
        <v>130</v>
      </c>
      <c r="B50" s="42"/>
      <c r="C50" s="42"/>
      <c r="D50" s="42"/>
      <c r="E50" s="42"/>
      <c r="F50" s="42"/>
      <c r="G50" s="42"/>
    </row>
    <row r="53" customFormat="false" ht="15" hidden="false" customHeight="false" outlineLevel="0" collapsed="false">
      <c r="A53" s="43" t="s">
        <v>131</v>
      </c>
    </row>
    <row r="54" customFormat="false" ht="15" hidden="false" customHeight="false" outlineLevel="0" collapsed="false">
      <c r="A54" s="44" t="s">
        <v>132</v>
      </c>
      <c r="B54" s="44"/>
      <c r="C54" s="44"/>
      <c r="D54" s="44"/>
      <c r="E54" s="44"/>
      <c r="F54" s="44"/>
      <c r="G54" s="44"/>
    </row>
    <row r="55" customFormat="false" ht="15" hidden="false" customHeight="false" outlineLevel="0" collapsed="false">
      <c r="A55" s="44" t="s">
        <v>133</v>
      </c>
      <c r="B55" s="44"/>
      <c r="C55" s="44"/>
      <c r="D55" s="44"/>
      <c r="E55" s="44"/>
      <c r="F55" s="44"/>
      <c r="G55" s="44"/>
    </row>
    <row r="56" customFormat="false" ht="15" hidden="false" customHeight="false" outlineLevel="0" collapsed="false">
      <c r="A56" s="44" t="s">
        <v>134</v>
      </c>
      <c r="B56" s="44"/>
      <c r="C56" s="44"/>
      <c r="D56" s="44"/>
      <c r="E56" s="44"/>
      <c r="F56" s="44"/>
      <c r="G56" s="44"/>
    </row>
    <row r="57" customFormat="false" ht="15" hidden="false" customHeight="false" outlineLevel="0" collapsed="false">
      <c r="A57" s="44" t="s">
        <v>135</v>
      </c>
      <c r="B57" s="44"/>
      <c r="C57" s="44"/>
      <c r="D57" s="44"/>
      <c r="E57" s="44"/>
      <c r="F57" s="44"/>
      <c r="G57" s="44"/>
    </row>
    <row r="58" customFormat="false" ht="15" hidden="false" customHeight="false" outlineLevel="0" collapsed="false">
      <c r="A58" s="44" t="s">
        <v>136</v>
      </c>
      <c r="B58" s="44"/>
      <c r="C58" s="44"/>
      <c r="D58" s="44"/>
      <c r="E58" s="44"/>
      <c r="F58" s="44"/>
      <c r="G58" s="44"/>
    </row>
    <row r="59" customFormat="false" ht="15" hidden="false" customHeight="false" outlineLevel="0" collapsed="false">
      <c r="A59" s="44" t="s">
        <v>137</v>
      </c>
      <c r="B59" s="44"/>
      <c r="C59" s="44"/>
      <c r="D59" s="44"/>
      <c r="E59" s="44"/>
      <c r="F59" s="44"/>
      <c r="G59" s="44"/>
    </row>
    <row r="60" customFormat="false" ht="15" hidden="false" customHeight="false" outlineLevel="0" collapsed="false">
      <c r="A60" s="44" t="s">
        <v>138</v>
      </c>
      <c r="B60" s="44"/>
      <c r="C60" s="44"/>
      <c r="D60" s="44"/>
      <c r="E60" s="44"/>
      <c r="F60" s="44"/>
      <c r="G60" s="44"/>
    </row>
    <row r="61" customFormat="false" ht="15" hidden="false" customHeight="false" outlineLevel="0" collapsed="false">
      <c r="A61" s="44" t="s">
        <v>139</v>
      </c>
      <c r="B61" s="44"/>
      <c r="C61" s="44"/>
      <c r="D61" s="44"/>
      <c r="E61" s="44"/>
      <c r="F61" s="44"/>
      <c r="G61" s="44"/>
    </row>
    <row r="62" customFormat="false" ht="15" hidden="false" customHeight="false" outlineLevel="0" collapsed="false">
      <c r="A62" s="44" t="s">
        <v>140</v>
      </c>
      <c r="B62" s="44"/>
      <c r="C62" s="44"/>
      <c r="D62" s="44"/>
      <c r="E62" s="44"/>
      <c r="F62" s="44"/>
      <c r="G62" s="44"/>
    </row>
  </sheetData>
  <mergeCells count="24">
    <mergeCell ref="A1:G1"/>
    <mergeCell ref="A2:G2"/>
    <mergeCell ref="A4:G4"/>
    <mergeCell ref="A13:G13"/>
    <mergeCell ref="A22:G22"/>
    <mergeCell ref="A28:G28"/>
    <mergeCell ref="A36:G36"/>
    <mergeCell ref="A43:G43"/>
    <mergeCell ref="A44:G44"/>
    <mergeCell ref="A45:G45"/>
    <mergeCell ref="A46:G46"/>
    <mergeCell ref="A47:G47"/>
    <mergeCell ref="A48:G48"/>
    <mergeCell ref="A49:G49"/>
    <mergeCell ref="A50:G50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2026-05-08T18:53:40Z</dcterms:created>
  <dc:creator>openpyxl</dc:creator>
  <dc:description/>
  <dc:language>en-US</dc:language>
  <cp:lastModifiedBy/>
  <dcterms:modified xsi:type="dcterms:W3CDTF">2026-05-08T18:53:40Z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