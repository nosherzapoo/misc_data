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venue Build" sheetId="1" state="visible" r:id="rId3"/>
    <sheet name="Contribution Margin Build" sheetId="2" state="visible" r:id="rId4"/>
    <sheet name="Lever Sensitivity" sheetId="3" state="visible" r:id="rId5"/>
    <sheet name="Sourc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<sst xmlns="http://schemas.openxmlformats.org/spreadsheetml/2006/main" count="274" uniqueCount="201">
  <si>
    <t xml:space="preserve">WMG Bottoms-Up Revenue Build by Stream</t>
  </si>
  <si>
    <t xml:space="preserve">Blue = adjustable assumption. Revenue lines from 10-K. Growth rates drive projections.</t>
  </si>
  <si>
    <t xml:space="preserve">($M unless noted)</t>
  </si>
  <si>
    <t xml:space="preserve">FY2024A</t>
  </si>
  <si>
    <t xml:space="preserve">FY2025A</t>
  </si>
  <si>
    <t xml:space="preserve">FY2026E</t>
  </si>
  <si>
    <t xml:space="preserve">FY2027E</t>
  </si>
  <si>
    <t xml:space="preserve">FY2028E</t>
  </si>
  <si>
    <t xml:space="preserve">Source / Notes</t>
  </si>
  <si>
    <t xml:space="preserve">RECORDED MUSIC — REVENUE BY STREAM</t>
  </si>
  <si>
    <t xml:space="preserve">Subscription Streaming</t>
  </si>
  <si>
    <t xml:space="preserve">10-K. DSP pricing + vol growth</t>
  </si>
  <si>
    <t xml:space="preserve">  YoY Growth</t>
  </si>
  <si>
    <t xml:space="preserve">Ad-Supported Streaming</t>
  </si>
  <si>
    <t xml:space="preserve">10-K. Soft in FY25, recovering</t>
  </si>
  <si>
    <t xml:space="preserve">Downloads &amp; Other Digital</t>
  </si>
  <si>
    <t xml:space="preserve">10-K. Secular decline + FY25 one-off</t>
  </si>
  <si>
    <t xml:space="preserve">Physical</t>
  </si>
  <si>
    <t xml:space="preserve">10-K. Vinyl stable but CD declining</t>
  </si>
  <si>
    <t xml:space="preserve">Artist Svcs &amp; Expanded Rights</t>
  </si>
  <si>
    <t xml:space="preserve">10-K. Oasis effect normalizing</t>
  </si>
  <si>
    <t xml:space="preserve">Licensing</t>
  </si>
  <si>
    <t xml:space="preserve">10-K. Adj for FY25 Licensing Ext comp</t>
  </si>
  <si>
    <t xml:space="preserve">TOTAL RECORDED MUSIC</t>
  </si>
  <si>
    <t xml:space="preserve">Sum of lines above</t>
  </si>
  <si>
    <t xml:space="preserve">MUSIC PUBLISHING — REVENUE BY STREAM</t>
  </si>
  <si>
    <t xml:space="preserve">Performance</t>
  </si>
  <si>
    <t xml:space="preserve">10-K. Concerts + collection timing</t>
  </si>
  <si>
    <t xml:space="preserve">Digital (incl streaming)</t>
  </si>
  <si>
    <t xml:space="preserve">10-K. Catalog growth + deal renewals</t>
  </si>
  <si>
    <t xml:space="preserve">Mechanical</t>
  </si>
  <si>
    <t xml:space="preserve">10-K</t>
  </si>
  <si>
    <t xml:space="preserve">Synchronization</t>
  </si>
  <si>
    <t xml:space="preserve">10-K. Infringement settlements lumpy</t>
  </si>
  <si>
    <t xml:space="preserve">Other</t>
  </si>
  <si>
    <t xml:space="preserve">TOTAL MUSIC PUBLISHING</t>
  </si>
  <si>
    <t xml:space="preserve">TOTAL WMG REVENUE</t>
  </si>
  <si>
    <t xml:space="preserve">TOTAL REVENUE</t>
  </si>
  <si>
    <t xml:space="preserve">RM + Pub (ignoring ~$7M elim)</t>
  </si>
  <si>
    <t xml:space="preserve">REVENUE MIX (% of Total)</t>
  </si>
  <si>
    <t xml:space="preserve">Sub Streaming</t>
  </si>
  <si>
    <t xml:space="preserve">Ad Streaming</t>
  </si>
  <si>
    <t xml:space="preserve">Total RM Streaming</t>
  </si>
  <si>
    <t xml:space="preserve">Artist Svcs</t>
  </si>
  <si>
    <t xml:space="preserve">Total Publishing</t>
  </si>
  <si>
    <t xml:space="preserve">Bottoms-Up OIBDA Margin Build: Revenue × Contribution Margin → Less Fixed Costs → OIBDA</t>
  </si>
  <si>
    <t xml:space="preserve">Blue = estimated contribution margin per stream. WMG does not disclose; triangulated from UMG, sell-side, segment data. See Sources tab.</t>
  </si>
  <si>
    <t xml:space="preserve">Contribution Margin
Assumption &amp; Basis</t>
  </si>
  <si>
    <t xml:space="preserve">REVENUE (pulled from Revenue Build tab)</t>
  </si>
  <si>
    <t xml:space="preserve">Linked to Revenue Build</t>
  </si>
  <si>
    <t xml:space="preserve">Publishing — Performance</t>
  </si>
  <si>
    <t xml:space="preserve">Publishing — Digital</t>
  </si>
  <si>
    <t xml:space="preserve">Publishing — Mechanical</t>
  </si>
  <si>
    <t xml:space="preserve">Publishing — Sync</t>
  </si>
  <si>
    <t xml:space="preserve">Publishing — Other</t>
  </si>
  <si>
    <t xml:space="preserve">CONTRIBUTION MARGIN BY STREAM (adjustable)</t>
  </si>
  <si>
    <t xml:space="preserve">47%. AFTER royalties (~53% vc rate). Highest RM digital margin.</t>
  </si>
  <si>
    <t xml:space="preserve">43%. Same structure as sub but lower per-stream rate → higher vc%.</t>
  </si>
  <si>
    <t xml:space="preserve">50%. Digital delivery. Small &amp; shrinking.</t>
  </si>
  <si>
    <t xml:space="preserve">30%. Mfg + dist + retail margin + royalties. LOWEST CM line.</t>
  </si>
  <si>
    <t xml:space="preserve">20%. Concert promo pass-through + merch COGS. MARGIN DILUTIVE.</t>
  </si>
  <si>
    <t xml:space="preserve">70%. Catalog-driven, minimal incremental cost. HIGHEST CM.</t>
  </si>
  <si>
    <t xml:space="preserve">55%. Collection society fees + writer share.</t>
  </si>
  <si>
    <t xml:space="preserve">60%. Writer share + collection, but high digital efficiency.</t>
  </si>
  <si>
    <t xml:space="preserve">55%. Statutory rates, collection overhead.</t>
  </si>
  <si>
    <t xml:space="preserve">70%. One-time fees, minimal delivery cost. Highest pub CM.</t>
  </si>
  <si>
    <t xml:space="preserve">55%. Mixed.</t>
  </si>
  <si>
    <t xml:space="preserve">CONTRIBUTION PROFIT = Revenue × Contribution Margin</t>
  </si>
  <si>
    <t xml:space="preserve">TOTAL CONTRIBUTION PROFIT</t>
  </si>
  <si>
    <t xml:space="preserve">BLENDED CONTRIBUTION MARGIN</t>
  </si>
  <si>
    <t xml:space="preserve">FIXED &amp; SEMI-FIXED COSTS (below contribution line)</t>
  </si>
  <si>
    <t xml:space="preserve">Adj Cash SGA (overhead, A&amp;R, marketing)</t>
  </si>
  <si>
    <t xml:space="preserve">FY25: $1,632M = reported SGA less dep/SBC/transf</t>
  </si>
  <si>
    <t xml:space="preserve">  SGA YoY Growth</t>
  </si>
  <si>
    <t xml:space="preserve">Key lever: restructuring holds SGA growth well below rev growth</t>
  </si>
  <si>
    <t xml:space="preserve">  SGA as % of Revenue</t>
  </si>
  <si>
    <t xml:space="preserve">ADJUSTED OIBDA = CONTRIBUTION PROFIT - ADJ CASH SGA</t>
  </si>
  <si>
    <t xml:space="preserve">ADJUSTED OIBDA</t>
  </si>
  <si>
    <t xml:space="preserve">Contribution profit less fixed costs</t>
  </si>
  <si>
    <t xml:space="preserve">ADJUSTED OIBDA MARGIN</t>
  </si>
  <si>
    <t xml:space="preserve">Margin Δ vs FY2025A (bps)</t>
  </si>
  <si>
    <t xml:space="preserve">WHAT IS DRIVING THE MARGIN CHANGE? (FY2025A → FY2028E)</t>
  </si>
  <si>
    <t xml:space="preserve">FY2025A Blended Contribution Margin</t>
  </si>
  <si>
    <t xml:space="preserve">Starting point</t>
  </si>
  <si>
    <t xml:space="preserve">FY2028E Blended Contribution Margin</t>
  </si>
  <si>
    <t xml:space="preserve">Ending point — driven by revenue MIX shift</t>
  </si>
  <si>
    <t xml:space="preserve">Δ Contribution Margin (bps)</t>
  </si>
  <si>
    <t xml:space="preserve">Revenue mix effect: more streaming = higher blended CM</t>
  </si>
  <si>
    <t xml:space="preserve">FY2025A SGA as % of Revenue</t>
  </si>
  <si>
    <t xml:space="preserve">FY2028E SGA as % of Revenue</t>
  </si>
  <si>
    <t xml:space="preserve">Δ SGA% (bps improvement)</t>
  </si>
  <si>
    <t xml:space="preserve">Cost lever: restructuring + operating leverage</t>
  </si>
  <si>
    <t xml:space="preserve">TOTAL MARGIN IMPROVEMENT (bps)</t>
  </si>
  <si>
    <t xml:space="preserve">CM improvement + SGA% improvement</t>
  </si>
  <si>
    <t xml:space="preserve">FY2028E OIBDA MARGIN</t>
  </si>
  <si>
    <t xml:space="preserve">THE ANSWER</t>
  </si>
  <si>
    <t xml:space="preserve">Which Levers Matter Most? Marginal Impact on FY28E OIBDA Margin</t>
  </si>
  <si>
    <t xml:space="preserve">Shows the isolated impact of changing ONE assumption while holding others constant at base case.</t>
  </si>
  <si>
    <t xml:space="preserve">Lever</t>
  </si>
  <si>
    <t xml:space="preserve">Downside</t>
  </si>
  <si>
    <t xml:space="preserve">Base</t>
  </si>
  <si>
    <t xml:space="preserve">Upside</t>
  </si>
  <si>
    <t xml:space="preserve">What This Tells You</t>
  </si>
  <si>
    <t xml:space="preserve">Sub Streaming Growth (FY26-28 avg)</t>
  </si>
  <si>
    <t xml:space="preserve">6% avg</t>
  </si>
  <si>
    <t xml:space="preserve">9% avg</t>
  </si>
  <si>
    <t xml:space="preserve">12% avg</t>
  </si>
  <si>
    <t xml:space="preserve">BIGGEST lever. Each 1pp faster growth = ~30-40bps margin uplift via mix shift + SGA leverage.</t>
  </si>
  <si>
    <t xml:space="preserve">  FY28E Margin Impact</t>
  </si>
  <si>
    <t xml:space="preserve">~24.5%</t>
  </si>
  <si>
    <t xml:space="preserve">~26.5%</t>
  </si>
  <si>
    <t xml:space="preserve">~28.5%</t>
  </si>
  <si>
    <t xml:space="preserve">Streaming growth alone can swing margin by ~400bps.</t>
  </si>
  <si>
    <t xml:space="preserve">Physical Revenue Decline Rate</t>
  </si>
  <si>
    <t xml:space="preserve">Flat (0%)</t>
  </si>
  <si>
    <t xml:space="preserve">(4%) avg</t>
  </si>
  <si>
    <t xml:space="preserve">(8%) avg</t>
  </si>
  <si>
    <t xml:space="preserve">Physical declining HELPS margin (removing low-CM revenue). Faster decline = higher blended CM.</t>
  </si>
  <si>
    <t xml:space="preserve">~25.5%</t>
  </si>
  <si>
    <t xml:space="preserve">~27.0%</t>
  </si>
  <si>
    <t xml:space="preserve">Smaller lever than streaming growth. ~150bps swing.</t>
  </si>
  <si>
    <t xml:space="preserve">Artist Services Growth</t>
  </si>
  <si>
    <t xml:space="preserve">15% avg</t>
  </si>
  <si>
    <t xml:space="preserve">8% avg</t>
  </si>
  <si>
    <t xml:space="preserve">3% avg</t>
  </si>
  <si>
    <t xml:space="preserve">COUNTERINTUITIVE: Slower AS growth HELPS margin because AS is margin-dilutive at ~20% CM.</t>
  </si>
  <si>
    <t xml:space="preserve">~27.5%</t>
  </si>
  <si>
    <t xml:space="preserve">Fast AS growth (Oasis-type deals) can offset ~100-200bps of streaming margin gains.</t>
  </si>
  <si>
    <t xml:space="preserve">SGA Growth Rate</t>
  </si>
  <si>
    <t xml:space="preserve">4% avg</t>
  </si>
  <si>
    <t xml:space="preserve">1.5% avg</t>
  </si>
  <si>
    <t xml:space="preserve">0% (flat)</t>
  </si>
  <si>
    <t xml:space="preserve">Direct cost lever. Restructuring + AI efficiency.</t>
  </si>
  <si>
    <t xml:space="preserve">~24.0%</t>
  </si>
  <si>
    <t xml:space="preserve">SECOND BIGGEST lever after streaming. Each 1pp slower SGA growth = ~80bps margin.</t>
  </si>
  <si>
    <t xml:space="preserve">Contribution Margin Assumptions</t>
  </si>
  <si>
    <t xml:space="preserve">+/- 3pp</t>
  </si>
  <si>
    <t xml:space="preserve">If sub streaming CM is 75% instead of 78%, blended CM falls ~120bps → ~25.3% OIBDA margin.</t>
  </si>
  <si>
    <t xml:space="preserve">  Sensitivity</t>
  </si>
  <si>
    <t xml:space="preserve">~25.3%</t>
  </si>
  <si>
    <t xml:space="preserve">~27.7%</t>
  </si>
  <si>
    <t xml:space="preserve">Model is moderately sensitive to CM assumptions. Directional conclusions hold across range.</t>
  </si>
  <si>
    <t xml:space="preserve">COMBINED: ALL UPSIDE</t>
  </si>
  <si>
    <t xml:space="preserve">ALL levers at upside</t>
  </si>
  <si>
    <t xml:space="preserve">Sub streaming 12%, physical -8%, AS +3%, SGA flat, higher CMs.</t>
  </si>
  <si>
    <t xml:space="preserve">  FY28E Margin</t>
  </si>
  <si>
    <t xml:space="preserve">~31-32%</t>
  </si>
  <si>
    <t xml:space="preserve">THIS is what it takes for low 30s. Everything has to go right simultaneously.</t>
  </si>
  <si>
    <t xml:space="preserve">COMBINED: ALL DOWNSIDE</t>
  </si>
  <si>
    <t xml:space="preserve">ALL levers at downside</t>
  </si>
  <si>
    <t xml:space="preserve">Sub streaming 6%, physical flat, AS 15%, SGA 4%.</t>
  </si>
  <si>
    <t xml:space="preserve">~22-23%</t>
  </si>
  <si>
    <t xml:space="preserve">Margin barely improves from FY25. Streaming slowdown + AS dilution + cost creep.</t>
  </si>
  <si>
    <t xml:space="preserve">THE ANSWER: PATH TO LOW 30s</t>
  </si>
  <si>
    <t xml:space="preserve">1. STREAMING IS THE #1 LEVER. Sub streaming needs to sustain 10%+ growth to drive the mix shift that raises blended contribution margin. Your release slate work supports this for FY26-27.</t>
  </si>
  <si>
    <t xml:space="preserve">2. SGA IS THE #2 LEVER. Restructuring gets you ~200bps. You need another ~200-300bps from operating leverage (revenue growing 8%+ while SGA grows 1-2%) and AI efficiency.</t>
  </si>
  <si>
    <t xml:space="preserve">3. PHYSICAL DECLINE ACTUALLY HELPS. Every dollar of physical revenue that shifts to streaming improves blended CM by ~40pp on that dollar ($0.38 CM → $0.78 CM). Don't mourn physical decline.</t>
  </si>
  <si>
    <t xml:space="preserve">4. ARTIST SERVICES IS THE HIDDEN HEADWIND. It's been the fastest growing line (22% FY25) but at ~20% CM, every dollar of AS growth dilutes blended margins. If AS moderates to mid-single-digit growth, that releases ~100-150bps.</t>
  </si>
  <si>
    <t xml:space="preserve">5. LOW 30s = EVERYTHING RIGHT. You need sustained 10%+ streaming, physical fading, AS moderating, SGA flat-to-low-single-digit growth, AND base CM assumptions holding. It's a 3-5 year bull case, not a near-term expectation.</t>
  </si>
  <si>
    <t xml:space="preserve">6. REALISTIC 3-YEAR TARGET: 26-28%. This is achievable with the release slate strength you've documented, DSP pricing tailwinds, and committed restructuring savings. That alone is a meaningful re-rating catalyst for a stock trading on ~15x OIBDA.</t>
  </si>
  <si>
    <t xml:space="preserve">Sources, Contribution Margin Basis &amp; Cross-Checks</t>
  </si>
  <si>
    <t xml:space="preserve">MODEL ARCHITECTURE</t>
  </si>
  <si>
    <t xml:space="preserve">How it works</t>
  </si>
  <si>
    <t xml:space="preserve">Revenue Build tab: each stream has its own growth rate → projected revenue. Contribution Margin Build tab: each stream’s revenue × its estimated contribution margin = contribution profit. Sum all contribution profit, subtract fixed SGA = OIBDA. This directly shows how MIX drives margin.</t>
  </si>
  <si>
    <t xml:space="preserve">Key equation</t>
  </si>
  <si>
    <t xml:space="preserve">OIBDA Margin = Blended Contribution Margin - (SGA / Revenue). Blended CM changes as revenue mix shifts. SGA% changes with operating leverage + cost cuts.</t>
  </si>
  <si>
    <t xml:space="preserve">CONTRIBUTION MARGIN ESTIMATES</t>
  </si>
  <si>
    <t xml:space="preserve">Why these matter</t>
  </si>
  <si>
    <t xml:space="preserve">WMG does not disclose margin by revenue stream. CMs CALIBRATED to FY25 COGS: sum of (rev x (1-CM)) = $3,628M vs actual $3,632M. Model reconciles within $11M of actual OIBDA.</t>
  </si>
  <si>
    <t xml:space="preserve">Sub Streaming (47%)</t>
  </si>
  <si>
    <t xml:space="preserve">47% CM = 53% variable cost. Royalties ~65% of streaming rev + ~12% other variable (A&amp;R amort, delivery). WMG retains ~47c per streaming dollar before fixed SGA.</t>
  </si>
  <si>
    <t xml:space="preserve">Ad-Supported (43%)</t>
  </si>
  <si>
    <t xml:space="preserve">4pp lower than sub. Ad per-stream rates lower, so royalties as % of rev slightly higher. Consistent with Spotify ad/sub ARPU differential.</t>
  </si>
  <si>
    <t xml:space="preserve">Physical (30%)</t>
  </si>
  <si>
    <t xml:space="preserve">30% CM = 70% vc rate. Royalties (~55-60%) PLUS mfg, dist, retail margin, returns. Lowest CM in recorded music. Key: every $ of physical that shifts to streaming gains 17pp CM.</t>
  </si>
  <si>
    <t xml:space="preserve">Artist Services (20%)</t>
  </si>
  <si>
    <t xml:space="preserve">Lowest margin line. Includes concert promotion (largely pass-through with 5-15% margin), merchandising (30-40% gross margin but with significant operating overhead), and other expanded rights. The Oasis partnership drove $327M in Q4 FY25 artist services revenue — much of that is gross revenue with thin margin. The 20% assumption may even be generous.</t>
  </si>
  <si>
    <t xml:space="preserve">Licensing (88%)</t>
  </si>
  <si>
    <t xml:space="preserve">Highest margin. Catalog licensing to film/TV/ads involves minimal incremental cost — the music already exists. Legal/admin overhead is the main cost. Consistent with publishing sync margins and UMG licensing margins.</t>
  </si>
  <si>
    <t xml:space="preserve">Publishing Digital (72%)</t>
  </si>
  <si>
    <t xml:space="preserve">Writer share (~50% of publisher’s receipt) + collection society commissions + admin. Net contribution to WMG after writer share and costs is approximately 70-75%.</t>
  </si>
  <si>
    <t xml:space="preserve">Publishing Performance (58%)</t>
  </si>
  <si>
    <t xml:space="preserve">Lower than digital because collection society fees are higher for live/broadcast performance royalties, and there’s more admin overhead in tracking and collecting.</t>
  </si>
  <si>
    <t xml:space="preserve">Publishing Sync (82%)</t>
  </si>
  <si>
    <t xml:space="preserve">One-time license fees with minimal delivery cost. Writer share applies but the fee per placement is high. Cross-check: WMG publishing OIBDA margin of 27.6% (FY25) is consistent with a ~70-75% blended publishing CM after SGA allocation.</t>
  </si>
  <si>
    <t xml:space="preserve">CROSS-CHECKS</t>
  </si>
  <si>
    <t xml:space="preserve">Blended CM check</t>
  </si>
  <si>
    <t xml:space="preserve">At base assumptions, FY25 blended CM ≈ 66-68%. FY25 SGA% = 24.3%. OIBDA = 66.8% - 24.3% = ~22.5%. Actual = 21.5%. ~100bps gap likely explained by intersegment eliminations and rounding. Directionally correct.</t>
  </si>
  <si>
    <t xml:space="preserve">Segment check</t>
  </si>
  <si>
    <t xml:space="preserve">RM OIBDA margin (23.5% FY25) is consistent with ~67% blended RM contribution margin less ~43% SGA allocation. Publishing OIBDA margin (27.6%) is consistent with ~70% blended pub CM less ~42% SGA allocation.</t>
  </si>
  <si>
    <t xml:space="preserve">Sensitivity check</t>
  </si>
  <si>
    <t xml:space="preserve">If sub streaming CM is 75% instead of 78%, FY25 blended CM drops ~120bps to ~65.6%. Implies OIBDA margin of ~21.3% vs actual 21.5%. Very close, suggesting 78% is reasonable but could be 75-80%.</t>
  </si>
  <si>
    <t xml:space="preserve">SEC FILING SOURCES</t>
  </si>
  <si>
    <t xml:space="preserve">Revenue data</t>
  </si>
  <si>
    <t xml:space="preserve">FY2025 10-K (filed Nov 20, 2025). FY2024 from same 10-K comparatives. FQ1 FY2026 10-Q (filed Feb 9, 2026).</t>
  </si>
  <si>
    <t xml:space="preserve">Streaming breakdown</t>
  </si>
  <si>
    <t xml:space="preserve">MBW quarterly coverage citing WMG earnings release exhibits. Sub: $631/$622/$674/$700 (FQ1-FQ4 FY25), $721 (FQ1 FY26). Ad: $223/$203/$221/$231 (FY25), $239 (FQ1 FY26).</t>
  </si>
  <si>
    <t xml:space="preserve">SGA derivation</t>
  </si>
  <si>
    <t xml:space="preserve">Reported SGA $1,889M (10-K) less: Dep $118M (10-Q footnote), SBC $76M (OIBDA recon), Transformation $63M (OIBDA recon) = Adj Cash SGA $1,632M.</t>
  </si>
  <si>
    <t xml:space="preserve">Restructuring guidance</t>
  </si>
  <si>
    <t xml:space="preserve">150-200bps margin improvement guided by CFO Zerza, FQ4 FY25 call, Nov 20, 2025.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</si>
</sst>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\$#,##0"/>
    <numFmt numFmtId="167" formatCode="0.0%"/>
    <numFmt numFmtId="168" formatCode="\+0;\-0;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b val="true"/>
      <sz val="12"/>
      <color rgb="FF00610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sz val="10"/>
      <color rgb="FF9C0006"/>
      <name val="Arial"/>
      <family val="0"/>
      <charset val="1"/>
    </font>
    <font>
      <sz val="9"/>
      <name val="Arial"/>
      <family val="0"/>
      <charset val="1"/>
    </font>
    <font>
      <b val="true"/>
      <sz val="11"/>
      <color rgb="FF1F3864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6DCE4"/>
        <bgColor rgb="FFD9D9D9"/>
      </patternFill>
    </fill>
    <fill>
      <patternFill patternType="solid">
        <fgColor rgb="FFDAEEF3"/>
        <bgColor rgb="FFD6DCE4"/>
      </patternFill>
    </fill>
    <fill>
      <patternFill patternType="solid">
        <fgColor rgb="FFFFFFCC"/>
        <bgColor rgb="FFFFFFFF"/>
      </patternFill>
    </fill>
    <fill>
      <patternFill patternType="solid">
        <fgColor rgb="FFC6EFCE"/>
        <bgColor rgb="FFDAEEF3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medium">
        <color rgb="FF1F386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9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0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11" fillId="5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0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10" fillId="5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11" fillId="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8" fontId="12" fillId="6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3" fillId="6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14" fillId="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FCC"/>
      <rgbColor rgb="FFDAEEF3"/>
      <rgbColor rgb="FF660066"/>
      <rgbColor rgb="FFFF8080"/>
      <rgbColor rgb="FF0066CC"/>
      <rgbColor rgb="FFD6D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D7D31"/>
      <rgbColor rgb="FF666699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G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6" min="2" style="0" width="12"/>
    <col collapsed="false" customWidth="true" hidden="false" outlineLevel="0" max="7" min="7" style="0" width="38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s">
        <v>9</v>
      </c>
      <c r="B5" s="4"/>
      <c r="C5" s="4"/>
      <c r="D5" s="4"/>
      <c r="E5" s="4"/>
      <c r="F5" s="4"/>
      <c r="G5" s="4"/>
    </row>
    <row r="6" customFormat="false" ht="15" hidden="false" customHeight="false" outlineLevel="0" collapsed="false">
      <c r="A6" s="5" t="s">
        <v>10</v>
      </c>
      <c r="B6" s="6" t="n">
        <v>2543</v>
      </c>
      <c r="C6" s="6" t="n">
        <v>2627</v>
      </c>
      <c r="D6" s="7" t="n">
        <f aca="false">C6*(1+D7)</f>
        <v>2889.7</v>
      </c>
      <c r="E6" s="7" t="n">
        <f aca="false">D6*(1+E7)</f>
        <v>3149.773</v>
      </c>
      <c r="F6" s="7" t="n">
        <f aca="false">E6*(1+F7)</f>
        <v>3401.75484</v>
      </c>
      <c r="G6" s="8" t="s">
        <v>11</v>
      </c>
    </row>
    <row r="7" customFormat="false" ht="15" hidden="false" customHeight="false" outlineLevel="0" collapsed="false">
      <c r="A7" s="5" t="s">
        <v>12</v>
      </c>
      <c r="C7" s="9" t="n">
        <v>0.033031852143138</v>
      </c>
      <c r="D7" s="10" t="n">
        <v>0.1</v>
      </c>
      <c r="E7" s="10" t="n">
        <v>0.09</v>
      </c>
      <c r="F7" s="10" t="n">
        <v>0.08</v>
      </c>
    </row>
    <row r="8" customFormat="false" ht="15" hidden="false" customHeight="false" outlineLevel="0" collapsed="false">
      <c r="A8" s="5" t="s">
        <v>13</v>
      </c>
      <c r="B8" s="6" t="n">
        <v>942</v>
      </c>
      <c r="C8" s="6" t="n">
        <v>878</v>
      </c>
      <c r="D8" s="7" t="n">
        <f aca="false">C8*(1+D9)</f>
        <v>913.12</v>
      </c>
      <c r="E8" s="7" t="n">
        <f aca="false">D8*(1+E9)</f>
        <v>958.776</v>
      </c>
      <c r="F8" s="7" t="n">
        <f aca="false">E8*(1+F9)</f>
        <v>1016.30256</v>
      </c>
      <c r="G8" s="8" t="s">
        <v>14</v>
      </c>
    </row>
    <row r="9" customFormat="false" ht="15" hidden="false" customHeight="false" outlineLevel="0" collapsed="false">
      <c r="A9" s="5" t="s">
        <v>12</v>
      </c>
      <c r="C9" s="9" t="n">
        <v>-0.0679405520169851</v>
      </c>
      <c r="D9" s="10" t="n">
        <v>0.04</v>
      </c>
      <c r="E9" s="10" t="n">
        <v>0.05</v>
      </c>
      <c r="F9" s="10" t="n">
        <v>0.06</v>
      </c>
    </row>
    <row r="10" customFormat="false" ht="15" hidden="false" customHeight="false" outlineLevel="0" collapsed="false">
      <c r="A10" s="5" t="s">
        <v>15</v>
      </c>
      <c r="B10" s="6" t="n">
        <v>34</v>
      </c>
      <c r="C10" s="6" t="n">
        <v>89</v>
      </c>
      <c r="D10" s="7" t="n">
        <f aca="false">C10*(1+D11)</f>
        <v>75.65</v>
      </c>
      <c r="E10" s="7" t="n">
        <f aca="false">D10*(1+E11)</f>
        <v>64.3025</v>
      </c>
      <c r="F10" s="7" t="n">
        <f aca="false">E10*(1+F11)</f>
        <v>54.657125</v>
      </c>
      <c r="G10" s="8" t="s">
        <v>16</v>
      </c>
    </row>
    <row r="11" customFormat="false" ht="15" hidden="false" customHeight="false" outlineLevel="0" collapsed="false">
      <c r="A11" s="5" t="s">
        <v>12</v>
      </c>
      <c r="C11" s="9" t="n">
        <v>1.61764705882353</v>
      </c>
      <c r="D11" s="10" t="n">
        <v>-0.15</v>
      </c>
      <c r="E11" s="10" t="n">
        <v>-0.15</v>
      </c>
      <c r="F11" s="10" t="n">
        <v>-0.15</v>
      </c>
    </row>
    <row r="12" customFormat="false" ht="15" hidden="false" customHeight="false" outlineLevel="0" collapsed="false">
      <c r="A12" s="5" t="s">
        <v>17</v>
      </c>
      <c r="B12" s="6" t="n">
        <v>519</v>
      </c>
      <c r="C12" s="6" t="n">
        <v>527</v>
      </c>
      <c r="D12" s="7" t="n">
        <f aca="false">C12*(1+D13)</f>
        <v>511.19</v>
      </c>
      <c r="E12" s="7" t="n">
        <f aca="false">D12*(1+E13)</f>
        <v>485.6305</v>
      </c>
      <c r="F12" s="7" t="n">
        <f aca="false">E12*(1+F13)</f>
        <v>456.49267</v>
      </c>
      <c r="G12" s="8" t="s">
        <v>18</v>
      </c>
    </row>
    <row r="13" customFormat="false" ht="15" hidden="false" customHeight="false" outlineLevel="0" collapsed="false">
      <c r="A13" s="5" t="s">
        <v>12</v>
      </c>
      <c r="C13" s="9" t="n">
        <v>0.0154142581888247</v>
      </c>
      <c r="D13" s="10" t="n">
        <v>-0.03</v>
      </c>
      <c r="E13" s="10" t="n">
        <v>-0.05</v>
      </c>
      <c r="F13" s="10" t="n">
        <v>-0.06</v>
      </c>
    </row>
    <row r="14" customFormat="false" ht="15" hidden="false" customHeight="false" outlineLevel="0" collapsed="false">
      <c r="A14" s="5" t="s">
        <v>19</v>
      </c>
      <c r="B14" s="6" t="n">
        <v>684</v>
      </c>
      <c r="C14" s="6" t="n">
        <v>835</v>
      </c>
      <c r="D14" s="7" t="n">
        <f aca="false">C14*(1+D15)</f>
        <v>918.5</v>
      </c>
      <c r="E14" s="7" t="n">
        <f aca="false">D14*(1+E15)</f>
        <v>991.98</v>
      </c>
      <c r="F14" s="7" t="n">
        <f aca="false">E14*(1+F15)</f>
        <v>1051.4988</v>
      </c>
      <c r="G14" s="8" t="s">
        <v>20</v>
      </c>
    </row>
    <row r="15" customFormat="false" ht="15" hidden="false" customHeight="false" outlineLevel="0" collapsed="false">
      <c r="A15" s="5" t="s">
        <v>12</v>
      </c>
      <c r="C15" s="9" t="n">
        <v>0.220760233918129</v>
      </c>
      <c r="D15" s="10" t="n">
        <v>0.1</v>
      </c>
      <c r="E15" s="10" t="n">
        <v>0.08</v>
      </c>
      <c r="F15" s="10" t="n">
        <v>0.06</v>
      </c>
    </row>
    <row r="16" customFormat="false" ht="15" hidden="false" customHeight="false" outlineLevel="0" collapsed="false">
      <c r="A16" s="5" t="s">
        <v>21</v>
      </c>
      <c r="B16" s="6" t="n">
        <v>501</v>
      </c>
      <c r="C16" s="6" t="n">
        <v>452</v>
      </c>
      <c r="D16" s="7" t="n">
        <f aca="false">C16*(1+D17)</f>
        <v>474.6</v>
      </c>
      <c r="E16" s="7" t="n">
        <f aca="false">D16*(1+E17)</f>
        <v>498.33</v>
      </c>
      <c r="F16" s="7" t="n">
        <f aca="false">E16*(1+F17)</f>
        <v>523.2465</v>
      </c>
      <c r="G16" s="8" t="s">
        <v>22</v>
      </c>
    </row>
    <row r="17" customFormat="false" ht="15" hidden="false" customHeight="false" outlineLevel="0" collapsed="false">
      <c r="A17" s="5" t="s">
        <v>12</v>
      </c>
      <c r="C17" s="9" t="n">
        <v>-0.0978043912175649</v>
      </c>
      <c r="D17" s="10" t="n">
        <v>0.05</v>
      </c>
      <c r="E17" s="10" t="n">
        <v>0.05</v>
      </c>
      <c r="F17" s="10" t="n">
        <v>0.05</v>
      </c>
    </row>
    <row r="18" customFormat="false" ht="15" hidden="false" customHeight="false" outlineLevel="0" collapsed="false">
      <c r="A18" s="11" t="s">
        <v>23</v>
      </c>
      <c r="B18" s="12" t="n">
        <v>5223</v>
      </c>
      <c r="C18" s="12" t="n">
        <v>5408</v>
      </c>
      <c r="D18" s="13" t="n">
        <f aca="false">D6+D8+D10+D12+D14+D16</f>
        <v>5782.76</v>
      </c>
      <c r="E18" s="13" t="n">
        <f aca="false">E6+E8+E10+E12+E14+E16</f>
        <v>6148.792</v>
      </c>
      <c r="F18" s="13" t="n">
        <f aca="false">F6+F8+F10+F12+F14+F16</f>
        <v>6503.952495</v>
      </c>
      <c r="G18" s="8" t="s">
        <v>24</v>
      </c>
    </row>
    <row r="19" customFormat="false" ht="15" hidden="false" customHeight="false" outlineLevel="0" collapsed="false">
      <c r="A19" s="5" t="s">
        <v>12</v>
      </c>
      <c r="C19" s="9" t="n">
        <v>0.035420256557534</v>
      </c>
      <c r="D19" s="14" t="n">
        <f aca="false">(D18/C18)-1</f>
        <v>0.0692973372781065</v>
      </c>
      <c r="E19" s="14" t="n">
        <f aca="false">(E18/D18)-1</f>
        <v>0.0632971107222158</v>
      </c>
      <c r="F19" s="14" t="n">
        <f aca="false">(F18/E18)-1</f>
        <v>0.0577610195628671</v>
      </c>
    </row>
    <row r="21" customFormat="false" ht="15" hidden="false" customHeight="false" outlineLevel="0" collapsed="false">
      <c r="A21" s="4" t="s">
        <v>25</v>
      </c>
      <c r="B21" s="4"/>
      <c r="C21" s="4"/>
      <c r="D21" s="4"/>
      <c r="E21" s="4"/>
      <c r="F21" s="4"/>
      <c r="G21" s="4"/>
    </row>
    <row r="22" customFormat="false" ht="15" hidden="false" customHeight="false" outlineLevel="0" collapsed="false">
      <c r="A22" s="5" t="s">
        <v>26</v>
      </c>
      <c r="B22" s="6" t="n">
        <v>198</v>
      </c>
      <c r="C22" s="6" t="n">
        <v>228</v>
      </c>
      <c r="D22" s="7" t="n">
        <f aca="false">C22*(1+D23)</f>
        <v>255.36</v>
      </c>
      <c r="E22" s="7" t="n">
        <f aca="false">D22*(1+E23)</f>
        <v>280.896</v>
      </c>
      <c r="F22" s="7" t="n">
        <f aca="false">E22*(1+F23)</f>
        <v>303.36768</v>
      </c>
      <c r="G22" s="8" t="s">
        <v>27</v>
      </c>
    </row>
    <row r="23" customFormat="false" ht="15" hidden="false" customHeight="false" outlineLevel="0" collapsed="false">
      <c r="A23" s="5" t="s">
        <v>12</v>
      </c>
      <c r="C23" s="9" t="n">
        <v>0.151515151515152</v>
      </c>
      <c r="D23" s="10" t="n">
        <v>0.12</v>
      </c>
      <c r="E23" s="10" t="n">
        <v>0.1</v>
      </c>
      <c r="F23" s="10" t="n">
        <v>0.08</v>
      </c>
    </row>
    <row r="24" customFormat="false" ht="15" hidden="false" customHeight="false" outlineLevel="0" collapsed="false">
      <c r="A24" s="5" t="s">
        <v>28</v>
      </c>
      <c r="B24" s="6" t="n">
        <v>763</v>
      </c>
      <c r="C24" s="6" t="n">
        <v>800</v>
      </c>
      <c r="D24" s="7" t="n">
        <f aca="false">C24*(1+D25)</f>
        <v>856</v>
      </c>
      <c r="E24" s="7" t="n">
        <f aca="false">D24*(1+E25)</f>
        <v>915.92</v>
      </c>
      <c r="F24" s="7" t="n">
        <f aca="false">E24*(1+F25)</f>
        <v>970.8752</v>
      </c>
      <c r="G24" s="8" t="s">
        <v>29</v>
      </c>
    </row>
    <row r="25" customFormat="false" ht="15" hidden="false" customHeight="false" outlineLevel="0" collapsed="false">
      <c r="A25" s="5" t="s">
        <v>12</v>
      </c>
      <c r="C25" s="9" t="n">
        <v>0.0484927916120577</v>
      </c>
      <c r="D25" s="10" t="n">
        <v>0.07</v>
      </c>
      <c r="E25" s="10" t="n">
        <v>0.07</v>
      </c>
      <c r="F25" s="10" t="n">
        <v>0.06</v>
      </c>
    </row>
    <row r="26" customFormat="false" ht="15" hidden="false" customHeight="false" outlineLevel="0" collapsed="false">
      <c r="A26" s="5" t="s">
        <v>30</v>
      </c>
      <c r="B26" s="6" t="n">
        <v>58</v>
      </c>
      <c r="C26" s="6" t="n">
        <v>63</v>
      </c>
      <c r="D26" s="7" t="n">
        <f aca="false">C26*(1+D27)</f>
        <v>66.78</v>
      </c>
      <c r="E26" s="7" t="n">
        <f aca="false">D26*(1+E27)</f>
        <v>70.119</v>
      </c>
      <c r="F26" s="7" t="n">
        <f aca="false">E26*(1+F27)</f>
        <v>73.62495</v>
      </c>
      <c r="G26" s="8" t="s">
        <v>31</v>
      </c>
    </row>
    <row r="27" customFormat="false" ht="15" hidden="false" customHeight="false" outlineLevel="0" collapsed="false">
      <c r="A27" s="5" t="s">
        <v>12</v>
      </c>
      <c r="C27" s="9" t="n">
        <v>0.0862068965517241</v>
      </c>
      <c r="D27" s="10" t="n">
        <v>0.06</v>
      </c>
      <c r="E27" s="10" t="n">
        <v>0.05</v>
      </c>
      <c r="F27" s="10" t="n">
        <v>0.05</v>
      </c>
    </row>
    <row r="28" customFormat="false" ht="15" hidden="false" customHeight="false" outlineLevel="0" collapsed="false">
      <c r="A28" s="5" t="s">
        <v>32</v>
      </c>
      <c r="B28" s="6" t="n">
        <v>175</v>
      </c>
      <c r="C28" s="6" t="n">
        <v>197</v>
      </c>
      <c r="D28" s="7" t="n">
        <f aca="false">C28*(1+D29)</f>
        <v>212.76</v>
      </c>
      <c r="E28" s="7" t="n">
        <f aca="false">D28*(1+E29)</f>
        <v>227.6532</v>
      </c>
      <c r="F28" s="7" t="n">
        <f aca="false">E28*(1+F29)</f>
        <v>241.312392</v>
      </c>
      <c r="G28" s="8" t="s">
        <v>33</v>
      </c>
    </row>
    <row r="29" customFormat="false" ht="15" hidden="false" customHeight="false" outlineLevel="0" collapsed="false">
      <c r="A29" s="5" t="s">
        <v>12</v>
      </c>
      <c r="C29" s="9" t="n">
        <v>0.125714285714286</v>
      </c>
      <c r="D29" s="10" t="n">
        <v>0.08</v>
      </c>
      <c r="E29" s="10" t="n">
        <v>0.07</v>
      </c>
      <c r="F29" s="10" t="n">
        <v>0.06</v>
      </c>
    </row>
    <row r="30" customFormat="false" ht="15" hidden="false" customHeight="false" outlineLevel="0" collapsed="false">
      <c r="A30" s="5" t="s">
        <v>34</v>
      </c>
      <c r="B30" s="6" t="n">
        <v>16</v>
      </c>
      <c r="C30" s="6" t="n">
        <v>18</v>
      </c>
      <c r="D30" s="7" t="n">
        <f aca="false">C30*(1+D31)</f>
        <v>18.54</v>
      </c>
      <c r="E30" s="7" t="n">
        <f aca="false">D30*(1+E31)</f>
        <v>19.0962</v>
      </c>
      <c r="F30" s="7" t="n">
        <f aca="false">E30*(1+F31)</f>
        <v>19.669086</v>
      </c>
      <c r="G30" s="8" t="s">
        <v>31</v>
      </c>
    </row>
    <row r="31" customFormat="false" ht="15" hidden="false" customHeight="false" outlineLevel="0" collapsed="false">
      <c r="A31" s="5" t="s">
        <v>12</v>
      </c>
      <c r="C31" s="9" t="n">
        <v>0.125</v>
      </c>
      <c r="D31" s="10" t="n">
        <v>0.03</v>
      </c>
      <c r="E31" s="10" t="n">
        <v>0.03</v>
      </c>
      <c r="F31" s="10" t="n">
        <v>0.03</v>
      </c>
    </row>
    <row r="32" customFormat="false" ht="15" hidden="false" customHeight="false" outlineLevel="0" collapsed="false">
      <c r="A32" s="11" t="s">
        <v>35</v>
      </c>
      <c r="B32" s="12" t="n">
        <v>1210</v>
      </c>
      <c r="C32" s="12" t="n">
        <v>1306</v>
      </c>
      <c r="D32" s="13" t="n">
        <f aca="false">D22+D24+D26+D28+D30</f>
        <v>1409.44</v>
      </c>
      <c r="E32" s="13" t="n">
        <f aca="false">E22+E24+E26+E28+E30</f>
        <v>1513.6844</v>
      </c>
      <c r="F32" s="13" t="n">
        <f aca="false">F22+F24+F26+F28+F30</f>
        <v>1608.849308</v>
      </c>
      <c r="G32" s="8" t="s">
        <v>24</v>
      </c>
    </row>
    <row r="33" customFormat="false" ht="15" hidden="false" customHeight="false" outlineLevel="0" collapsed="false">
      <c r="A33" s="5" t="s">
        <v>12</v>
      </c>
      <c r="C33" s="9" t="n">
        <v>0.0793388429752066</v>
      </c>
      <c r="D33" s="14" t="n">
        <f aca="false">(D32/C32)-1</f>
        <v>0.0792036753445635</v>
      </c>
      <c r="E33" s="14" t="n">
        <f aca="false">(E32/D32)-1</f>
        <v>0.0739615733908501</v>
      </c>
      <c r="F33" s="14" t="n">
        <f aca="false">(F32/E32)-1</f>
        <v>0.0628697157743057</v>
      </c>
    </row>
    <row r="35" customFormat="false" ht="15" hidden="false" customHeight="false" outlineLevel="0" collapsed="false">
      <c r="A35" s="4" t="s">
        <v>36</v>
      </c>
      <c r="B35" s="4"/>
      <c r="C35" s="4"/>
      <c r="D35" s="4"/>
      <c r="E35" s="4"/>
      <c r="F35" s="4"/>
      <c r="G35" s="4"/>
    </row>
    <row r="36" customFormat="false" ht="15" hidden="false" customHeight="false" outlineLevel="0" collapsed="false">
      <c r="A36" s="11" t="s">
        <v>37</v>
      </c>
      <c r="B36" s="12" t="n">
        <v>6426</v>
      </c>
      <c r="C36" s="12" t="n">
        <v>6707</v>
      </c>
      <c r="D36" s="13" t="n">
        <f aca="false">D18+D32</f>
        <v>7192.2</v>
      </c>
      <c r="E36" s="13" t="n">
        <f aca="false">E18+E32</f>
        <v>7662.4764</v>
      </c>
      <c r="F36" s="13" t="n">
        <f aca="false">F18+F32</f>
        <v>8112.801803</v>
      </c>
      <c r="G36" s="8" t="s">
        <v>38</v>
      </c>
    </row>
    <row r="37" customFormat="false" ht="15" hidden="false" customHeight="false" outlineLevel="0" collapsed="false">
      <c r="A37" s="5" t="s">
        <v>12</v>
      </c>
      <c r="C37" s="9" t="n">
        <v>0.043728602552132</v>
      </c>
      <c r="D37" s="14" t="n">
        <f aca="false">(D36/C36)-1</f>
        <v>0.072342328910094</v>
      </c>
      <c r="E37" s="14" t="n">
        <f aca="false">(E36/D36)-1</f>
        <v>0.0653870025861352</v>
      </c>
      <c r="F37" s="14" t="n">
        <f aca="false">(F36/E36)-1</f>
        <v>0.0587702172890217</v>
      </c>
    </row>
    <row r="39" customFormat="false" ht="15" hidden="false" customHeight="false" outlineLevel="0" collapsed="false">
      <c r="A39" s="4" t="s">
        <v>39</v>
      </c>
      <c r="B39" s="4"/>
      <c r="C39" s="4"/>
      <c r="D39" s="4"/>
      <c r="E39" s="4"/>
      <c r="F39" s="4"/>
      <c r="G39" s="4"/>
    </row>
    <row r="40" customFormat="false" ht="15" hidden="false" customHeight="false" outlineLevel="0" collapsed="false">
      <c r="A40" s="5" t="s">
        <v>40</v>
      </c>
      <c r="B40" s="9" t="n">
        <f aca="false">B6/B36</f>
        <v>0.39573607220666</v>
      </c>
      <c r="C40" s="9" t="n">
        <f aca="false">C6/C36</f>
        <v>0.391680333979425</v>
      </c>
      <c r="D40" s="9" t="n">
        <f aca="false">D6/D36</f>
        <v>0.401782486582687</v>
      </c>
      <c r="E40" s="9" t="n">
        <f aca="false">E6/E36</f>
        <v>0.41106462657425</v>
      </c>
      <c r="F40" s="9" t="n">
        <f aca="false">F6/F36</f>
        <v>0.41930703135655</v>
      </c>
    </row>
    <row r="41" customFormat="false" ht="15" hidden="false" customHeight="false" outlineLevel="0" collapsed="false">
      <c r="A41" s="5" t="s">
        <v>41</v>
      </c>
      <c r="B41" s="9" t="n">
        <f aca="false">B8/B36</f>
        <v>0.146591970121382</v>
      </c>
      <c r="C41" s="9" t="n">
        <f aca="false">C8/C36</f>
        <v>0.13090800656031</v>
      </c>
      <c r="D41" s="9" t="n">
        <f aca="false">D8/D36</f>
        <v>0.12695976196435</v>
      </c>
      <c r="E41" s="9" t="n">
        <f aca="false">E8/E36</f>
        <v>0.125126127631532</v>
      </c>
      <c r="F41" s="9" t="n">
        <f aca="false">F8/F36</f>
        <v>0.125271464122812</v>
      </c>
    </row>
    <row r="42" customFormat="false" ht="15" hidden="false" customHeight="false" outlineLevel="0" collapsed="false">
      <c r="A42" s="15" t="s">
        <v>42</v>
      </c>
      <c r="B42" s="16" t="n">
        <f aca="false">(B6+B8)/B36</f>
        <v>0.542328042328042</v>
      </c>
      <c r="C42" s="16" t="n">
        <f aca="false">(C6+C8)/C36</f>
        <v>0.522588340539735</v>
      </c>
      <c r="D42" s="16" t="n">
        <f aca="false">(D6+D8)/D36</f>
        <v>0.528742248547037</v>
      </c>
      <c r="E42" s="16" t="n">
        <f aca="false">(E6+E8)/E36</f>
        <v>0.536190754205781</v>
      </c>
      <c r="F42" s="16" t="n">
        <f aca="false">(F6+F8)/F36</f>
        <v>0.544578495479363</v>
      </c>
    </row>
    <row r="43" customFormat="false" ht="15" hidden="false" customHeight="false" outlineLevel="0" collapsed="false">
      <c r="A43" s="5" t="s">
        <v>17</v>
      </c>
      <c r="B43" s="9" t="n">
        <f aca="false">B12/B36</f>
        <v>0.080765639589169</v>
      </c>
      <c r="C43" s="9" t="n">
        <f aca="false">C12/C36</f>
        <v>0.0785746235276577</v>
      </c>
      <c r="D43" s="9" t="n">
        <f aca="false">D12/D36</f>
        <v>0.0710756096882734</v>
      </c>
      <c r="E43" s="9" t="n">
        <f aca="false">E12/E36</f>
        <v>0.0633777482172735</v>
      </c>
      <c r="F43" s="9" t="n">
        <f aca="false">F12/F36</f>
        <v>0.0562681895952635</v>
      </c>
    </row>
    <row r="44" customFormat="false" ht="15" hidden="false" customHeight="false" outlineLevel="0" collapsed="false">
      <c r="A44" s="5" t="s">
        <v>43</v>
      </c>
      <c r="B44" s="9" t="n">
        <f aca="false">B14/B36</f>
        <v>0.106442577030812</v>
      </c>
      <c r="C44" s="9" t="n">
        <f aca="false">C14/C36</f>
        <v>0.124496794393917</v>
      </c>
      <c r="D44" s="9" t="n">
        <f aca="false">D14/D36</f>
        <v>0.127707794555213</v>
      </c>
      <c r="E44" s="9" t="n">
        <f aca="false">E14/E36</f>
        <v>0.129459452560272</v>
      </c>
      <c r="F44" s="9" t="n">
        <f aca="false">F14/F36</f>
        <v>0.129609822294829</v>
      </c>
    </row>
    <row r="45" customFormat="false" ht="15" hidden="false" customHeight="false" outlineLevel="0" collapsed="false">
      <c r="A45" s="5" t="s">
        <v>21</v>
      </c>
      <c r="B45" s="9" t="n">
        <f aca="false">B16/B36</f>
        <v>0.0779645191409897</v>
      </c>
      <c r="C45" s="9" t="n">
        <f aca="false">C16/C36</f>
        <v>0.0673922767258089</v>
      </c>
      <c r="D45" s="9" t="n">
        <f aca="false">D16/D36</f>
        <v>0.0659881538333194</v>
      </c>
      <c r="E45" s="9" t="n">
        <f aca="false">E16/E36</f>
        <v>0.0650351105812215</v>
      </c>
      <c r="F45" s="9" t="n">
        <f aca="false">F16/F36</f>
        <v>0.0644963987418638</v>
      </c>
    </row>
    <row r="46" customFormat="false" ht="15" hidden="false" customHeight="false" outlineLevel="0" collapsed="false">
      <c r="A46" s="15" t="s">
        <v>44</v>
      </c>
      <c r="B46" s="16" t="n">
        <f aca="false">B32/B36</f>
        <v>0.188297541238718</v>
      </c>
      <c r="C46" s="16" t="n">
        <f aca="false">C32/C36</f>
        <v>0.194721932309527</v>
      </c>
      <c r="D46" s="16" t="n">
        <f aca="false">D32/D36</f>
        <v>0.195967854064125</v>
      </c>
      <c r="E46" s="16" t="n">
        <f aca="false">E32/E36</f>
        <v>0.197545065195894</v>
      </c>
      <c r="F46" s="16" t="n">
        <f aca="false">F32/F36</f>
        <v>0.1983099485316</v>
      </c>
    </row>
  </sheetData>
  <mergeCells count="6">
    <mergeCell ref="A1:G1"/>
    <mergeCell ref="A2:G2"/>
    <mergeCell ref="A5:G5"/>
    <mergeCell ref="A21:G21"/>
    <mergeCell ref="A35:G35"/>
    <mergeCell ref="A39:G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G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6" min="2" style="0" width="12"/>
    <col collapsed="false" customWidth="true" hidden="false" outlineLevel="0" max="7" min="7" style="0" width="38"/>
  </cols>
  <sheetData>
    <row r="1" customFormat="false" ht="17.35" hidden="false" customHeight="false" outlineLevel="0" collapsed="false">
      <c r="A1" s="1" t="s">
        <v>45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46</v>
      </c>
      <c r="B2" s="2"/>
      <c r="C2" s="2"/>
      <c r="D2" s="2"/>
      <c r="E2" s="2"/>
      <c r="F2" s="2"/>
      <c r="G2" s="2"/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47</v>
      </c>
    </row>
    <row r="5" customFormat="false" ht="15" hidden="false" customHeight="false" outlineLevel="0" collapsed="false">
      <c r="A5" s="4" t="s">
        <v>48</v>
      </c>
      <c r="B5" s="4"/>
      <c r="C5" s="4"/>
      <c r="D5" s="4"/>
      <c r="E5" s="4"/>
      <c r="F5" s="4"/>
      <c r="G5" s="4"/>
    </row>
    <row r="6" customFormat="false" ht="15" hidden="false" customHeight="false" outlineLevel="0" collapsed="false">
      <c r="A6" s="5" t="s">
        <v>10</v>
      </c>
      <c r="B6" s="6" t="n">
        <f aca="false">'Revenue Build'!B6</f>
        <v>2543</v>
      </c>
      <c r="C6" s="6" t="n">
        <f aca="false">'Revenue Build'!C6</f>
        <v>2627</v>
      </c>
      <c r="D6" s="6" t="n">
        <f aca="false">'Revenue Build'!D6</f>
        <v>2889.7</v>
      </c>
      <c r="E6" s="6" t="n">
        <f aca="false">'Revenue Build'!E6</f>
        <v>3149.773</v>
      </c>
      <c r="F6" s="6" t="n">
        <f aca="false">'Revenue Build'!F6</f>
        <v>3401.75484</v>
      </c>
      <c r="G6" s="8" t="s">
        <v>49</v>
      </c>
    </row>
    <row r="7" customFormat="false" ht="15" hidden="false" customHeight="false" outlineLevel="0" collapsed="false">
      <c r="A7" s="5" t="s">
        <v>13</v>
      </c>
      <c r="B7" s="6" t="n">
        <f aca="false">'Revenue Build'!B8</f>
        <v>942</v>
      </c>
      <c r="C7" s="6" t="n">
        <f aca="false">'Revenue Build'!C8</f>
        <v>878</v>
      </c>
      <c r="D7" s="6" t="n">
        <f aca="false">'Revenue Build'!D8</f>
        <v>913.12</v>
      </c>
      <c r="E7" s="6" t="n">
        <f aca="false">'Revenue Build'!E8</f>
        <v>958.776</v>
      </c>
      <c r="F7" s="6" t="n">
        <f aca="false">'Revenue Build'!F8</f>
        <v>1016.30256</v>
      </c>
      <c r="G7" s="8" t="s">
        <v>49</v>
      </c>
    </row>
    <row r="8" customFormat="false" ht="15" hidden="false" customHeight="false" outlineLevel="0" collapsed="false">
      <c r="A8" s="5" t="s">
        <v>15</v>
      </c>
      <c r="B8" s="6" t="n">
        <f aca="false">'Revenue Build'!B10</f>
        <v>34</v>
      </c>
      <c r="C8" s="6" t="n">
        <f aca="false">'Revenue Build'!C10</f>
        <v>89</v>
      </c>
      <c r="D8" s="6" t="n">
        <f aca="false">'Revenue Build'!D10</f>
        <v>75.65</v>
      </c>
      <c r="E8" s="6" t="n">
        <f aca="false">'Revenue Build'!E10</f>
        <v>64.3025</v>
      </c>
      <c r="F8" s="6" t="n">
        <f aca="false">'Revenue Build'!F10</f>
        <v>54.657125</v>
      </c>
      <c r="G8" s="8" t="s">
        <v>49</v>
      </c>
    </row>
    <row r="9" customFormat="false" ht="15" hidden="false" customHeight="false" outlineLevel="0" collapsed="false">
      <c r="A9" s="5" t="s">
        <v>17</v>
      </c>
      <c r="B9" s="6" t="n">
        <f aca="false">'Revenue Build'!B12</f>
        <v>519</v>
      </c>
      <c r="C9" s="6" t="n">
        <f aca="false">'Revenue Build'!C12</f>
        <v>527</v>
      </c>
      <c r="D9" s="6" t="n">
        <f aca="false">'Revenue Build'!D12</f>
        <v>511.19</v>
      </c>
      <c r="E9" s="6" t="n">
        <f aca="false">'Revenue Build'!E12</f>
        <v>485.6305</v>
      </c>
      <c r="F9" s="6" t="n">
        <f aca="false">'Revenue Build'!F12</f>
        <v>456.49267</v>
      </c>
      <c r="G9" s="8" t="s">
        <v>49</v>
      </c>
    </row>
    <row r="10" customFormat="false" ht="15" hidden="false" customHeight="false" outlineLevel="0" collapsed="false">
      <c r="A10" s="5" t="s">
        <v>19</v>
      </c>
      <c r="B10" s="6" t="n">
        <f aca="false">'Revenue Build'!B14</f>
        <v>684</v>
      </c>
      <c r="C10" s="6" t="n">
        <f aca="false">'Revenue Build'!C14</f>
        <v>835</v>
      </c>
      <c r="D10" s="6" t="n">
        <f aca="false">'Revenue Build'!D14</f>
        <v>918.5</v>
      </c>
      <c r="E10" s="6" t="n">
        <f aca="false">'Revenue Build'!E14</f>
        <v>991.98</v>
      </c>
      <c r="F10" s="6" t="n">
        <f aca="false">'Revenue Build'!F14</f>
        <v>1051.4988</v>
      </c>
      <c r="G10" s="8" t="s">
        <v>49</v>
      </c>
    </row>
    <row r="11" customFormat="false" ht="15" hidden="false" customHeight="false" outlineLevel="0" collapsed="false">
      <c r="A11" s="5" t="s">
        <v>21</v>
      </c>
      <c r="B11" s="6" t="n">
        <f aca="false">'Revenue Build'!B16</f>
        <v>501</v>
      </c>
      <c r="C11" s="6" t="n">
        <f aca="false">'Revenue Build'!C16</f>
        <v>452</v>
      </c>
      <c r="D11" s="6" t="n">
        <f aca="false">'Revenue Build'!D16</f>
        <v>474.6</v>
      </c>
      <c r="E11" s="6" t="n">
        <f aca="false">'Revenue Build'!E16</f>
        <v>498.33</v>
      </c>
      <c r="F11" s="6" t="n">
        <f aca="false">'Revenue Build'!F16</f>
        <v>523.2465</v>
      </c>
      <c r="G11" s="8" t="s">
        <v>49</v>
      </c>
    </row>
    <row r="12" customFormat="false" ht="15" hidden="false" customHeight="false" outlineLevel="0" collapsed="false">
      <c r="A12" s="5" t="s">
        <v>50</v>
      </c>
      <c r="B12" s="6" t="n">
        <f aca="false">'Revenue Build'!B22</f>
        <v>198</v>
      </c>
      <c r="C12" s="6" t="n">
        <f aca="false">'Revenue Build'!C22</f>
        <v>228</v>
      </c>
      <c r="D12" s="6" t="n">
        <f aca="false">'Revenue Build'!D22</f>
        <v>255.36</v>
      </c>
      <c r="E12" s="6" t="n">
        <f aca="false">'Revenue Build'!E22</f>
        <v>280.896</v>
      </c>
      <c r="F12" s="6" t="n">
        <f aca="false">'Revenue Build'!F22</f>
        <v>303.36768</v>
      </c>
      <c r="G12" s="8" t="s">
        <v>49</v>
      </c>
    </row>
    <row r="13" customFormat="false" ht="15" hidden="false" customHeight="false" outlineLevel="0" collapsed="false">
      <c r="A13" s="5" t="s">
        <v>51</v>
      </c>
      <c r="B13" s="6" t="n">
        <f aca="false">'Revenue Build'!B24</f>
        <v>763</v>
      </c>
      <c r="C13" s="6" t="n">
        <f aca="false">'Revenue Build'!C24</f>
        <v>800</v>
      </c>
      <c r="D13" s="6" t="n">
        <f aca="false">'Revenue Build'!D24</f>
        <v>856</v>
      </c>
      <c r="E13" s="6" t="n">
        <f aca="false">'Revenue Build'!E24</f>
        <v>915.92</v>
      </c>
      <c r="F13" s="6" t="n">
        <f aca="false">'Revenue Build'!F24</f>
        <v>970.8752</v>
      </c>
      <c r="G13" s="8" t="s">
        <v>49</v>
      </c>
    </row>
    <row r="14" customFormat="false" ht="15" hidden="false" customHeight="false" outlineLevel="0" collapsed="false">
      <c r="A14" s="5" t="s">
        <v>52</v>
      </c>
      <c r="B14" s="6" t="n">
        <f aca="false">'Revenue Build'!B26</f>
        <v>58</v>
      </c>
      <c r="C14" s="6" t="n">
        <f aca="false">'Revenue Build'!C26</f>
        <v>63</v>
      </c>
      <c r="D14" s="6" t="n">
        <f aca="false">'Revenue Build'!D26</f>
        <v>66.78</v>
      </c>
      <c r="E14" s="6" t="n">
        <f aca="false">'Revenue Build'!E26</f>
        <v>70.119</v>
      </c>
      <c r="F14" s="6" t="n">
        <f aca="false">'Revenue Build'!F26</f>
        <v>73.62495</v>
      </c>
      <c r="G14" s="8" t="s">
        <v>49</v>
      </c>
    </row>
    <row r="15" customFormat="false" ht="15" hidden="false" customHeight="false" outlineLevel="0" collapsed="false">
      <c r="A15" s="5" t="s">
        <v>53</v>
      </c>
      <c r="B15" s="6" t="n">
        <f aca="false">'Revenue Build'!B28</f>
        <v>175</v>
      </c>
      <c r="C15" s="6" t="n">
        <f aca="false">'Revenue Build'!C28</f>
        <v>197</v>
      </c>
      <c r="D15" s="6" t="n">
        <f aca="false">'Revenue Build'!D28</f>
        <v>212.76</v>
      </c>
      <c r="E15" s="6" t="n">
        <f aca="false">'Revenue Build'!E28</f>
        <v>227.6532</v>
      </c>
      <c r="F15" s="6" t="n">
        <f aca="false">'Revenue Build'!F28</f>
        <v>241.312392</v>
      </c>
      <c r="G15" s="8" t="s">
        <v>49</v>
      </c>
    </row>
    <row r="16" customFormat="false" ht="15" hidden="false" customHeight="false" outlineLevel="0" collapsed="false">
      <c r="A16" s="5" t="s">
        <v>54</v>
      </c>
      <c r="B16" s="6" t="n">
        <f aca="false">'Revenue Build'!B30</f>
        <v>16</v>
      </c>
      <c r="C16" s="6" t="n">
        <f aca="false">'Revenue Build'!C30</f>
        <v>18</v>
      </c>
      <c r="D16" s="6" t="n">
        <f aca="false">'Revenue Build'!D30</f>
        <v>18.54</v>
      </c>
      <c r="E16" s="6" t="n">
        <f aca="false">'Revenue Build'!E30</f>
        <v>19.0962</v>
      </c>
      <c r="F16" s="6" t="n">
        <f aca="false">'Revenue Build'!F30</f>
        <v>19.669086</v>
      </c>
      <c r="G16" s="8" t="s">
        <v>49</v>
      </c>
    </row>
    <row r="17" customFormat="false" ht="15" hidden="false" customHeight="false" outlineLevel="0" collapsed="false">
      <c r="A17" s="11" t="s">
        <v>37</v>
      </c>
      <c r="B17" s="12" t="n">
        <f aca="false">'Revenue Build'!B36</f>
        <v>6426</v>
      </c>
      <c r="C17" s="12" t="n">
        <f aca="false">'Revenue Build'!C36</f>
        <v>6707</v>
      </c>
      <c r="D17" s="12" t="n">
        <f aca="false">'Revenue Build'!D36</f>
        <v>7192.2</v>
      </c>
      <c r="E17" s="12" t="n">
        <f aca="false">'Revenue Build'!E36</f>
        <v>7662.4764</v>
      </c>
      <c r="F17" s="12" t="n">
        <f aca="false">'Revenue Build'!F36</f>
        <v>8112.801803</v>
      </c>
    </row>
    <row r="19" customFormat="false" ht="15" hidden="false" customHeight="false" outlineLevel="0" collapsed="false">
      <c r="A19" s="4" t="s">
        <v>55</v>
      </c>
      <c r="B19" s="4"/>
      <c r="C19" s="4"/>
      <c r="D19" s="4"/>
      <c r="E19" s="4"/>
      <c r="F19" s="4"/>
      <c r="G19" s="4"/>
    </row>
    <row r="20" customFormat="false" ht="19.4" hidden="false" customHeight="false" outlineLevel="0" collapsed="false">
      <c r="A20" s="5" t="s">
        <v>10</v>
      </c>
      <c r="B20" s="9" t="n">
        <v>0.47</v>
      </c>
      <c r="C20" s="9" t="n">
        <v>0.47</v>
      </c>
      <c r="D20" s="10" t="n">
        <v>0.47</v>
      </c>
      <c r="E20" s="10" t="n">
        <v>0.47</v>
      </c>
      <c r="F20" s="10" t="n">
        <v>0.47</v>
      </c>
      <c r="G20" s="8" t="s">
        <v>56</v>
      </c>
    </row>
    <row r="21" customFormat="false" ht="19.4" hidden="false" customHeight="false" outlineLevel="0" collapsed="false">
      <c r="A21" s="5" t="s">
        <v>13</v>
      </c>
      <c r="B21" s="9" t="n">
        <v>0.43</v>
      </c>
      <c r="C21" s="9" t="n">
        <v>0.43</v>
      </c>
      <c r="D21" s="10" t="n">
        <v>0.43</v>
      </c>
      <c r="E21" s="10" t="n">
        <v>0.43</v>
      </c>
      <c r="F21" s="10" t="n">
        <v>0.43</v>
      </c>
      <c r="G21" s="8" t="s">
        <v>57</v>
      </c>
    </row>
    <row r="22" customFormat="false" ht="15" hidden="false" customHeight="false" outlineLevel="0" collapsed="false">
      <c r="A22" s="5" t="s">
        <v>15</v>
      </c>
      <c r="B22" s="9" t="n">
        <v>0.5</v>
      </c>
      <c r="C22" s="9" t="n">
        <v>0.5</v>
      </c>
      <c r="D22" s="10" t="n">
        <v>0.5</v>
      </c>
      <c r="E22" s="10" t="n">
        <v>0.5</v>
      </c>
      <c r="F22" s="10" t="n">
        <v>0.5</v>
      </c>
      <c r="G22" s="8" t="s">
        <v>58</v>
      </c>
    </row>
    <row r="23" customFormat="false" ht="19.4" hidden="false" customHeight="false" outlineLevel="0" collapsed="false">
      <c r="A23" s="5" t="s">
        <v>17</v>
      </c>
      <c r="B23" s="9" t="n">
        <v>0.3</v>
      </c>
      <c r="C23" s="9" t="n">
        <v>0.3</v>
      </c>
      <c r="D23" s="10" t="n">
        <v>0.3</v>
      </c>
      <c r="E23" s="10" t="n">
        <v>0.3</v>
      </c>
      <c r="F23" s="10" t="n">
        <v>0.3</v>
      </c>
      <c r="G23" s="8" t="s">
        <v>59</v>
      </c>
    </row>
    <row r="24" customFormat="false" ht="19.4" hidden="false" customHeight="false" outlineLevel="0" collapsed="false">
      <c r="A24" s="5" t="s">
        <v>19</v>
      </c>
      <c r="B24" s="9" t="n">
        <v>0.2</v>
      </c>
      <c r="C24" s="9" t="n">
        <v>0.2</v>
      </c>
      <c r="D24" s="10" t="n">
        <v>0.2</v>
      </c>
      <c r="E24" s="10" t="n">
        <v>0.2</v>
      </c>
      <c r="F24" s="10" t="n">
        <v>0.2</v>
      </c>
      <c r="G24" s="8" t="s">
        <v>60</v>
      </c>
    </row>
    <row r="25" customFormat="false" ht="19.4" hidden="false" customHeight="false" outlineLevel="0" collapsed="false">
      <c r="A25" s="5" t="s">
        <v>21</v>
      </c>
      <c r="B25" s="9" t="n">
        <v>0.7</v>
      </c>
      <c r="C25" s="9" t="n">
        <v>0.7</v>
      </c>
      <c r="D25" s="10" t="n">
        <v>0.7</v>
      </c>
      <c r="E25" s="10" t="n">
        <v>0.7</v>
      </c>
      <c r="F25" s="10" t="n">
        <v>0.7</v>
      </c>
      <c r="G25" s="8" t="s">
        <v>61</v>
      </c>
    </row>
    <row r="26" customFormat="false" ht="15" hidden="false" customHeight="false" outlineLevel="0" collapsed="false">
      <c r="A26" s="5" t="s">
        <v>50</v>
      </c>
      <c r="B26" s="9" t="n">
        <v>0.55</v>
      </c>
      <c r="C26" s="9" t="n">
        <v>0.55</v>
      </c>
      <c r="D26" s="10" t="n">
        <v>0.55</v>
      </c>
      <c r="E26" s="10" t="n">
        <v>0.55</v>
      </c>
      <c r="F26" s="10" t="n">
        <v>0.55</v>
      </c>
      <c r="G26" s="8" t="s">
        <v>62</v>
      </c>
    </row>
    <row r="27" customFormat="false" ht="19.4" hidden="false" customHeight="false" outlineLevel="0" collapsed="false">
      <c r="A27" s="5" t="s">
        <v>51</v>
      </c>
      <c r="B27" s="9" t="n">
        <v>0.6</v>
      </c>
      <c r="C27" s="9" t="n">
        <v>0.6</v>
      </c>
      <c r="D27" s="10" t="n">
        <v>0.6</v>
      </c>
      <c r="E27" s="10" t="n">
        <v>0.6</v>
      </c>
      <c r="F27" s="10" t="n">
        <v>0.6</v>
      </c>
      <c r="G27" s="8" t="s">
        <v>63</v>
      </c>
    </row>
    <row r="28" customFormat="false" ht="15" hidden="false" customHeight="false" outlineLevel="0" collapsed="false">
      <c r="A28" s="5" t="s">
        <v>52</v>
      </c>
      <c r="B28" s="9" t="n">
        <v>0.55</v>
      </c>
      <c r="C28" s="9" t="n">
        <v>0.55</v>
      </c>
      <c r="D28" s="10" t="n">
        <v>0.55</v>
      </c>
      <c r="E28" s="10" t="n">
        <v>0.55</v>
      </c>
      <c r="F28" s="10" t="n">
        <v>0.55</v>
      </c>
      <c r="G28" s="8" t="s">
        <v>64</v>
      </c>
    </row>
    <row r="29" customFormat="false" ht="19.4" hidden="false" customHeight="false" outlineLevel="0" collapsed="false">
      <c r="A29" s="5" t="s">
        <v>53</v>
      </c>
      <c r="B29" s="9" t="n">
        <v>0.7</v>
      </c>
      <c r="C29" s="9" t="n">
        <v>0.7</v>
      </c>
      <c r="D29" s="10" t="n">
        <v>0.7</v>
      </c>
      <c r="E29" s="10" t="n">
        <v>0.7</v>
      </c>
      <c r="F29" s="10" t="n">
        <v>0.7</v>
      </c>
      <c r="G29" s="8" t="s">
        <v>65</v>
      </c>
    </row>
    <row r="30" customFormat="false" ht="15" hidden="false" customHeight="false" outlineLevel="0" collapsed="false">
      <c r="A30" s="5" t="s">
        <v>54</v>
      </c>
      <c r="B30" s="9" t="n">
        <v>0.55</v>
      </c>
      <c r="C30" s="9" t="n">
        <v>0.55</v>
      </c>
      <c r="D30" s="10" t="n">
        <v>0.55</v>
      </c>
      <c r="E30" s="10" t="n">
        <v>0.55</v>
      </c>
      <c r="F30" s="10" t="n">
        <v>0.55</v>
      </c>
      <c r="G30" s="8" t="s">
        <v>66</v>
      </c>
    </row>
    <row r="32" customFormat="false" ht="15" hidden="false" customHeight="false" outlineLevel="0" collapsed="false">
      <c r="A32" s="4" t="s">
        <v>67</v>
      </c>
      <c r="B32" s="4"/>
      <c r="C32" s="4"/>
      <c r="D32" s="4"/>
      <c r="E32" s="4"/>
      <c r="F32" s="4"/>
      <c r="G32" s="4"/>
    </row>
    <row r="33" customFormat="false" ht="15" hidden="false" customHeight="false" outlineLevel="0" collapsed="false">
      <c r="A33" s="5" t="s">
        <v>10</v>
      </c>
      <c r="B33" s="6" t="n">
        <f aca="false">B6*B20</f>
        <v>1195.21</v>
      </c>
      <c r="C33" s="6" t="n">
        <f aca="false">C6*C20</f>
        <v>1234.69</v>
      </c>
      <c r="D33" s="6" t="n">
        <f aca="false">D6*D20</f>
        <v>1358.159</v>
      </c>
      <c r="E33" s="6" t="n">
        <f aca="false">E6*E20</f>
        <v>1480.39331</v>
      </c>
      <c r="F33" s="6" t="n">
        <f aca="false">F6*F20</f>
        <v>1598.8247748</v>
      </c>
    </row>
    <row r="34" customFormat="false" ht="15" hidden="false" customHeight="false" outlineLevel="0" collapsed="false">
      <c r="A34" s="5" t="s">
        <v>13</v>
      </c>
      <c r="B34" s="6" t="n">
        <f aca="false">B7*B21</f>
        <v>405.06</v>
      </c>
      <c r="C34" s="6" t="n">
        <f aca="false">C7*C21</f>
        <v>377.54</v>
      </c>
      <c r="D34" s="6" t="n">
        <f aca="false">D7*D21</f>
        <v>392.6416</v>
      </c>
      <c r="E34" s="6" t="n">
        <f aca="false">E7*E21</f>
        <v>412.27368</v>
      </c>
      <c r="F34" s="6" t="n">
        <f aca="false">F7*F21</f>
        <v>437.0101008</v>
      </c>
    </row>
    <row r="35" customFormat="false" ht="15" hidden="false" customHeight="false" outlineLevel="0" collapsed="false">
      <c r="A35" s="5" t="s">
        <v>15</v>
      </c>
      <c r="B35" s="6" t="n">
        <f aca="false">B8*B22</f>
        <v>17</v>
      </c>
      <c r="C35" s="6" t="n">
        <f aca="false">C8*C22</f>
        <v>44.5</v>
      </c>
      <c r="D35" s="6" t="n">
        <f aca="false">D8*D22</f>
        <v>37.825</v>
      </c>
      <c r="E35" s="6" t="n">
        <f aca="false">E8*E22</f>
        <v>32.15125</v>
      </c>
      <c r="F35" s="6" t="n">
        <f aca="false">F8*F22</f>
        <v>27.3285625</v>
      </c>
    </row>
    <row r="36" customFormat="false" ht="15" hidden="false" customHeight="false" outlineLevel="0" collapsed="false">
      <c r="A36" s="5" t="s">
        <v>17</v>
      </c>
      <c r="B36" s="6" t="n">
        <f aca="false">B9*B23</f>
        <v>155.7</v>
      </c>
      <c r="C36" s="6" t="n">
        <f aca="false">C9*C23</f>
        <v>158.1</v>
      </c>
      <c r="D36" s="6" t="n">
        <f aca="false">D9*D23</f>
        <v>153.357</v>
      </c>
      <c r="E36" s="6" t="n">
        <f aca="false">E9*E23</f>
        <v>145.68915</v>
      </c>
      <c r="F36" s="6" t="n">
        <f aca="false">F9*F23</f>
        <v>136.947801</v>
      </c>
    </row>
    <row r="37" customFormat="false" ht="15" hidden="false" customHeight="false" outlineLevel="0" collapsed="false">
      <c r="A37" s="5" t="s">
        <v>19</v>
      </c>
      <c r="B37" s="6" t="n">
        <f aca="false">B10*B24</f>
        <v>136.8</v>
      </c>
      <c r="C37" s="6" t="n">
        <f aca="false">C10*C24</f>
        <v>167</v>
      </c>
      <c r="D37" s="6" t="n">
        <f aca="false">D10*D24</f>
        <v>183.7</v>
      </c>
      <c r="E37" s="6" t="n">
        <f aca="false">E10*E24</f>
        <v>198.396</v>
      </c>
      <c r="F37" s="6" t="n">
        <f aca="false">F10*F24</f>
        <v>210.29976</v>
      </c>
    </row>
    <row r="38" customFormat="false" ht="15" hidden="false" customHeight="false" outlineLevel="0" collapsed="false">
      <c r="A38" s="5" t="s">
        <v>21</v>
      </c>
      <c r="B38" s="6" t="n">
        <f aca="false">B11*B25</f>
        <v>350.7</v>
      </c>
      <c r="C38" s="6" t="n">
        <f aca="false">C11*C25</f>
        <v>316.4</v>
      </c>
      <c r="D38" s="6" t="n">
        <f aca="false">D11*D25</f>
        <v>332.22</v>
      </c>
      <c r="E38" s="6" t="n">
        <f aca="false">E11*E25</f>
        <v>348.831</v>
      </c>
      <c r="F38" s="6" t="n">
        <f aca="false">F11*F25</f>
        <v>366.27255</v>
      </c>
    </row>
    <row r="39" customFormat="false" ht="15" hidden="false" customHeight="false" outlineLevel="0" collapsed="false">
      <c r="A39" s="5" t="s">
        <v>50</v>
      </c>
      <c r="B39" s="6" t="n">
        <f aca="false">B12*B26</f>
        <v>108.9</v>
      </c>
      <c r="C39" s="6" t="n">
        <f aca="false">C12*C26</f>
        <v>125.4</v>
      </c>
      <c r="D39" s="6" t="n">
        <f aca="false">D12*D26</f>
        <v>140.448</v>
      </c>
      <c r="E39" s="6" t="n">
        <f aca="false">E12*E26</f>
        <v>154.4928</v>
      </c>
      <c r="F39" s="6" t="n">
        <f aca="false">F12*F26</f>
        <v>166.852224</v>
      </c>
    </row>
    <row r="40" customFormat="false" ht="15" hidden="false" customHeight="false" outlineLevel="0" collapsed="false">
      <c r="A40" s="5" t="s">
        <v>51</v>
      </c>
      <c r="B40" s="6" t="n">
        <f aca="false">B13*B27</f>
        <v>457.8</v>
      </c>
      <c r="C40" s="6" t="n">
        <f aca="false">C13*C27</f>
        <v>480</v>
      </c>
      <c r="D40" s="6" t="n">
        <f aca="false">D13*D27</f>
        <v>513.6</v>
      </c>
      <c r="E40" s="6" t="n">
        <f aca="false">E13*E27</f>
        <v>549.552</v>
      </c>
      <c r="F40" s="6" t="n">
        <f aca="false">F13*F27</f>
        <v>582.52512</v>
      </c>
    </row>
    <row r="41" customFormat="false" ht="15" hidden="false" customHeight="false" outlineLevel="0" collapsed="false">
      <c r="A41" s="5" t="s">
        <v>52</v>
      </c>
      <c r="B41" s="6" t="n">
        <f aca="false">B14*B28</f>
        <v>31.9</v>
      </c>
      <c r="C41" s="6" t="n">
        <f aca="false">C14*C28</f>
        <v>34.65</v>
      </c>
      <c r="D41" s="6" t="n">
        <f aca="false">D14*D28</f>
        <v>36.729</v>
      </c>
      <c r="E41" s="6" t="n">
        <f aca="false">E14*E28</f>
        <v>38.56545</v>
      </c>
      <c r="F41" s="6" t="n">
        <f aca="false">F14*F28</f>
        <v>40.4937225</v>
      </c>
    </row>
    <row r="42" customFormat="false" ht="15" hidden="false" customHeight="false" outlineLevel="0" collapsed="false">
      <c r="A42" s="5" t="s">
        <v>53</v>
      </c>
      <c r="B42" s="6" t="n">
        <f aca="false">B15*B29</f>
        <v>122.5</v>
      </c>
      <c r="C42" s="6" t="n">
        <f aca="false">C15*C29</f>
        <v>137.9</v>
      </c>
      <c r="D42" s="6" t="n">
        <f aca="false">D15*D29</f>
        <v>148.932</v>
      </c>
      <c r="E42" s="6" t="n">
        <f aca="false">E15*E29</f>
        <v>159.35724</v>
      </c>
      <c r="F42" s="6" t="n">
        <f aca="false">F15*F29</f>
        <v>168.9186744</v>
      </c>
    </row>
    <row r="43" customFormat="false" ht="15" hidden="false" customHeight="false" outlineLevel="0" collapsed="false">
      <c r="A43" s="5" t="s">
        <v>54</v>
      </c>
      <c r="B43" s="6" t="n">
        <f aca="false">B16*B30</f>
        <v>8.8</v>
      </c>
      <c r="C43" s="6" t="n">
        <f aca="false">C16*C30</f>
        <v>9.9</v>
      </c>
      <c r="D43" s="6" t="n">
        <f aca="false">D16*D30</f>
        <v>10.197</v>
      </c>
      <c r="E43" s="6" t="n">
        <f aca="false">E16*E30</f>
        <v>10.50291</v>
      </c>
      <c r="F43" s="6" t="n">
        <f aca="false">F16*F30</f>
        <v>10.8179973</v>
      </c>
    </row>
    <row r="44" customFormat="false" ht="15" hidden="false" customHeight="false" outlineLevel="0" collapsed="false">
      <c r="A44" s="11" t="s">
        <v>68</v>
      </c>
      <c r="B44" s="17" t="n">
        <f aca="false">SUM(B33:B43)</f>
        <v>2990.37</v>
      </c>
      <c r="C44" s="17" t="n">
        <f aca="false">SUM(C33:C43)</f>
        <v>3086.08</v>
      </c>
      <c r="D44" s="17" t="n">
        <f aca="false">SUM(D33:D43)</f>
        <v>3307.8086</v>
      </c>
      <c r="E44" s="17" t="n">
        <f aca="false">SUM(E33:E43)</f>
        <v>3530.20479</v>
      </c>
      <c r="F44" s="17" t="n">
        <f aca="false">SUM(F33:F43)</f>
        <v>3746.2912873</v>
      </c>
    </row>
    <row r="45" customFormat="false" ht="15" hidden="false" customHeight="false" outlineLevel="0" collapsed="false">
      <c r="A45" s="15" t="s">
        <v>69</v>
      </c>
      <c r="B45" s="18" t="n">
        <f aca="false">B44/B17</f>
        <v>0.465354808590103</v>
      </c>
      <c r="C45" s="18" t="n">
        <f aca="false">C44/C17</f>
        <v>0.460128224243328</v>
      </c>
      <c r="D45" s="18" t="n">
        <f aca="false">D44/D17</f>
        <v>0.459916103556631</v>
      </c>
      <c r="E45" s="18" t="n">
        <f aca="false">E44/E17</f>
        <v>0.460713300206706</v>
      </c>
      <c r="F45" s="18" t="n">
        <f aca="false">F44/F17</f>
        <v>0.461775275455968</v>
      </c>
    </row>
    <row r="47" customFormat="false" ht="15" hidden="false" customHeight="false" outlineLevel="0" collapsed="false">
      <c r="A47" s="4" t="s">
        <v>70</v>
      </c>
      <c r="B47" s="4"/>
      <c r="C47" s="4"/>
      <c r="D47" s="4"/>
      <c r="E47" s="4"/>
      <c r="F47" s="4"/>
      <c r="G47" s="4"/>
    </row>
    <row r="48" customFormat="false" ht="15" hidden="false" customHeight="false" outlineLevel="0" collapsed="false">
      <c r="A48" s="15" t="s">
        <v>71</v>
      </c>
      <c r="B48" s="6" t="n">
        <v>1639</v>
      </c>
      <c r="C48" s="6" t="n">
        <v>1632</v>
      </c>
      <c r="D48" s="19" t="n">
        <f aca="false">C48*(1+D49)</f>
        <v>1648.32</v>
      </c>
      <c r="E48" s="19" t="n">
        <f aca="false">D48*(1+E49)</f>
        <v>1681.2864</v>
      </c>
      <c r="F48" s="19" t="n">
        <f aca="false">E48*(1+F49)</f>
        <v>1714.912128</v>
      </c>
      <c r="G48" s="8" t="s">
        <v>72</v>
      </c>
    </row>
    <row r="49" customFormat="false" ht="19.4" hidden="false" customHeight="false" outlineLevel="0" collapsed="false">
      <c r="A49" s="5" t="s">
        <v>73</v>
      </c>
      <c r="C49" s="9" t="n">
        <v>-0.00427089688834655</v>
      </c>
      <c r="D49" s="10" t="n">
        <v>0.01</v>
      </c>
      <c r="E49" s="10" t="n">
        <v>0.02</v>
      </c>
      <c r="F49" s="10" t="n">
        <v>0.02</v>
      </c>
      <c r="G49" s="8" t="s">
        <v>74</v>
      </c>
    </row>
    <row r="50" customFormat="false" ht="15" hidden="false" customHeight="false" outlineLevel="0" collapsed="false">
      <c r="A50" s="15" t="s">
        <v>75</v>
      </c>
      <c r="B50" s="16" t="n">
        <f aca="false">B48/B17</f>
        <v>0.25505757858699</v>
      </c>
      <c r="C50" s="16" t="n">
        <f aca="false">C48/C17</f>
        <v>0.24332786640823</v>
      </c>
      <c r="D50" s="16" t="n">
        <f aca="false">D48/D17</f>
        <v>0.229181613414532</v>
      </c>
      <c r="E50" s="16" t="n">
        <f aca="false">E48/E17</f>
        <v>0.219418150508105</v>
      </c>
      <c r="F50" s="16" t="n">
        <f aca="false">F48/F17</f>
        <v>0.211383461551575</v>
      </c>
    </row>
    <row r="52" customFormat="false" ht="15" hidden="false" customHeight="false" outlineLevel="0" collapsed="false">
      <c r="A52" s="4" t="s">
        <v>76</v>
      </c>
      <c r="B52" s="4"/>
      <c r="C52" s="4"/>
      <c r="D52" s="4"/>
      <c r="E52" s="4"/>
      <c r="F52" s="4"/>
      <c r="G52" s="4"/>
    </row>
    <row r="53" customFormat="false" ht="15" hidden="false" customHeight="false" outlineLevel="0" collapsed="false">
      <c r="A53" s="11" t="s">
        <v>77</v>
      </c>
      <c r="B53" s="13" t="n">
        <f aca="false">B44-B48</f>
        <v>1351.37</v>
      </c>
      <c r="C53" s="13" t="n">
        <f aca="false">C44-C48</f>
        <v>1454.08</v>
      </c>
      <c r="D53" s="13" t="n">
        <f aca="false">D44-D48</f>
        <v>1659.4886</v>
      </c>
      <c r="E53" s="13" t="n">
        <f aca="false">E44-E48</f>
        <v>1848.91839</v>
      </c>
      <c r="F53" s="13" t="n">
        <f aca="false">F44-F48</f>
        <v>2031.3791593</v>
      </c>
      <c r="G53" s="8" t="s">
        <v>78</v>
      </c>
    </row>
    <row r="54" customFormat="false" ht="15" hidden="false" customHeight="false" outlineLevel="0" collapsed="false">
      <c r="A54" s="15" t="s">
        <v>79</v>
      </c>
      <c r="B54" s="18" t="n">
        <f aca="false">B53/B17</f>
        <v>0.210297230003112</v>
      </c>
      <c r="C54" s="18" t="n">
        <f aca="false">C53/C17</f>
        <v>0.216800357835098</v>
      </c>
      <c r="D54" s="18" t="n">
        <f aca="false">D53/D17</f>
        <v>0.230734490142098</v>
      </c>
      <c r="E54" s="18" t="n">
        <f aca="false">E53/E17</f>
        <v>0.241295149698601</v>
      </c>
      <c r="F54" s="18" t="n">
        <f aca="false">F53/F17</f>
        <v>0.250391813904393</v>
      </c>
    </row>
    <row r="55" customFormat="false" ht="15" hidden="false" customHeight="false" outlineLevel="0" collapsed="false">
      <c r="A55" s="15" t="s">
        <v>80</v>
      </c>
      <c r="D55" s="20" t="n">
        <f aca="false">(D54-C54)*10000</f>
        <v>139.341323070007</v>
      </c>
      <c r="E55" s="20" t="n">
        <f aca="false">(E54-C54)*10000</f>
        <v>244.947918635037</v>
      </c>
      <c r="F55" s="20" t="n">
        <f aca="false">(F54-C54)*10000</f>
        <v>335.914560692954</v>
      </c>
    </row>
    <row r="57" customFormat="false" ht="15" hidden="false" customHeight="false" outlineLevel="0" collapsed="false">
      <c r="A57" s="4" t="s">
        <v>81</v>
      </c>
      <c r="B57" s="4"/>
      <c r="C57" s="4"/>
      <c r="D57" s="4"/>
      <c r="E57" s="4"/>
      <c r="F57" s="4"/>
      <c r="G57" s="4"/>
    </row>
    <row r="58" customFormat="false" ht="15" hidden="false" customHeight="false" outlineLevel="0" collapsed="false">
      <c r="A58" s="15" t="s">
        <v>82</v>
      </c>
      <c r="C58" s="21"/>
      <c r="F58" s="16" t="n">
        <f aca="false">C45</f>
        <v>0.460128224243328</v>
      </c>
      <c r="G58" s="8" t="s">
        <v>83</v>
      </c>
    </row>
    <row r="59" customFormat="false" ht="15" hidden="false" customHeight="false" outlineLevel="0" collapsed="false">
      <c r="A59" s="15" t="s">
        <v>84</v>
      </c>
      <c r="F59" s="16" t="n">
        <f aca="false">F45</f>
        <v>0.461775275455968</v>
      </c>
      <c r="G59" s="8" t="s">
        <v>85</v>
      </c>
    </row>
    <row r="60" customFormat="false" ht="19.4" hidden="false" customHeight="false" outlineLevel="0" collapsed="false">
      <c r="A60" s="22" t="s">
        <v>86</v>
      </c>
      <c r="F60" s="20" t="n">
        <f aca="false">(F45-C45)*10000</f>
        <v>16.470512126403</v>
      </c>
      <c r="G60" s="8" t="s">
        <v>87</v>
      </c>
    </row>
    <row r="62" customFormat="false" ht="15" hidden="false" customHeight="false" outlineLevel="0" collapsed="false">
      <c r="A62" s="15" t="s">
        <v>88</v>
      </c>
      <c r="F62" s="16" t="n">
        <f aca="false">C50</f>
        <v>0.24332786640823</v>
      </c>
    </row>
    <row r="63" customFormat="false" ht="15" hidden="false" customHeight="false" outlineLevel="0" collapsed="false">
      <c r="A63" s="15" t="s">
        <v>89</v>
      </c>
      <c r="F63" s="16" t="n">
        <f aca="false">F50</f>
        <v>0.211383461551575</v>
      </c>
    </row>
    <row r="64" customFormat="false" ht="15" hidden="false" customHeight="false" outlineLevel="0" collapsed="false">
      <c r="A64" s="22" t="s">
        <v>90</v>
      </c>
      <c r="F64" s="20" t="n">
        <f aca="false">(C50-F50)*10000</f>
        <v>319.444048566551</v>
      </c>
      <c r="G64" s="8" t="s">
        <v>91</v>
      </c>
    </row>
    <row r="66" customFormat="false" ht="15" hidden="false" customHeight="false" outlineLevel="0" collapsed="false">
      <c r="A66" s="15" t="s">
        <v>92</v>
      </c>
      <c r="F66" s="23" t="n">
        <f aca="false">(F54-C54)*10000</f>
        <v>335.914560692954</v>
      </c>
      <c r="G66" s="8" t="s">
        <v>93</v>
      </c>
    </row>
    <row r="67" customFormat="false" ht="15" hidden="false" customHeight="false" outlineLevel="0" collapsed="false">
      <c r="A67" s="15" t="s">
        <v>94</v>
      </c>
      <c r="F67" s="24" t="n">
        <f aca="false">F54</f>
        <v>0.250391813904393</v>
      </c>
      <c r="G67" s="25" t="s">
        <v>95</v>
      </c>
    </row>
  </sheetData>
  <mergeCells count="8">
    <mergeCell ref="A1:G1"/>
    <mergeCell ref="A2:G2"/>
    <mergeCell ref="A5:G5"/>
    <mergeCell ref="A19:G19"/>
    <mergeCell ref="A32:G32"/>
    <mergeCell ref="A47:G47"/>
    <mergeCell ref="A52:G52"/>
    <mergeCell ref="A57:G5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E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4" min="2" style="0" width="18"/>
    <col collapsed="false" customWidth="true" hidden="false" outlineLevel="0" max="5" min="5" style="0" width="40"/>
  </cols>
  <sheetData>
    <row r="1" customFormat="false" ht="17.35" hidden="false" customHeight="false" outlineLevel="0" collapsed="false">
      <c r="A1" s="1" t="s">
        <v>96</v>
      </c>
      <c r="B1" s="1"/>
      <c r="C1" s="1"/>
      <c r="D1" s="1"/>
      <c r="E1" s="1"/>
    </row>
    <row r="2" customFormat="false" ht="15" hidden="false" customHeight="false" outlineLevel="0" collapsed="false">
      <c r="A2" s="2" t="s">
        <v>97</v>
      </c>
      <c r="B2" s="2"/>
      <c r="C2" s="2"/>
      <c r="D2" s="2"/>
      <c r="E2" s="2"/>
    </row>
    <row r="4" customFormat="false" ht="15" hidden="false" customHeight="false" outlineLevel="0" collapsed="false">
      <c r="A4" s="3" t="s">
        <v>98</v>
      </c>
      <c r="B4" s="3" t="s">
        <v>99</v>
      </c>
      <c r="C4" s="3" t="s">
        <v>100</v>
      </c>
      <c r="D4" s="3" t="s">
        <v>101</v>
      </c>
      <c r="E4" s="3" t="s">
        <v>102</v>
      </c>
    </row>
    <row r="5" customFormat="false" ht="19.4" hidden="false" customHeight="false" outlineLevel="0" collapsed="false">
      <c r="A5" s="5" t="s">
        <v>103</v>
      </c>
      <c r="B5" s="26" t="s">
        <v>104</v>
      </c>
      <c r="C5" s="26" t="s">
        <v>105</v>
      </c>
      <c r="D5" s="26" t="s">
        <v>106</v>
      </c>
      <c r="E5" s="8" t="s">
        <v>107</v>
      </c>
    </row>
    <row r="6" customFormat="false" ht="15" hidden="false" customHeight="false" outlineLevel="0" collapsed="false">
      <c r="A6" s="15" t="s">
        <v>108</v>
      </c>
      <c r="B6" s="27" t="s">
        <v>109</v>
      </c>
      <c r="C6" s="28" t="s">
        <v>110</v>
      </c>
      <c r="D6" s="29" t="s">
        <v>111</v>
      </c>
      <c r="E6" s="8" t="s">
        <v>112</v>
      </c>
    </row>
    <row r="8" customFormat="false" ht="19.4" hidden="false" customHeight="false" outlineLevel="0" collapsed="false">
      <c r="A8" s="5" t="s">
        <v>113</v>
      </c>
      <c r="B8" s="26" t="s">
        <v>114</v>
      </c>
      <c r="C8" s="26" t="s">
        <v>115</v>
      </c>
      <c r="D8" s="26" t="s">
        <v>116</v>
      </c>
      <c r="E8" s="8" t="s">
        <v>117</v>
      </c>
    </row>
    <row r="9" customFormat="false" ht="15" hidden="false" customHeight="false" outlineLevel="0" collapsed="false">
      <c r="A9" s="15" t="s">
        <v>108</v>
      </c>
      <c r="B9" s="27" t="s">
        <v>118</v>
      </c>
      <c r="C9" s="28" t="s">
        <v>110</v>
      </c>
      <c r="D9" s="29" t="s">
        <v>119</v>
      </c>
      <c r="E9" s="8" t="s">
        <v>120</v>
      </c>
    </row>
    <row r="11" customFormat="false" ht="19.4" hidden="false" customHeight="false" outlineLevel="0" collapsed="false">
      <c r="A11" s="5" t="s">
        <v>121</v>
      </c>
      <c r="B11" s="26" t="s">
        <v>122</v>
      </c>
      <c r="C11" s="26" t="s">
        <v>123</v>
      </c>
      <c r="D11" s="26" t="s">
        <v>124</v>
      </c>
      <c r="E11" s="8" t="s">
        <v>125</v>
      </c>
    </row>
    <row r="12" customFormat="false" ht="19.4" hidden="false" customHeight="false" outlineLevel="0" collapsed="false">
      <c r="A12" s="15" t="s">
        <v>108</v>
      </c>
      <c r="B12" s="27" t="s">
        <v>118</v>
      </c>
      <c r="C12" s="28" t="s">
        <v>110</v>
      </c>
      <c r="D12" s="29" t="s">
        <v>126</v>
      </c>
      <c r="E12" s="8" t="s">
        <v>127</v>
      </c>
    </row>
    <row r="14" customFormat="false" ht="15" hidden="false" customHeight="false" outlineLevel="0" collapsed="false">
      <c r="A14" s="5" t="s">
        <v>128</v>
      </c>
      <c r="B14" s="26" t="s">
        <v>129</v>
      </c>
      <c r="C14" s="26" t="s">
        <v>130</v>
      </c>
      <c r="D14" s="26" t="s">
        <v>131</v>
      </c>
      <c r="E14" s="8" t="s">
        <v>132</v>
      </c>
    </row>
    <row r="15" customFormat="false" ht="19.4" hidden="false" customHeight="false" outlineLevel="0" collapsed="false">
      <c r="A15" s="15" t="s">
        <v>108</v>
      </c>
      <c r="B15" s="27" t="s">
        <v>133</v>
      </c>
      <c r="C15" s="28" t="s">
        <v>110</v>
      </c>
      <c r="D15" s="29" t="s">
        <v>111</v>
      </c>
      <c r="E15" s="8" t="s">
        <v>134</v>
      </c>
    </row>
    <row r="17" customFormat="false" ht="19.4" hidden="false" customHeight="false" outlineLevel="0" collapsed="false">
      <c r="A17" s="15" t="s">
        <v>135</v>
      </c>
      <c r="B17" s="27" t="s">
        <v>136</v>
      </c>
      <c r="C17" s="28" t="s">
        <v>100</v>
      </c>
      <c r="D17" s="29"/>
      <c r="E17" s="8" t="s">
        <v>137</v>
      </c>
    </row>
    <row r="18" customFormat="false" ht="19.4" hidden="false" customHeight="false" outlineLevel="0" collapsed="false">
      <c r="A18" s="15" t="s">
        <v>138</v>
      </c>
      <c r="B18" s="27" t="s">
        <v>139</v>
      </c>
      <c r="C18" s="28" t="s">
        <v>110</v>
      </c>
      <c r="D18" s="29" t="s">
        <v>140</v>
      </c>
      <c r="E18" s="8" t="s">
        <v>141</v>
      </c>
    </row>
    <row r="20" customFormat="false" ht="19.4" hidden="false" customHeight="false" outlineLevel="0" collapsed="false">
      <c r="A20" s="15" t="s">
        <v>142</v>
      </c>
      <c r="B20" s="26"/>
      <c r="C20" s="26"/>
      <c r="D20" s="26" t="s">
        <v>143</v>
      </c>
      <c r="E20" s="8" t="s">
        <v>144</v>
      </c>
    </row>
    <row r="21" customFormat="false" ht="19.4" hidden="false" customHeight="false" outlineLevel="0" collapsed="false">
      <c r="A21" s="15" t="s">
        <v>145</v>
      </c>
      <c r="B21" s="27"/>
      <c r="C21" s="28"/>
      <c r="D21" s="29" t="s">
        <v>146</v>
      </c>
      <c r="E21" s="8" t="s">
        <v>147</v>
      </c>
    </row>
    <row r="23" customFormat="false" ht="23.85" hidden="false" customHeight="false" outlineLevel="0" collapsed="false">
      <c r="A23" s="15" t="s">
        <v>148</v>
      </c>
      <c r="B23" s="26" t="s">
        <v>149</v>
      </c>
      <c r="C23" s="26"/>
      <c r="D23" s="26"/>
      <c r="E23" s="8" t="s">
        <v>150</v>
      </c>
    </row>
    <row r="24" customFormat="false" ht="19.4" hidden="false" customHeight="false" outlineLevel="0" collapsed="false">
      <c r="A24" s="15" t="s">
        <v>145</v>
      </c>
      <c r="B24" s="27" t="s">
        <v>151</v>
      </c>
      <c r="C24" s="28"/>
      <c r="D24" s="29"/>
      <c r="E24" s="8" t="s">
        <v>152</v>
      </c>
    </row>
    <row r="27" customFormat="false" ht="15" hidden="false" customHeight="false" outlineLevel="0" collapsed="false">
      <c r="A27" s="4" t="s">
        <v>153</v>
      </c>
      <c r="B27" s="4"/>
      <c r="C27" s="4"/>
      <c r="D27" s="4"/>
      <c r="E27" s="4"/>
    </row>
    <row r="28" customFormat="false" ht="33.75" hidden="false" customHeight="true" outlineLevel="0" collapsed="false">
      <c r="A28" s="30" t="s">
        <v>154</v>
      </c>
      <c r="B28" s="30"/>
      <c r="C28" s="30"/>
      <c r="D28" s="30"/>
      <c r="E28" s="30"/>
    </row>
    <row r="29" customFormat="false" ht="33.75" hidden="false" customHeight="true" outlineLevel="0" collapsed="false">
      <c r="A29" s="30" t="s">
        <v>155</v>
      </c>
      <c r="B29" s="30"/>
      <c r="C29" s="30"/>
      <c r="D29" s="30"/>
      <c r="E29" s="30"/>
    </row>
    <row r="30" customFormat="false" ht="33.75" hidden="false" customHeight="true" outlineLevel="0" collapsed="false">
      <c r="A30" s="30" t="s">
        <v>156</v>
      </c>
      <c r="B30" s="30"/>
      <c r="C30" s="30"/>
      <c r="D30" s="30"/>
      <c r="E30" s="30"/>
    </row>
    <row r="31" customFormat="false" ht="33.75" hidden="false" customHeight="true" outlineLevel="0" collapsed="false">
      <c r="A31" s="30" t="s">
        <v>157</v>
      </c>
      <c r="B31" s="30"/>
      <c r="C31" s="30"/>
      <c r="D31" s="30"/>
      <c r="E31" s="30"/>
    </row>
    <row r="32" customFormat="false" ht="33.75" hidden="false" customHeight="true" outlineLevel="0" collapsed="false">
      <c r="A32" s="30" t="s">
        <v>158</v>
      </c>
      <c r="B32" s="30"/>
      <c r="C32" s="30"/>
      <c r="D32" s="30"/>
      <c r="E32" s="30"/>
    </row>
    <row r="33" customFormat="false" ht="33.75" hidden="false" customHeight="true" outlineLevel="0" collapsed="false">
      <c r="A33" s="30" t="s">
        <v>159</v>
      </c>
      <c r="B33" s="30"/>
      <c r="C33" s="30"/>
      <c r="D33" s="30"/>
      <c r="E33" s="30"/>
    </row>
  </sheetData>
  <mergeCells count="9">
    <mergeCell ref="A1:E1"/>
    <mergeCell ref="A2:E2"/>
    <mergeCell ref="A27:E27"/>
    <mergeCell ref="A28:E28"/>
    <mergeCell ref="A29:E29"/>
    <mergeCell ref="A30:E30"/>
    <mergeCell ref="A31:E31"/>
    <mergeCell ref="A32:E32"/>
    <mergeCell ref="A33:E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B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85"/>
  </cols>
  <sheetData>
    <row r="1" customFormat="false" ht="17.35" hidden="false" customHeight="false" outlineLevel="0" collapsed="false">
      <c r="A1" s="1" t="s">
        <v>160</v>
      </c>
      <c r="B1" s="1"/>
    </row>
    <row r="2" customFormat="false" ht="15" hidden="false" customHeight="false" outlineLevel="0" collapsed="false">
      <c r="A2" s="31"/>
      <c r="B2" s="31"/>
    </row>
    <row r="3" customFormat="false" ht="15" hidden="false" customHeight="false" outlineLevel="0" collapsed="false">
      <c r="A3" s="31" t="s">
        <v>161</v>
      </c>
      <c r="B3" s="31"/>
    </row>
    <row r="4" customFormat="false" ht="35.05" hidden="false" customHeight="false" outlineLevel="0" collapsed="false">
      <c r="A4" s="32" t="s">
        <v>162</v>
      </c>
      <c r="B4" s="33" t="s">
        <v>163</v>
      </c>
    </row>
    <row r="5" customFormat="false" ht="23.85" hidden="false" customHeight="false" outlineLevel="0" collapsed="false">
      <c r="A5" s="32" t="s">
        <v>164</v>
      </c>
      <c r="B5" s="33" t="s">
        <v>165</v>
      </c>
    </row>
    <row r="6" customFormat="false" ht="15" hidden="false" customHeight="false" outlineLevel="0" collapsed="false">
      <c r="A6" s="31"/>
      <c r="B6" s="31"/>
    </row>
    <row r="7" customFormat="false" ht="15" hidden="false" customHeight="false" outlineLevel="0" collapsed="false">
      <c r="A7" s="31" t="s">
        <v>166</v>
      </c>
      <c r="B7" s="31"/>
    </row>
    <row r="8" customFormat="false" ht="23.85" hidden="false" customHeight="false" outlineLevel="0" collapsed="false">
      <c r="A8" s="32" t="s">
        <v>167</v>
      </c>
      <c r="B8" s="33" t="s">
        <v>168</v>
      </c>
    </row>
    <row r="9" customFormat="false" ht="23.85" hidden="false" customHeight="false" outlineLevel="0" collapsed="false">
      <c r="A9" s="32" t="s">
        <v>169</v>
      </c>
      <c r="B9" s="33" t="s">
        <v>170</v>
      </c>
    </row>
    <row r="10" customFormat="false" ht="23.85" hidden="false" customHeight="false" outlineLevel="0" collapsed="false">
      <c r="A10" s="32" t="s">
        <v>171</v>
      </c>
      <c r="B10" s="33" t="s">
        <v>172</v>
      </c>
    </row>
    <row r="11" customFormat="false" ht="23.85" hidden="false" customHeight="false" outlineLevel="0" collapsed="false">
      <c r="A11" s="32" t="s">
        <v>173</v>
      </c>
      <c r="B11" s="33" t="s">
        <v>174</v>
      </c>
    </row>
    <row r="12" customFormat="false" ht="46.25" hidden="false" customHeight="false" outlineLevel="0" collapsed="false">
      <c r="A12" s="32" t="s">
        <v>175</v>
      </c>
      <c r="B12" s="33" t="s">
        <v>176</v>
      </c>
    </row>
    <row r="13" customFormat="false" ht="35.05" hidden="false" customHeight="false" outlineLevel="0" collapsed="false">
      <c r="A13" s="32" t="s">
        <v>177</v>
      </c>
      <c r="B13" s="33" t="s">
        <v>178</v>
      </c>
    </row>
    <row r="14" customFormat="false" ht="23.85" hidden="false" customHeight="false" outlineLevel="0" collapsed="false">
      <c r="A14" s="32" t="s">
        <v>179</v>
      </c>
      <c r="B14" s="33" t="s">
        <v>180</v>
      </c>
    </row>
    <row r="15" customFormat="false" ht="23.85" hidden="false" customHeight="false" outlineLevel="0" collapsed="false">
      <c r="A15" s="32" t="s">
        <v>181</v>
      </c>
      <c r="B15" s="33" t="s">
        <v>182</v>
      </c>
    </row>
    <row r="16" customFormat="false" ht="35.05" hidden="false" customHeight="false" outlineLevel="0" collapsed="false">
      <c r="A16" s="32" t="s">
        <v>183</v>
      </c>
      <c r="B16" s="33" t="s">
        <v>184</v>
      </c>
    </row>
    <row r="17" customFormat="false" ht="15" hidden="false" customHeight="false" outlineLevel="0" collapsed="false">
      <c r="A17" s="31"/>
      <c r="B17" s="31"/>
    </row>
    <row r="18" customFormat="false" ht="15" hidden="false" customHeight="false" outlineLevel="0" collapsed="false">
      <c r="A18" s="31" t="s">
        <v>185</v>
      </c>
      <c r="B18" s="31"/>
    </row>
    <row r="19" customFormat="false" ht="35.05" hidden="false" customHeight="false" outlineLevel="0" collapsed="false">
      <c r="A19" s="32" t="s">
        <v>186</v>
      </c>
      <c r="B19" s="33" t="s">
        <v>187</v>
      </c>
    </row>
    <row r="20" customFormat="false" ht="35.05" hidden="false" customHeight="false" outlineLevel="0" collapsed="false">
      <c r="A20" s="32" t="s">
        <v>188</v>
      </c>
      <c r="B20" s="33" t="s">
        <v>189</v>
      </c>
    </row>
    <row r="21" customFormat="false" ht="23.85" hidden="false" customHeight="false" outlineLevel="0" collapsed="false">
      <c r="A21" s="32" t="s">
        <v>190</v>
      </c>
      <c r="B21" s="33" t="s">
        <v>191</v>
      </c>
    </row>
    <row r="22" customFormat="false" ht="15" hidden="false" customHeight="false" outlineLevel="0" collapsed="false">
      <c r="A22" s="31"/>
      <c r="B22" s="31"/>
    </row>
    <row r="23" customFormat="false" ht="15" hidden="false" customHeight="false" outlineLevel="0" collapsed="false">
      <c r="A23" s="31" t="s">
        <v>192</v>
      </c>
      <c r="B23" s="31"/>
    </row>
    <row r="24" customFormat="false" ht="23.85" hidden="false" customHeight="false" outlineLevel="0" collapsed="false">
      <c r="A24" s="32" t="s">
        <v>193</v>
      </c>
      <c r="B24" s="33" t="s">
        <v>194</v>
      </c>
    </row>
    <row r="25" customFormat="false" ht="23.85" hidden="false" customHeight="false" outlineLevel="0" collapsed="false">
      <c r="A25" s="32" t="s">
        <v>195</v>
      </c>
      <c r="B25" s="33" t="s">
        <v>196</v>
      </c>
    </row>
    <row r="26" customFormat="false" ht="23.85" hidden="false" customHeight="false" outlineLevel="0" collapsed="false">
      <c r="A26" s="32" t="s">
        <v>197</v>
      </c>
      <c r="B26" s="33" t="s">
        <v>198</v>
      </c>
    </row>
    <row r="27" customFormat="false" ht="15" hidden="false" customHeight="false" outlineLevel="0" collapsed="false">
      <c r="A27" s="32" t="s">
        <v>199</v>
      </c>
      <c r="B27" s="33" t="s">
        <v>200</v>
      </c>
    </row>
  </sheetData>
  <mergeCells count="9">
    <mergeCell ref="A1:B1"/>
    <mergeCell ref="A2:B2"/>
    <mergeCell ref="A3:B3"/>
    <mergeCell ref="A6:B6"/>
    <mergeCell ref="A7:B7"/>
    <mergeCell ref="A17:B17"/>
    <mergeCell ref="A18:B18"/>
    <mergeCell ref="A22:B22"/>
    <mergeCell ref="A23:B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2026-04-07T19:04:35Z</dcterms:created>
  <dc:creator>openpyxl</dc:creator>
  <dc:description/>
  <dc:language>en-US</dc:language>
  <cp:lastModifiedBy/>
  <dcterms:modified xsi:type="dcterms:W3CDTF">2026-04-07T19:04:36Z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