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rket Overview" sheetId="2" state="visible" r:id="rId2"/>
    <sheet xmlns:r="http://schemas.openxmlformats.org/officeDocument/2006/relationships" name="Top Promoters" sheetId="3" state="visible" r:id="rId3"/>
    <sheet xmlns:r="http://schemas.openxmlformats.org/officeDocument/2006/relationships" name="Share by Year" sheetId="4" state="visible" r:id="rId4"/>
    <sheet xmlns:r="http://schemas.openxmlformats.org/officeDocument/2006/relationships" name="Tier Summary" sheetId="5" state="visible" r:id="rId5"/>
    <sheet xmlns:r="http://schemas.openxmlformats.org/officeDocument/2006/relationships" name="Fragmentation" sheetId="6" state="visible" r:id="rId6"/>
    <sheet xmlns:r="http://schemas.openxmlformats.org/officeDocument/2006/relationships" name="Tier 2 Independents" sheetId="7" state="visible" r:id="rId7"/>
    <sheet xmlns:r="http://schemas.openxmlformats.org/officeDocument/2006/relationships" name="Promoter Mapping" sheetId="8" state="visible" r:id="rId8"/>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6">
    <font>
      <name val="Calibri"/>
      <family val="2"/>
      <color theme="1"/>
      <sz val="11"/>
      <scheme val="minor"/>
    </font>
    <font>
      <b val="1"/>
      <color rgb="001F3864"/>
      <sz val="14"/>
    </font>
    <font>
      <i val="1"/>
      <color rgb="00595959"/>
      <sz val="10"/>
    </font>
    <font/>
    <font>
      <b val="1"/>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3" fontId="0" fillId="0" borderId="0" pivotButton="0" quotePrefix="0" xfId="0"/>
    <xf numFmtId="164" fontId="0" fillId="0" borderId="0" pivotButton="0" quotePrefix="0" xfId="0"/>
    <xf numFmtId="0" fontId="0" fillId="0" borderId="1" pivotButton="0" quotePrefix="0" xfId="0"/>
    <xf numFmtId="3" fontId="0" fillId="0" borderId="1" pivotButton="0" quotePrefix="0" xfId="0"/>
    <xf numFmtId="165" fontId="0" fillId="0" borderId="1" pivotButton="0" quotePrefix="0" xfId="0"/>
    <xf numFmtId="165" fontId="0" fillId="0" borderId="0" pivotButton="0" quotePrefix="0" xfId="0"/>
    <xf numFmtId="0" fontId="5" fillId="2" borderId="0" pivotButton="0" quotePrefix="0" xfId="0"/>
    <xf numFmtId="0" fontId="5" fillId="2" borderId="0" applyAlignment="1" pivotButton="0" quotePrefix="0" xfId="0">
      <alignment horizontal="center" wrapText="1"/>
    </xf>
    <xf numFmtId="0" fontId="2" fillId="0" borderId="0" applyAlignment="1" pivotButton="0" quotePrefix="0" xfId="0">
      <alignment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US Reported Gross by Year</a:t>
            </a:r>
          </a:p>
        </rich>
      </tx>
    </title>
    <plotArea>
      <barChart>
        <barDir val="col"/>
        <grouping val="clustered"/>
        <ser>
          <idx val="0"/>
          <order val="0"/>
          <tx>
            <strRef>
              <f>'Market Overview'!D3</f>
            </strRef>
          </tx>
          <spPr>
            <a:ln xmlns:a="http://schemas.openxmlformats.org/drawingml/2006/main">
              <a:prstDash val="solid"/>
            </a:ln>
          </spPr>
          <cat>
            <numRef>
              <f>'Market Overview'!$A$4:$A$19</f>
            </numRef>
          </cat>
          <val>
            <numRef>
              <f>'Market Overview'!$D$4:$D$19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Shows and Active Promoters by Year</a:t>
            </a:r>
          </a:p>
        </rich>
      </tx>
    </title>
    <plotArea>
      <lineChart>
        <grouping val="standard"/>
        <ser>
          <idx val="0"/>
          <order val="0"/>
          <tx>
            <strRef>
              <f>'Market Overview'!B3</f>
            </strRef>
          </tx>
          <spPr>
            <a:ln xmlns:a="http://schemas.openxmlformats.org/drawingml/2006/main">
              <a:prstDash val="solid"/>
            </a:ln>
          </spPr>
          <marker>
            <symbol val="none"/>
            <spPr>
              <a:ln xmlns:a="http://schemas.openxmlformats.org/drawingml/2006/main">
                <a:prstDash val="solid"/>
              </a:ln>
            </spPr>
          </marker>
          <cat>
            <numRef>
              <f>'Market Overview'!$A$4:$A$19</f>
            </numRef>
          </cat>
          <val>
            <numRef>
              <f>'Market Overview'!$B$4:$B$19</f>
            </numRef>
          </val>
        </ser>
        <ser>
          <idx val="1"/>
          <order val="1"/>
          <tx>
            <strRef>
              <f>'Market Overview'!F3</f>
            </strRef>
          </tx>
          <spPr>
            <a:ln xmlns:a="http://schemas.openxmlformats.org/drawingml/2006/main">
              <a:prstDash val="solid"/>
            </a:ln>
          </spPr>
          <marker>
            <symbol val="none"/>
            <spPr>
              <a:ln xmlns:a="http://schemas.openxmlformats.org/drawingml/2006/main">
                <a:prstDash val="solid"/>
              </a:ln>
            </spPr>
          </marker>
          <cat>
            <numRef>
              <f>'Market Overview'!$A$4:$A$19</f>
            </numRef>
          </cat>
          <val>
            <numRef>
              <f>'Market Overview'!$F$4:$F$19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Top 15 Promoters by US Gross</a:t>
            </a:r>
          </a:p>
        </rich>
      </tx>
    </title>
    <plotArea>
      <barChart>
        <barDir val="bar"/>
        <grouping val="clustered"/>
        <ser>
          <idx val="0"/>
          <order val="0"/>
          <tx>
            <strRef>
              <f>'Top Promoters'!D3</f>
            </strRef>
          </tx>
          <spPr>
            <a:ln xmlns:a="http://schemas.openxmlformats.org/drawingml/2006/main">
              <a:prstDash val="solid"/>
            </a:ln>
          </spPr>
          <cat>
            <numRef>
              <f>'Top Promoters'!$B$4:$B$18</f>
            </numRef>
          </cat>
          <val>
            <numRef>
              <f>'Top Promoters'!$D$4:$D$18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Promoter Market Share by Year (100% stacked)</a:t>
            </a:r>
          </a:p>
        </rich>
      </tx>
    </title>
    <plotArea>
      <barChart>
        <barDir val="col"/>
        <grouping val="percentStacked"/>
        <ser>
          <idx val="0"/>
          <order val="0"/>
          <tx>
            <strRef>
              <f>'Share by Year'!B3</f>
            </strRef>
          </tx>
          <spPr>
            <a:ln xmlns:a="http://schemas.openxmlformats.org/drawingml/2006/main">
              <a:prstDash val="solid"/>
            </a:ln>
          </spPr>
          <cat>
            <numRef>
              <f>'Share by Year'!$A$4:$A$19</f>
            </numRef>
          </cat>
          <val>
            <numRef>
              <f>'Share by Year'!$B$4:$B$19</f>
            </numRef>
          </val>
        </ser>
        <ser>
          <idx val="1"/>
          <order val="1"/>
          <tx>
            <strRef>
              <f>'Share by Year'!C3</f>
            </strRef>
          </tx>
          <spPr>
            <a:ln xmlns:a="http://schemas.openxmlformats.org/drawingml/2006/main">
              <a:prstDash val="solid"/>
            </a:ln>
          </spPr>
          <cat>
            <numRef>
              <f>'Share by Year'!$A$4:$A$19</f>
            </numRef>
          </cat>
          <val>
            <numRef>
              <f>'Share by Year'!$C$4:$C$19</f>
            </numRef>
          </val>
        </ser>
        <ser>
          <idx val="2"/>
          <order val="2"/>
          <tx>
            <strRef>
              <f>'Share by Year'!D3</f>
            </strRef>
          </tx>
          <spPr>
            <a:ln xmlns:a="http://schemas.openxmlformats.org/drawingml/2006/main">
              <a:prstDash val="solid"/>
            </a:ln>
          </spPr>
          <cat>
            <numRef>
              <f>'Share by Year'!$A$4:$A$19</f>
            </numRef>
          </cat>
          <val>
            <numRef>
              <f>'Share by Year'!$D$4:$D$19</f>
            </numRef>
          </val>
        </ser>
        <ser>
          <idx val="3"/>
          <order val="3"/>
          <tx>
            <strRef>
              <f>'Share by Year'!E3</f>
            </strRef>
          </tx>
          <spPr>
            <a:ln xmlns:a="http://schemas.openxmlformats.org/drawingml/2006/main">
              <a:prstDash val="solid"/>
            </a:ln>
          </spPr>
          <cat>
            <numRef>
              <f>'Share by Year'!$A$4:$A$19</f>
            </numRef>
          </cat>
          <val>
            <numRef>
              <f>'Share by Year'!$E$4:$E$19</f>
            </numRef>
          </val>
        </ser>
        <ser>
          <idx val="4"/>
          <order val="4"/>
          <tx>
            <strRef>
              <f>'Share by Year'!F3</f>
            </strRef>
          </tx>
          <spPr>
            <a:ln xmlns:a="http://schemas.openxmlformats.org/drawingml/2006/main">
              <a:prstDash val="solid"/>
            </a:ln>
          </spPr>
          <cat>
            <numRef>
              <f>'Share by Year'!$A$4:$A$19</f>
            </numRef>
          </cat>
          <val>
            <numRef>
              <f>'Share by Year'!$F$4:$F$19</f>
            </numRef>
          </val>
        </ser>
        <ser>
          <idx val="5"/>
          <order val="5"/>
          <tx>
            <strRef>
              <f>'Share by Year'!G3</f>
            </strRef>
          </tx>
          <spPr>
            <a:ln xmlns:a="http://schemas.openxmlformats.org/drawingml/2006/main">
              <a:prstDash val="solid"/>
            </a:ln>
          </spPr>
          <cat>
            <numRef>
              <f>'Share by Year'!$A$4:$A$19</f>
            </numRef>
          </cat>
          <val>
            <numRef>
              <f>'Share by Year'!$G$4:$G$19</f>
            </numRef>
          </val>
        </ser>
        <ser>
          <idx val="6"/>
          <order val="6"/>
          <tx>
            <strRef>
              <f>'Share by Year'!H3</f>
            </strRef>
          </tx>
          <spPr>
            <a:ln xmlns:a="http://schemas.openxmlformats.org/drawingml/2006/main">
              <a:prstDash val="solid"/>
            </a:ln>
          </spPr>
          <cat>
            <numRef>
              <f>'Share by Year'!$A$4:$A$19</f>
            </numRef>
          </cat>
          <val>
            <numRef>
              <f>'Share by Year'!$H$4:$H$19</f>
            </numRef>
          </val>
        </ser>
        <ser>
          <idx val="7"/>
          <order val="7"/>
          <tx>
            <strRef>
              <f>'Share by Year'!I3</f>
            </strRef>
          </tx>
          <spPr>
            <a:ln xmlns:a="http://schemas.openxmlformats.org/drawingml/2006/main">
              <a:prstDash val="solid"/>
            </a:ln>
          </spPr>
          <cat>
            <numRef>
              <f>'Share by Year'!$A$4:$A$19</f>
            </numRef>
          </cat>
          <val>
            <numRef>
              <f>'Share by Year'!$I$4:$I$19</f>
            </numRef>
          </val>
        </ser>
        <ser>
          <idx val="8"/>
          <order val="8"/>
          <tx>
            <strRef>
              <f>'Share by Year'!J3</f>
            </strRef>
          </tx>
          <spPr>
            <a:ln xmlns:a="http://schemas.openxmlformats.org/drawingml/2006/main">
              <a:prstDash val="solid"/>
            </a:ln>
          </spPr>
          <cat>
            <numRef>
              <f>'Share by Year'!$A$4:$A$19</f>
            </numRef>
          </cat>
          <val>
            <numRef>
              <f>'Share by Year'!$J$4:$J$19</f>
            </numRef>
          </val>
        </ser>
        <ser>
          <idx val="9"/>
          <order val="9"/>
          <tx>
            <strRef>
              <f>'Share by Year'!K3</f>
            </strRef>
          </tx>
          <spPr>
            <a:ln xmlns:a="http://schemas.openxmlformats.org/drawingml/2006/main">
              <a:prstDash val="solid"/>
            </a:ln>
          </spPr>
          <cat>
            <numRef>
              <f>'Share by Year'!$A$4:$A$19</f>
            </numRef>
          </cat>
          <val>
            <numRef>
              <f>'Share by Year'!$K$4:$K$19</f>
            </numRef>
          </val>
        </ser>
        <ser>
          <idx val="10"/>
          <order val="10"/>
          <tx>
            <strRef>
              <f>'Share by Year'!L3</f>
            </strRef>
          </tx>
          <spPr>
            <a:ln xmlns:a="http://schemas.openxmlformats.org/drawingml/2006/main">
              <a:prstDash val="solid"/>
            </a:ln>
          </spPr>
          <cat>
            <numRef>
              <f>'Share by Year'!$A$4:$A$19</f>
            </numRef>
          </cat>
          <val>
            <numRef>
              <f>'Share by Year'!$L$4:$L$19</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Market Structure Over Time (Tier 1 vs Independents vs In-House)</a:t>
            </a:r>
          </a:p>
        </rich>
      </tx>
    </title>
    <plotArea>
      <areaChart>
        <grouping val="percentStacked"/>
        <ser>
          <idx val="0"/>
          <order val="0"/>
          <tx>
            <strRef>
              <f>'Tier Summary'!B3</f>
            </strRef>
          </tx>
          <spPr>
            <a:ln xmlns:a="http://schemas.openxmlformats.org/drawingml/2006/main">
              <a:prstDash val="solid"/>
            </a:ln>
          </spPr>
          <cat>
            <numRef>
              <f>'Tier Summary'!$A$4:$A$19</f>
            </numRef>
          </cat>
          <val>
            <numRef>
              <f>'Tier Summary'!$B$4:$B$19</f>
            </numRef>
          </val>
        </ser>
        <ser>
          <idx val="1"/>
          <order val="1"/>
          <tx>
            <strRef>
              <f>'Tier Summary'!C3</f>
            </strRef>
          </tx>
          <spPr>
            <a:ln xmlns:a="http://schemas.openxmlformats.org/drawingml/2006/main">
              <a:prstDash val="solid"/>
            </a:ln>
          </spPr>
          <cat>
            <numRef>
              <f>'Tier Summary'!$A$4:$A$19</f>
            </numRef>
          </cat>
          <val>
            <numRef>
              <f>'Tier Summary'!$C$4:$C$19</f>
            </numRef>
          </val>
        </ser>
        <ser>
          <idx val="2"/>
          <order val="2"/>
          <tx>
            <strRef>
              <f>'Tier Summary'!D3</f>
            </strRef>
          </tx>
          <spPr>
            <a:ln xmlns:a="http://schemas.openxmlformats.org/drawingml/2006/main">
              <a:prstDash val="solid"/>
            </a:ln>
          </spPr>
          <cat>
            <numRef>
              <f>'Tier Summary'!$A$4:$A$19</f>
            </numRef>
          </cat>
          <val>
            <numRef>
              <f>'Tier Summary'!$D$4:$D$19</f>
            </numRef>
          </val>
        </ser>
        <ser>
          <idx val="3"/>
          <order val="3"/>
          <tx>
            <strRef>
              <f>'Tier Summary'!E3</f>
            </strRef>
          </tx>
          <spPr>
            <a:ln xmlns:a="http://schemas.openxmlformats.org/drawingml/2006/main">
              <a:prstDash val="solid"/>
            </a:ln>
          </spPr>
          <cat>
            <numRef>
              <f>'Tier Summary'!$A$4:$A$19</f>
            </numRef>
          </cat>
          <val>
            <numRef>
              <f>'Tier Summary'!$E$4:$E$19</f>
            </numRef>
          </val>
        </ser>
        <ser>
          <idx val="4"/>
          <order val="4"/>
          <tx>
            <strRef>
              <f>'Tier Summary'!F3</f>
            </strRef>
          </tx>
          <spPr>
            <a:ln xmlns:a="http://schemas.openxmlformats.org/drawingml/2006/main">
              <a:prstDash val="solid"/>
            </a:ln>
          </spPr>
          <cat>
            <numRef>
              <f>'Tier Summary'!$A$4:$A$19</f>
            </numRef>
          </cat>
          <val>
            <numRef>
              <f>'Tier Summary'!$F$4:$F$19</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Active Independent Promoters by Year</a:t>
            </a:r>
          </a:p>
        </rich>
      </tx>
    </title>
    <plotArea>
      <lineChart>
        <grouping val="standard"/>
        <ser>
          <idx val="0"/>
          <order val="0"/>
          <tx>
            <strRef>
              <f>'Fragmentation'!B4</f>
            </strRef>
          </tx>
          <spPr>
            <a:ln xmlns:a="http://schemas.openxmlformats.org/drawingml/2006/main">
              <a:prstDash val="solid"/>
            </a:ln>
          </spPr>
          <marker>
            <symbol val="none"/>
            <spPr>
              <a:ln xmlns:a="http://schemas.openxmlformats.org/drawingml/2006/main">
                <a:prstDash val="solid"/>
              </a:ln>
            </spPr>
          </marker>
          <cat>
            <numRef>
              <f>'Fragmentation'!$A$5:$A$20</f>
            </numRef>
          </cat>
          <val>
            <numRef>
              <f>'Fragmentation'!$B$5:$B$20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Concentration of Independent Segment (HHI)</a:t>
            </a:r>
          </a:p>
        </rich>
      </tx>
    </title>
    <plotArea>
      <lineChart>
        <grouping val="standard"/>
        <ser>
          <idx val="0"/>
          <order val="0"/>
          <tx>
            <strRef>
              <f>'Fragmentation'!D4</f>
            </strRef>
          </tx>
          <spPr>
            <a:ln xmlns:a="http://schemas.openxmlformats.org/drawingml/2006/main">
              <a:prstDash val="solid"/>
            </a:ln>
          </spPr>
          <marker>
            <symbol val="none"/>
            <spPr>
              <a:ln xmlns:a="http://schemas.openxmlformats.org/drawingml/2006/main">
                <a:prstDash val="solid"/>
              </a:ln>
            </spPr>
          </marker>
          <cat>
            <numRef>
              <f>'Fragmentation'!$A$5:$A$20</f>
            </numRef>
          </cat>
          <val>
            <numRef>
              <f>'Fragmentation'!$D$5:$D$20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drawing1.xml><?xml version="1.0" encoding="utf-8"?>
<wsDr xmlns="http://schemas.openxmlformats.org/drawingml/2006/spreadsheetDrawing">
  <oneCellAnchor>
    <from>
      <col>7</col>
      <colOff>0</colOff>
      <row>2</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8</col>
      <colOff>0</colOff>
      <row>2</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19</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19</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6</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21</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4" customWidth="1" min="1" max="1"/>
    <col width="95" customWidth="1" min="2" max="2"/>
  </cols>
  <sheetData>
    <row r="1">
      <c r="A1" s="1" t="inlineStr">
        <is>
          <t>US Concert Promoter Market Analysis</t>
        </is>
      </c>
    </row>
    <row r="2">
      <c r="A2" s="2" t="inlineStr">
        <is>
          <t>Source: Pollstar Data Cloud boxoffice reports. Scope: United States, full years 2010-2025.</t>
        </is>
      </c>
    </row>
    <row r="4">
      <c r="A4" s="3" t="inlineStr"/>
      <c r="B4" s="4" t="inlineStr"/>
    </row>
    <row r="5">
      <c r="A5" s="5" t="inlineStr">
        <is>
          <t>Headline numbers</t>
        </is>
      </c>
      <c r="B5" s="4" t="inlineStr"/>
    </row>
    <row r="6">
      <c r="A6" s="3" t="inlineStr">
        <is>
          <t>US shows analyzed (2010-2025)</t>
        </is>
      </c>
      <c r="B6" s="4" t="inlineStr">
        <is>
          <t>499,836</t>
        </is>
      </c>
    </row>
    <row r="7">
      <c r="A7" s="3" t="inlineStr">
        <is>
          <t>US total reported gross</t>
        </is>
      </c>
      <c r="B7" s="4" t="inlineStr">
        <is>
          <t>$93.3 billion</t>
        </is>
      </c>
    </row>
    <row r="8">
      <c r="A8" s="3" t="inlineStr">
        <is>
          <t>Distinct promoter parents</t>
        </is>
      </c>
      <c r="B8" s="4" t="inlineStr">
        <is>
          <t>5,989</t>
        </is>
      </c>
    </row>
    <row r="9">
      <c r="A9" s="3" t="inlineStr">
        <is>
          <t>Live Nation share of US gross</t>
        </is>
      </c>
      <c r="B9" s="4" t="inlineStr">
        <is>
          <t>40.3%</t>
        </is>
      </c>
    </row>
    <row r="10">
      <c r="A10" s="3" t="inlineStr">
        <is>
          <t>AEG Presents share of US gross</t>
        </is>
      </c>
      <c r="B10" s="4" t="inlineStr">
        <is>
          <t>15.5%</t>
        </is>
      </c>
    </row>
    <row r="11">
      <c r="A11" s="3" t="inlineStr">
        <is>
          <t>Independent (Tier 2 + Tier 3) share</t>
        </is>
      </c>
      <c r="B11" s="4" t="inlineStr">
        <is>
          <t>28.5%</t>
        </is>
      </c>
    </row>
    <row r="12">
      <c r="A12" s="3" t="inlineStr"/>
      <c r="B12" s="4" t="inlineStr"/>
    </row>
    <row r="13">
      <c r="A13" s="5" t="inlineStr">
        <is>
          <t>Method and definitions</t>
        </is>
      </c>
      <c r="B13" s="4" t="inlineStr"/>
    </row>
    <row r="14">
      <c r="A14" s="3" t="inlineStr">
        <is>
          <t>Metric</t>
        </is>
      </c>
      <c r="B14" s="4" t="inlineStr">
        <is>
          <t>Market share is measured by reported gross USD (primary). Shows and tickets shown as secondary.</t>
        </is>
      </c>
    </row>
    <row r="15">
      <c r="A15" s="3" t="inlineStr">
        <is>
          <t>Geography</t>
        </is>
      </c>
      <c r="B15" s="4" t="inlineStr">
        <is>
          <t>country = United States only. ~70% of all global Pollstar reports.</t>
        </is>
      </c>
    </row>
    <row r="16">
      <c r="A16" s="3" t="inlineStr">
        <is>
          <t>Window</t>
        </is>
      </c>
      <c r="B16" s="4" t="inlineStr">
        <is>
          <t>Full years 2010-2025. 2026 excluded (partial). Recent 1-2 years may carry Pollstar reporting lag and can understate.</t>
        </is>
      </c>
    </row>
    <row r="17">
      <c r="A17" s="3" t="inlineStr">
        <is>
          <t>Promoter roll-up</t>
        </is>
      </c>
      <c r="B17" s="4" t="inlineStr">
        <is>
          <t>Subsidiaries are aggregated to parent. Live Nation absorbs House of Blues, C3 Presents, Frank Productions / FPC Live. AEG Presents absorbs Goldenvoice, Concerts West, Messina Touring Group, The Bowery Presents, PromoWest.</t>
        </is>
      </c>
    </row>
    <row r="18">
      <c r="A18" s="3" t="inlineStr">
        <is>
          <t>Co-promotions</t>
        </is>
      </c>
      <c r="B18" s="4" t="inlineStr">
        <is>
          <t>Major-leads rule: if Live Nation or AEG appears in a co-promotion, the full show gross is credited to that major (industry lead-promoter convention). This can modestly overstate the majors.</t>
        </is>
      </c>
    </row>
    <row r="19">
      <c r="A19" s="3" t="inlineStr">
        <is>
          <t>In-House</t>
        </is>
      </c>
      <c r="B19" s="4" t="inlineStr">
        <is>
          <t>Pure venue self-promotion is a separate 'Venue / In-House' bucket, not counted as a promoter.</t>
        </is>
      </c>
    </row>
    <row r="20">
      <c r="A20" s="3" t="inlineStr">
        <is>
          <t>Non-music</t>
        </is>
      </c>
      <c r="B20" s="4" t="inlineStr">
        <is>
          <t>Sports and family/arena content owners (Feld, Cirque du Soleil, WWE/UFC/TKO, etc.) are a separate bucket so they do not distort music-promoter share.</t>
        </is>
      </c>
    </row>
    <row r="21">
      <c r="A21" s="3" t="inlineStr">
        <is>
          <t>Tier 1</t>
        </is>
      </c>
      <c r="B21" s="4" t="inlineStr">
        <is>
          <t>Live Nation and AEG Presents.</t>
        </is>
      </c>
    </row>
    <row r="22">
      <c r="A22" s="3" t="inlineStr">
        <is>
          <t>Tier 2</t>
        </is>
      </c>
      <c r="B22" s="4" t="inlineStr">
        <is>
          <t>Independent promoters with &gt;= $93M lifetime US gross (about 0.1% of the US market). National and super-regional players.</t>
        </is>
      </c>
    </row>
    <row r="23">
      <c r="A23" s="3" t="inlineStr">
        <is>
          <t>Tier 3</t>
        </is>
      </c>
      <c r="B23" s="4" t="inlineStr">
        <is>
          <t>All remaining independent promoters (regional, local, club level). This is the fragmented long tail.</t>
        </is>
      </c>
    </row>
    <row r="24">
      <c r="A24" s="3" t="inlineStr">
        <is>
          <t>Conservative choices</t>
        </is>
      </c>
      <c r="B24" s="4" t="inlineStr">
        <is>
          <t>Minority-stake or partial brands (Insomniac, Emporium, AC Entertainment, NS2, Marshall Arts, Madison House, 313 Presents) are left INDEPENDENT to avoid overstating the majors.</t>
        </is>
      </c>
    </row>
    <row r="25">
      <c r="A25" s="3" t="inlineStr">
        <is>
          <t>Caveat</t>
        </is>
      </c>
      <c r="B25" s="4" t="inlineStr">
        <is>
          <t>Touring Broadway and casino/venue operators (MSG, MGM, Caesars) appear as independents; they can be reclassified on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8" customWidth="1" min="1" max="1"/>
    <col width="12" customWidth="1" min="2" max="2"/>
    <col width="16" customWidth="1" min="3" max="3"/>
    <col width="18" customWidth="1" min="4" max="4"/>
    <col width="16" customWidth="1" min="5" max="5"/>
    <col width="16" customWidth="1" min="6" max="6"/>
  </cols>
  <sheetData>
    <row r="1">
      <c r="A1" s="1" t="inlineStr">
        <is>
          <t>US Concert Market by Year (2010-2025)</t>
        </is>
      </c>
    </row>
    <row r="3">
      <c r="A3" s="6" t="inlineStr">
        <is>
          <t>Year</t>
        </is>
      </c>
      <c r="B3" s="6" t="inlineStr">
        <is>
          <t>Shows</t>
        </is>
      </c>
      <c r="C3" s="6" t="inlineStr">
        <is>
          <t>Tickets Sold</t>
        </is>
      </c>
      <c r="D3" s="6" t="inlineStr">
        <is>
          <t>Gross USD</t>
        </is>
      </c>
      <c r="E3" s="6" t="inlineStr">
        <is>
          <t>Avg Ticket Price</t>
        </is>
      </c>
      <c r="F3" s="6" t="inlineStr">
        <is>
          <t>Active Promoters</t>
        </is>
      </c>
    </row>
    <row r="4">
      <c r="A4" t="n">
        <v>2010</v>
      </c>
      <c r="B4" s="7" t="n">
        <v>28776</v>
      </c>
      <c r="C4" s="7" t="n">
        <v>68874216</v>
      </c>
      <c r="D4" s="7" t="n">
        <v>3341806175.959996</v>
      </c>
      <c r="E4" s="8" t="n">
        <v>48.52042418834932</v>
      </c>
      <c r="F4" s="7" t="n">
        <v>959</v>
      </c>
    </row>
    <row r="5">
      <c r="A5" t="n">
        <v>2011</v>
      </c>
      <c r="B5" s="7" t="n">
        <v>29037</v>
      </c>
      <c r="C5" s="7" t="n">
        <v>70214903</v>
      </c>
      <c r="D5" s="7" t="n">
        <v>3448826747.18</v>
      </c>
      <c r="E5" s="8" t="n">
        <v>49.11815867893458</v>
      </c>
      <c r="F5" s="7" t="n">
        <v>1074</v>
      </c>
    </row>
    <row r="6">
      <c r="A6" t="n">
        <v>2012</v>
      </c>
      <c r="B6" s="7" t="n">
        <v>30332</v>
      </c>
      <c r="C6" s="7" t="n">
        <v>71248064</v>
      </c>
      <c r="D6" s="7" t="n">
        <v>3759599797.030004</v>
      </c>
      <c r="E6" s="8" t="n">
        <v>52.76774674228346</v>
      </c>
      <c r="F6" s="7" t="n">
        <v>1159</v>
      </c>
    </row>
    <row r="7">
      <c r="A7" t="n">
        <v>2013</v>
      </c>
      <c r="B7" s="7" t="n">
        <v>32333</v>
      </c>
      <c r="C7" s="7" t="n">
        <v>80482505</v>
      </c>
      <c r="D7" s="7" t="n">
        <v>4334836425.719995</v>
      </c>
      <c r="E7" s="8" t="n">
        <v>53.86060518021891</v>
      </c>
      <c r="F7" s="7" t="n">
        <v>1156</v>
      </c>
    </row>
    <row r="8">
      <c r="A8" t="n">
        <v>2014</v>
      </c>
      <c r="B8" s="7" t="n">
        <v>33805</v>
      </c>
      <c r="C8" s="7" t="n">
        <v>79929627</v>
      </c>
      <c r="D8" s="7" t="n">
        <v>4470798473.149993</v>
      </c>
      <c r="E8" s="8" t="n">
        <v>55.93418411861215</v>
      </c>
      <c r="F8" s="7" t="n">
        <v>1117</v>
      </c>
    </row>
    <row r="9">
      <c r="A9" t="n">
        <v>2015</v>
      </c>
      <c r="B9" s="7" t="n">
        <v>35578</v>
      </c>
      <c r="C9" s="7" t="n">
        <v>85302688</v>
      </c>
      <c r="D9" s="7" t="n">
        <v>4866264902.009999</v>
      </c>
      <c r="E9" s="8" t="n">
        <v>57.04702883465993</v>
      </c>
      <c r="F9" s="7" t="n">
        <v>1200</v>
      </c>
    </row>
    <row r="10">
      <c r="A10" t="n">
        <v>2016</v>
      </c>
      <c r="B10" s="7" t="n">
        <v>39131</v>
      </c>
      <c r="C10" s="7" t="n">
        <v>97460697</v>
      </c>
      <c r="D10" s="7" t="n">
        <v>5921870092.06002</v>
      </c>
      <c r="E10" s="8" t="n">
        <v>60.76162262681151</v>
      </c>
      <c r="F10" s="7" t="n">
        <v>1312</v>
      </c>
    </row>
    <row r="11">
      <c r="A11" t="n">
        <v>2017</v>
      </c>
      <c r="B11" s="7" t="n">
        <v>37892</v>
      </c>
      <c r="C11" s="7" t="n">
        <v>100364604</v>
      </c>
      <c r="D11" s="7" t="n">
        <v>6295885320.849998</v>
      </c>
      <c r="E11" s="8" t="n">
        <v>62.73013662117371</v>
      </c>
      <c r="F11" s="7" t="n">
        <v>1245</v>
      </c>
    </row>
    <row r="12">
      <c r="A12" t="n">
        <v>2018</v>
      </c>
      <c r="B12" s="7" t="n">
        <v>36772</v>
      </c>
      <c r="C12" s="7" t="n">
        <v>101752664</v>
      </c>
      <c r="D12" s="7" t="n">
        <v>6841263837.989988</v>
      </c>
      <c r="E12" s="8" t="n">
        <v>67.23424792091919</v>
      </c>
      <c r="F12" s="7" t="n">
        <v>1187</v>
      </c>
    </row>
    <row r="13">
      <c r="A13" t="n">
        <v>2019</v>
      </c>
      <c r="B13" s="7" t="n">
        <v>36984</v>
      </c>
      <c r="C13" s="7" t="n">
        <v>93470916</v>
      </c>
      <c r="D13" s="7" t="n">
        <v>6641150081.999995</v>
      </c>
      <c r="E13" s="8" t="n">
        <v>71.05044399051353</v>
      </c>
      <c r="F13" s="7" t="n">
        <v>997</v>
      </c>
    </row>
    <row r="14">
      <c r="A14" t="n">
        <v>2020</v>
      </c>
      <c r="B14" s="7" t="n">
        <v>6681</v>
      </c>
      <c r="C14" s="7" t="n">
        <v>13180004</v>
      </c>
      <c r="D14" s="7" t="n">
        <v>873085446.6199999</v>
      </c>
      <c r="E14" s="8" t="n">
        <v>66.24318525396501</v>
      </c>
      <c r="F14" s="7" t="n">
        <v>380</v>
      </c>
    </row>
    <row r="15">
      <c r="A15" t="n">
        <v>2021</v>
      </c>
      <c r="B15" s="7" t="n">
        <v>14679</v>
      </c>
      <c r="C15" s="7" t="n">
        <v>42645441</v>
      </c>
      <c r="D15" s="7" t="n">
        <v>3308709897.850002</v>
      </c>
      <c r="E15" s="8" t="n">
        <v>77.58648568905646</v>
      </c>
      <c r="F15" s="7" t="n">
        <v>605</v>
      </c>
    </row>
    <row r="16">
      <c r="A16" t="n">
        <v>2022</v>
      </c>
      <c r="B16" s="7" t="n">
        <v>31766</v>
      </c>
      <c r="C16" s="7" t="n">
        <v>95680444</v>
      </c>
      <c r="D16" s="7" t="n">
        <v>8233830136.089977</v>
      </c>
      <c r="E16" s="8" t="n">
        <v>86.05551763628915</v>
      </c>
      <c r="F16" s="7" t="n">
        <v>1032</v>
      </c>
    </row>
    <row r="17">
      <c r="A17" t="n">
        <v>2023</v>
      </c>
      <c r="B17" s="7" t="n">
        <v>34992</v>
      </c>
      <c r="C17" s="7" t="n">
        <v>111467611</v>
      </c>
      <c r="D17" s="7" t="n">
        <v>10283291147.67003</v>
      </c>
      <c r="E17" s="8" t="n">
        <v>92.25362466654127</v>
      </c>
      <c r="F17" s="7" t="n">
        <v>1061</v>
      </c>
    </row>
    <row r="18">
      <c r="A18" t="n">
        <v>2024</v>
      </c>
      <c r="B18" s="7" t="n">
        <v>38757</v>
      </c>
      <c r="C18" s="7" t="n">
        <v>116088237</v>
      </c>
      <c r="D18" s="7" t="n">
        <v>10907588014.29999</v>
      </c>
      <c r="E18" s="8" t="n">
        <v>93.95945959882212</v>
      </c>
      <c r="F18" s="7" t="n">
        <v>1106</v>
      </c>
    </row>
    <row r="19">
      <c r="A19" t="n">
        <v>2025</v>
      </c>
      <c r="B19" s="7" t="n">
        <v>32321</v>
      </c>
      <c r="C19" s="7" t="n">
        <v>99097847</v>
      </c>
      <c r="D19" s="7" t="n">
        <v>9743198461.27997</v>
      </c>
      <c r="E19" s="8" t="n">
        <v>98.31897216979871</v>
      </c>
      <c r="F19" s="7" t="n">
        <v>1032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6" customWidth="1" min="1" max="1"/>
    <col width="38" customWidth="1" min="2" max="2"/>
    <col width="20" customWidth="1" min="3" max="3"/>
    <col width="18" customWidth="1" min="4" max="4"/>
    <col width="14" customWidth="1" min="5" max="5"/>
    <col width="10" customWidth="1" min="6" max="6"/>
    <col width="14" customWidth="1" min="7" max="7"/>
  </cols>
  <sheetData>
    <row r="1">
      <c r="A1" s="1" t="inlineStr">
        <is>
          <t>Top Promoters by US Gross, 2010-2025 (parents aggregated)</t>
        </is>
      </c>
    </row>
    <row r="3">
      <c r="A3" s="6" t="inlineStr">
        <is>
          <t>Rank</t>
        </is>
      </c>
      <c r="B3" s="6" t="inlineStr">
        <is>
          <t>Promoter (parent)</t>
        </is>
      </c>
      <c r="C3" s="6" t="inlineStr">
        <is>
          <t>Tier</t>
        </is>
      </c>
      <c r="D3" s="6" t="inlineStr">
        <is>
          <t>Gross USD</t>
        </is>
      </c>
      <c r="E3" s="6" t="inlineStr">
        <is>
          <t>Market Share</t>
        </is>
      </c>
      <c r="F3" s="6" t="inlineStr">
        <is>
          <t>Shows</t>
        </is>
      </c>
      <c r="G3" s="6" t="inlineStr">
        <is>
          <t>Tickets Sold</t>
        </is>
      </c>
    </row>
    <row r="4">
      <c r="A4" s="9" t="n">
        <v>1</v>
      </c>
      <c r="B4" s="9" t="inlineStr">
        <is>
          <t>Live Nation</t>
        </is>
      </c>
      <c r="C4" s="9" t="inlineStr">
        <is>
          <t>Tier 1 (Majors)</t>
        </is>
      </c>
      <c r="D4" s="10" t="n">
        <v>37628991665.96999</v>
      </c>
      <c r="E4" s="11" t="n">
        <v>0.4034328594417049</v>
      </c>
      <c r="F4" s="10" t="n">
        <v>66190</v>
      </c>
      <c r="G4" s="10" t="n">
        <v>452390047</v>
      </c>
    </row>
    <row r="5">
      <c r="A5" s="9" t="n">
        <v>2</v>
      </c>
      <c r="B5" s="9" t="inlineStr">
        <is>
          <t>AEG Presents</t>
        </is>
      </c>
      <c r="C5" s="9" t="inlineStr">
        <is>
          <t>Tier 1 (Majors)</t>
        </is>
      </c>
      <c r="D5" s="10" t="n">
        <v>14475875067.04003</v>
      </c>
      <c r="E5" s="11" t="n">
        <v>0.1552006421819248</v>
      </c>
      <c r="F5" s="10" t="n">
        <v>45502</v>
      </c>
      <c r="G5" s="10" t="n">
        <v>170372690</v>
      </c>
    </row>
    <row r="6">
      <c r="A6" s="9" t="n">
        <v>3</v>
      </c>
      <c r="B6" s="9" t="inlineStr">
        <is>
          <t>Venue / In-House</t>
        </is>
      </c>
      <c r="C6" s="9" t="inlineStr">
        <is>
          <t>Venue / In-House</t>
        </is>
      </c>
      <c r="D6" s="10" t="n">
        <v>10641426354.49998</v>
      </c>
      <c r="E6" s="11" t="n">
        <v>0.1140902499020918</v>
      </c>
      <c r="F6" s="10" t="n">
        <v>179798</v>
      </c>
      <c r="G6" s="10" t="n">
        <v>211373028</v>
      </c>
    </row>
    <row r="7">
      <c r="A7" s="9" t="n">
        <v>4</v>
      </c>
      <c r="B7" s="9" t="inlineStr">
        <is>
          <t>MSG Entertainment</t>
        </is>
      </c>
      <c r="C7" s="9" t="inlineStr">
        <is>
          <t>Tier 2 (Large indie)</t>
        </is>
      </c>
      <c r="D7" s="10" t="n">
        <v>1745338511.8</v>
      </c>
      <c r="E7" s="11" t="n">
        <v>0.01871235117750937</v>
      </c>
      <c r="F7" s="10" t="n">
        <v>457</v>
      </c>
      <c r="G7" s="10" t="n">
        <v>19445010</v>
      </c>
    </row>
    <row r="8">
      <c r="A8" s="9" t="n">
        <v>5</v>
      </c>
      <c r="B8" s="9" t="inlineStr">
        <is>
          <t>Cirque du Soleil</t>
        </is>
      </c>
      <c r="C8" s="9" t="inlineStr">
        <is>
          <t>Non-music content</t>
        </is>
      </c>
      <c r="D8" s="10" t="n">
        <v>1405306413.7</v>
      </c>
      <c r="E8" s="11" t="n">
        <v>0.01506675464236477</v>
      </c>
      <c r="F8" s="10" t="n">
        <v>1182</v>
      </c>
      <c r="G8" s="10" t="n">
        <v>18152084</v>
      </c>
    </row>
    <row r="9">
      <c r="A9" s="9" t="n">
        <v>6</v>
      </c>
      <c r="B9" s="9" t="inlineStr">
        <is>
          <t>Feld Entertainment</t>
        </is>
      </c>
      <c r="C9" s="9" t="inlineStr">
        <is>
          <t>Non-music content</t>
        </is>
      </c>
      <c r="D9" s="10" t="n">
        <v>1390180383.340001</v>
      </c>
      <c r="E9" s="11" t="n">
        <v>0.0149045834703518</v>
      </c>
      <c r="F9" s="10" t="n">
        <v>1703</v>
      </c>
      <c r="G9" s="10" t="n">
        <v>45249082</v>
      </c>
    </row>
    <row r="10">
      <c r="A10" s="9" t="n">
        <v>7</v>
      </c>
      <c r="B10" s="9" t="inlineStr">
        <is>
          <t>Cardenas Marketing Network (CMN)</t>
        </is>
      </c>
      <c r="C10" s="9" t="inlineStr">
        <is>
          <t>Tier 2 (Large indie)</t>
        </is>
      </c>
      <c r="D10" s="10" t="n">
        <v>1368367420.1</v>
      </c>
      <c r="E10" s="11" t="n">
        <v>0.0146707194802952</v>
      </c>
      <c r="F10" s="10" t="n">
        <v>1343</v>
      </c>
      <c r="G10" s="10" t="n">
        <v>11353845</v>
      </c>
    </row>
    <row r="11">
      <c r="A11" s="9" t="n">
        <v>8</v>
      </c>
      <c r="B11" s="9" t="inlineStr">
        <is>
          <t>Broadway Across America</t>
        </is>
      </c>
      <c r="C11" s="9" t="inlineStr">
        <is>
          <t>Tier 2 (Large indie)</t>
        </is>
      </c>
      <c r="D11" s="10" t="n">
        <v>1328297111.320001</v>
      </c>
      <c r="E11" s="11" t="n">
        <v>0.01424111245299751</v>
      </c>
      <c r="F11" s="10" t="n">
        <v>1195</v>
      </c>
      <c r="G11" s="10" t="n">
        <v>17531616</v>
      </c>
    </row>
    <row r="12">
      <c r="A12" s="9" t="n">
        <v>9</v>
      </c>
      <c r="B12" s="9" t="inlineStr">
        <is>
          <t>Another Planet Entertainment</t>
        </is>
      </c>
      <c r="C12" s="9" t="inlineStr">
        <is>
          <t>Tier 2 (Large indie)</t>
        </is>
      </c>
      <c r="D12" s="10" t="n">
        <v>1285891453.02</v>
      </c>
      <c r="E12" s="11" t="n">
        <v>0.01378646737145127</v>
      </c>
      <c r="F12" s="10" t="n">
        <v>5657</v>
      </c>
      <c r="G12" s="10" t="n">
        <v>17266910</v>
      </c>
    </row>
    <row r="13">
      <c r="A13" s="9" t="n">
        <v>10</v>
      </c>
      <c r="B13" s="9" t="inlineStr">
        <is>
          <t>Outback Presents</t>
        </is>
      </c>
      <c r="C13" s="9" t="inlineStr">
        <is>
          <t>Tier 2 (Large indie)</t>
        </is>
      </c>
      <c r="D13" s="10" t="n">
        <v>1216626171.969999</v>
      </c>
      <c r="E13" s="11" t="n">
        <v>0.01304385139486356</v>
      </c>
      <c r="F13" s="10" t="n">
        <v>4921</v>
      </c>
      <c r="G13" s="10" t="n">
        <v>17998785</v>
      </c>
    </row>
    <row r="14">
      <c r="A14" s="9" t="n">
        <v>11</v>
      </c>
      <c r="B14" s="9" t="inlineStr">
        <is>
          <t>Nederlander Concerts</t>
        </is>
      </c>
      <c r="C14" s="9" t="inlineStr">
        <is>
          <t>Tier 2 (Large indie)</t>
        </is>
      </c>
      <c r="D14" s="10" t="n">
        <v>840197100.7099994</v>
      </c>
      <c r="E14" s="11" t="n">
        <v>0.0090080308779735</v>
      </c>
      <c r="F14" s="10" t="n">
        <v>3662</v>
      </c>
      <c r="G14" s="10" t="n">
        <v>13552338</v>
      </c>
    </row>
    <row r="15">
      <c r="A15" s="9" t="n">
        <v>12</v>
      </c>
      <c r="B15" s="9" t="inlineStr">
        <is>
          <t>WWE / UFC (TKO)</t>
        </is>
      </c>
      <c r="C15" s="9" t="inlineStr">
        <is>
          <t>Non-music content</t>
        </is>
      </c>
      <c r="D15" s="10" t="n">
        <v>633792680.3100002</v>
      </c>
      <c r="E15" s="11" t="n">
        <v>0.006795100851504428</v>
      </c>
      <c r="F15" s="10" t="n">
        <v>440</v>
      </c>
      <c r="G15" s="10" t="n">
        <v>4301045</v>
      </c>
    </row>
    <row r="16">
      <c r="A16" s="9" t="n">
        <v>13</v>
      </c>
      <c r="B16" s="9" t="inlineStr">
        <is>
          <t>Jam Productions</t>
        </is>
      </c>
      <c r="C16" s="9" t="inlineStr">
        <is>
          <t>Tier 2 (Large indie)</t>
        </is>
      </c>
      <c r="D16" s="10" t="n">
        <v>561655458.5899999</v>
      </c>
      <c r="E16" s="11" t="n">
        <v>0.00602169384955707</v>
      </c>
      <c r="F16" s="10" t="n">
        <v>3999</v>
      </c>
      <c r="G16" s="10" t="n">
        <v>10167480</v>
      </c>
    </row>
    <row r="17">
      <c r="A17" s="9" t="n">
        <v>14</v>
      </c>
      <c r="B17" s="9" t="inlineStr">
        <is>
          <t>LiveCo</t>
        </is>
      </c>
      <c r="C17" s="9" t="inlineStr">
        <is>
          <t>Tier 2 (Large indie)</t>
        </is>
      </c>
      <c r="D17" s="10" t="n">
        <v>466232044.9099993</v>
      </c>
      <c r="E17" s="11" t="n">
        <v>0.004998627885410434</v>
      </c>
      <c r="F17" s="10" t="n">
        <v>3592</v>
      </c>
      <c r="G17" s="10" t="n">
        <v>8621317</v>
      </c>
    </row>
    <row r="18">
      <c r="A18" s="9" t="n">
        <v>15</v>
      </c>
      <c r="B18" s="9" t="inlineStr">
        <is>
          <t>I.M.P.</t>
        </is>
      </c>
      <c r="C18" s="9" t="inlineStr">
        <is>
          <t>Tier 2 (Large indie)</t>
        </is>
      </c>
      <c r="D18" s="10" t="n">
        <v>440846351.49</v>
      </c>
      <c r="E18" s="11" t="n">
        <v>0.004726459473983063</v>
      </c>
      <c r="F18" s="10" t="n">
        <v>5418</v>
      </c>
      <c r="G18" s="10" t="n">
        <v>9083600</v>
      </c>
    </row>
    <row r="19">
      <c r="A19" s="9" t="n">
        <v>16</v>
      </c>
      <c r="B19" s="9" t="inlineStr">
        <is>
          <t>Beaver Productions</t>
        </is>
      </c>
      <c r="C19" s="9" t="inlineStr">
        <is>
          <t>Tier 2 (Large indie)</t>
        </is>
      </c>
      <c r="D19" s="10" t="n">
        <v>426477233.77</v>
      </c>
      <c r="E19" s="11" t="n">
        <v>0.00457240341261173</v>
      </c>
      <c r="F19" s="10" t="n">
        <v>770</v>
      </c>
      <c r="G19" s="10" t="n">
        <v>5090847</v>
      </c>
    </row>
    <row r="20">
      <c r="A20" s="9" t="n">
        <v>17</v>
      </c>
      <c r="B20" s="9" t="inlineStr">
        <is>
          <t>Premier Productions</t>
        </is>
      </c>
      <c r="C20" s="9" t="inlineStr">
        <is>
          <t>Tier 2 (Large indie)</t>
        </is>
      </c>
      <c r="D20" s="10" t="n">
        <v>423260529.6200005</v>
      </c>
      <c r="E20" s="11" t="n">
        <v>0.004537916064007439</v>
      </c>
      <c r="F20" s="10" t="n">
        <v>3987</v>
      </c>
      <c r="G20" s="10" t="n">
        <v>14798487</v>
      </c>
    </row>
    <row r="21">
      <c r="A21" s="9" t="n">
        <v>18</v>
      </c>
      <c r="B21" s="9" t="inlineStr">
        <is>
          <t>Gelb Promotions</t>
        </is>
      </c>
      <c r="C21" s="9" t="inlineStr">
        <is>
          <t>Tier 2 (Large indie)</t>
        </is>
      </c>
      <c r="D21" s="10" t="n">
        <v>338363036.45</v>
      </c>
      <c r="E21" s="11" t="n">
        <v>0.003627701973418864</v>
      </c>
      <c r="F21" s="10" t="n">
        <v>153</v>
      </c>
      <c r="G21" s="10" t="n">
        <v>1858030</v>
      </c>
    </row>
    <row r="22">
      <c r="A22" s="9" t="n">
        <v>19</v>
      </c>
      <c r="B22" s="9" t="inlineStr">
        <is>
          <t>Bill Blumenreich Presents</t>
        </is>
      </c>
      <c r="C22" s="9" t="inlineStr">
        <is>
          <t>Tier 2 (Large indie)</t>
        </is>
      </c>
      <c r="D22" s="10" t="n">
        <v>330991564.3200002</v>
      </c>
      <c r="E22" s="11" t="n">
        <v>0.003548669983773759</v>
      </c>
      <c r="F22" s="10" t="n">
        <v>3413</v>
      </c>
      <c r="G22" s="10" t="n">
        <v>5448197</v>
      </c>
    </row>
    <row r="23">
      <c r="A23" s="9" t="n">
        <v>20</v>
      </c>
      <c r="B23" s="9" t="inlineStr">
        <is>
          <t>Mammoth</t>
        </is>
      </c>
      <c r="C23" s="9" t="inlineStr">
        <is>
          <t>Tier 2 (Large indie)</t>
        </is>
      </c>
      <c r="D23" s="10" t="n">
        <v>308696774.58</v>
      </c>
      <c r="E23" s="11" t="n">
        <v>0.003309640172523355</v>
      </c>
      <c r="F23" s="10" t="n">
        <v>1233</v>
      </c>
      <c r="G23" s="10" t="n">
        <v>3661641</v>
      </c>
    </row>
    <row r="24">
      <c r="A24" s="9" t="n">
        <v>21</v>
      </c>
      <c r="B24" s="9" t="inlineStr">
        <is>
          <t>MGM Resorts International</t>
        </is>
      </c>
      <c r="C24" s="9" t="inlineStr">
        <is>
          <t>Tier 2 (Large indie)</t>
        </is>
      </c>
      <c r="D24" s="10" t="n">
        <v>292043456.71</v>
      </c>
      <c r="E24" s="11" t="n">
        <v>0.003131094446208779</v>
      </c>
      <c r="F24" s="10" t="n">
        <v>697</v>
      </c>
      <c r="G24" s="10" t="n">
        <v>1552867</v>
      </c>
    </row>
    <row r="25">
      <c r="A25" s="9" t="n">
        <v>22</v>
      </c>
      <c r="B25" s="9" t="inlineStr">
        <is>
          <t>Black Promoters Collective</t>
        </is>
      </c>
      <c r="C25" s="9" t="inlineStr">
        <is>
          <t>Tier 2 (Large indie)</t>
        </is>
      </c>
      <c r="D25" s="10" t="n">
        <v>287172506.34</v>
      </c>
      <c r="E25" s="11" t="n">
        <v>0.003078871377001615</v>
      </c>
      <c r="F25" s="10" t="n">
        <v>400</v>
      </c>
      <c r="G25" s="10" t="n">
        <v>2559809</v>
      </c>
    </row>
    <row r="26">
      <c r="A26" s="9" t="n">
        <v>23</v>
      </c>
      <c r="B26" s="9" t="inlineStr">
        <is>
          <t>Loud and Live</t>
        </is>
      </c>
      <c r="C26" s="9" t="inlineStr">
        <is>
          <t>Tier 2 (Large indie)</t>
        </is>
      </c>
      <c r="D26" s="10" t="n">
        <v>267474212.33</v>
      </c>
      <c r="E26" s="11" t="n">
        <v>0.002867679454849618</v>
      </c>
      <c r="F26" s="10" t="n">
        <v>742</v>
      </c>
      <c r="G26" s="10" t="n">
        <v>2862133</v>
      </c>
    </row>
    <row r="27">
      <c r="A27" s="9" t="n">
        <v>24</v>
      </c>
      <c r="B27" s="9" t="inlineStr">
        <is>
          <t>MagicSpace Entertainment</t>
        </is>
      </c>
      <c r="C27" s="9" t="inlineStr">
        <is>
          <t>Tier 2 (Large indie)</t>
        </is>
      </c>
      <c r="D27" s="10" t="n">
        <v>263499153.69</v>
      </c>
      <c r="E27" s="11" t="n">
        <v>0.002825061537053167</v>
      </c>
      <c r="F27" s="10" t="n">
        <v>982</v>
      </c>
      <c r="G27" s="10" t="n">
        <v>4467270</v>
      </c>
    </row>
    <row r="28">
      <c r="A28" s="9" t="n">
        <v>25</v>
      </c>
      <c r="B28" s="9" t="inlineStr">
        <is>
          <t>Professional Facilities Mgmt</t>
        </is>
      </c>
      <c r="C28" s="9" t="inlineStr">
        <is>
          <t>Tier 2 (Large indie)</t>
        </is>
      </c>
      <c r="D28" s="10" t="n">
        <v>261895272.11</v>
      </c>
      <c r="E28" s="11" t="n">
        <v>0.002807865792405816</v>
      </c>
      <c r="F28" s="10" t="n">
        <v>934</v>
      </c>
      <c r="G28" s="10" t="n">
        <v>3893493</v>
      </c>
    </row>
    <row r="29">
      <c r="A29" s="9" t="n">
        <v>26</v>
      </c>
      <c r="B29" s="9" t="inlineStr">
        <is>
          <t>Tate Entertainment</t>
        </is>
      </c>
      <c r="C29" s="9" t="inlineStr">
        <is>
          <t>Tier 2 (Large indie)</t>
        </is>
      </c>
      <c r="D29" s="10" t="n">
        <v>248036747.88</v>
      </c>
      <c r="E29" s="11" t="n">
        <v>0.00265928397263818</v>
      </c>
      <c r="F29" s="10" t="n">
        <v>832</v>
      </c>
      <c r="G29" s="10" t="n">
        <v>4539943</v>
      </c>
    </row>
    <row r="30">
      <c r="A30" s="9" t="n">
        <v>27</v>
      </c>
      <c r="B30" s="9" t="inlineStr">
        <is>
          <t>Seattle Theatre Group</t>
        </is>
      </c>
      <c r="C30" s="9" t="inlineStr">
        <is>
          <t>Tier 2 (Large indie)</t>
        </is>
      </c>
      <c r="D30" s="10" t="n">
        <v>246780529.05</v>
      </c>
      <c r="E30" s="11" t="n">
        <v>0.002645815635267616</v>
      </c>
      <c r="F30" s="10" t="n">
        <v>2701</v>
      </c>
      <c r="G30" s="10" t="n">
        <v>4526380</v>
      </c>
    </row>
    <row r="31">
      <c r="A31" s="9" t="n">
        <v>28</v>
      </c>
      <c r="B31" s="9" t="inlineStr">
        <is>
          <t>Blumenthal Performing Arts</t>
        </is>
      </c>
      <c r="C31" s="9" t="inlineStr">
        <is>
          <t>Tier 2 (Large indie)</t>
        </is>
      </c>
      <c r="D31" s="10" t="n">
        <v>243485442.99</v>
      </c>
      <c r="E31" s="11" t="n">
        <v>0.002610487928293886</v>
      </c>
      <c r="F31" s="10" t="n">
        <v>1024</v>
      </c>
      <c r="G31" s="10" t="n">
        <v>3398443</v>
      </c>
    </row>
    <row r="32">
      <c r="A32" s="9" t="n">
        <v>29</v>
      </c>
      <c r="B32" s="9" t="inlineStr">
        <is>
          <t>Awakening Events</t>
        </is>
      </c>
      <c r="C32" s="9" t="inlineStr">
        <is>
          <t>Tier 2 (Large indie)</t>
        </is>
      </c>
      <c r="D32" s="10" t="n">
        <v>243221871.4399999</v>
      </c>
      <c r="E32" s="11" t="n">
        <v>0.002607662090572059</v>
      </c>
      <c r="F32" s="10" t="n">
        <v>2972</v>
      </c>
      <c r="G32" s="10" t="n">
        <v>7162257</v>
      </c>
    </row>
    <row r="33">
      <c r="A33" s="9" t="n">
        <v>30</v>
      </c>
      <c r="B33" s="9" t="inlineStr">
        <is>
          <t>NS2</t>
        </is>
      </c>
      <c r="C33" s="9" t="inlineStr">
        <is>
          <t>Tier 2 (Large indie)</t>
        </is>
      </c>
      <c r="D33" s="10" t="n">
        <v>225029962.05</v>
      </c>
      <c r="E33" s="11" t="n">
        <v>0.002412620615927674</v>
      </c>
      <c r="F33" s="10" t="n">
        <v>2420</v>
      </c>
      <c r="G33" s="10" t="n">
        <v>3663890</v>
      </c>
    </row>
    <row r="34">
      <c r="A34" s="9" t="n">
        <v>31</v>
      </c>
      <c r="B34" s="9" t="inlineStr">
        <is>
          <t>AC Entertainment</t>
        </is>
      </c>
      <c r="C34" s="9" t="inlineStr">
        <is>
          <t>Tier 2 (Large indie)</t>
        </is>
      </c>
      <c r="D34" s="10" t="n">
        <v>220213643.2300001</v>
      </c>
      <c r="E34" s="11" t="n">
        <v>0.002360983269628738</v>
      </c>
      <c r="F34" s="10" t="n">
        <v>4065</v>
      </c>
      <c r="G34" s="10" t="n">
        <v>4791531</v>
      </c>
    </row>
    <row r="35">
      <c r="A35" s="9" t="n">
        <v>32</v>
      </c>
      <c r="B35" s="9" t="inlineStr">
        <is>
          <t>Crossroads Presents</t>
        </is>
      </c>
      <c r="C35" s="9" t="inlineStr">
        <is>
          <t>Tier 2 (Large indie)</t>
        </is>
      </c>
      <c r="D35" s="10" t="n">
        <v>216009010.72</v>
      </c>
      <c r="E35" s="11" t="n">
        <v>0.002315904014477053</v>
      </c>
      <c r="F35" s="10" t="n">
        <v>5937</v>
      </c>
      <c r="G35" s="10" t="n">
        <v>6070958</v>
      </c>
    </row>
    <row r="36">
      <c r="A36" s="9" t="n">
        <v>33</v>
      </c>
      <c r="B36" s="9" t="inlineStr">
        <is>
          <t>iHeart Radio</t>
        </is>
      </c>
      <c r="C36" s="9" t="inlineStr">
        <is>
          <t>Tier 2 (Large indie)</t>
        </is>
      </c>
      <c r="D36" s="10" t="n">
        <v>177700643.91</v>
      </c>
      <c r="E36" s="11" t="n">
        <v>0.001905187349521168</v>
      </c>
      <c r="F36" s="10" t="n">
        <v>141</v>
      </c>
      <c r="G36" s="10" t="n">
        <v>1611164</v>
      </c>
    </row>
    <row r="37">
      <c r="A37" s="9" t="n">
        <v>34</v>
      </c>
      <c r="B37" s="9" t="inlineStr">
        <is>
          <t>North American Ent'ment Group</t>
        </is>
      </c>
      <c r="C37" s="9" t="inlineStr">
        <is>
          <t>Tier 2 (Large indie)</t>
        </is>
      </c>
      <c r="D37" s="10" t="n">
        <v>166250851.4799999</v>
      </c>
      <c r="E37" s="11" t="n">
        <v>0.001782430339685416</v>
      </c>
      <c r="F37" s="10" t="n">
        <v>525</v>
      </c>
      <c r="G37" s="10" t="n">
        <v>2301087</v>
      </c>
    </row>
    <row r="38">
      <c r="A38" s="9" t="n">
        <v>35</v>
      </c>
      <c r="B38" s="9" t="inlineStr">
        <is>
          <t>TGB Promotions</t>
        </is>
      </c>
      <c r="C38" s="9" t="inlineStr">
        <is>
          <t>Tier 2 (Large indie)</t>
        </is>
      </c>
      <c r="D38" s="10" t="n">
        <v>160514314.73</v>
      </c>
      <c r="E38" s="11" t="n">
        <v>0.001720927032743555</v>
      </c>
      <c r="F38" s="10" t="n">
        <v>41</v>
      </c>
      <c r="G38" s="10" t="n">
        <v>419580</v>
      </c>
    </row>
    <row r="39">
      <c r="A39" s="9" t="n">
        <v>36</v>
      </c>
      <c r="B39" s="9" t="inlineStr">
        <is>
          <t>Monqui Presents</t>
        </is>
      </c>
      <c r="C39" s="9" t="inlineStr">
        <is>
          <t>Tier 2 (Large indie)</t>
        </is>
      </c>
      <c r="D39" s="10" t="n">
        <v>157824723.4</v>
      </c>
      <c r="E39" s="11" t="n">
        <v>0.001692091034941019</v>
      </c>
      <c r="F39" s="10" t="n">
        <v>4489</v>
      </c>
      <c r="G39" s="10" t="n">
        <v>4029500</v>
      </c>
    </row>
    <row r="40">
      <c r="A40" s="9" t="n">
        <v>37</v>
      </c>
      <c r="B40" s="9" t="inlineStr">
        <is>
          <t>JS Touring LLC</t>
        </is>
      </c>
      <c r="C40" s="9" t="inlineStr">
        <is>
          <t>Tier 2 (Large indie)</t>
        </is>
      </c>
      <c r="D40" s="10" t="n">
        <v>157110445.62</v>
      </c>
      <c r="E40" s="11" t="n">
        <v>0.001684433026728121</v>
      </c>
      <c r="F40" s="10" t="n">
        <v>355</v>
      </c>
      <c r="G40" s="10" t="n">
        <v>1514595</v>
      </c>
    </row>
    <row r="41">
      <c r="A41" s="9" t="n">
        <v>38</v>
      </c>
      <c r="B41" s="9" t="inlineStr">
        <is>
          <t>Caesars Entertainment</t>
        </is>
      </c>
      <c r="C41" s="9" t="inlineStr">
        <is>
          <t>Tier 2 (Large indie)</t>
        </is>
      </c>
      <c r="D41" s="10" t="n">
        <v>155817309</v>
      </c>
      <c r="E41" s="11" t="n">
        <v>0.001670568881526293</v>
      </c>
      <c r="F41" s="10" t="n">
        <v>276</v>
      </c>
      <c r="G41" s="10" t="n">
        <v>1326729</v>
      </c>
    </row>
    <row r="42">
      <c r="A42" s="9" t="n">
        <v>39</v>
      </c>
      <c r="B42" s="9" t="inlineStr">
        <is>
          <t>Red Mountain Entertainment</t>
        </is>
      </c>
      <c r="C42" s="9" t="inlineStr">
        <is>
          <t>Tier 2 (Large indie)</t>
        </is>
      </c>
      <c r="D42" s="10" t="n">
        <v>155264662.91</v>
      </c>
      <c r="E42" s="11" t="n">
        <v>0.001664643780095803</v>
      </c>
      <c r="F42" s="10" t="n">
        <v>1319</v>
      </c>
      <c r="G42" s="10" t="n">
        <v>3335019</v>
      </c>
    </row>
    <row r="43">
      <c r="A43" s="9" t="n">
        <v>40</v>
      </c>
      <c r="B43" s="9" t="inlineStr">
        <is>
          <t>Varnell Enterprises</t>
        </is>
      </c>
      <c r="C43" s="9" t="inlineStr">
        <is>
          <t>Tier 2 (Large indie)</t>
        </is>
      </c>
      <c r="D43" s="10" t="n">
        <v>149855460.5</v>
      </c>
      <c r="E43" s="11" t="n">
        <v>0.001606649932826735</v>
      </c>
      <c r="F43" s="10" t="n">
        <v>37</v>
      </c>
      <c r="G43" s="10" t="n">
        <v>2352638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showGridLines="0" workbookViewId="0">
      <selection activeCell="A1" sqref="A1"/>
    </sheetView>
  </sheetViews>
  <sheetFormatPr baseColWidth="8" defaultRowHeight="15"/>
  <cols>
    <col width="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Market Share by Year (share of US gross)</t>
        </is>
      </c>
    </row>
    <row r="3">
      <c r="A3" s="6" t="inlineStr">
        <is>
          <t>Year</t>
        </is>
      </c>
      <c r="B3" s="6" t="inlineStr">
        <is>
          <t>Live Nation</t>
        </is>
      </c>
      <c r="C3" s="6" t="inlineStr">
        <is>
          <t>AEG Presents</t>
        </is>
      </c>
      <c r="D3" s="6" t="inlineStr">
        <is>
          <t>MSG Entertainment</t>
        </is>
      </c>
      <c r="E3" s="6" t="inlineStr">
        <is>
          <t>Cardenas Marketing Network (CMN)</t>
        </is>
      </c>
      <c r="F3" s="6" t="inlineStr">
        <is>
          <t>Broadway Across America</t>
        </is>
      </c>
      <c r="G3" s="6" t="inlineStr">
        <is>
          <t>Another Planet Entertainment</t>
        </is>
      </c>
      <c r="H3" s="6" t="inlineStr">
        <is>
          <t>Outback Presents</t>
        </is>
      </c>
      <c r="I3" s="6" t="inlineStr">
        <is>
          <t>Nederlander Concerts</t>
        </is>
      </c>
      <c r="J3" s="6" t="inlineStr">
        <is>
          <t>Jam Productions</t>
        </is>
      </c>
      <c r="K3" s="6" t="inlineStr">
        <is>
          <t>LiveCo</t>
        </is>
      </c>
      <c r="L3" s="6" t="inlineStr">
        <is>
          <t>All Other</t>
        </is>
      </c>
    </row>
    <row r="4">
      <c r="A4" t="n">
        <v>2010</v>
      </c>
      <c r="B4" s="12" t="n">
        <v>0.3033374624603408</v>
      </c>
      <c r="C4" s="12" t="n">
        <v>0.1958149790665278</v>
      </c>
      <c r="D4" s="12" t="n">
        <v>0.03643497006974756</v>
      </c>
      <c r="E4" s="12" t="n">
        <v>0.0009621117535568551</v>
      </c>
      <c r="F4" s="12" t="n">
        <v>0.01955243406096997</v>
      </c>
      <c r="G4" s="12" t="n">
        <v>0.007676689364735647</v>
      </c>
      <c r="H4" s="12" t="n">
        <v>0.005962491479409644</v>
      </c>
      <c r="I4" s="12" t="n">
        <v>0.01107584291281263</v>
      </c>
      <c r="J4" s="12" t="n">
        <v>0.01039989093922126</v>
      </c>
      <c r="K4" s="12" t="n">
        <v>0</v>
      </c>
      <c r="L4" s="12" t="n">
        <v>0.4087831278926779</v>
      </c>
    </row>
    <row r="5">
      <c r="A5" t="n">
        <v>2011</v>
      </c>
      <c r="B5" s="12" t="n">
        <v>0.283610144597661</v>
      </c>
      <c r="C5" s="12" t="n">
        <v>0.2070893695005097</v>
      </c>
      <c r="D5" s="12" t="n">
        <v>0.03012714263914781</v>
      </c>
      <c r="E5" s="12" t="n">
        <v>0.0001740041016820261</v>
      </c>
      <c r="F5" s="12" t="n">
        <v>0.01791920665789668</v>
      </c>
      <c r="G5" s="12" t="n">
        <v>0.01119167106076306</v>
      </c>
      <c r="H5" s="12" t="n">
        <v>0.003478254876041158</v>
      </c>
      <c r="I5" s="12" t="n">
        <v>0.01227019419998466</v>
      </c>
      <c r="J5" s="12" t="n">
        <v>0.01367746859959563</v>
      </c>
      <c r="K5" s="12" t="n">
        <v>0</v>
      </c>
      <c r="L5" s="12" t="n">
        <v>0.4204625437667184</v>
      </c>
    </row>
    <row r="6">
      <c r="A6" t="n">
        <v>2012</v>
      </c>
      <c r="B6" s="12" t="n">
        <v>0.2796633345231583</v>
      </c>
      <c r="C6" s="12" t="n">
        <v>0.1760787540293394</v>
      </c>
      <c r="D6" s="12" t="n">
        <v>0.02420619797668154</v>
      </c>
      <c r="E6" s="12" t="n">
        <v>0.0046661446555717</v>
      </c>
      <c r="F6" s="12" t="n">
        <v>0.01678701839218562</v>
      </c>
      <c r="G6" s="12" t="n">
        <v>0.01254819837134476</v>
      </c>
      <c r="H6" s="12" t="n">
        <v>0.002047029557794867</v>
      </c>
      <c r="I6" s="12" t="n">
        <v>0.01274008639106694</v>
      </c>
      <c r="J6" s="12" t="n">
        <v>0.01650294991211929</v>
      </c>
      <c r="K6" s="12" t="n">
        <v>0</v>
      </c>
      <c r="L6" s="12" t="n">
        <v>0.4547602861907375</v>
      </c>
    </row>
    <row r="7">
      <c r="A7" t="n">
        <v>2013</v>
      </c>
      <c r="B7" s="12" t="n">
        <v>0.3194475212452796</v>
      </c>
      <c r="C7" s="12" t="n">
        <v>0.2220722096451677</v>
      </c>
      <c r="D7" s="12" t="n">
        <v>0.02452588677145793</v>
      </c>
      <c r="E7" s="12" t="n">
        <v>0.003020303701038822</v>
      </c>
      <c r="F7" s="12" t="n">
        <v>0.01514271430417292</v>
      </c>
      <c r="G7" s="12" t="n">
        <v>0.01265604591086449</v>
      </c>
      <c r="H7" s="12" t="n">
        <v>0.002588968767866703</v>
      </c>
      <c r="I7" s="12" t="n">
        <v>0.00984756556596246</v>
      </c>
      <c r="J7" s="12" t="n">
        <v>0.01281688319779493</v>
      </c>
      <c r="K7" s="12" t="n">
        <v>0</v>
      </c>
      <c r="L7" s="12" t="n">
        <v>0.3778819008903944</v>
      </c>
    </row>
    <row r="8">
      <c r="A8" t="n">
        <v>2014</v>
      </c>
      <c r="B8" s="12" t="n">
        <v>0.3380864977224149</v>
      </c>
      <c r="C8" s="12" t="n">
        <v>0.1621135661834795</v>
      </c>
      <c r="D8" s="12" t="n">
        <v>0.03059957202088144</v>
      </c>
      <c r="E8" s="12" t="n">
        <v>0.006076058317802112</v>
      </c>
      <c r="F8" s="12" t="n">
        <v>0.01585779560536713</v>
      </c>
      <c r="G8" s="12" t="n">
        <v>0.01657577569086589</v>
      </c>
      <c r="H8" s="12" t="n">
        <v>0.002544853233338369</v>
      </c>
      <c r="I8" s="12" t="n">
        <v>0.01190407036900106</v>
      </c>
      <c r="J8" s="12" t="n">
        <v>0.01094243058455986</v>
      </c>
      <c r="K8" s="12" t="n">
        <v>0</v>
      </c>
      <c r="L8" s="12" t="n">
        <v>0.4052993802722896</v>
      </c>
    </row>
    <row r="9">
      <c r="A9" t="n">
        <v>2015</v>
      </c>
      <c r="B9" s="12" t="n">
        <v>0.295009093324745</v>
      </c>
      <c r="C9" s="12" t="n">
        <v>0.2434653796180792</v>
      </c>
      <c r="D9" s="12" t="n">
        <v>0.0280036143744893</v>
      </c>
      <c r="E9" s="12" t="n">
        <v>0.01265940705869806</v>
      </c>
      <c r="F9" s="12" t="n">
        <v>0.01425993816147113</v>
      </c>
      <c r="G9" s="12" t="n">
        <v>0.01479057606590035</v>
      </c>
      <c r="H9" s="12" t="n">
        <v>0.00681767464535202</v>
      </c>
      <c r="I9" s="12" t="n">
        <v>0.009727373209881771</v>
      </c>
      <c r="J9" s="12" t="n">
        <v>0.008384474199739355</v>
      </c>
      <c r="K9" s="12" t="n">
        <v>0</v>
      </c>
      <c r="L9" s="12" t="n">
        <v>0.3668824693416439</v>
      </c>
    </row>
    <row r="10">
      <c r="A10" t="n">
        <v>2016</v>
      </c>
      <c r="B10" s="12" t="n">
        <v>0.3941716889534128</v>
      </c>
      <c r="C10" s="12" t="n">
        <v>0.1909470476726795</v>
      </c>
      <c r="D10" s="12" t="n">
        <v>0.02130861588456491</v>
      </c>
      <c r="E10" s="12" t="n">
        <v>0.00452265546755404</v>
      </c>
      <c r="F10" s="12" t="n">
        <v>0.01532439790289818</v>
      </c>
      <c r="G10" s="12" t="n">
        <v>0.01587546155327704</v>
      </c>
      <c r="H10" s="12" t="n">
        <v>0.00475074089479281</v>
      </c>
      <c r="I10" s="12" t="n">
        <v>0.00869134051910545</v>
      </c>
      <c r="J10" s="12" t="n">
        <v>0.009445090451240026</v>
      </c>
      <c r="K10" s="12" t="n">
        <v>0</v>
      </c>
      <c r="L10" s="12" t="n">
        <v>0.3349629607004754</v>
      </c>
    </row>
    <row r="11">
      <c r="A11" t="n">
        <v>2017</v>
      </c>
      <c r="B11" s="12" t="n">
        <v>0.4413891218232708</v>
      </c>
      <c r="C11" s="12" t="n">
        <v>0.1470895227575355</v>
      </c>
      <c r="D11" s="12" t="n">
        <v>0.0191297545320822</v>
      </c>
      <c r="E11" s="12" t="n">
        <v>0.00746031821838501</v>
      </c>
      <c r="F11" s="12" t="n">
        <v>0.015205291159445</v>
      </c>
      <c r="G11" s="12" t="n">
        <v>0.01679587402423072</v>
      </c>
      <c r="H11" s="12" t="n">
        <v>0.004112963513526002</v>
      </c>
      <c r="I11" s="12" t="n">
        <v>0.006610363133866803</v>
      </c>
      <c r="J11" s="12" t="n">
        <v>0.004551592058879999</v>
      </c>
      <c r="K11" s="12" t="n">
        <v>0</v>
      </c>
      <c r="L11" s="12" t="n">
        <v>0.3376551987787779</v>
      </c>
    </row>
    <row r="12">
      <c r="A12" t="n">
        <v>2018</v>
      </c>
      <c r="B12" s="12" t="n">
        <v>0.4347087579469484</v>
      </c>
      <c r="C12" s="12" t="n">
        <v>0.1350177444130538</v>
      </c>
      <c r="D12" s="12" t="n">
        <v>0.006319255871982534</v>
      </c>
      <c r="E12" s="12" t="n">
        <v>0.01268882236611776</v>
      </c>
      <c r="F12" s="12" t="n">
        <v>0.0152210678327814</v>
      </c>
      <c r="G12" s="12" t="n">
        <v>0.01603747977248536</v>
      </c>
      <c r="H12" s="12" t="n">
        <v>0.003729287705339531</v>
      </c>
      <c r="I12" s="12" t="n">
        <v>0.005569210881537084</v>
      </c>
      <c r="J12" s="12" t="n">
        <v>0.004804612397415932</v>
      </c>
      <c r="K12" s="12" t="n">
        <v>0</v>
      </c>
      <c r="L12" s="12" t="n">
        <v>0.3659037608123381</v>
      </c>
    </row>
    <row r="13">
      <c r="A13" t="n">
        <v>2019</v>
      </c>
      <c r="B13" s="12" t="n">
        <v>0.4025203846793605</v>
      </c>
      <c r="C13" s="12" t="n">
        <v>0.1449433393515652</v>
      </c>
      <c r="D13" s="12" t="n">
        <v>0.006965053614037574</v>
      </c>
      <c r="E13" s="12" t="n">
        <v>0.01554373905805674</v>
      </c>
      <c r="F13" s="12" t="n">
        <v>0.0202012047617508</v>
      </c>
      <c r="G13" s="12" t="n">
        <v>0.01562650749924734</v>
      </c>
      <c r="H13" s="12" t="n">
        <v>0.008212831783132115</v>
      </c>
      <c r="I13" s="12" t="n">
        <v>0.008376419459451098</v>
      </c>
      <c r="J13" s="12" t="n">
        <v>0.003307928028842884</v>
      </c>
      <c r="K13" s="12" t="n">
        <v>0</v>
      </c>
      <c r="L13" s="12" t="n">
        <v>0.3743025917645558</v>
      </c>
    </row>
    <row r="14">
      <c r="A14" t="n">
        <v>2020</v>
      </c>
      <c r="B14" s="12" t="n">
        <v>0.2657448285482453</v>
      </c>
      <c r="C14" s="12" t="n">
        <v>0.1313915785380498</v>
      </c>
      <c r="D14" s="12" t="n">
        <v>0.008468595346107133</v>
      </c>
      <c r="E14" s="12" t="n">
        <v>0.01322257889498939</v>
      </c>
      <c r="F14" s="12" t="n">
        <v>0.0318591125962342</v>
      </c>
      <c r="G14" s="12" t="n">
        <v>0.007922028407158152</v>
      </c>
      <c r="H14" s="12" t="n">
        <v>0.01270657742944661</v>
      </c>
      <c r="I14" s="12" t="n">
        <v>0.01799996802241968</v>
      </c>
      <c r="J14" s="12" t="n">
        <v>0.001402055210906271</v>
      </c>
      <c r="K14" s="12" t="n">
        <v>0</v>
      </c>
      <c r="L14" s="12" t="n">
        <v>0.5092826770064435</v>
      </c>
    </row>
    <row r="15">
      <c r="A15" t="n">
        <v>2021</v>
      </c>
      <c r="B15" s="12" t="n">
        <v>0.3714988188746075</v>
      </c>
      <c r="C15" s="12" t="n">
        <v>0.1106855783784411</v>
      </c>
      <c r="D15" s="12" t="n">
        <v>0.01739771619669801</v>
      </c>
      <c r="E15" s="12" t="n">
        <v>0.01709207225050099</v>
      </c>
      <c r="F15" s="12" t="n">
        <v>0.01372303736253955</v>
      </c>
      <c r="G15" s="12" t="n">
        <v>0.02375006480050203</v>
      </c>
      <c r="H15" s="12" t="n">
        <v>0.02191699504302915</v>
      </c>
      <c r="I15" s="12" t="n">
        <v>0.01116931738077552</v>
      </c>
      <c r="J15" s="12" t="n">
        <v>0.002004870464560966</v>
      </c>
      <c r="K15" s="12" t="n">
        <v>0</v>
      </c>
      <c r="L15" s="12" t="n">
        <v>0.4107615292483452</v>
      </c>
    </row>
    <row r="16">
      <c r="A16" t="n">
        <v>2022</v>
      </c>
      <c r="B16" s="12" t="n">
        <v>0.4142532643161542</v>
      </c>
      <c r="C16" s="12" t="n">
        <v>0.1544019219618873</v>
      </c>
      <c r="D16" s="12" t="n">
        <v>0.01533801376305438</v>
      </c>
      <c r="E16" s="12" t="n">
        <v>0.03044134584236472</v>
      </c>
      <c r="F16" s="12" t="n">
        <v>0.008750122283214016</v>
      </c>
      <c r="G16" s="12" t="n">
        <v>0.0129318804821208</v>
      </c>
      <c r="H16" s="12" t="n">
        <v>0.01385159775037089</v>
      </c>
      <c r="I16" s="12" t="n">
        <v>0.01365706292350105</v>
      </c>
      <c r="J16" s="12" t="n">
        <v>0.003540418646994717</v>
      </c>
      <c r="K16" s="12" t="n">
        <v>0.002247618349434184</v>
      </c>
      <c r="L16" s="12" t="n">
        <v>0.3305867536809037</v>
      </c>
    </row>
    <row r="17">
      <c r="A17" t="n">
        <v>2023</v>
      </c>
      <c r="B17" s="12" t="n">
        <v>0.4843058655417353</v>
      </c>
      <c r="C17" s="12" t="n">
        <v>0.108520559692881</v>
      </c>
      <c r="D17" s="12" t="n">
        <v>0.01664855517863954</v>
      </c>
      <c r="E17" s="12" t="n">
        <v>0.01560625849987357</v>
      </c>
      <c r="F17" s="12" t="n">
        <v>0.00933990836306932</v>
      </c>
      <c r="G17" s="12" t="n">
        <v>0.01011188036658482</v>
      </c>
      <c r="H17" s="12" t="n">
        <v>0.02955923234837829</v>
      </c>
      <c r="I17" s="12" t="n">
        <v>0.009525657176612617</v>
      </c>
      <c r="J17" s="12" t="n">
        <v>0.002729817001861355</v>
      </c>
      <c r="K17" s="12" t="n">
        <v>0.008639447240597644</v>
      </c>
      <c r="L17" s="12" t="n">
        <v>0.3050128185897666</v>
      </c>
    </row>
    <row r="18">
      <c r="A18" t="n">
        <v>2024</v>
      </c>
      <c r="B18" s="12" t="n">
        <v>0.458117529980865</v>
      </c>
      <c r="C18" s="12" t="n">
        <v>0.1541509324193069</v>
      </c>
      <c r="D18" s="12" t="n">
        <v>0.01585949760966488</v>
      </c>
      <c r="E18" s="12" t="n">
        <v>0.03371429040296407</v>
      </c>
      <c r="F18" s="12" t="n">
        <v>0.01154727628004231</v>
      </c>
      <c r="G18" s="12" t="n">
        <v>0.008139163137039104</v>
      </c>
      <c r="H18" s="12" t="n">
        <v>0.02049735648402635</v>
      </c>
      <c r="I18" s="12" t="n">
        <v>0.007376500947277815</v>
      </c>
      <c r="J18" s="12" t="n">
        <v>0.002321330216799993</v>
      </c>
      <c r="K18" s="12" t="n">
        <v>0.01705893899880134</v>
      </c>
      <c r="L18" s="12" t="n">
        <v>0.2712171835232122</v>
      </c>
    </row>
    <row r="19">
      <c r="A19" t="n">
        <v>2025</v>
      </c>
      <c r="B19" s="12" t="n">
        <v>0.4766668535713975</v>
      </c>
      <c r="C19" s="12" t="n">
        <v>0.1108853078579362</v>
      </c>
      <c r="D19" s="12" t="n">
        <v>0.01824095968549656</v>
      </c>
      <c r="E19" s="12" t="n">
        <v>0.01379309044191893</v>
      </c>
      <c r="F19" s="12" t="n">
        <v>0.01437684541648944</v>
      </c>
      <c r="G19" s="12" t="n">
        <v>0.01801542248652305</v>
      </c>
      <c r="H19" s="12" t="n">
        <v>0.02688466736780278</v>
      </c>
      <c r="I19" s="12" t="n">
        <v>0.004040883060779591</v>
      </c>
      <c r="J19" s="12" t="n">
        <v>0.004369851100662761</v>
      </c>
      <c r="K19" s="12" t="n">
        <v>0.01773665064986243</v>
      </c>
      <c r="L19" s="12" t="n">
        <v>0.2949894683611307</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5"/>
  <cols>
    <col width="8" customWidth="1" min="1" max="1"/>
    <col width="20" customWidth="1" min="2" max="2"/>
    <col width="20" customWidth="1" min="3" max="3"/>
    <col width="20" customWidth="1" min="4" max="4"/>
    <col width="20" customWidth="1" min="5" max="5"/>
    <col width="20" customWidth="1" min="6" max="6"/>
  </cols>
  <sheetData>
    <row r="1">
      <c r="A1" s="1" t="inlineStr">
        <is>
          <t>Market Structure by Tier and Year (share of US gross)</t>
        </is>
      </c>
      <c r="I1" s="5" t="inlineStr">
        <is>
          <t>Gross USD by Tier and Year</t>
        </is>
      </c>
    </row>
    <row r="3">
      <c r="A3" s="6" t="inlineStr">
        <is>
          <t>Year</t>
        </is>
      </c>
      <c r="B3" s="6" t="inlineStr">
        <is>
          <t>Tier 1 (Majors)</t>
        </is>
      </c>
      <c r="C3" s="6" t="inlineStr">
        <is>
          <t>Tier 2 (Large indie)</t>
        </is>
      </c>
      <c r="D3" s="6" t="inlineStr">
        <is>
          <t>Tier 3 (Small indie)</t>
        </is>
      </c>
      <c r="E3" s="6" t="inlineStr">
        <is>
          <t>Venue / In-House</t>
        </is>
      </c>
      <c r="F3" s="6" t="inlineStr">
        <is>
          <t>Non-music content</t>
        </is>
      </c>
      <c r="I3" s="13" t="inlineStr">
        <is>
          <t>Year</t>
        </is>
      </c>
      <c r="J3" s="14" t="inlineStr">
        <is>
          <t>Tier 1 (Majors)</t>
        </is>
      </c>
      <c r="K3" s="14" t="inlineStr">
        <is>
          <t>Tier 2 (Large indie)</t>
        </is>
      </c>
      <c r="L3" s="14" t="inlineStr">
        <is>
          <t>Tier 3 (Small indie)</t>
        </is>
      </c>
      <c r="M3" s="14" t="inlineStr">
        <is>
          <t>Venue / In-House</t>
        </is>
      </c>
      <c r="N3" s="14" t="inlineStr">
        <is>
          <t>Non-music content</t>
        </is>
      </c>
    </row>
    <row r="4">
      <c r="A4" t="n">
        <v>2010</v>
      </c>
      <c r="B4" s="12" t="n">
        <v>0.4991524415268686</v>
      </c>
      <c r="C4" s="12" t="n">
        <v>0.1830448646903579</v>
      </c>
      <c r="D4" s="12" t="n">
        <v>0.1142735646540895</v>
      </c>
      <c r="E4" s="12" t="n">
        <v>0.1700589689486538</v>
      </c>
      <c r="F4" s="12" t="n">
        <v>0.03347016018003162</v>
      </c>
      <c r="I4" t="n">
        <v>2010</v>
      </c>
      <c r="J4" s="7" t="n">
        <v>1668070711.84</v>
      </c>
      <c r="K4" s="7" t="n">
        <v>611700459.2999998</v>
      </c>
      <c r="L4" s="7" t="n">
        <v>381880104.1100001</v>
      </c>
      <c r="M4" s="7" t="n">
        <v>568304112.7100004</v>
      </c>
      <c r="N4" s="7" t="n">
        <v>111850788</v>
      </c>
    </row>
    <row r="5">
      <c r="A5" t="n">
        <v>2011</v>
      </c>
      <c r="B5" s="12" t="n">
        <v>0.49069951409817</v>
      </c>
      <c r="C5" s="12" t="n">
        <v>0.1712940358639498</v>
      </c>
      <c r="D5" s="12" t="n">
        <v>0.1207283828132144</v>
      </c>
      <c r="E5" s="12" t="n">
        <v>0.1537849514080908</v>
      </c>
      <c r="F5" s="12" t="n">
        <v>0.06349311581657462</v>
      </c>
      <c r="I5" t="n">
        <v>2011</v>
      </c>
      <c r="J5" s="7" t="n">
        <v>1692337609.049998</v>
      </c>
      <c r="K5" s="7" t="n">
        <v>590763452.5200001</v>
      </c>
      <c r="L5" s="7" t="n">
        <v>416371275.7899998</v>
      </c>
      <c r="M5" s="7" t="n">
        <v>530377653.7300002</v>
      </c>
      <c r="N5" s="7" t="n">
        <v>218976756.09</v>
      </c>
    </row>
    <row r="6">
      <c r="A6" t="n">
        <v>2012</v>
      </c>
      <c r="B6" s="12" t="n">
        <v>0.4557420885524976</v>
      </c>
      <c r="C6" s="12" t="n">
        <v>0.1729762139666405</v>
      </c>
      <c r="D6" s="12" t="n">
        <v>0.1340407229908089</v>
      </c>
      <c r="E6" s="12" t="n">
        <v>0.154667455296535</v>
      </c>
      <c r="F6" s="12" t="n">
        <v>0.0825735191935171</v>
      </c>
      <c r="I6" t="n">
        <v>2012</v>
      </c>
      <c r="J6" s="7" t="n">
        <v>1713407863.62</v>
      </c>
      <c r="K6" s="7" t="n">
        <v>650321338.9200002</v>
      </c>
      <c r="L6" s="7" t="n">
        <v>503939474.9500001</v>
      </c>
      <c r="M6" s="7" t="n">
        <v>581487733.5400001</v>
      </c>
      <c r="N6" s="7" t="n">
        <v>310443386</v>
      </c>
    </row>
    <row r="7">
      <c r="A7" t="n">
        <v>2013</v>
      </c>
      <c r="B7" s="12" t="n">
        <v>0.5415197308904474</v>
      </c>
      <c r="C7" s="12" t="n">
        <v>0.1634791710352247</v>
      </c>
      <c r="D7" s="12" t="n">
        <v>0.0995129795026467</v>
      </c>
      <c r="E7" s="12" t="n">
        <v>0.1490740042567275</v>
      </c>
      <c r="F7" s="12" t="n">
        <v>0.04641411431495529</v>
      </c>
      <c r="I7" t="n">
        <v>2013</v>
      </c>
      <c r="J7" s="7" t="n">
        <v>2347399454.71</v>
      </c>
      <c r="K7" s="7" t="n">
        <v>708655465.450001</v>
      </c>
      <c r="L7" s="7" t="n">
        <v>431372488.3800001</v>
      </c>
      <c r="M7" s="7" t="n">
        <v>646211423.7799997</v>
      </c>
      <c r="N7" s="7" t="n">
        <v>201197593.4</v>
      </c>
    </row>
    <row r="8">
      <c r="A8" t="n">
        <v>2014</v>
      </c>
      <c r="B8" s="12" t="n">
        <v>0.500200063905894</v>
      </c>
      <c r="C8" s="12" t="n">
        <v>0.1839068367558729</v>
      </c>
      <c r="D8" s="12" t="n">
        <v>0.1203198972690427</v>
      </c>
      <c r="E8" s="12" t="n">
        <v>0.1392184803806341</v>
      </c>
      <c r="F8" s="12" t="n">
        <v>0.05635472168855847</v>
      </c>
      <c r="I8" t="n">
        <v>2014</v>
      </c>
      <c r="J8" s="7" t="n">
        <v>2236293681.98</v>
      </c>
      <c r="K8" s="7" t="n">
        <v>822210404.9700015</v>
      </c>
      <c r="L8" s="7" t="n">
        <v>537926013.0000002</v>
      </c>
      <c r="M8" s="7" t="n">
        <v>622417769.5200009</v>
      </c>
      <c r="N8" s="7" t="n">
        <v>251950603.68</v>
      </c>
    </row>
    <row r="9">
      <c r="A9" t="n">
        <v>2015</v>
      </c>
      <c r="B9" s="12" t="n">
        <v>0.5384744729428247</v>
      </c>
      <c r="C9" s="12" t="n">
        <v>0.1764997973220149</v>
      </c>
      <c r="D9" s="12" t="n">
        <v>0.1046069937232024</v>
      </c>
      <c r="E9" s="12" t="n">
        <v>0.1343004215800203</v>
      </c>
      <c r="F9" s="12" t="n">
        <v>0.04611831443193777</v>
      </c>
      <c r="I9" t="n">
        <v>2015</v>
      </c>
      <c r="J9" s="7" t="n">
        <v>2620359428.310001</v>
      </c>
      <c r="K9" s="7" t="n">
        <v>858894768.9199997</v>
      </c>
      <c r="L9" s="7" t="n">
        <v>509045342.0600001</v>
      </c>
      <c r="M9" s="7" t="n">
        <v>653541427.8599991</v>
      </c>
      <c r="N9" s="7" t="n">
        <v>224423934.86</v>
      </c>
    </row>
    <row r="10">
      <c r="A10" t="n">
        <v>2016</v>
      </c>
      <c r="B10" s="12" t="n">
        <v>0.585118736626092</v>
      </c>
      <c r="C10" s="12" t="n">
        <v>0.1564672618456031</v>
      </c>
      <c r="D10" s="12" t="n">
        <v>0.0961773860749911</v>
      </c>
      <c r="E10" s="12" t="n">
        <v>0.1135204617020137</v>
      </c>
      <c r="F10" s="12" t="n">
        <v>0.04871615375129643</v>
      </c>
      <c r="I10" t="n">
        <v>2016</v>
      </c>
      <c r="J10" s="7" t="n">
        <v>3464997146.729999</v>
      </c>
      <c r="K10" s="7" t="n">
        <v>926578798.3100007</v>
      </c>
      <c r="L10" s="7" t="n">
        <v>569549986.1299996</v>
      </c>
      <c r="M10" s="7" t="n">
        <v>672253426.99</v>
      </c>
      <c r="N10" s="7" t="n">
        <v>288490733.8999999</v>
      </c>
    </row>
    <row r="11">
      <c r="A11" t="n">
        <v>2017</v>
      </c>
      <c r="B11" s="12" t="n">
        <v>0.588478644580807</v>
      </c>
      <c r="C11" s="12" t="n">
        <v>0.1577196019917239</v>
      </c>
      <c r="D11" s="12" t="n">
        <v>0.093878942004014</v>
      </c>
      <c r="E11" s="12" t="n">
        <v>0.1188199758852982</v>
      </c>
      <c r="F11" s="12" t="n">
        <v>0.0411028355381579</v>
      </c>
      <c r="I11" t="n">
        <v>2017</v>
      </c>
      <c r="J11" s="7" t="n">
        <v>3704994060.050006</v>
      </c>
      <c r="K11" s="7" t="n">
        <v>992984526.9899982</v>
      </c>
      <c r="L11" s="7" t="n">
        <v>591051052.9</v>
      </c>
      <c r="M11" s="7" t="n">
        <v>748076941.9999998</v>
      </c>
      <c r="N11" s="7" t="n">
        <v>258778738.91</v>
      </c>
    </row>
    <row r="12">
      <c r="A12" t="n">
        <v>2018</v>
      </c>
      <c r="B12" s="12" t="n">
        <v>0.5697265023600026</v>
      </c>
      <c r="C12" s="12" t="n">
        <v>0.1462696975160083</v>
      </c>
      <c r="D12" s="12" t="n">
        <v>0.09094424171379403</v>
      </c>
      <c r="E12" s="12" t="n">
        <v>0.1500960284250191</v>
      </c>
      <c r="F12" s="12" t="n">
        <v>0.04296352998517848</v>
      </c>
      <c r="I12" t="n">
        <v>2018</v>
      </c>
      <c r="J12" s="7" t="n">
        <v>3897649318.140003</v>
      </c>
      <c r="K12" s="7" t="n">
        <v>1000669592.210001</v>
      </c>
      <c r="L12" s="7" t="n">
        <v>622173552.1099998</v>
      </c>
      <c r="M12" s="7" t="n">
        <v>1026846531.490001</v>
      </c>
      <c r="N12" s="7" t="n">
        <v>293924844.0400001</v>
      </c>
    </row>
    <row r="13">
      <c r="A13" t="n">
        <v>2019</v>
      </c>
      <c r="B13" s="12" t="n">
        <v>0.5474637240309248</v>
      </c>
      <c r="C13" s="12" t="n">
        <v>0.1632083745385837</v>
      </c>
      <c r="D13" s="12" t="n">
        <v>0.09377787020925833</v>
      </c>
      <c r="E13" s="12" t="n">
        <v>0.1528019824187433</v>
      </c>
      <c r="F13" s="12" t="n">
        <v>0.04274804880249056</v>
      </c>
      <c r="I13" t="n">
        <v>2019</v>
      </c>
      <c r="J13" s="7" t="n">
        <v>3635788755.739999</v>
      </c>
      <c r="K13" s="7" t="n">
        <v>1083891309.950001</v>
      </c>
      <c r="L13" s="7" t="n">
        <v>622792910.4300009</v>
      </c>
      <c r="M13" s="7" t="n">
        <v>1014780898.069999</v>
      </c>
      <c r="N13" s="7" t="n">
        <v>283896207.8099999</v>
      </c>
    </row>
    <row r="14">
      <c r="A14" t="n">
        <v>2020</v>
      </c>
      <c r="B14" s="12" t="n">
        <v>0.3971364070862951</v>
      </c>
      <c r="C14" s="12" t="n">
        <v>0.2281367795799397</v>
      </c>
      <c r="D14" s="12" t="n">
        <v>0.1275853859679354</v>
      </c>
      <c r="E14" s="12" t="n">
        <v>0.1507271002047481</v>
      </c>
      <c r="F14" s="12" t="n">
        <v>0.09641432716108189</v>
      </c>
      <c r="I14" t="n">
        <v>2020</v>
      </c>
      <c r="J14" s="7" t="n">
        <v>346734017.35</v>
      </c>
      <c r="K14" s="7" t="n">
        <v>199182902.0900001</v>
      </c>
      <c r="L14" s="7" t="n">
        <v>111392943.69</v>
      </c>
      <c r="M14" s="7" t="n">
        <v>131597637.5999999</v>
      </c>
      <c r="N14" s="7" t="n">
        <v>84177945.88999997</v>
      </c>
    </row>
    <row r="15">
      <c r="A15" t="n">
        <v>2021</v>
      </c>
      <c r="B15" s="12" t="n">
        <v>0.4821843972530483</v>
      </c>
      <c r="C15" s="12" t="n">
        <v>0.2464765099472533</v>
      </c>
      <c r="D15" s="12" t="n">
        <v>0.1296102548817174</v>
      </c>
      <c r="E15" s="12" t="n">
        <v>0.1087510147909354</v>
      </c>
      <c r="F15" s="12" t="n">
        <v>0.03297782312704485</v>
      </c>
      <c r="I15" t="n">
        <v>2021</v>
      </c>
      <c r="J15" s="7" t="n">
        <v>1595408287.779998</v>
      </c>
      <c r="K15" s="7" t="n">
        <v>815519268.0500014</v>
      </c>
      <c r="L15" s="7" t="n">
        <v>428842733.19</v>
      </c>
      <c r="M15" s="7" t="n">
        <v>359825559.0399998</v>
      </c>
      <c r="N15" s="7" t="n">
        <v>109114049.79</v>
      </c>
    </row>
    <row r="16">
      <c r="A16" t="n">
        <v>2022</v>
      </c>
      <c r="B16" s="12" t="n">
        <v>0.5686551862780412</v>
      </c>
      <c r="C16" s="12" t="n">
        <v>0.2044137843836139</v>
      </c>
      <c r="D16" s="12" t="n">
        <v>0.101183260177824</v>
      </c>
      <c r="E16" s="12" t="n">
        <v>0.09889333319021758</v>
      </c>
      <c r="F16" s="12" t="n">
        <v>0.02685443597030549</v>
      </c>
      <c r="I16" t="n">
        <v>2022</v>
      </c>
      <c r="J16" s="7" t="n">
        <v>4682210209.819996</v>
      </c>
      <c r="K16" s="7" t="n">
        <v>1683108378.089999</v>
      </c>
      <c r="L16" s="7" t="n">
        <v>833125776.9200001</v>
      </c>
      <c r="M16" s="7" t="n">
        <v>814270907.0800006</v>
      </c>
      <c r="N16" s="7" t="n">
        <v>221114864.18</v>
      </c>
    </row>
    <row r="17">
      <c r="A17" t="n">
        <v>2023</v>
      </c>
      <c r="B17" s="12" t="n">
        <v>0.5928264252346167</v>
      </c>
      <c r="C17" s="12" t="n">
        <v>0.2043571213741377</v>
      </c>
      <c r="D17" s="12" t="n">
        <v>0.09379523382633594</v>
      </c>
      <c r="E17" s="12" t="n">
        <v>0.0771051399045191</v>
      </c>
      <c r="F17" s="12" t="n">
        <v>0.03191607966038806</v>
      </c>
      <c r="I17" t="n">
        <v>2023</v>
      </c>
      <c r="J17" s="7" t="n">
        <v>6096206730.720001</v>
      </c>
      <c r="K17" s="7" t="n">
        <v>2101463777.189999</v>
      </c>
      <c r="L17" s="7" t="n">
        <v>964523697.7000006</v>
      </c>
      <c r="M17" s="7" t="n">
        <v>792894602.6200002</v>
      </c>
      <c r="N17" s="7" t="n">
        <v>328202339.4399999</v>
      </c>
    </row>
    <row r="18">
      <c r="A18" t="n">
        <v>2024</v>
      </c>
      <c r="B18" s="12" t="n">
        <v>0.6122684624001717</v>
      </c>
      <c r="C18" s="12" t="n">
        <v>0.1970049281209407</v>
      </c>
      <c r="D18" s="12" t="n">
        <v>0.08133222183189814</v>
      </c>
      <c r="E18" s="12" t="n">
        <v>0.07687598981742574</v>
      </c>
      <c r="F18" s="12" t="n">
        <v>0.03251839782956484</v>
      </c>
      <c r="I18" t="n">
        <v>2024</v>
      </c>
      <c r="J18" s="7" t="n">
        <v>6678372142.009995</v>
      </c>
      <c r="K18" s="7" t="n">
        <v>2148848592.730003</v>
      </c>
      <c r="L18" s="7" t="n">
        <v>887138368.03</v>
      </c>
      <c r="M18" s="7" t="n">
        <v>838531625.120001</v>
      </c>
      <c r="N18" s="7" t="n">
        <v>354697286.4100002</v>
      </c>
    </row>
    <row r="19">
      <c r="A19" t="n">
        <v>2025</v>
      </c>
      <c r="B19" s="12" t="n">
        <v>0.5875521614293341</v>
      </c>
      <c r="C19" s="12" t="n">
        <v>0.1984719193193942</v>
      </c>
      <c r="D19" s="12" t="n">
        <v>0.1051530040162404</v>
      </c>
      <c r="E19" s="12" t="n">
        <v>0.06568768006660541</v>
      </c>
      <c r="F19" s="12" t="n">
        <v>0.04313523516843031</v>
      </c>
      <c r="I19" t="n">
        <v>2025</v>
      </c>
      <c r="J19" s="7" t="n">
        <v>5724637315.160008</v>
      </c>
      <c r="K19" s="7" t="n">
        <v>1933751298.920004</v>
      </c>
      <c r="L19" s="7" t="n">
        <v>1024526586.93</v>
      </c>
      <c r="M19" s="7" t="n">
        <v>640008103.3500009</v>
      </c>
      <c r="N19" s="7" t="n">
        <v>420275156.9199998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8" customWidth="1" min="1" max="1"/>
    <col width="20" customWidth="1" min="2" max="2"/>
    <col width="22" customWidth="1" min="3" max="3"/>
    <col width="24" customWidth="1" min="4" max="4"/>
    <col width="24" customWidth="1" min="5" max="5"/>
  </cols>
  <sheetData>
    <row r="1">
      <c r="A1" s="1" t="inlineStr">
        <is>
          <t>Fragmentation of the Independent (Tier 2 + Tier 3) Segment</t>
        </is>
      </c>
    </row>
    <row r="2" ht="28" customHeight="1">
      <c r="A2" s="15" t="inlineStr">
        <is>
          <t>HHI = Herfindahl-Hirschman Index within the independent segment (0-10000). Lower = more fragmented. Top-10 share = % of independent gross held by the 10 largest independents that year.</t>
        </is>
      </c>
    </row>
    <row r="4">
      <c r="A4" s="6" t="inlineStr">
        <is>
          <t>Year</t>
        </is>
      </c>
      <c r="B4" s="6" t="inlineStr">
        <is>
          <t>Active Independents</t>
        </is>
      </c>
      <c r="C4" s="6" t="inlineStr">
        <is>
          <t>Independent Gross USD</t>
        </is>
      </c>
      <c r="D4" s="6" t="inlineStr">
        <is>
          <t>HHI (independent segment)</t>
        </is>
      </c>
      <c r="E4" s="6" t="inlineStr">
        <is>
          <t>Top-10 Independent Share</t>
        </is>
      </c>
    </row>
    <row r="5">
      <c r="A5" t="n">
        <v>2010</v>
      </c>
      <c r="B5" s="7" t="n">
        <v>952</v>
      </c>
      <c r="C5" s="7" t="n">
        <v>993580563.4099996</v>
      </c>
      <c r="D5" s="7" t="n">
        <v>329</v>
      </c>
      <c r="E5" s="12" t="n">
        <v>0.4471017308706033</v>
      </c>
    </row>
    <row r="6">
      <c r="A6" t="n">
        <v>2011</v>
      </c>
      <c r="B6" s="7" t="n">
        <v>1067</v>
      </c>
      <c r="C6" s="7" t="n">
        <v>1007134728.31</v>
      </c>
      <c r="D6" s="7" t="n">
        <v>258</v>
      </c>
      <c r="E6" s="12" t="n">
        <v>0.4076721504966529</v>
      </c>
    </row>
    <row r="7">
      <c r="A7" t="n">
        <v>2012</v>
      </c>
      <c r="B7" s="7" t="n">
        <v>1153</v>
      </c>
      <c r="C7" s="7" t="n">
        <v>1154260813.869999</v>
      </c>
      <c r="D7" s="7" t="n">
        <v>216</v>
      </c>
      <c r="E7" s="12" t="n">
        <v>0.378177560084062</v>
      </c>
    </row>
    <row r="8">
      <c r="A8" t="n">
        <v>2013</v>
      </c>
      <c r="B8" s="7" t="n">
        <v>1149</v>
      </c>
      <c r="C8" s="7" t="n">
        <v>1140027953.83</v>
      </c>
      <c r="D8" s="7" t="n">
        <v>250</v>
      </c>
      <c r="E8" s="12" t="n">
        <v>0.4050771313708181</v>
      </c>
    </row>
    <row r="9">
      <c r="A9" t="n">
        <v>2014</v>
      </c>
      <c r="B9" s="7" t="n">
        <v>1110</v>
      </c>
      <c r="C9" s="7" t="n">
        <v>1360136417.97</v>
      </c>
      <c r="D9" s="7" t="n">
        <v>260</v>
      </c>
      <c r="E9" s="12" t="n">
        <v>0.4269682093188457</v>
      </c>
    </row>
    <row r="10">
      <c r="A10" t="n">
        <v>2015</v>
      </c>
      <c r="B10" s="7" t="n">
        <v>1194</v>
      </c>
      <c r="C10" s="7" t="n">
        <v>1367940110.979999</v>
      </c>
      <c r="D10" s="7" t="n">
        <v>250</v>
      </c>
      <c r="E10" s="12" t="n">
        <v>0.4115982226931223</v>
      </c>
    </row>
    <row r="11">
      <c r="A11" t="n">
        <v>2016</v>
      </c>
      <c r="B11" s="7" t="n">
        <v>1304</v>
      </c>
      <c r="C11" s="7" t="n">
        <v>1496128784.44</v>
      </c>
      <c r="D11" s="7" t="n">
        <v>231</v>
      </c>
      <c r="E11" s="12" t="n">
        <v>0.386232840394345</v>
      </c>
    </row>
    <row r="12">
      <c r="A12" t="n">
        <v>2017</v>
      </c>
      <c r="B12" s="7" t="n">
        <v>1238</v>
      </c>
      <c r="C12" s="7" t="n">
        <v>1584035579.889999</v>
      </c>
      <c r="D12" s="7" t="n">
        <v>214</v>
      </c>
      <c r="E12" s="12" t="n">
        <v>0.3656592070995165</v>
      </c>
    </row>
    <row r="13">
      <c r="A13" t="n">
        <v>2018</v>
      </c>
      <c r="B13" s="7" t="n">
        <v>1176</v>
      </c>
      <c r="C13" s="7" t="n">
        <v>1622843144.320001</v>
      </c>
      <c r="D13" s="7" t="n">
        <v>209</v>
      </c>
      <c r="E13" s="12" t="n">
        <v>0.3761147068380153</v>
      </c>
    </row>
    <row r="14">
      <c r="A14" t="n">
        <v>2019</v>
      </c>
      <c r="B14" s="7" t="n">
        <v>986</v>
      </c>
      <c r="C14" s="7" t="n">
        <v>1706684220.380001</v>
      </c>
      <c r="D14" s="7" t="n">
        <v>235</v>
      </c>
      <c r="E14" s="12" t="n">
        <v>0.4106163882173619</v>
      </c>
    </row>
    <row r="15">
      <c r="A15" t="n">
        <v>2020</v>
      </c>
      <c r="B15" s="7" t="n">
        <v>371</v>
      </c>
      <c r="C15" s="7" t="n">
        <v>310575845.7799998</v>
      </c>
      <c r="D15" s="7" t="n">
        <v>278</v>
      </c>
      <c r="E15" s="12" t="n">
        <v>0.4394125038515418</v>
      </c>
    </row>
    <row r="16">
      <c r="A16" t="n">
        <v>2021</v>
      </c>
      <c r="B16" s="7" t="n">
        <v>596</v>
      </c>
      <c r="C16" s="7" t="n">
        <v>1244362001.24</v>
      </c>
      <c r="D16" s="7" t="n">
        <v>253</v>
      </c>
      <c r="E16" s="12" t="n">
        <v>0.4305014986605007</v>
      </c>
    </row>
    <row r="17">
      <c r="A17" t="n">
        <v>2022</v>
      </c>
      <c r="B17" s="7" t="n">
        <v>1021</v>
      </c>
      <c r="C17" s="7" t="n">
        <v>2516234155.010001</v>
      </c>
      <c r="D17" s="7" t="n">
        <v>272</v>
      </c>
      <c r="E17" s="12" t="n">
        <v>0.4405663227338211</v>
      </c>
    </row>
    <row r="18">
      <c r="A18" t="n">
        <v>2023</v>
      </c>
      <c r="B18" s="7" t="n">
        <v>1049</v>
      </c>
      <c r="C18" s="7" t="n">
        <v>3065987474.890001</v>
      </c>
      <c r="D18" s="7" t="n">
        <v>263</v>
      </c>
      <c r="E18" s="12" t="n">
        <v>0.4285188348811296</v>
      </c>
    </row>
    <row r="19">
      <c r="A19" t="n">
        <v>2024</v>
      </c>
      <c r="B19" s="7" t="n">
        <v>1094</v>
      </c>
      <c r="C19" s="7" t="n">
        <v>3035986960.759999</v>
      </c>
      <c r="D19" s="7" t="n">
        <v>350</v>
      </c>
      <c r="E19" s="12" t="n">
        <v>0.4788726047907851</v>
      </c>
    </row>
    <row r="20">
      <c r="A20" t="n">
        <v>2025</v>
      </c>
      <c r="B20" s="7" t="n">
        <v>1020</v>
      </c>
      <c r="C20" s="7" t="n">
        <v>2958277885.849995</v>
      </c>
      <c r="D20" s="7" t="n">
        <v>286</v>
      </c>
      <c r="E20" s="12" t="n">
        <v>0.4511147554809762</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54"/>
  <sheetViews>
    <sheetView showGridLines="0" workbookViewId="0">
      <selection activeCell="A1" sqref="A1"/>
    </sheetView>
  </sheetViews>
  <sheetFormatPr baseColWidth="8" defaultRowHeight="15"/>
  <cols>
    <col width="6" customWidth="1" min="1" max="1"/>
    <col width="38" customWidth="1" min="2" max="2"/>
    <col width="18" customWidth="1" min="3" max="3"/>
    <col width="12" customWidth="1" min="4" max="4"/>
    <col width="22" customWidth="1" min="5" max="5"/>
    <col width="10" customWidth="1" min="6" max="6"/>
    <col width="14" customWidth="1" min="7" max="7"/>
  </cols>
  <sheetData>
    <row r="1">
      <c r="A1" s="1" t="inlineStr">
        <is>
          <t>Tier 2 Large Independents (&gt;= $93M lifetime US gross)</t>
        </is>
      </c>
    </row>
    <row r="3">
      <c r="A3" s="6" t="inlineStr">
        <is>
          <t>Rank</t>
        </is>
      </c>
      <c r="B3" s="6" t="inlineStr">
        <is>
          <t>Promoter (parent)</t>
        </is>
      </c>
      <c r="C3" s="6" t="inlineStr">
        <is>
          <t>Gross USD</t>
        </is>
      </c>
      <c r="D3" s="6" t="inlineStr">
        <is>
          <t>Share of US</t>
        </is>
      </c>
      <c r="E3" s="6" t="inlineStr">
        <is>
          <t>Share of Independent Seg.</t>
        </is>
      </c>
      <c r="F3" s="6" t="inlineStr">
        <is>
          <t>Shows</t>
        </is>
      </c>
      <c r="G3" s="6" t="inlineStr">
        <is>
          <t>Tickets</t>
        </is>
      </c>
    </row>
    <row r="4">
      <c r="A4" t="n">
        <v>1</v>
      </c>
      <c r="B4" t="inlineStr">
        <is>
          <t>MSG Entertainment</t>
        </is>
      </c>
      <c r="C4" s="7" t="n">
        <v>1745338511.8</v>
      </c>
      <c r="D4" s="12" t="n">
        <v>0.01871235117750937</v>
      </c>
      <c r="E4" s="12" t="n">
        <v>0.06570266495884879</v>
      </c>
      <c r="F4" s="7" t="n">
        <v>457</v>
      </c>
      <c r="G4" s="7" t="n">
        <v>19445010</v>
      </c>
    </row>
    <row r="5">
      <c r="A5" t="n">
        <v>2</v>
      </c>
      <c r="B5" t="inlineStr">
        <is>
          <t>Cardenas Marketing Network (CMN)</t>
        </is>
      </c>
      <c r="C5" s="7" t="n">
        <v>1368367420.1</v>
      </c>
      <c r="D5" s="12" t="n">
        <v>0.0146707194802952</v>
      </c>
      <c r="E5" s="12" t="n">
        <v>0.05151171852084641</v>
      </c>
      <c r="F5" s="7" t="n">
        <v>1343</v>
      </c>
      <c r="G5" s="7" t="n">
        <v>11353845</v>
      </c>
    </row>
    <row r="6">
      <c r="A6" t="n">
        <v>3</v>
      </c>
      <c r="B6" t="inlineStr">
        <is>
          <t>Broadway Across America</t>
        </is>
      </c>
      <c r="C6" s="7" t="n">
        <v>1328297111.320001</v>
      </c>
      <c r="D6" s="12" t="n">
        <v>0.01424111245299751</v>
      </c>
      <c r="E6" s="12" t="n">
        <v>0.05000328559808079</v>
      </c>
      <c r="F6" s="7" t="n">
        <v>1195</v>
      </c>
      <c r="G6" s="7" t="n">
        <v>17531616</v>
      </c>
    </row>
    <row r="7">
      <c r="A7" t="n">
        <v>4</v>
      </c>
      <c r="B7" t="inlineStr">
        <is>
          <t>Another Planet Entertainment</t>
        </is>
      </c>
      <c r="C7" s="7" t="n">
        <v>1285891453.02</v>
      </c>
      <c r="D7" s="12" t="n">
        <v>0.01378646737145127</v>
      </c>
      <c r="E7" s="12" t="n">
        <v>0.04840693924990391</v>
      </c>
      <c r="F7" s="7" t="n">
        <v>5657</v>
      </c>
      <c r="G7" s="7" t="n">
        <v>17266910</v>
      </c>
    </row>
    <row r="8">
      <c r="A8" t="n">
        <v>5</v>
      </c>
      <c r="B8" t="inlineStr">
        <is>
          <t>Outback Presents</t>
        </is>
      </c>
      <c r="C8" s="7" t="n">
        <v>1216626171.969999</v>
      </c>
      <c r="D8" s="12" t="n">
        <v>0.01304385139486356</v>
      </c>
      <c r="E8" s="12" t="n">
        <v>0.04579947168797216</v>
      </c>
      <c r="F8" s="7" t="n">
        <v>4921</v>
      </c>
      <c r="G8" s="7" t="n">
        <v>17998785</v>
      </c>
    </row>
    <row r="9">
      <c r="A9" t="n">
        <v>6</v>
      </c>
      <c r="B9" t="inlineStr">
        <is>
          <t>Nederlander Concerts</t>
        </is>
      </c>
      <c r="C9" s="7" t="n">
        <v>840197100.7099994</v>
      </c>
      <c r="D9" s="12" t="n">
        <v>0.0090080308779735</v>
      </c>
      <c r="E9" s="12" t="n">
        <v>0.03162892942207134</v>
      </c>
      <c r="F9" s="7" t="n">
        <v>3662</v>
      </c>
      <c r="G9" s="7" t="n">
        <v>13552338</v>
      </c>
    </row>
    <row r="10">
      <c r="A10" t="n">
        <v>7</v>
      </c>
      <c r="B10" t="inlineStr">
        <is>
          <t>Jam Productions</t>
        </is>
      </c>
      <c r="C10" s="7" t="n">
        <v>561655458.5899999</v>
      </c>
      <c r="D10" s="12" t="n">
        <v>0.00602169384955707</v>
      </c>
      <c r="E10" s="12" t="n">
        <v>0.02114332558902247</v>
      </c>
      <c r="F10" s="7" t="n">
        <v>3999</v>
      </c>
      <c r="G10" s="7" t="n">
        <v>10167480</v>
      </c>
    </row>
    <row r="11">
      <c r="A11" t="n">
        <v>8</v>
      </c>
      <c r="B11" t="inlineStr">
        <is>
          <t>LiveCo</t>
        </is>
      </c>
      <c r="C11" s="7" t="n">
        <v>466232044.9099993</v>
      </c>
      <c r="D11" s="12" t="n">
        <v>0.004998627885410434</v>
      </c>
      <c r="E11" s="12" t="n">
        <v>0.0175511441664165</v>
      </c>
      <c r="F11" s="7" t="n">
        <v>3592</v>
      </c>
      <c r="G11" s="7" t="n">
        <v>8621317</v>
      </c>
    </row>
    <row r="12">
      <c r="A12" t="n">
        <v>9</v>
      </c>
      <c r="B12" t="inlineStr">
        <is>
          <t>I.M.P.</t>
        </is>
      </c>
      <c r="C12" s="7" t="n">
        <v>440846351.49</v>
      </c>
      <c r="D12" s="12" t="n">
        <v>0.004726459473983063</v>
      </c>
      <c r="E12" s="12" t="n">
        <v>0.0165955085127907</v>
      </c>
      <c r="F12" s="7" t="n">
        <v>5418</v>
      </c>
      <c r="G12" s="7" t="n">
        <v>9083600</v>
      </c>
    </row>
    <row r="13">
      <c r="A13" t="n">
        <v>10</v>
      </c>
      <c r="B13" t="inlineStr">
        <is>
          <t>Beaver Productions</t>
        </is>
      </c>
      <c r="C13" s="7" t="n">
        <v>426477233.77</v>
      </c>
      <c r="D13" s="12" t="n">
        <v>0.00457240341261173</v>
      </c>
      <c r="E13" s="12" t="n">
        <v>0.01605458804324938</v>
      </c>
      <c r="F13" s="7" t="n">
        <v>770</v>
      </c>
      <c r="G13" s="7" t="n">
        <v>5090847</v>
      </c>
    </row>
    <row r="14">
      <c r="A14" t="n">
        <v>11</v>
      </c>
      <c r="B14" t="inlineStr">
        <is>
          <t>Premier Productions</t>
        </is>
      </c>
      <c r="C14" s="7" t="n">
        <v>423260529.6200005</v>
      </c>
      <c r="D14" s="12" t="n">
        <v>0.004537916064007439</v>
      </c>
      <c r="E14" s="12" t="n">
        <v>0.01593349632745312</v>
      </c>
      <c r="F14" s="7" t="n">
        <v>3987</v>
      </c>
      <c r="G14" s="7" t="n">
        <v>14798487</v>
      </c>
    </row>
    <row r="15">
      <c r="A15" t="n">
        <v>12</v>
      </c>
      <c r="B15" t="inlineStr">
        <is>
          <t>Gelb Promotions</t>
        </is>
      </c>
      <c r="C15" s="7" t="n">
        <v>338363036.45</v>
      </c>
      <c r="D15" s="12" t="n">
        <v>0.003627701973418864</v>
      </c>
      <c r="E15" s="12" t="n">
        <v>0.01273755954391076</v>
      </c>
      <c r="F15" s="7" t="n">
        <v>153</v>
      </c>
      <c r="G15" s="7" t="n">
        <v>1858030</v>
      </c>
    </row>
    <row r="16">
      <c r="A16" t="n">
        <v>13</v>
      </c>
      <c r="B16" t="inlineStr">
        <is>
          <t>Bill Blumenreich Presents</t>
        </is>
      </c>
      <c r="C16" s="7" t="n">
        <v>330991564.3200002</v>
      </c>
      <c r="D16" s="12" t="n">
        <v>0.003548669983773759</v>
      </c>
      <c r="E16" s="12" t="n">
        <v>0.01246006302370198</v>
      </c>
      <c r="F16" s="7" t="n">
        <v>3413</v>
      </c>
      <c r="G16" s="7" t="n">
        <v>5448197</v>
      </c>
    </row>
    <row r="17">
      <c r="A17" t="n">
        <v>14</v>
      </c>
      <c r="B17" t="inlineStr">
        <is>
          <t>Mammoth</t>
        </is>
      </c>
      <c r="C17" s="7" t="n">
        <v>308696774.58</v>
      </c>
      <c r="D17" s="12" t="n">
        <v>0.003309640172523355</v>
      </c>
      <c r="E17" s="12" t="n">
        <v>0.01162078337066521</v>
      </c>
      <c r="F17" s="7" t="n">
        <v>1233</v>
      </c>
      <c r="G17" s="7" t="n">
        <v>3661641</v>
      </c>
    </row>
    <row r="18">
      <c r="A18" t="n">
        <v>15</v>
      </c>
      <c r="B18" t="inlineStr">
        <is>
          <t>MGM Resorts International</t>
        </is>
      </c>
      <c r="C18" s="7" t="n">
        <v>292043456.71</v>
      </c>
      <c r="D18" s="12" t="n">
        <v>0.003131094446208779</v>
      </c>
      <c r="E18" s="12" t="n">
        <v>0.01099387497606537</v>
      </c>
      <c r="F18" s="7" t="n">
        <v>697</v>
      </c>
      <c r="G18" s="7" t="n">
        <v>1552867</v>
      </c>
    </row>
    <row r="19">
      <c r="A19" t="n">
        <v>16</v>
      </c>
      <c r="B19" t="inlineStr">
        <is>
          <t>Black Promoters Collective</t>
        </is>
      </c>
      <c r="C19" s="7" t="n">
        <v>287172506.34</v>
      </c>
      <c r="D19" s="12" t="n">
        <v>0.003078871377001615</v>
      </c>
      <c r="E19" s="12" t="n">
        <v>0.01081050973314683</v>
      </c>
      <c r="F19" s="7" t="n">
        <v>400</v>
      </c>
      <c r="G19" s="7" t="n">
        <v>2559809</v>
      </c>
    </row>
    <row r="20">
      <c r="A20" t="n">
        <v>17</v>
      </c>
      <c r="B20" t="inlineStr">
        <is>
          <t>Loud and Live</t>
        </is>
      </c>
      <c r="C20" s="7" t="n">
        <v>267474212.33</v>
      </c>
      <c r="D20" s="12" t="n">
        <v>0.002867679454849618</v>
      </c>
      <c r="E20" s="12" t="n">
        <v>0.01006897426432527</v>
      </c>
      <c r="F20" s="7" t="n">
        <v>742</v>
      </c>
      <c r="G20" s="7" t="n">
        <v>2862133</v>
      </c>
    </row>
    <row r="21">
      <c r="A21" t="n">
        <v>18</v>
      </c>
      <c r="B21" t="inlineStr">
        <is>
          <t>MagicSpace Entertainment</t>
        </is>
      </c>
      <c r="C21" s="7" t="n">
        <v>263499153.69</v>
      </c>
      <c r="D21" s="12" t="n">
        <v>0.002825061537053167</v>
      </c>
      <c r="E21" s="12" t="n">
        <v>0.009919334555896249</v>
      </c>
      <c r="F21" s="7" t="n">
        <v>982</v>
      </c>
      <c r="G21" s="7" t="n">
        <v>4467270</v>
      </c>
    </row>
    <row r="22">
      <c r="A22" t="n">
        <v>19</v>
      </c>
      <c r="B22" t="inlineStr">
        <is>
          <t>Professional Facilities Mgmt</t>
        </is>
      </c>
      <c r="C22" s="7" t="n">
        <v>261895272.11</v>
      </c>
      <c r="D22" s="12" t="n">
        <v>0.002807865792405816</v>
      </c>
      <c r="E22" s="12" t="n">
        <v>0.009858956988237052</v>
      </c>
      <c r="F22" s="7" t="n">
        <v>934</v>
      </c>
      <c r="G22" s="7" t="n">
        <v>3893493</v>
      </c>
    </row>
    <row r="23">
      <c r="A23" t="n">
        <v>20</v>
      </c>
      <c r="B23" t="inlineStr">
        <is>
          <t>Tate Entertainment</t>
        </is>
      </c>
      <c r="C23" s="7" t="n">
        <v>248036747.88</v>
      </c>
      <c r="D23" s="12" t="n">
        <v>0.00265928397263818</v>
      </c>
      <c r="E23" s="12" t="n">
        <v>0.009337257634127964</v>
      </c>
      <c r="F23" s="7" t="n">
        <v>832</v>
      </c>
      <c r="G23" s="7" t="n">
        <v>4539943</v>
      </c>
    </row>
    <row r="24">
      <c r="A24" t="n">
        <v>21</v>
      </c>
      <c r="B24" t="inlineStr">
        <is>
          <t>Seattle Theatre Group</t>
        </is>
      </c>
      <c r="C24" s="7" t="n">
        <v>246780529.05</v>
      </c>
      <c r="D24" s="12" t="n">
        <v>0.002645815635267616</v>
      </c>
      <c r="E24" s="12" t="n">
        <v>0.009289967710514596</v>
      </c>
      <c r="F24" s="7" t="n">
        <v>2701</v>
      </c>
      <c r="G24" s="7" t="n">
        <v>4526380</v>
      </c>
    </row>
    <row r="25">
      <c r="A25" t="n">
        <v>22</v>
      </c>
      <c r="B25" t="inlineStr">
        <is>
          <t>Blumenthal Performing Arts</t>
        </is>
      </c>
      <c r="C25" s="7" t="n">
        <v>243485442.99</v>
      </c>
      <c r="D25" s="12" t="n">
        <v>0.002610487928293886</v>
      </c>
      <c r="E25" s="12" t="n">
        <v>0.009165925334810941</v>
      </c>
      <c r="F25" s="7" t="n">
        <v>1024</v>
      </c>
      <c r="G25" s="7" t="n">
        <v>3398443</v>
      </c>
    </row>
    <row r="26">
      <c r="A26" t="n">
        <v>23</v>
      </c>
      <c r="B26" t="inlineStr">
        <is>
          <t>Awakening Events</t>
        </is>
      </c>
      <c r="C26" s="7" t="n">
        <v>243221871.4399999</v>
      </c>
      <c r="D26" s="12" t="n">
        <v>0.002607662090572059</v>
      </c>
      <c r="E26" s="12" t="n">
        <v>0.009156003274920978</v>
      </c>
      <c r="F26" s="7" t="n">
        <v>2972</v>
      </c>
      <c r="G26" s="7" t="n">
        <v>7162257</v>
      </c>
    </row>
    <row r="27">
      <c r="A27" t="n">
        <v>24</v>
      </c>
      <c r="B27" t="inlineStr">
        <is>
          <t>NS2</t>
        </is>
      </c>
      <c r="C27" s="7" t="n">
        <v>225029962.05</v>
      </c>
      <c r="D27" s="12" t="n">
        <v>0.002412620615927674</v>
      </c>
      <c r="E27" s="12" t="n">
        <v>0.008471175134401572</v>
      </c>
      <c r="F27" s="7" t="n">
        <v>2420</v>
      </c>
      <c r="G27" s="7" t="n">
        <v>3663890</v>
      </c>
    </row>
    <row r="28">
      <c r="A28" t="n">
        <v>25</v>
      </c>
      <c r="B28" t="inlineStr">
        <is>
          <t>AC Entertainment</t>
        </is>
      </c>
      <c r="C28" s="7" t="n">
        <v>220213643.2300001</v>
      </c>
      <c r="D28" s="12" t="n">
        <v>0.002360983269628738</v>
      </c>
      <c r="E28" s="12" t="n">
        <v>0.00828986647729809</v>
      </c>
      <c r="F28" s="7" t="n">
        <v>4065</v>
      </c>
      <c r="G28" s="7" t="n">
        <v>4791531</v>
      </c>
    </row>
    <row r="29">
      <c r="A29" t="n">
        <v>26</v>
      </c>
      <c r="B29" t="inlineStr">
        <is>
          <t>Crossroads Presents</t>
        </is>
      </c>
      <c r="C29" s="7" t="n">
        <v>216009010.72</v>
      </c>
      <c r="D29" s="12" t="n">
        <v>0.002315904014477053</v>
      </c>
      <c r="E29" s="12" t="n">
        <v>0.008131584539890593</v>
      </c>
      <c r="F29" s="7" t="n">
        <v>5937</v>
      </c>
      <c r="G29" s="7" t="n">
        <v>6070958</v>
      </c>
    </row>
    <row r="30">
      <c r="A30" t="n">
        <v>27</v>
      </c>
      <c r="B30" t="inlineStr">
        <is>
          <t>iHeart Radio</t>
        </is>
      </c>
      <c r="C30" s="7" t="n">
        <v>177700643.91</v>
      </c>
      <c r="D30" s="12" t="n">
        <v>0.001905187349521168</v>
      </c>
      <c r="E30" s="12" t="n">
        <v>0.00668947931352833</v>
      </c>
      <c r="F30" s="7" t="n">
        <v>141</v>
      </c>
      <c r="G30" s="7" t="n">
        <v>1611164</v>
      </c>
    </row>
    <row r="31">
      <c r="A31" t="n">
        <v>28</v>
      </c>
      <c r="B31" t="inlineStr">
        <is>
          <t>North American Ent'ment Group</t>
        </is>
      </c>
      <c r="C31" s="7" t="n">
        <v>166250851.4799999</v>
      </c>
      <c r="D31" s="12" t="n">
        <v>0.001782430339685416</v>
      </c>
      <c r="E31" s="12" t="n">
        <v>0.006258455835394674</v>
      </c>
      <c r="F31" s="7" t="n">
        <v>525</v>
      </c>
      <c r="G31" s="7" t="n">
        <v>2301087</v>
      </c>
    </row>
    <row r="32">
      <c r="A32" t="n">
        <v>29</v>
      </c>
      <c r="B32" t="inlineStr">
        <is>
          <t>TGB Promotions</t>
        </is>
      </c>
      <c r="C32" s="7" t="n">
        <v>160514314.73</v>
      </c>
      <c r="D32" s="12" t="n">
        <v>0.001720927032743555</v>
      </c>
      <c r="E32" s="12" t="n">
        <v>0.006042505892411603</v>
      </c>
      <c r="F32" s="7" t="n">
        <v>41</v>
      </c>
      <c r="G32" s="7" t="n">
        <v>419580</v>
      </c>
    </row>
    <row r="33">
      <c r="A33" t="n">
        <v>30</v>
      </c>
      <c r="B33" t="inlineStr">
        <is>
          <t>Monqui Presents</t>
        </is>
      </c>
      <c r="C33" s="7" t="n">
        <v>157824723.4</v>
      </c>
      <c r="D33" s="12" t="n">
        <v>0.001692091034941019</v>
      </c>
      <c r="E33" s="12" t="n">
        <v>0.005941257156515111</v>
      </c>
      <c r="F33" s="7" t="n">
        <v>4489</v>
      </c>
      <c r="G33" s="7" t="n">
        <v>4029500</v>
      </c>
    </row>
    <row r="34">
      <c r="A34" t="n">
        <v>31</v>
      </c>
      <c r="B34" t="inlineStr">
        <is>
          <t>JS Touring LLC</t>
        </is>
      </c>
      <c r="C34" s="7" t="n">
        <v>157110445.62</v>
      </c>
      <c r="D34" s="12" t="n">
        <v>0.001684433026728121</v>
      </c>
      <c r="E34" s="12" t="n">
        <v>0.005914368416394152</v>
      </c>
      <c r="F34" s="7" t="n">
        <v>355</v>
      </c>
      <c r="G34" s="7" t="n">
        <v>1514595</v>
      </c>
    </row>
    <row r="35">
      <c r="A35" t="n">
        <v>32</v>
      </c>
      <c r="B35" t="inlineStr">
        <is>
          <t>Caesars Entertainment</t>
        </is>
      </c>
      <c r="C35" s="7" t="n">
        <v>155817309</v>
      </c>
      <c r="D35" s="12" t="n">
        <v>0.001670568881526293</v>
      </c>
      <c r="E35" s="12" t="n">
        <v>0.005865688735337751</v>
      </c>
      <c r="F35" s="7" t="n">
        <v>276</v>
      </c>
      <c r="G35" s="7" t="n">
        <v>1326729</v>
      </c>
    </row>
    <row r="36">
      <c r="A36" t="n">
        <v>33</v>
      </c>
      <c r="B36" t="inlineStr">
        <is>
          <t>Red Mountain Entertainment</t>
        </is>
      </c>
      <c r="C36" s="7" t="n">
        <v>155264662.91</v>
      </c>
      <c r="D36" s="12" t="n">
        <v>0.001664643780095803</v>
      </c>
      <c r="E36" s="12" t="n">
        <v>0.005844884564314996</v>
      </c>
      <c r="F36" s="7" t="n">
        <v>1319</v>
      </c>
      <c r="G36" s="7" t="n">
        <v>3335019</v>
      </c>
    </row>
    <row r="37">
      <c r="A37" t="n">
        <v>34</v>
      </c>
      <c r="B37" t="inlineStr">
        <is>
          <t>Varnell Enterprises</t>
        </is>
      </c>
      <c r="C37" s="7" t="n">
        <v>149855460.5</v>
      </c>
      <c r="D37" s="12" t="n">
        <v>0.001606649932826735</v>
      </c>
      <c r="E37" s="12" t="n">
        <v>0.005641257009410303</v>
      </c>
      <c r="F37" s="7" t="n">
        <v>37</v>
      </c>
      <c r="G37" s="7" t="n">
        <v>2352638</v>
      </c>
    </row>
    <row r="38">
      <c r="A38" t="n">
        <v>35</v>
      </c>
      <c r="B38" t="inlineStr">
        <is>
          <t>Move Concerts</t>
        </is>
      </c>
      <c r="C38" s="7" t="n">
        <v>144873049.6</v>
      </c>
      <c r="D38" s="12" t="n">
        <v>0.001553231858429638</v>
      </c>
      <c r="E38" s="12" t="n">
        <v>0.005453695873368903</v>
      </c>
      <c r="F38" s="7" t="n">
        <v>113</v>
      </c>
      <c r="G38" s="7" t="n">
        <v>1838895</v>
      </c>
    </row>
    <row r="39">
      <c r="A39" t="n">
        <v>36</v>
      </c>
      <c r="B39" t="inlineStr">
        <is>
          <t>Ruth Eckerd Hall Presents</t>
        </is>
      </c>
      <c r="C39" s="7" t="n">
        <v>133971173.6999999</v>
      </c>
      <c r="D39" s="12" t="n">
        <v>0.001436349242848069</v>
      </c>
      <c r="E39" s="12" t="n">
        <v>0.005043298523606686</v>
      </c>
      <c r="F39" s="7" t="n">
        <v>2222</v>
      </c>
      <c r="G39" s="7" t="n">
        <v>2452605</v>
      </c>
    </row>
    <row r="40">
      <c r="A40" t="n">
        <v>37</v>
      </c>
      <c r="B40" t="inlineStr">
        <is>
          <t>Insomniac</t>
        </is>
      </c>
      <c r="C40" s="7" t="n">
        <v>129584413.02</v>
      </c>
      <c r="D40" s="12" t="n">
        <v>0.001389317331375955</v>
      </c>
      <c r="E40" s="12" t="n">
        <v>0.004878160434196489</v>
      </c>
      <c r="F40" s="7" t="n">
        <v>208</v>
      </c>
      <c r="G40" s="7" t="n">
        <v>1170144</v>
      </c>
    </row>
    <row r="41">
      <c r="A41" t="n">
        <v>38</v>
      </c>
      <c r="B41" t="inlineStr">
        <is>
          <t>UFC</t>
        </is>
      </c>
      <c r="C41" s="7" t="n">
        <v>123807456.22</v>
      </c>
      <c r="D41" s="12" t="n">
        <v>0.001327380667715555</v>
      </c>
      <c r="E41" s="12" t="n">
        <v>0.004660688892403319</v>
      </c>
      <c r="F41" s="7" t="n">
        <v>17</v>
      </c>
      <c r="G41" s="7" t="n">
        <v>276371</v>
      </c>
    </row>
    <row r="42">
      <c r="A42" t="n">
        <v>39</v>
      </c>
      <c r="B42" t="inlineStr">
        <is>
          <t>National Collegiate Athletic Association</t>
        </is>
      </c>
      <c r="C42" s="7" t="n">
        <v>123439955</v>
      </c>
      <c r="D42" s="12" t="n">
        <v>0.001323440565643487</v>
      </c>
      <c r="E42" s="12" t="n">
        <v>0.004646854436011976</v>
      </c>
      <c r="F42" s="7" t="n">
        <v>44</v>
      </c>
      <c r="G42" s="7" t="n">
        <v>1035551</v>
      </c>
    </row>
    <row r="43">
      <c r="A43" t="n">
        <v>40</v>
      </c>
      <c r="B43" t="inlineStr">
        <is>
          <t>Zamora Live</t>
        </is>
      </c>
      <c r="C43" s="7" t="n">
        <v>120358575.25</v>
      </c>
      <c r="D43" s="12" t="n">
        <v>0.001290404074668564</v>
      </c>
      <c r="E43" s="12" t="n">
        <v>0.004530856960475592</v>
      </c>
      <c r="F43" s="7" t="n">
        <v>189</v>
      </c>
      <c r="G43" s="7" t="n">
        <v>1226865</v>
      </c>
    </row>
    <row r="44">
      <c r="A44" t="n">
        <v>41</v>
      </c>
      <c r="B44" t="inlineStr">
        <is>
          <t>First Avenue Productions</t>
        </is>
      </c>
      <c r="C44" s="7" t="n">
        <v>114504659.2299999</v>
      </c>
      <c r="D44" s="12" t="n">
        <v>0.001227642305768548</v>
      </c>
      <c r="E44" s="12" t="n">
        <v>0.004310488315448307</v>
      </c>
      <c r="F44" s="7" t="n">
        <v>9938</v>
      </c>
      <c r="G44" s="7" t="n">
        <v>4667121</v>
      </c>
    </row>
    <row r="45">
      <c r="A45" t="n">
        <v>42</v>
      </c>
      <c r="B45" t="inlineStr">
        <is>
          <t>Knitting Factory</t>
        </is>
      </c>
      <c r="C45" s="7" t="n">
        <v>113314805.83</v>
      </c>
      <c r="D45" s="12" t="n">
        <v>0.001214885494112802</v>
      </c>
      <c r="E45" s="12" t="n">
        <v>0.0042656966955065</v>
      </c>
      <c r="F45" s="7" t="n">
        <v>7981</v>
      </c>
      <c r="G45" s="7" t="n">
        <v>3871359</v>
      </c>
    </row>
    <row r="46">
      <c r="A46" t="n">
        <v>43</v>
      </c>
      <c r="B46" t="inlineStr">
        <is>
          <t>Thrill Hill Productions</t>
        </is>
      </c>
      <c r="C46" s="7" t="n">
        <v>113151518</v>
      </c>
      <c r="D46" s="12" t="n">
        <v>0.001213134831305951</v>
      </c>
      <c r="E46" s="12" t="n">
        <v>0.004259549781590483</v>
      </c>
      <c r="F46" s="7" t="n">
        <v>52</v>
      </c>
      <c r="G46" s="7" t="n">
        <v>223585</v>
      </c>
    </row>
    <row r="47">
      <c r="A47" t="n">
        <v>44</v>
      </c>
      <c r="B47" t="inlineStr">
        <is>
          <t>Bill Silva / Andrew Hewitt</t>
        </is>
      </c>
      <c r="C47" s="7" t="n">
        <v>112537922.04</v>
      </c>
      <c r="D47" s="12" t="n">
        <v>0.001206556266169736</v>
      </c>
      <c r="E47" s="12" t="n">
        <v>0.004236451173780353</v>
      </c>
      <c r="F47" s="7" t="n">
        <v>114</v>
      </c>
      <c r="G47" s="7" t="n">
        <v>1459235</v>
      </c>
    </row>
    <row r="48">
      <c r="A48" t="n">
        <v>45</v>
      </c>
      <c r="B48" t="inlineStr">
        <is>
          <t>Pepper Entertainment</t>
        </is>
      </c>
      <c r="C48" s="7" t="n">
        <v>109540703.8000001</v>
      </c>
      <c r="D48" s="12" t="n">
        <v>0.001174422098566528</v>
      </c>
      <c r="E48" s="12" t="n">
        <v>0.004123621929195491</v>
      </c>
      <c r="F48" s="7" t="n">
        <v>1017</v>
      </c>
      <c r="G48" s="7" t="n">
        <v>1895084</v>
      </c>
    </row>
    <row r="49">
      <c r="A49" t="n">
        <v>46</v>
      </c>
      <c r="B49" t="inlineStr">
        <is>
          <t>Hennepin Theatre Trust</t>
        </is>
      </c>
      <c r="C49" s="7" t="n">
        <v>105537481.55</v>
      </c>
      <c r="D49" s="12" t="n">
        <v>0.001131502229396641</v>
      </c>
      <c r="E49" s="12" t="n">
        <v>0.003972922011403437</v>
      </c>
      <c r="F49" s="7" t="n">
        <v>536</v>
      </c>
      <c r="G49" s="7" t="n">
        <v>1676508</v>
      </c>
    </row>
    <row r="50">
      <c r="A50" t="n">
        <v>47</v>
      </c>
      <c r="B50" t="inlineStr">
        <is>
          <t>Danny Wimmer Presents</t>
        </is>
      </c>
      <c r="C50" s="7" t="n">
        <v>105394426.48</v>
      </c>
      <c r="D50" s="12" t="n">
        <v>0.00112996848869851</v>
      </c>
      <c r="E50" s="12" t="n">
        <v>0.003967536752743681</v>
      </c>
      <c r="F50" s="7" t="n">
        <v>56</v>
      </c>
      <c r="G50" s="7" t="n">
        <v>1372333</v>
      </c>
    </row>
    <row r="51">
      <c r="A51" t="n">
        <v>48</v>
      </c>
      <c r="B51" t="inlineStr">
        <is>
          <t>Mills Entertainment</t>
        </is>
      </c>
      <c r="C51" s="7" t="n">
        <v>103847587.3400001</v>
      </c>
      <c r="D51" s="12" t="n">
        <v>0.001113384314908096</v>
      </c>
      <c r="E51" s="12" t="n">
        <v>0.003909306528020208</v>
      </c>
      <c r="F51" s="7" t="n">
        <v>833</v>
      </c>
      <c r="G51" s="7" t="n">
        <v>1744604</v>
      </c>
    </row>
    <row r="52">
      <c r="A52" t="n">
        <v>49</v>
      </c>
      <c r="B52" t="inlineStr">
        <is>
          <t>Police Productions</t>
        </is>
      </c>
      <c r="C52" s="7" t="n">
        <v>98239624.80999999</v>
      </c>
      <c r="D52" s="12" t="n">
        <v>0.00105325949468428</v>
      </c>
      <c r="E52" s="12" t="n">
        <v>0.003698196717104285</v>
      </c>
      <c r="F52" s="7" t="n">
        <v>263</v>
      </c>
      <c r="G52" s="7" t="n">
        <v>1850282</v>
      </c>
    </row>
    <row r="54">
      <c r="B54" s="5" t="inlineStr">
        <is>
          <t>Tier 2 count: 49   |   Tier 3 (smaller independents) count: 5,928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30" customWidth="1" min="1" max="1"/>
  </cols>
  <sheetData>
    <row r="1">
      <c r="A1" s="1" t="inlineStr">
        <is>
          <t>Promoter Roll-up Rules (for audit)</t>
        </is>
      </c>
    </row>
    <row r="3">
      <c r="A3" s="16" t="inlineStr">
        <is>
          <t>Live Nation includes brand patterns:</t>
        </is>
      </c>
    </row>
    <row r="4">
      <c r="A4" s="4" t="inlineStr">
        <is>
          <t>live nation, house of blues, c3 presents, frank productions, fpc live</t>
        </is>
      </c>
    </row>
    <row r="5">
      <c r="A5" s="4" t="n"/>
    </row>
    <row r="6">
      <c r="A6" s="16" t="inlineStr">
        <is>
          <t>AEG Presents includes brand patterns:</t>
        </is>
      </c>
    </row>
    <row r="7">
      <c r="A7" s="4" t="inlineStr">
        <is>
          <t>aeg presents, aeg live, goldenvoice, concerts west, messina touring group, the bowery presents, promowest</t>
        </is>
      </c>
    </row>
    <row r="8">
      <c r="A8" s="4" t="n"/>
    </row>
    <row r="9">
      <c r="A9" s="16" t="inlineStr">
        <is>
          <t>Non-music content owners (separate bucket):</t>
        </is>
      </c>
    </row>
    <row r="10">
      <c r="A10" s="4" t="inlineStr">
        <is>
          <t>Cirque du Soleil, Feld Entertainment, Harlem Globetrotters, Matchroom Boxing, Professional Bull Riders, Rodeo / Stock Show, Sports (NBA/NHL/ESPN/Soccer), VStar Entertainment, WWE / UFC (TKO)</t>
        </is>
      </c>
    </row>
    <row r="11">
      <c r="A11" s="4" t="n"/>
    </row>
    <row r="12">
      <c r="A12" s="16" t="inlineStr">
        <is>
          <t>Independent variant merges (canonical names):</t>
        </is>
      </c>
    </row>
    <row r="13">
      <c r="A13" s="4" t="inlineStr">
        <is>
          <t>MSG Entertainment, Another Planet Entertainment, I.M.P., First Avenue Productions, Knitting Factory, Crossroads Presents, Jam Productions, Monqui Presents, Outback Presents, Bill Blumenreich Presents, Awakening Events, DSP Shows, Mike Thrasher Presents, Nederlander Concerts, Seattle Theatre Group, Rams Head Promotions, Premier Productions, Cardenas Marketing Network (CMN), Beaver Productions, Danny Wimmer Presents, Mammoth, Red Mountain Entertainment, AC Entertainment, Insomniac, Emporium Presents, Marshall Arts, Madison House Presents, Black Promoters Collective, G-Squared Events, NS2, Loud and Live, Move Concerts, Rimas Entertainment, Zamora Live, Broadway Across America, Ruth Eckerd Hall Presents, Varnell Enterprises, LiveCo, ICON Concerts, Gelb Promotions, Transparent Productions, Police Productions, Thrill Hill Productions, Bill Silva / Andrew Hewitt, Larry Magid Entertainment, Bobby Dee Presents, Pepper Entertainment, Music VIP Entertainment, HUKA Entertainment Group, SBS Entertainment, Hennepin Theatre Trust, Omaha Performing Arts, DCF Concerts, Tate Entertainment, TGB Promotions, Relevant Entertainment, EMC Presents, Lucky Man Concerts, Plastered Touring, Rush Concerts</t>
        </is>
      </c>
    </row>
    <row r="14">
      <c r="A14"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2026-06-10T15:12:36Z</dcterms:created>
  <dcterms:modified xmlns:dcterms="http://purl.org/dc/terms/" xmlns:xsi="http://www.w3.org/2001/XMLSchema-instance" xsi:type="dcterms:W3CDTF">2026-06-10T15:12:36Z</dcterms:modified>
</cp:coreProperties>
</file>