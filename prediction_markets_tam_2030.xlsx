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dictions TAM 2030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<sst xmlns="http://schemas.openxmlformats.org/spreadsheetml/2006/main" count="82" uniqueCount="82">
  <si>
    <t xml:space="preserve">Prediction Markets TAM: 2030E</t>
  </si>
  <si>
    <t xml:space="preserve">Aligned with E&amp;K ~$1T volume framework; DKNG Investor Day 3/2/26</t>
  </si>
  <si>
    <t xml:space="preserve">Low</t>
  </si>
  <si>
    <t xml:space="preserve">Mid</t>
  </si>
  <si>
    <t xml:space="preserve">High</t>
  </si>
  <si>
    <t xml:space="preserve">Notes / Source</t>
  </si>
  <si>
    <t xml:space="preserve">A. SPORTS PREDICTIONS VOLUME ($B)</t>
  </si>
  <si>
    <t xml:space="preserve">NFL</t>
  </si>
  <si>
    <t xml:space="preserve">Largest US sport; prop/parlay-heavy</t>
  </si>
  <si>
    <t xml:space="preserve">NBA</t>
  </si>
  <si>
    <t xml:space="preserve">Strong live + prop culture</t>
  </si>
  <si>
    <t xml:space="preserve">College FB + CBB</t>
  </si>
  <si>
    <t xml:space="preserve">March Madness + CFP bracket catalyst</t>
  </si>
  <si>
    <t xml:space="preserve">MLB</t>
  </si>
  <si>
    <t xml:space="preserve">Stat-driven; lower live penetration</t>
  </si>
  <si>
    <t xml:space="preserve">Soccer (Global)</t>
  </si>
  <si>
    <t xml:space="preserve">World Cup 2026 catalyst</t>
  </si>
  <si>
    <t xml:space="preserve">UFC / MMA</t>
  </si>
  <si>
    <t xml:space="preserve">High engagement; prop-heavy</t>
  </si>
  <si>
    <t xml:space="preserve">Other (NHL, Golf, Tennis, Esports, etc.)</t>
  </si>
  <si>
    <t xml:space="preserve">Long tail of niche sports</t>
  </si>
  <si>
    <t xml:space="preserve">Total Sports Volume</t>
  </si>
  <si>
    <t xml:space="preserve">B. NON-SPORTS PREDICTIONS VOLUME ($B)</t>
  </si>
  <si>
    <t xml:space="preserve">Culture / Entertainment</t>
  </si>
  <si>
    <t xml:space="preserve">Awards, reality TV, box office, streaming charts</t>
  </si>
  <si>
    <t xml:space="preserve">Economics / Financial</t>
  </si>
  <si>
    <t xml:space="preserve">Fed, CPI, GDP, crypto milestones</t>
  </si>
  <si>
    <t xml:space="preserve">Politics / Elections</t>
  </si>
  <si>
    <t xml:space="preserve">US + intl elections; 2028 cycle catalyst</t>
  </si>
  <si>
    <t xml:space="preserve">Other (Weather, Science, AI, Legal)</t>
  </si>
  <si>
    <t xml:space="preserve">Emerging categories; AI benchmarks</t>
  </si>
  <si>
    <t xml:space="preserve">Total Non-Sports Volume</t>
  </si>
  <si>
    <t xml:space="preserve">C. TOTAL VOLUME</t>
  </si>
  <si>
    <t xml:space="preserve">Total Prediction Markets Volume ($B)</t>
  </si>
  <si>
    <t xml:space="preserve">E&amp;K framework: ~$1T at mid</t>
  </si>
  <si>
    <t xml:space="preserve">D. FEE STRUCTURE (% OF EFFECTIVE NOTIONAL)</t>
  </si>
  <si>
    <t xml:space="preserve">Per DKNG slide 19: vertical integration stack</t>
  </si>
  <si>
    <t xml:space="preserve">Exchange / DCM Fee</t>
  </si>
  <si>
    <t xml:space="preserve">In-house DCM per 2026 roadmap</t>
  </si>
  <si>
    <t xml:space="preserve">Clearing / DCO Fee</t>
  </si>
  <si>
    <t xml:space="preserve">In-house FCM &amp; DCO by end of 2026</t>
  </si>
  <si>
    <t xml:space="preserve">FCM / Brokerage Fee</t>
  </si>
  <si>
    <t xml:space="preserve">Direct clearing capability</t>
  </si>
  <si>
    <t xml:space="preserve">Introducing Broker Fee</t>
  </si>
  <si>
    <t xml:space="preserve">Customer distribution layer</t>
  </si>
  <si>
    <t xml:space="preserve">Market Maker Spread</t>
  </si>
  <si>
    <t xml:space="preserve">Proprietary pricing/trading intelligence</t>
  </si>
  <si>
    <t xml:space="preserve">Data &amp; Platform Fees</t>
  </si>
  <si>
    <t xml:space="preserve">Sports data platform; analytics</t>
  </si>
  <si>
    <t xml:space="preserve">Blended Take Rate</t>
  </si>
  <si>
    <t xml:space="preserve">Yields ~3% at mid; consistent with E&amp;K</t>
  </si>
  <si>
    <t xml:space="preserve">E. REVENUE BRIDGE ($B)</t>
  </si>
  <si>
    <t xml:space="preserve">Effective Notional (Total Vol / 2)</t>
  </si>
  <si>
    <t xml:space="preserve">Two-sided market: every buy has a sell</t>
  </si>
  <si>
    <t xml:space="preserve">Industry Gross Revenue ($B)</t>
  </si>
  <si>
    <t xml:space="preserve">Target: ~$15B at mid</t>
  </si>
  <si>
    <t xml:space="preserve">F. DKNG SHARE SCENARIO (ILLUSTRATIVE)</t>
  </si>
  <si>
    <t xml:space="preserve">DKNG Market Share of Predictions Revenue</t>
  </si>
  <si>
    <t xml:space="preserve">Leader economics; E&amp;K share framework</t>
  </si>
  <si>
    <t xml:space="preserve">DKNG Predictions Revenue ($B)</t>
  </si>
  <si>
    <t xml:space="preserve">DKNG Predictions Adj. Gross Margin</t>
  </si>
  <si>
    <t xml:space="preserve">Per slide 24: 60-80% vs. 50%+ OSB</t>
  </si>
  <si>
    <t xml:space="preserve">DKNG Predictions Adj. Gross Profit ($B)</t>
  </si>
  <si>
    <t xml:space="preserve">Incremental to existing OSB gross profit</t>
  </si>
  <si>
    <t xml:space="preserve">G. CONTEXT VS. DKNG INVESTOR DAY TAM (SLIDE 11)</t>
  </si>
  <si>
    <t xml:space="preserve">DKNG 2025 Total TAM (Industry GGR)</t>
  </si>
  <si>
    <t xml:space="preserve">$34B</t>
  </si>
  <si>
    <t xml:space="preserve">Sports $17B + Casino $14B + Other $3B</t>
  </si>
  <si>
    <t xml:space="preserve">DKNG 2030E Total TAM: Low End</t>
  </si>
  <si>
    <t xml:space="preserve">$55B</t>
  </si>
  <si>
    <t xml:space="preserve">Sports $31B + Casino $19B + Other $5B</t>
  </si>
  <si>
    <t xml:space="preserve">DKNG 2030E Total TAM: High End</t>
  </si>
  <si>
    <t xml:space="preserve">$80B</t>
  </si>
  <si>
    <t xml:space="preserve">Sports $36B + Casino $38B + Other $6B</t>
  </si>
  <si>
    <t xml:space="preserve">Key Assumptions:</t>
  </si>
  <si>
    <t xml:space="preserve">1. Volume is two-sided (buyer + seller on exchange); effective notional = volume / 2</t>
  </si>
  <si>
    <t xml:space="preserve">2. Blended take rate ~3% reflects full DKNG vertical integration (slide 19: IB + FCM + DCM + DCO + MM)</t>
  </si>
  <si>
    <t xml:space="preserve">3. Sports volume anchored to E&amp;K framework; DKNG sportsbook potential payouts were $2.5T on $54B handle in FY25 (slide 72)</t>
  </si>
  <si>
    <t xml:space="preserve">4. Predictions gross margins 10-30pp above sportsbook due to: no state gaming tax, lower promo intensity,</t>
  </si>
  <si>
    <t xml:space="preserve">   in-house market maker spread, lower 3P data costs, combo/parlay engine uplift (slides 20, 24)</t>
  </si>
  <si>
    <t xml:space="preserve">5. Non-sports builds on Kalshi/Polymarket category precedent; economics + politics most liquid today</t>
  </si>
  <si>
    <t xml:space="preserve">6. 2028 presidential election cycle is a major volume catalyst for politics category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</si>
</sst>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.00%"/>
    <numFmt numFmtId="167" formatCode="0.0%"/>
    <numFmt numFmtId="168" formatCode="\$#,##0.0"/>
    <numFmt numFmtId="169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D9E2F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medium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6"/>
    <col collapsed="false" customWidth="true" hidden="false" outlineLevel="0" max="5" min="5" style="0" width="32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  <c r="B4" s="3" t="s">
        <v>2</v>
      </c>
      <c r="C4" s="3" t="s">
        <v>3</v>
      </c>
      <c r="D4" s="3" t="s">
        <v>4</v>
      </c>
      <c r="E4" s="3" t="s">
        <v>5</v>
      </c>
    </row>
    <row r="5" customFormat="false" ht="15" hidden="false" customHeight="false" outlineLevel="0" collapsed="false">
      <c r="A5" s="4" t="s">
        <v>6</v>
      </c>
      <c r="B5" s="5"/>
      <c r="C5" s="5"/>
      <c r="D5" s="5"/>
      <c r="E5" s="5"/>
    </row>
    <row r="6" customFormat="false" ht="15" hidden="false" customHeight="false" outlineLevel="0" collapsed="false">
      <c r="A6" s="6" t="s">
        <v>7</v>
      </c>
      <c r="B6" s="7" t="n">
        <v>175</v>
      </c>
      <c r="C6" s="7" t="n">
        <v>250</v>
      </c>
      <c r="D6" s="7" t="n">
        <v>325</v>
      </c>
      <c r="E6" s="8" t="s">
        <v>8</v>
      </c>
    </row>
    <row r="7" customFormat="false" ht="15" hidden="false" customHeight="false" outlineLevel="0" collapsed="false">
      <c r="A7" s="6" t="s">
        <v>9</v>
      </c>
      <c r="B7" s="7" t="n">
        <v>60</v>
      </c>
      <c r="C7" s="7" t="n">
        <v>100</v>
      </c>
      <c r="D7" s="7" t="n">
        <v>130</v>
      </c>
      <c r="E7" s="8" t="s">
        <v>10</v>
      </c>
    </row>
    <row r="8" customFormat="false" ht="15" hidden="false" customHeight="false" outlineLevel="0" collapsed="false">
      <c r="A8" s="6" t="s">
        <v>11</v>
      </c>
      <c r="B8" s="7" t="n">
        <v>40</v>
      </c>
      <c r="C8" s="7" t="n">
        <v>75</v>
      </c>
      <c r="D8" s="7" t="n">
        <v>100</v>
      </c>
      <c r="E8" s="8" t="s">
        <v>12</v>
      </c>
    </row>
    <row r="9" customFormat="false" ht="15" hidden="false" customHeight="false" outlineLevel="0" collapsed="false">
      <c r="A9" s="6" t="s">
        <v>13</v>
      </c>
      <c r="B9" s="7" t="n">
        <v>30</v>
      </c>
      <c r="C9" s="7" t="n">
        <v>50</v>
      </c>
      <c r="D9" s="7" t="n">
        <v>70</v>
      </c>
      <c r="E9" s="8" t="s">
        <v>14</v>
      </c>
    </row>
    <row r="10" customFormat="false" ht="15" hidden="false" customHeight="false" outlineLevel="0" collapsed="false">
      <c r="A10" s="6" t="s">
        <v>15</v>
      </c>
      <c r="B10" s="7" t="n">
        <v>40</v>
      </c>
      <c r="C10" s="7" t="n">
        <v>75</v>
      </c>
      <c r="D10" s="7" t="n">
        <v>110</v>
      </c>
      <c r="E10" s="8" t="s">
        <v>16</v>
      </c>
    </row>
    <row r="11" customFormat="false" ht="15" hidden="false" customHeight="false" outlineLevel="0" collapsed="false">
      <c r="A11" s="6" t="s">
        <v>17</v>
      </c>
      <c r="B11" s="7" t="n">
        <v>15</v>
      </c>
      <c r="C11" s="7" t="n">
        <v>30</v>
      </c>
      <c r="D11" s="7" t="n">
        <v>40</v>
      </c>
      <c r="E11" s="8" t="s">
        <v>18</v>
      </c>
    </row>
    <row r="12" customFormat="false" ht="15" hidden="false" customHeight="false" outlineLevel="0" collapsed="false">
      <c r="A12" s="6" t="s">
        <v>19</v>
      </c>
      <c r="B12" s="7" t="n">
        <v>40</v>
      </c>
      <c r="C12" s="7" t="n">
        <v>70</v>
      </c>
      <c r="D12" s="7" t="n">
        <v>100</v>
      </c>
      <c r="E12" s="8" t="s">
        <v>20</v>
      </c>
    </row>
    <row r="13" customFormat="false" ht="15" hidden="false" customHeight="false" outlineLevel="0" collapsed="false">
      <c r="A13" s="9" t="s">
        <v>21</v>
      </c>
      <c r="B13" s="10" t="n">
        <f aca="false">B6+B7+B8+B9+B10+B11+B12</f>
        <v>400</v>
      </c>
      <c r="C13" s="10" t="n">
        <f aca="false">C6+C7+C8+C9+C10+C11+C12</f>
        <v>650</v>
      </c>
      <c r="D13" s="10" t="n">
        <f aca="false">D6+D7+D8+D9+D10+D11+D12</f>
        <v>875</v>
      </c>
    </row>
    <row r="15" customFormat="false" ht="15" hidden="false" customHeight="false" outlineLevel="0" collapsed="false">
      <c r="A15" s="4" t="s">
        <v>22</v>
      </c>
      <c r="B15" s="5"/>
      <c r="C15" s="5"/>
      <c r="D15" s="5"/>
      <c r="E15" s="5"/>
    </row>
    <row r="16" customFormat="false" ht="15" hidden="false" customHeight="false" outlineLevel="0" collapsed="false">
      <c r="A16" s="6" t="s">
        <v>23</v>
      </c>
      <c r="B16" s="7" t="n">
        <v>75</v>
      </c>
      <c r="C16" s="7" t="n">
        <v>125</v>
      </c>
      <c r="D16" s="7" t="n">
        <v>175</v>
      </c>
      <c r="E16" s="8" t="s">
        <v>24</v>
      </c>
    </row>
    <row r="17" customFormat="false" ht="15" hidden="false" customHeight="false" outlineLevel="0" collapsed="false">
      <c r="A17" s="6" t="s">
        <v>25</v>
      </c>
      <c r="B17" s="7" t="n">
        <v>60</v>
      </c>
      <c r="C17" s="7" t="n">
        <v>100</v>
      </c>
      <c r="D17" s="7" t="n">
        <v>125</v>
      </c>
      <c r="E17" s="8" t="s">
        <v>26</v>
      </c>
    </row>
    <row r="18" customFormat="false" ht="15" hidden="false" customHeight="false" outlineLevel="0" collapsed="false">
      <c r="A18" s="6" t="s">
        <v>27</v>
      </c>
      <c r="B18" s="7" t="n">
        <v>40</v>
      </c>
      <c r="C18" s="7" t="n">
        <v>75</v>
      </c>
      <c r="D18" s="7" t="n">
        <v>100</v>
      </c>
      <c r="E18" s="8" t="s">
        <v>28</v>
      </c>
    </row>
    <row r="19" customFormat="false" ht="15" hidden="false" customHeight="false" outlineLevel="0" collapsed="false">
      <c r="A19" s="6" t="s">
        <v>29</v>
      </c>
      <c r="B19" s="7" t="n">
        <v>25</v>
      </c>
      <c r="C19" s="7" t="n">
        <v>50</v>
      </c>
      <c r="D19" s="7" t="n">
        <v>75</v>
      </c>
      <c r="E19" s="8" t="s">
        <v>30</v>
      </c>
    </row>
    <row r="20" customFormat="false" ht="15" hidden="false" customHeight="false" outlineLevel="0" collapsed="false">
      <c r="A20" s="9" t="s">
        <v>31</v>
      </c>
      <c r="B20" s="10" t="n">
        <f aca="false">B16+B17+B18+B19</f>
        <v>200</v>
      </c>
      <c r="C20" s="10" t="n">
        <f aca="false">C16+C17+C18+C19</f>
        <v>350</v>
      </c>
      <c r="D20" s="10" t="n">
        <f aca="false">D16+D17+D18+D19</f>
        <v>475</v>
      </c>
    </row>
    <row r="22" customFormat="false" ht="15" hidden="false" customHeight="false" outlineLevel="0" collapsed="false">
      <c r="A22" s="4" t="s">
        <v>32</v>
      </c>
      <c r="B22" s="5"/>
      <c r="C22" s="5"/>
      <c r="D22" s="5"/>
      <c r="E22" s="5"/>
    </row>
    <row r="23" customFormat="false" ht="15" hidden="false" customHeight="false" outlineLevel="0" collapsed="false">
      <c r="A23" s="9" t="s">
        <v>33</v>
      </c>
      <c r="B23" s="10" t="n">
        <f aca="false">B13+B20</f>
        <v>600</v>
      </c>
      <c r="C23" s="10" t="n">
        <f aca="false">C13+C20</f>
        <v>1000</v>
      </c>
      <c r="D23" s="10" t="n">
        <f aca="false">D13+D20</f>
        <v>1350</v>
      </c>
      <c r="E23" s="8" t="s">
        <v>34</v>
      </c>
    </row>
    <row r="25" customFormat="false" ht="15" hidden="false" customHeight="false" outlineLevel="0" collapsed="false">
      <c r="A25" s="4" t="s">
        <v>35</v>
      </c>
      <c r="B25" s="5"/>
      <c r="C25" s="5"/>
      <c r="D25" s="5"/>
      <c r="E25" s="11" t="s">
        <v>36</v>
      </c>
    </row>
    <row r="26" customFormat="false" ht="15" hidden="false" customHeight="false" outlineLevel="0" collapsed="false">
      <c r="A26" s="6" t="s">
        <v>37</v>
      </c>
      <c r="B26" s="12" t="n">
        <v>0.005</v>
      </c>
      <c r="C26" s="12" t="n">
        <v>0.008</v>
      </c>
      <c r="D26" s="12" t="n">
        <v>0.01</v>
      </c>
      <c r="E26" s="8" t="s">
        <v>38</v>
      </c>
    </row>
    <row r="27" customFormat="false" ht="15" hidden="false" customHeight="false" outlineLevel="0" collapsed="false">
      <c r="A27" s="6" t="s">
        <v>39</v>
      </c>
      <c r="B27" s="12" t="n">
        <v>0.002</v>
      </c>
      <c r="C27" s="12" t="n">
        <v>0.003</v>
      </c>
      <c r="D27" s="12" t="n">
        <v>0.005</v>
      </c>
      <c r="E27" s="8" t="s">
        <v>40</v>
      </c>
    </row>
    <row r="28" customFormat="false" ht="15" hidden="false" customHeight="false" outlineLevel="0" collapsed="false">
      <c r="A28" s="6" t="s">
        <v>41</v>
      </c>
      <c r="B28" s="12" t="n">
        <v>0.003</v>
      </c>
      <c r="C28" s="12" t="n">
        <v>0.004</v>
      </c>
      <c r="D28" s="12" t="n">
        <v>0.005</v>
      </c>
      <c r="E28" s="8" t="s">
        <v>42</v>
      </c>
    </row>
    <row r="29" customFormat="false" ht="15" hidden="false" customHeight="false" outlineLevel="0" collapsed="false">
      <c r="A29" s="6" t="s">
        <v>43</v>
      </c>
      <c r="B29" s="12" t="n">
        <v>0.002</v>
      </c>
      <c r="C29" s="12" t="n">
        <v>0.003</v>
      </c>
      <c r="D29" s="12" t="n">
        <v>0.004</v>
      </c>
      <c r="E29" s="8" t="s">
        <v>44</v>
      </c>
    </row>
    <row r="30" customFormat="false" ht="15" hidden="false" customHeight="false" outlineLevel="0" collapsed="false">
      <c r="A30" s="6" t="s">
        <v>45</v>
      </c>
      <c r="B30" s="12" t="n">
        <v>0.008</v>
      </c>
      <c r="C30" s="12" t="n">
        <v>0.01</v>
      </c>
      <c r="D30" s="12" t="n">
        <v>0.012</v>
      </c>
      <c r="E30" s="8" t="s">
        <v>46</v>
      </c>
    </row>
    <row r="31" customFormat="false" ht="15" hidden="false" customHeight="false" outlineLevel="0" collapsed="false">
      <c r="A31" s="6" t="s">
        <v>47</v>
      </c>
      <c r="B31" s="12" t="n">
        <v>0.001</v>
      </c>
      <c r="C31" s="12" t="n">
        <v>0.002</v>
      </c>
      <c r="D31" s="12" t="n">
        <v>0.003</v>
      </c>
      <c r="E31" s="8" t="s">
        <v>48</v>
      </c>
    </row>
    <row r="32" customFormat="false" ht="15" hidden="false" customHeight="false" outlineLevel="0" collapsed="false">
      <c r="A32" s="9" t="s">
        <v>49</v>
      </c>
      <c r="B32" s="13" t="n">
        <f aca="false">B26+B27+B28+B29+B30+B31</f>
        <v>0.021</v>
      </c>
      <c r="C32" s="13" t="n">
        <f aca="false">C26+C27+C28+C29+C30+C31</f>
        <v>0.03</v>
      </c>
      <c r="D32" s="13" t="n">
        <f aca="false">D26+D27+D28+D29+D30+D31</f>
        <v>0.039</v>
      </c>
      <c r="E32" s="8" t="s">
        <v>50</v>
      </c>
    </row>
    <row r="34" customFormat="false" ht="15" hidden="false" customHeight="false" outlineLevel="0" collapsed="false">
      <c r="A34" s="4" t="s">
        <v>51</v>
      </c>
      <c r="B34" s="5"/>
      <c r="C34" s="5"/>
      <c r="D34" s="5"/>
      <c r="E34" s="5"/>
    </row>
    <row r="35" customFormat="false" ht="15" hidden="false" customHeight="false" outlineLevel="0" collapsed="false">
      <c r="A35" s="6" t="s">
        <v>52</v>
      </c>
      <c r="B35" s="14" t="n">
        <f aca="false">B23/2</f>
        <v>300</v>
      </c>
      <c r="C35" s="14" t="n">
        <f aca="false">C23/2</f>
        <v>500</v>
      </c>
      <c r="D35" s="14" t="n">
        <f aca="false">D23/2</f>
        <v>675</v>
      </c>
      <c r="E35" s="8" t="s">
        <v>53</v>
      </c>
    </row>
    <row r="36" customFormat="false" ht="15" hidden="false" customHeight="false" outlineLevel="0" collapsed="false">
      <c r="A36" s="15" t="s">
        <v>54</v>
      </c>
      <c r="B36" s="16" t="n">
        <f aca="false">B35*B32</f>
        <v>6.3</v>
      </c>
      <c r="C36" s="16" t="n">
        <f aca="false">C35*C32</f>
        <v>15</v>
      </c>
      <c r="D36" s="16" t="n">
        <f aca="false">D35*D32</f>
        <v>26.325</v>
      </c>
      <c r="E36" s="8" t="s">
        <v>55</v>
      </c>
    </row>
    <row r="38" customFormat="false" ht="15" hidden="false" customHeight="false" outlineLevel="0" collapsed="false">
      <c r="A38" s="4" t="s">
        <v>56</v>
      </c>
      <c r="B38" s="5"/>
      <c r="C38" s="5"/>
      <c r="D38" s="5"/>
      <c r="E38" s="5"/>
    </row>
    <row r="39" customFormat="false" ht="15" hidden="false" customHeight="false" outlineLevel="0" collapsed="false">
      <c r="A39" s="6" t="s">
        <v>57</v>
      </c>
      <c r="B39" s="17" t="n">
        <v>0.2</v>
      </c>
      <c r="C39" s="17" t="n">
        <v>0.3</v>
      </c>
      <c r="D39" s="17" t="n">
        <v>0.35</v>
      </c>
      <c r="E39" s="8" t="s">
        <v>58</v>
      </c>
    </row>
    <row r="40" customFormat="false" ht="15" hidden="false" customHeight="false" outlineLevel="0" collapsed="false">
      <c r="A40" s="18" t="s">
        <v>59</v>
      </c>
      <c r="B40" s="19" t="n">
        <f aca="false">B36*B39</f>
        <v>1.26</v>
      </c>
      <c r="C40" s="19" t="n">
        <f aca="false">C36*C39</f>
        <v>4.5</v>
      </c>
      <c r="D40" s="19" t="n">
        <f aca="false">D36*D39</f>
        <v>9.21375</v>
      </c>
    </row>
    <row r="41" customFormat="false" ht="15" hidden="false" customHeight="false" outlineLevel="0" collapsed="false">
      <c r="A41" s="6" t="s">
        <v>60</v>
      </c>
      <c r="B41" s="17" t="n">
        <v>0.6</v>
      </c>
      <c r="C41" s="17" t="n">
        <v>0.7</v>
      </c>
      <c r="D41" s="17" t="n">
        <v>0.8</v>
      </c>
      <c r="E41" s="8" t="s">
        <v>61</v>
      </c>
    </row>
    <row r="42" customFormat="false" ht="15" hidden="false" customHeight="false" outlineLevel="0" collapsed="false">
      <c r="A42" s="9" t="s">
        <v>62</v>
      </c>
      <c r="B42" s="20" t="n">
        <f aca="false">B40*B41</f>
        <v>0.756</v>
      </c>
      <c r="C42" s="20" t="n">
        <f aca="false">C40*C41</f>
        <v>3.15</v>
      </c>
      <c r="D42" s="20" t="n">
        <f aca="false">D40*D41</f>
        <v>7.371</v>
      </c>
      <c r="E42" s="8" t="s">
        <v>63</v>
      </c>
    </row>
    <row r="44" customFormat="false" ht="15" hidden="false" customHeight="false" outlineLevel="0" collapsed="false">
      <c r="A44" s="4" t="s">
        <v>64</v>
      </c>
      <c r="B44" s="5"/>
      <c r="C44" s="5"/>
      <c r="D44" s="5"/>
      <c r="E44" s="5"/>
    </row>
    <row r="45" customFormat="false" ht="15" hidden="false" customHeight="false" outlineLevel="0" collapsed="false">
      <c r="A45" s="6" t="s">
        <v>65</v>
      </c>
      <c r="B45" s="21" t="s">
        <v>66</v>
      </c>
      <c r="E45" s="8" t="s">
        <v>67</v>
      </c>
    </row>
    <row r="46" customFormat="false" ht="15" hidden="false" customHeight="false" outlineLevel="0" collapsed="false">
      <c r="A46" s="6" t="s">
        <v>68</v>
      </c>
      <c r="B46" s="21" t="s">
        <v>69</v>
      </c>
      <c r="E46" s="8" t="s">
        <v>70</v>
      </c>
    </row>
    <row r="47" customFormat="false" ht="15" hidden="false" customHeight="false" outlineLevel="0" collapsed="false">
      <c r="A47" s="6" t="s">
        <v>71</v>
      </c>
      <c r="B47" s="21" t="s">
        <v>72</v>
      </c>
      <c r="E47" s="8" t="s">
        <v>73</v>
      </c>
    </row>
    <row r="49" customFormat="false" ht="15" hidden="false" customHeight="false" outlineLevel="0" collapsed="false">
      <c r="A49" s="22" t="s">
        <v>74</v>
      </c>
    </row>
    <row r="50" customFormat="false" ht="15" hidden="false" customHeight="false" outlineLevel="0" collapsed="false">
      <c r="A50" s="2" t="s">
        <v>75</v>
      </c>
    </row>
    <row r="51" customFormat="false" ht="15" hidden="false" customHeight="false" outlineLevel="0" collapsed="false">
      <c r="A51" s="2" t="s">
        <v>76</v>
      </c>
    </row>
    <row r="52" customFormat="false" ht="15" hidden="false" customHeight="false" outlineLevel="0" collapsed="false">
      <c r="A52" s="2" t="s">
        <v>77</v>
      </c>
    </row>
    <row r="53" customFormat="false" ht="15" hidden="false" customHeight="false" outlineLevel="0" collapsed="false">
      <c r="A53" s="2" t="s">
        <v>78</v>
      </c>
    </row>
    <row r="54" customFormat="false" ht="15" hidden="false" customHeight="false" outlineLevel="0" collapsed="false">
      <c r="A54" s="2" t="s">
        <v>79</v>
      </c>
    </row>
    <row r="55" customFormat="false" ht="15" hidden="false" customHeight="false" outlineLevel="0" collapsed="false">
      <c r="A55" s="2" t="s">
        <v>80</v>
      </c>
    </row>
    <row r="56" customFormat="false" ht="15" hidden="false" customHeight="false" outlineLevel="0" collapsed="false">
      <c r="A56" s="2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2026-03-17T22:11:33Z</dcterms:created>
  <dc:creator>openpyxl</dc:creator>
  <dc:description/>
  <dc:language>en-US</dc:language>
  <cp:lastModifiedBy/>
  <dcterms:modified xsi:type="dcterms:W3CDTF">2026-03-17T22:11:33Z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