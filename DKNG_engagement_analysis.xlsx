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U Data" sheetId="2" state="visible" r:id="rId4"/>
    <sheet name="Downloads Data" sheetId="3" state="visible" r:id="rId5"/>
    <sheet name="Analysis" sheetId="4" state="visible" r:id="rId6"/>
    <sheet name="Char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<sst xmlns="http://schemas.openxmlformats.org/spreadsheetml/2006/main" count="162" uniqueCount="99">
  <si>
    <t xml:space="preserve">DraftKings (DKNG) — Engagement Saturation Analysis</t>
  </si>
  <si>
    <t xml:space="preserve">Sensor Tower MAU + Downloads | Jan 2024 – Apr 2026</t>
  </si>
  <si>
    <t xml:space="preserve">Source: Sensor Tower (US, monthly). May 2026 dropped (partial month).</t>
  </si>
  <si>
    <t xml:space="preserve">Thesis</t>
  </si>
  <si>
    <t xml:space="preserve">• DKNG management framed Q1'26 MUP weakness (-4% YoY, -2% ex-Lottery) as a one-quarter timing issue resolved by 2H Predictions marketing.</t>
  </si>
  <si>
    <t xml:space="preserve">• Sensor Tower data tells a different story: DKNG core app MAU is down ~40% from Nov 2024 peak, with YoY growth negative for 3 consecutive months.</t>
  </si>
  <si>
    <t xml:space="preserve">• This is not idiosyncratic — every transactional consumer platform we track is contracting YoY in Q1'26. The category has saturated.</t>
  </si>
  <si>
    <t xml:space="preserve">• Kalshi grew from 24K MAU in Apr 2024 to 4.54M in Apr 2026 — now ~92% the size of DKNG. Predictions demand is real; it's not flowing to DKNG.</t>
  </si>
  <si>
    <t xml:space="preserve">Key Statistics</t>
  </si>
  <si>
    <t xml:space="preserve">Metric</t>
  </si>
  <si>
    <t xml:space="preserve">Value</t>
  </si>
  <si>
    <t xml:space="preserve">Notes</t>
  </si>
  <si>
    <t xml:space="preserve">DKNG MAU YoY (Apr 2026)</t>
  </si>
  <si>
    <t xml:space="preserve">Negative YoY growth</t>
  </si>
  <si>
    <t xml:space="preserve">DKNG MAU vs Nov 2024 peak</t>
  </si>
  <si>
    <t xml:space="preserve">Down from 8.32M peak to 4.96M</t>
  </si>
  <si>
    <t xml:space="preserve">FanDuel MAU YoY (Apr 2026)</t>
  </si>
  <si>
    <t xml:space="preserve">Direct OSB comp also rolling over</t>
  </si>
  <si>
    <t xml:space="preserve">Kalshi MAU (Apr 2026)</t>
  </si>
  <si>
    <t xml:space="preserve">From 24K (Apr 2024) — 188x growth in 24mo</t>
  </si>
  <si>
    <t xml:space="preserve">Kalshi as % of DKNG MAU</t>
  </si>
  <si>
    <t xml:space="preserve">Same scale despite zero scaled marketing</t>
  </si>
  <si>
    <t xml:space="preserve">DKNG Q1'26 MAU vs Q1'25</t>
  </si>
  <si>
    <t xml:space="preserve">Reported MUPs were -4% (-2% ex-Lottery)</t>
  </si>
  <si>
    <t xml:space="preserve">FanDuel Q1'26 MAU vs Q1'25</t>
  </si>
  <si>
    <t xml:space="preserve">Larger decline than DKNG — category issue</t>
  </si>
  <si>
    <t xml:space="preserve">Coinbase Q1'26 MAU vs Q1'25</t>
  </si>
  <si>
    <t xml:space="preserve">Trading platforms also saturated</t>
  </si>
  <si>
    <t xml:space="preserve">Robinhood Q1'26 MAU vs Q1'25</t>
  </si>
  <si>
    <t xml:space="preserve">Caveats</t>
  </si>
  <si>
    <t xml:space="preserve">1. Sensor Tower MAU ≠ reported MUPs (different methodology). Directional signal only — Q1'26 ST data matches reported -2% ex-Lottery.</t>
  </si>
  <si>
    <t xml:space="preserve">2. Kalshi user growth ≠ revenue/profit. Marketplace model, not take-rate operator. But for demand capture, MAU is the right metric.</t>
  </si>
  <si>
    <t xml:space="preserve">3. DKNG MAU is heavily NFL-seasonal (Nov peak, summer trough). YoY comparisons handle this; absolute trough comparisons do not.</t>
  </si>
  <si>
    <t xml:space="preserve">4. Predictions integrated into Super App ~Dec 2025. DKNG MAU spiked Dec'25-Jan'26, then collapsed in Feb-Apr'26.</t>
  </si>
  <si>
    <t xml:space="preserve">5. Kalshi YoY % in early 2025 is meaningless — denominator was tiny. Use absolute scale for Kalshi.</t>
  </si>
  <si>
    <t xml:space="preserve">6. May 2026 data dropped from analysis — partial month (today is May 8, 2026).</t>
  </si>
  <si>
    <t xml:space="preserve">Monthly Active Users (US)</t>
  </si>
  <si>
    <t xml:space="preserve">Source: Sensor Tower</t>
  </si>
  <si>
    <t xml:space="preserve">Month</t>
  </si>
  <si>
    <t xml:space="preserve">Snapchat</t>
  </si>
  <si>
    <t xml:space="preserve">Pinterest</t>
  </si>
  <si>
    <t xml:space="preserve">Robinhood</t>
  </si>
  <si>
    <t xml:space="preserve">Coinbase</t>
  </si>
  <si>
    <t xml:space="preserve">FanDuel</t>
  </si>
  <si>
    <t xml:space="preserve">DraftKings</t>
  </si>
  <si>
    <t xml:space="preserve">Kalshi</t>
  </si>
  <si>
    <t xml:space="preserve">BetMGM</t>
  </si>
  <si>
    <t xml:space="preserve">Fanatics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</si>
  <si>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</si>
  <si>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</si>
  <si>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</si>
  <si>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</si>
  <si>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</si>
  <si>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</si>
  <si>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</si>
  <si>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</si>
  <si>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</si>
  <si>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</si>
  <si>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</si>
  <si>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</si>
  <si>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</si>
  <si>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</si>
  <si>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</si>
  <si>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</si>
  <si>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</si>
  <si>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</si>
  <si>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</si>
  <si>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</si>
  <si>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</si>
  <si>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</si>
  <si>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</si>
  <si>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</si>
  <si>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</si>
  <si>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</si>
  <si>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</si>
  <si>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</si>
  <si>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</si>
  <si>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Note: 2026-05 is partial month (data as of May 8, 2026) — excluded from trend analysis</t>
  </si>
  <si>
    <t xml:space="preserve">Monthly App Downloads (US)</t>
  </si>
  <si>
    <t xml:space="preserve">Note: 2026-05 is partial month (~7-8 days through May 8) — excluded from trend analysis</t>
  </si>
  <si>
    <t xml:space="preserve">Note: Kalshi downloads not reported in Sensor Tower for Jan-Feb 2024 (below reporting threshold)</t>
  </si>
  <si>
    <t xml:space="preserve">YoY MAU Growth Analysis</t>
  </si>
  <si>
    <t xml:space="preserve">Formula-driven from MAU Data tab. Edit source data and YoY recalculates.</t>
  </si>
  <si>
    <t xml:space="preserve">Key Stats</t>
  </si>
  <si>
    <t xml:space="preserve">Kalshi as % of DKNG MAU (Apr 2026)</t>
  </si>
  <si>
    <t xml:space="preserve">DKNG Q1'26 vs Q1'25 MAU avg</t>
  </si>
  <si>
    <t xml:space="preserve">FanDuel Q1'26 vs Q1'25 MAU avg</t>
  </si>
  <si>
    <t xml:space="preserve">Coinbase Q1'26 vs Q1'25 MAU avg</t>
  </si>
  <si>
    <t xml:space="preserve">Robinhood Q1'26 vs Q1'25 MAU avg</t>
  </si>
  <si>
    <t xml:space="preserve">Kalshi YoY % is mechanically meaningless before mid-2025 — denominator near zero. Use absolute scale (see MAU Data tab).</t>
  </si>
  <si>
    <t xml:space="preserve">Visual Analysis</t>
  </si>
  <si>
    <t xml:space="preserve">Chart 1: YoY MAU Growth — DKNG vs Comparable Platforms</t>
  </si>
  <si>
    <t xml:space="preserve">Story: DKNG MAU went negative in Feb 2026; FanDuel followed; entire transactional consumer cohort decelerating.</t>
  </si>
  <si>
    <t xml:space="preserve">Chart 2: Absolute MAU — DKNG vs Kalshi</t>
  </si>
  <si>
    <t xml:space="preserve">Story: Kalshi went from rounding error to peer scale in 24 months while DKNG plateaued.</t>
  </si>
  <si>
    <t xml:space="preserve">Chart 3: Q1 2026 vs Q1 2025 — Quarterly Average MAU YoY</t>
  </si>
  <si>
    <t xml:space="preserve">Story: Every transactional consumer platform contracting; only Pinterest and Kalshi (taking demand) growing.</t>
  </si>
  <si>
    <t xml:space="preserve">App</t>
  </si>
  <si>
    <t xml:space="preserve">Q1'26 vs Q1'25 YoY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</si>
</sst>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"/>
    <numFmt numFmtId="167" formatCode="@"/>
    <numFmt numFmtId="168" formatCode="0.0%;[RED]\(0.0%\);\-"/>
    <numFmt numFmtId="169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YoY MAU Growth — DKNG vs Comp 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Analysis!B4</c:f>
              <c:strCache>
                <c:ptCount val="1"/>
                <c:pt idx="0">
                  <c:v>DraftKings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Analysis!$A$5:$A$20</c:f>
              <c:strCache>
                <c:ptCount val="1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</c:strCache>
            </c:strRef>
          </c:cat>
          <c:val>
            <c:numRef>
              <c:f>Analysis!$B$5:$B$20</c:f>
              <c:numCache>
                <c:formatCode>0.0%;[RED]\(0.0%\);\-</c:formatCode>
                <c:ptCount val="16"/>
                <c:pt idx="0">
                  <c:v>0.45244982440828</c:v>
                </c:pt>
                <c:pt idx="1">
                  <c:v>0.136235108597112</c:v>
                </c:pt>
                <c:pt idx="2">
                  <c:v>0.0975046993361353</c:v>
                </c:pt>
                <c:pt idx="3">
                  <c:v>0.0387097642181005</c:v>
                </c:pt>
                <c:pt idx="4">
                  <c:v>0.106557388761007</c:v>
                </c:pt>
                <c:pt idx="5">
                  <c:v>-0.0164190555416716</c:v>
                </c:pt>
                <c:pt idx="6">
                  <c:v>0.187633815231155</c:v>
                </c:pt>
                <c:pt idx="7">
                  <c:v>-0.0035801484600213</c:v>
                </c:pt>
                <c:pt idx="8">
                  <c:v>0.0748056531768586</c:v>
                </c:pt>
                <c:pt idx="9">
                  <c:v>0.0767763317530923</c:v>
                </c:pt>
                <c:pt idx="10">
                  <c:v>-0.101524652361598</c:v>
                </c:pt>
                <c:pt idx="11">
                  <c:v>0.117948568275462</c:v>
                </c:pt>
                <c:pt idx="12">
                  <c:v>0.0764569278299774</c:v>
                </c:pt>
                <c:pt idx="13">
                  <c:v>-0.0434706265920599</c:v>
                </c:pt>
                <c:pt idx="14">
                  <c:v>-0.108925138204297</c:v>
                </c:pt>
                <c:pt idx="15">
                  <c:v>-0.0558295034803915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Analysis!C4</c:f>
              <c:strCache>
                <c:ptCount val="1"/>
                <c:pt idx="0">
                  <c:v>FanDuel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Analysis!$A$5:$A$20</c:f>
              <c:strCache>
                <c:ptCount val="1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</c:strCache>
            </c:strRef>
          </c:cat>
          <c:val>
            <c:numRef>
              <c:f>Analysis!$C$5:$C$20</c:f>
              <c:numCache>
                <c:formatCode>0.0%;[RED]\(0.0%\);\-</c:formatCode>
                <c:ptCount val="16"/>
                <c:pt idx="0">
                  <c:v>0.370423648743714</c:v>
                </c:pt>
                <c:pt idx="1">
                  <c:v>0.0867857788005835</c:v>
                </c:pt>
                <c:pt idx="2">
                  <c:v>0.125486735602211</c:v>
                </c:pt>
                <c:pt idx="3">
                  <c:v>0.0654986728535814</c:v>
                </c:pt>
                <c:pt idx="4">
                  <c:v>0.232741832106622</c:v>
                </c:pt>
                <c:pt idx="5">
                  <c:v>0.17466133878793</c:v>
                </c:pt>
                <c:pt idx="6">
                  <c:v>0.154343096005206</c:v>
                </c:pt>
                <c:pt idx="7">
                  <c:v>0.247703747835194</c:v>
                </c:pt>
                <c:pt idx="8">
                  <c:v>0.121738233125253</c:v>
                </c:pt>
                <c:pt idx="9">
                  <c:v>0.0808802652687124</c:v>
                </c:pt>
                <c:pt idx="10">
                  <c:v>0.110174545257029</c:v>
                </c:pt>
                <c:pt idx="11">
                  <c:v>0.0749821528747601</c:v>
                </c:pt>
                <c:pt idx="12">
                  <c:v>-0.0789095822223261</c:v>
                </c:pt>
                <c:pt idx="13">
                  <c:v>-0.106734663064637</c:v>
                </c:pt>
                <c:pt idx="14">
                  <c:v>-0.173599793801663</c:v>
                </c:pt>
                <c:pt idx="15">
                  <c:v>-0.136255392883373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Analysis!D4</c:f>
              <c:strCache>
                <c:ptCount val="1"/>
                <c:pt idx="0">
                  <c:v>BetMGM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Analysis!$A$5:$A$20</c:f>
              <c:strCache>
                <c:ptCount val="1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</c:strCache>
            </c:strRef>
          </c:cat>
          <c:val>
            <c:numRef>
              <c:f>Analysis!$D$5:$D$20</c:f>
              <c:numCache>
                <c:formatCode>0.0%;[RED]\(0.0%\);\-</c:formatCode>
                <c:ptCount val="16"/>
                <c:pt idx="0">
                  <c:v>0.309479882266503</c:v>
                </c:pt>
                <c:pt idx="1">
                  <c:v>0.287005907408906</c:v>
                </c:pt>
                <c:pt idx="2">
                  <c:v>0.129606428342341</c:v>
                </c:pt>
                <c:pt idx="3">
                  <c:v>-0.07351320623723</c:v>
                </c:pt>
                <c:pt idx="4">
                  <c:v>-0.171421666007513</c:v>
                </c:pt>
                <c:pt idx="5">
                  <c:v>-0.23692277215335</c:v>
                </c:pt>
                <c:pt idx="6">
                  <c:v>-0.160102486231424</c:v>
                </c:pt>
                <c:pt idx="7">
                  <c:v>-0.284781935577267</c:v>
                </c:pt>
                <c:pt idx="8">
                  <c:v>-0.222222667102141</c:v>
                </c:pt>
                <c:pt idx="9">
                  <c:v>-0.17275971187937</c:v>
                </c:pt>
                <c:pt idx="10">
                  <c:v>-0.126884943046025</c:v>
                </c:pt>
                <c:pt idx="11">
                  <c:v>-0.0693398010986207</c:v>
                </c:pt>
                <c:pt idx="12">
                  <c:v>-0.117533135731611</c:v>
                </c:pt>
                <c:pt idx="13">
                  <c:v>-0.209377858057435</c:v>
                </c:pt>
                <c:pt idx="14">
                  <c:v>-0.155711830104576</c:v>
                </c:pt>
                <c:pt idx="15">
                  <c:v>-0.203408143165483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Analysis!F4</c:f>
              <c:strCache>
                <c:ptCount val="1"/>
                <c:pt idx="0">
                  <c:v>Robinhood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Analysis!$A$5:$A$20</c:f>
              <c:strCache>
                <c:ptCount val="1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</c:strCache>
            </c:strRef>
          </c:cat>
          <c:val>
            <c:numRef>
              <c:f>Analysis!$F$5:$F$20</c:f>
              <c:numCache>
                <c:formatCode>0.0%;[RED]\(0.0%\);\-</c:formatCode>
                <c:ptCount val="16"/>
                <c:pt idx="0">
                  <c:v>0.216062950457881</c:v>
                </c:pt>
                <c:pt idx="1">
                  <c:v>0.0848676591560627</c:v>
                </c:pt>
                <c:pt idx="2">
                  <c:v>0.0498570808870762</c:v>
                </c:pt>
                <c:pt idx="3">
                  <c:v>0.130937905440579</c:v>
                </c:pt>
                <c:pt idx="4">
                  <c:v>0.00784293014895487</c:v>
                </c:pt>
                <c:pt idx="5">
                  <c:v>-0.0290558412264285</c:v>
                </c:pt>
                <c:pt idx="6">
                  <c:v>-0.0450428018349129</c:v>
                </c:pt>
                <c:pt idx="7">
                  <c:v>-0.0634641376579026</c:v>
                </c:pt>
                <c:pt idx="8">
                  <c:v>0.0179835070981762</c:v>
                </c:pt>
                <c:pt idx="9">
                  <c:v>0.0155592140754417</c:v>
                </c:pt>
                <c:pt idx="10">
                  <c:v>-0.144662050416454</c:v>
                </c:pt>
                <c:pt idx="11">
                  <c:v>-0.114688336815034</c:v>
                </c:pt>
                <c:pt idx="12">
                  <c:v>-0.109055132208309</c:v>
                </c:pt>
                <c:pt idx="13">
                  <c:v>-0.114306375250132</c:v>
                </c:pt>
                <c:pt idx="14">
                  <c:v>-0.18116719903108</c:v>
                </c:pt>
                <c:pt idx="15">
                  <c:v>-0.168017769200286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Analysis!G4</c:f>
              <c:strCache>
                <c:ptCount val="1"/>
                <c:pt idx="0">
                  <c:v>Coinbase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Analysis!$A$5:$A$20</c:f>
              <c:strCache>
                <c:ptCount val="1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</c:strCache>
            </c:strRef>
          </c:cat>
          <c:val>
            <c:numRef>
              <c:f>Analysis!$G$5:$G$20</c:f>
              <c:numCache>
                <c:formatCode>0.0%;[RED]\(0.0%\);\-</c:formatCode>
                <c:ptCount val="16"/>
                <c:pt idx="0">
                  <c:v>0.426459613943397</c:v>
                </c:pt>
                <c:pt idx="1">
                  <c:v>0.195130636170711</c:v>
                </c:pt>
                <c:pt idx="2">
                  <c:v>-0.0641031118456772</c:v>
                </c:pt>
                <c:pt idx="3">
                  <c:v>0.0979304274932318</c:v>
                </c:pt>
                <c:pt idx="4">
                  <c:v>0.243813560300331</c:v>
                </c:pt>
                <c:pt idx="5">
                  <c:v>0.198347749168321</c:v>
                </c:pt>
                <c:pt idx="6">
                  <c:v>0.354944814402156</c:v>
                </c:pt>
                <c:pt idx="7">
                  <c:v>0.286102964679221</c:v>
                </c:pt>
                <c:pt idx="8">
                  <c:v>0.249232759996399</c:v>
                </c:pt>
                <c:pt idx="9">
                  <c:v>0.288397973918689</c:v>
                </c:pt>
                <c:pt idx="10">
                  <c:v>-0.187171542282636</c:v>
                </c:pt>
                <c:pt idx="11">
                  <c:v>-0.297969372441532</c:v>
                </c:pt>
                <c:pt idx="12">
                  <c:v>-0.331627985600912</c:v>
                </c:pt>
                <c:pt idx="13">
                  <c:v>-0.221118359793607</c:v>
                </c:pt>
                <c:pt idx="14">
                  <c:v>-0.258712482602342</c:v>
                </c:pt>
                <c:pt idx="15">
                  <c:v>-0.270695775740727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Analysis!H4</c:f>
              <c:strCache>
                <c:ptCount val="1"/>
                <c:pt idx="0">
                  <c:v>Snapchat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Analysis!$A$5:$A$20</c:f>
              <c:strCache>
                <c:ptCount val="16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</c:strCache>
            </c:strRef>
          </c:cat>
          <c:val>
            <c:numRef>
              <c:f>Analysis!$H$5:$H$20</c:f>
              <c:numCache>
                <c:formatCode>0.0%;[RED]\(0.0%\);\-</c:formatCode>
                <c:ptCount val="16"/>
                <c:pt idx="0">
                  <c:v>-0.0433098032640548</c:v>
                </c:pt>
                <c:pt idx="1">
                  <c:v>-0.0618444410562377</c:v>
                </c:pt>
                <c:pt idx="2">
                  <c:v>-0.0440001559984519</c:v>
                </c:pt>
                <c:pt idx="3">
                  <c:v>-0.0495641620423488</c:v>
                </c:pt>
                <c:pt idx="4">
                  <c:v>-0.0527237443087693</c:v>
                </c:pt>
                <c:pt idx="5">
                  <c:v>-0.0520675513562944</c:v>
                </c:pt>
                <c:pt idx="6">
                  <c:v>-0.0463296268609958</c:v>
                </c:pt>
                <c:pt idx="7">
                  <c:v>-0.0519695896794711</c:v>
                </c:pt>
                <c:pt idx="8">
                  <c:v>-0.0452396662349645</c:v>
                </c:pt>
                <c:pt idx="9">
                  <c:v>-0.0554257700743014</c:v>
                </c:pt>
                <c:pt idx="10">
                  <c:v>-0.0552624333887316</c:v>
                </c:pt>
                <c:pt idx="11">
                  <c:v>-0.0635021372236451</c:v>
                </c:pt>
                <c:pt idx="12">
                  <c:v>-0.0585839659492097</c:v>
                </c:pt>
                <c:pt idx="13">
                  <c:v>-0.0472213534812611</c:v>
                </c:pt>
                <c:pt idx="14">
                  <c:v>-0.0624757684195807</c:v>
                </c:pt>
                <c:pt idx="15">
                  <c:v>-0.0748768957042548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660409"/>
        <c:axId val="16669139"/>
      </c:lineChart>
      <c:catAx>
        <c:axId val="656604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69139"/>
        <c:crosses val="autoZero"/>
        <c:auto val="1"/>
        <c:lblAlgn val="ctr"/>
        <c:lblOffset val="100"/>
        <c:noMultiLvlLbl val="0"/>
      </c:catAx>
      <c:valAx>
        <c:axId val="166691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YoY MAU 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60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DKNG vs Kalshi MAU (Absolute)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'MAU Data'!G4</c:f>
              <c:strCache>
                <c:ptCount val="1"/>
                <c:pt idx="0">
                  <c:v>DraftKings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'MAU Data'!$A$5:$A$32</c:f>
              <c:strCache>
                <c:ptCount val="2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</c:strCache>
            </c:strRef>
          </c:cat>
          <c:val>
            <c:numRef>
              <c:f>'MAU Data'!$G$5:$G$32</c:f>
              <c:numCache>
                <c:formatCode>#,##0</c:formatCode>
                <c:ptCount val="28"/>
                <c:pt idx="0">
                  <c:v>5142042</c:v>
                </c:pt>
                <c:pt idx="1">
                  <c:v>6265360</c:v>
                </c:pt>
                <c:pt idx="2">
                  <c:v>5018794</c:v>
                </c:pt>
                <c:pt idx="3">
                  <c:v>5054332</c:v>
                </c:pt>
                <c:pt idx="4">
                  <c:v>4899069</c:v>
                </c:pt>
                <c:pt idx="5">
                  <c:v>4577608</c:v>
                </c:pt>
                <c:pt idx="6">
                  <c:v>3936865</c:v>
                </c:pt>
                <c:pt idx="7">
                  <c:v>5127441</c:v>
                </c:pt>
                <c:pt idx="8">
                  <c:v>7287230</c:v>
                </c:pt>
                <c:pt idx="9">
                  <c:v>6808244</c:v>
                </c:pt>
                <c:pt idx="10">
                  <c:v>8322225</c:v>
                </c:pt>
                <c:pt idx="11">
                  <c:v>6921059</c:v>
                </c:pt>
                <c:pt idx="12">
                  <c:v>7468558</c:v>
                </c:pt>
                <c:pt idx="13">
                  <c:v>7118922</c:v>
                </c:pt>
                <c:pt idx="14">
                  <c:v>5508150</c:v>
                </c:pt>
                <c:pt idx="15">
                  <c:v>5249984</c:v>
                </c:pt>
                <c:pt idx="16">
                  <c:v>5421101</c:v>
                </c:pt>
                <c:pt idx="17">
                  <c:v>4502448</c:v>
                </c:pt>
                <c:pt idx="18">
                  <c:v>4675554</c:v>
                </c:pt>
                <c:pt idx="19">
                  <c:v>5109084</c:v>
                </c:pt>
                <c:pt idx="20">
                  <c:v>7832356</c:v>
                </c:pt>
                <c:pt idx="21">
                  <c:v>7330956</c:v>
                </c:pt>
                <c:pt idx="22">
                  <c:v>7477314</c:v>
                </c:pt>
                <c:pt idx="23">
                  <c:v>7737388</c:v>
                </c:pt>
                <c:pt idx="24">
                  <c:v>8039581</c:v>
                </c:pt>
                <c:pt idx="25">
                  <c:v>6809458</c:v>
                </c:pt>
                <c:pt idx="26">
                  <c:v>4908174</c:v>
                </c:pt>
                <c:pt idx="27">
                  <c:v>4956880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'MAU Data'!H4</c:f>
              <c:strCache>
                <c:ptCount val="1"/>
                <c:pt idx="0">
                  <c:v>Kalshi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'MAU Data'!$A$5:$A$32</c:f>
              <c:strCache>
                <c:ptCount val="28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</c:strCache>
            </c:strRef>
          </c:cat>
          <c:val>
            <c:numRef>
              <c:f>'MAU Data'!$H$5:$H$32</c:f>
              <c:numCache>
                <c:formatCode>#,##0</c:formatCode>
                <c:ptCount val="28"/>
                <c:pt idx="0">
                  <c:v>545</c:v>
                </c:pt>
                <c:pt idx="1">
                  <c:v>510</c:v>
                </c:pt>
                <c:pt idx="2">
                  <c:v>8364</c:v>
                </c:pt>
                <c:pt idx="3">
                  <c:v>24149</c:v>
                </c:pt>
                <c:pt idx="4">
                  <c:v>42300</c:v>
                </c:pt>
                <c:pt idx="5">
                  <c:v>62220</c:v>
                </c:pt>
                <c:pt idx="6">
                  <c:v>90328</c:v>
                </c:pt>
                <c:pt idx="7">
                  <c:v>79851</c:v>
                </c:pt>
                <c:pt idx="8">
                  <c:v>80192</c:v>
                </c:pt>
                <c:pt idx="9">
                  <c:v>461087</c:v>
                </c:pt>
                <c:pt idx="10">
                  <c:v>1252628</c:v>
                </c:pt>
                <c:pt idx="11">
                  <c:v>832975</c:v>
                </c:pt>
                <c:pt idx="12">
                  <c:v>567161</c:v>
                </c:pt>
                <c:pt idx="13">
                  <c:v>679207</c:v>
                </c:pt>
                <c:pt idx="14">
                  <c:v>650836</c:v>
                </c:pt>
                <c:pt idx="15">
                  <c:v>538151</c:v>
                </c:pt>
                <c:pt idx="16">
                  <c:v>580978</c:v>
                </c:pt>
                <c:pt idx="17">
                  <c:v>609157</c:v>
                </c:pt>
                <c:pt idx="18">
                  <c:v>670828</c:v>
                </c:pt>
                <c:pt idx="19">
                  <c:v>728656</c:v>
                </c:pt>
                <c:pt idx="20">
                  <c:v>1436174</c:v>
                </c:pt>
                <c:pt idx="21">
                  <c:v>1712813</c:v>
                </c:pt>
                <c:pt idx="22">
                  <c:v>2432126</c:v>
                </c:pt>
                <c:pt idx="23">
                  <c:v>3129671</c:v>
                </c:pt>
                <c:pt idx="24">
                  <c:v>5004980</c:v>
                </c:pt>
                <c:pt idx="25">
                  <c:v>4951023</c:v>
                </c:pt>
                <c:pt idx="26">
                  <c:v>4844829</c:v>
                </c:pt>
                <c:pt idx="27">
                  <c:v>4543440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606098"/>
        <c:axId val="85579833"/>
      </c:lineChart>
      <c:catAx>
        <c:axId val="766060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79833"/>
        <c:crosses val="autoZero"/>
        <c:auto val="1"/>
        <c:lblAlgn val="ctr"/>
        <c:lblOffset val="100"/>
        <c:noMultiLvlLbl val="0"/>
      </c:catAx>
      <c:valAx>
        <c:axId val="85579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Monthly Active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060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Q1'26 vs Q1'25 MAU — YoY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Charts!B56</c:f>
              <c:strCache>
                <c:ptCount val="1"/>
                <c:pt idx="0">
                  <c:v>Q1'26 vs Q1'25 YoY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Charts!$A$57:$A$64</c:f>
              <c:strCache>
                <c:ptCount val="8"/>
                <c:pt idx="0">
                  <c:v>Coinbase</c:v>
                </c:pt>
                <c:pt idx="1">
                  <c:v>BetMGM</c:v>
                </c:pt>
                <c:pt idx="2">
                  <c:v>Robinhood</c:v>
                </c:pt>
                <c:pt idx="3">
                  <c:v>FanDuel</c:v>
                </c:pt>
                <c:pt idx="4">
                  <c:v>Snapchat</c:v>
                </c:pt>
                <c:pt idx="5">
                  <c:v>Fanatics</c:v>
                </c:pt>
                <c:pt idx="6">
                  <c:v>DraftKings</c:v>
                </c:pt>
                <c:pt idx="7">
                  <c:v>Pinterest</c:v>
                </c:pt>
              </c:strCache>
            </c:strRef>
          </c:cat>
          <c:val>
            <c:numRef>
              <c:f>Charts!$B$57:$B$64</c:f>
              <c:numCache>
                <c:formatCode>0.0%;[RED]\(0.0%\);\-</c:formatCode>
                <c:ptCount val="8"/>
                <c:pt idx="0">
                  <c:v>-0.273673363045484</c:v>
                </c:pt>
                <c:pt idx="1">
                  <c:v>-0.16101360963155</c:v>
                </c:pt>
                <c:pt idx="2">
                  <c:v>-0.134846237440191</c:v>
                </c:pt>
                <c:pt idx="3">
                  <c:v>-0.115773116549308</c:v>
                </c:pt>
                <c:pt idx="4">
                  <c:v>-0.0561240250170325</c:v>
                </c:pt>
                <c:pt idx="5">
                  <c:v>-0.0508434643294695</c:v>
                </c:pt>
                <c:pt idx="6">
                  <c:v>-0.0168403279718027</c:v>
                </c:pt>
                <c:pt idx="7">
                  <c:v>0.0295278861907322</c:v>
                </c:pt>
              </c:numCache>
            </c:numRef>
          </c:val>
        </c:ser>
        <c:gapWidth val="150"/>
        <c:overlap val="0"/>
        <c:axId val="42906511"/>
        <c:axId val="5199251"/>
      </c:barChart>
      <c:catAx>
        <c:axId val="4290651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YoY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9251"/>
        <c:crosses val="autoZero"/>
        <c:auto val="1"/>
        <c:lblAlgn val="ctr"/>
        <c:lblOffset val="100"/>
        <c:noMultiLvlLbl val="0"/>
      </c:catAx>
      <c:valAx>
        <c:axId val="5199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065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160560</xdr:rowOff>
    </xdr:from>
    <xdr:to>
      <xdr:col>10</xdr:col>
      <xdr:colOff>208080</xdr:colOff>
      <xdr:row>25</xdr:row>
      <xdr:rowOff>119880</xdr:rowOff>
    </xdr:to>
    <xdr:graphicFrame>
      <xdr:nvGraphicFramePr>
        <xdr:cNvPr id="0" name="Chart 1"/>
        <xdr:cNvGraphicFramePr/>
      </xdr:nvGraphicFramePr>
      <xdr:xfrm>
        <a:off x="0" y="9525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160560</xdr:rowOff>
    </xdr:from>
    <xdr:to>
      <xdr:col>10</xdr:col>
      <xdr:colOff>208080</xdr:colOff>
      <xdr:row>50</xdr:row>
      <xdr:rowOff>119880</xdr:rowOff>
    </xdr:to>
    <xdr:graphicFrame>
      <xdr:nvGraphicFramePr>
        <xdr:cNvPr id="1" name="Chart 2"/>
        <xdr:cNvGraphicFramePr/>
      </xdr:nvGraphicFramePr>
      <xdr:xfrm>
        <a:off x="0" y="571500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54</xdr:row>
      <xdr:rowOff>160560</xdr:rowOff>
    </xdr:from>
    <xdr:to>
      <xdr:col>13</xdr:col>
      <xdr:colOff>364320</xdr:colOff>
      <xdr:row>73</xdr:row>
      <xdr:rowOff>140760</xdr:rowOff>
    </xdr:to>
    <xdr:graphicFrame>
      <xdr:nvGraphicFramePr>
        <xdr:cNvPr id="2" name="Chart 3"/>
        <xdr:cNvGraphicFramePr/>
      </xdr:nvGraphicFramePr>
      <xdr:xfrm>
        <a:off x="3430800" y="10477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8" min="4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5" t="s">
        <v>6</v>
      </c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5" t="s">
        <v>7</v>
      </c>
      <c r="B9" s="5"/>
      <c r="C9" s="5"/>
      <c r="D9" s="5"/>
      <c r="E9" s="5"/>
      <c r="F9" s="5"/>
      <c r="G9" s="5"/>
      <c r="H9" s="5"/>
    </row>
    <row r="12" customFormat="false" ht="15" hidden="false" customHeight="false" outlineLevel="0" collapsed="false">
      <c r="A12" s="4" t="s">
        <v>8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6" t="s">
        <v>9</v>
      </c>
      <c r="B13" s="7" t="s">
        <v>10</v>
      </c>
      <c r="C13" s="6" t="s">
        <v>11</v>
      </c>
    </row>
    <row r="14" customFormat="false" ht="15" hidden="false" customHeight="false" outlineLevel="0" collapsed="false">
      <c r="A14" s="8" t="s">
        <v>12</v>
      </c>
      <c r="B14" s="9" t="n">
        <f aca="false">Analysis!N6</f>
        <v>-0.404380439125354</v>
      </c>
      <c r="C14" s="10" t="s">
        <v>13</v>
      </c>
    </row>
    <row r="15" customFormat="false" ht="15" hidden="false" customHeight="false" outlineLevel="0" collapsed="false">
      <c r="A15" s="8" t="s">
        <v>14</v>
      </c>
      <c r="B15" s="9" t="n">
        <f aca="false">Analysis!N7</f>
        <v>-0.136255392883373</v>
      </c>
      <c r="C15" s="10" t="s">
        <v>15</v>
      </c>
    </row>
    <row r="16" customFormat="false" ht="15" hidden="false" customHeight="false" outlineLevel="0" collapsed="false">
      <c r="A16" s="8" t="s">
        <v>16</v>
      </c>
      <c r="B16" s="9" t="n">
        <f aca="false">Analysis!N8</f>
        <v>4543440</v>
      </c>
      <c r="C16" s="10" t="s">
        <v>17</v>
      </c>
    </row>
    <row r="17" customFormat="false" ht="15" hidden="false" customHeight="false" outlineLevel="0" collapsed="false">
      <c r="A17" s="8" t="s">
        <v>18</v>
      </c>
      <c r="B17" s="11" t="n">
        <f aca="false">Analysis!N9</f>
        <v>0.916592695405174</v>
      </c>
      <c r="C17" s="10" t="s">
        <v>19</v>
      </c>
    </row>
    <row r="18" customFormat="false" ht="15" hidden="false" customHeight="false" outlineLevel="0" collapsed="false">
      <c r="A18" s="8" t="s">
        <v>20</v>
      </c>
      <c r="B18" s="9" t="n">
        <f aca="false">Analysis!N10</f>
        <v>-0.0168403279718027</v>
      </c>
      <c r="C18" s="10" t="s">
        <v>21</v>
      </c>
    </row>
    <row r="19" customFormat="false" ht="15" hidden="false" customHeight="false" outlineLevel="0" collapsed="false">
      <c r="A19" s="8" t="s">
        <v>22</v>
      </c>
      <c r="B19" s="9" t="n">
        <f aca="false">Analysis!N11</f>
        <v>-0.115773116549308</v>
      </c>
      <c r="C19" s="10" t="s">
        <v>23</v>
      </c>
    </row>
    <row r="20" customFormat="false" ht="15" hidden="false" customHeight="false" outlineLevel="0" collapsed="false">
      <c r="A20" s="8" t="s">
        <v>24</v>
      </c>
      <c r="B20" s="9" t="n">
        <f aca="false">Analysis!N12</f>
        <v>-0.273673363045484</v>
      </c>
      <c r="C20" s="10" t="s">
        <v>25</v>
      </c>
    </row>
    <row r="21" customFormat="false" ht="15" hidden="false" customHeight="false" outlineLevel="0" collapsed="false">
      <c r="A21" s="8" t="s">
        <v>26</v>
      </c>
      <c r="B21" s="9" t="n">
        <f aca="false">Analysis!N13</f>
        <v>-0.134846237440191</v>
      </c>
      <c r="C21" s="10" t="s">
        <v>27</v>
      </c>
    </row>
    <row r="22" customFormat="false" ht="15" hidden="false" customHeight="false" outlineLevel="0" collapsed="false">
      <c r="A22" s="8" t="s">
        <v>28</v>
      </c>
      <c r="B22" s="9" t="n">
        <f aca="false">Analysis!N14</f>
        <v>0</v>
      </c>
      <c r="C22" s="10" t="s">
        <v>27</v>
      </c>
    </row>
    <row r="24" customFormat="false" ht="15" hidden="false" customHeight="false" outlineLevel="0" collapsed="false">
      <c r="A24" s="12" t="s">
        <v>29</v>
      </c>
      <c r="B24" s="12"/>
      <c r="C24" s="12"/>
      <c r="D24" s="12"/>
      <c r="E24" s="12"/>
      <c r="F24" s="12"/>
      <c r="G24" s="12"/>
      <c r="H24" s="12"/>
    </row>
    <row r="25" customFormat="false" ht="15" hidden="false" customHeight="false" outlineLevel="0" collapsed="false">
      <c r="A25" s="13" t="s">
        <v>30</v>
      </c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 t="s">
        <v>31</v>
      </c>
      <c r="B26" s="13"/>
      <c r="C26" s="1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13" t="s">
        <v>32</v>
      </c>
      <c r="B27" s="13"/>
      <c r="C27" s="1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13" t="s">
        <v>33</v>
      </c>
      <c r="B28" s="13"/>
      <c r="C28" s="1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13" t="s">
        <v>34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13" t="s">
        <v>35</v>
      </c>
      <c r="B30" s="13"/>
      <c r="C30" s="13"/>
      <c r="D30" s="13"/>
      <c r="E30" s="13"/>
      <c r="F30" s="13"/>
      <c r="G30" s="13"/>
      <c r="H30" s="13"/>
    </row>
  </sheetData>
  <mergeCells count="13">
    <mergeCell ref="A5:H5"/>
    <mergeCell ref="A6:H6"/>
    <mergeCell ref="A7:H7"/>
    <mergeCell ref="A8:H8"/>
    <mergeCell ref="A9:H9"/>
    <mergeCell ref="A12:H12"/>
    <mergeCell ref="A24:H24"/>
    <mergeCell ref="A25:H25"/>
    <mergeCell ref="A26:H26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4" t="s">
        <v>36</v>
      </c>
    </row>
    <row r="2" customFormat="false" ht="15" hidden="false" customHeight="false" outlineLevel="0" collapsed="false">
      <c r="A2" s="3" t="s">
        <v>37</v>
      </c>
    </row>
    <row r="4" customFormat="false" ht="15" hidden="false" customHeight="false" outlineLevel="0" collapsed="false">
      <c r="A4" s="15" t="s">
        <v>38</v>
      </c>
      <c r="B4" s="15" t="s">
        <v>39</v>
      </c>
      <c r="C4" s="15" t="s">
        <v>40</v>
      </c>
      <c r="D4" s="15" t="s">
        <v>41</v>
      </c>
      <c r="E4" s="15" t="s">
        <v>42</v>
      </c>
      <c r="F4" s="15" t="s">
        <v>43</v>
      </c>
      <c r="G4" s="15" t="s">
        <v>44</v>
      </c>
      <c r="H4" s="15" t="s">
        <v>45</v>
      </c>
      <c r="I4" s="15" t="s">
        <v>46</v>
      </c>
      <c r="J4" s="15" t="s">
        <v>47</v>
      </c>
    </row>
    <row r="5" customFormat="false" ht="15" hidden="false" customHeight="false" outlineLevel="0" collapsed="false">
      <c r="A5" s="16" t="s">
        <v>48</v>
      </c>
      <c r="B5" s="17" t="n">
        <v>89749842</v>
      </c>
      <c r="C5" s="17" t="n">
        <v>72791985</v>
      </c>
      <c r="D5" s="17" t="n">
        <v>18095754</v>
      </c>
      <c r="E5" s="17" t="n">
        <v>11943689</v>
      </c>
      <c r="F5" s="17" t="n">
        <v>5991591</v>
      </c>
      <c r="G5" s="18" t="n">
        <v>5142042</v>
      </c>
      <c r="H5" s="17" t="n">
        <v>545</v>
      </c>
      <c r="I5" s="17" t="n">
        <v>1352886</v>
      </c>
      <c r="J5" s="17" t="n">
        <v>167594</v>
      </c>
    </row>
    <row r="6" customFormat="false" ht="15" hidden="false" customHeight="false" outlineLevel="0" collapsed="false">
      <c r="A6" s="16" t="s">
        <v>49</v>
      </c>
      <c r="B6" s="17" t="n">
        <v>90778927</v>
      </c>
      <c r="C6" s="17" t="n">
        <v>72482068</v>
      </c>
      <c r="D6" s="17" t="n">
        <v>19733477</v>
      </c>
      <c r="E6" s="17" t="n">
        <v>12292078</v>
      </c>
      <c r="F6" s="17" t="n">
        <v>6825669</v>
      </c>
      <c r="G6" s="18" t="n">
        <v>6265360</v>
      </c>
      <c r="H6" s="17" t="n">
        <v>510</v>
      </c>
      <c r="I6" s="17" t="n">
        <v>1359310</v>
      </c>
      <c r="J6" s="17" t="n">
        <v>220046</v>
      </c>
    </row>
    <row r="7" customFormat="false" ht="15" hidden="false" customHeight="false" outlineLevel="0" collapsed="false">
      <c r="A7" s="16" t="s">
        <v>50</v>
      </c>
      <c r="B7" s="17" t="n">
        <v>90077817</v>
      </c>
      <c r="C7" s="17" t="n">
        <v>73078249</v>
      </c>
      <c r="D7" s="17" t="n">
        <v>20712765</v>
      </c>
      <c r="E7" s="17" t="n">
        <v>15377787</v>
      </c>
      <c r="F7" s="17" t="n">
        <v>5680959</v>
      </c>
      <c r="G7" s="18" t="n">
        <v>5018794</v>
      </c>
      <c r="H7" s="17" t="n">
        <v>8364</v>
      </c>
      <c r="I7" s="17" t="n">
        <v>1265894</v>
      </c>
      <c r="J7" s="17" t="n">
        <v>311746</v>
      </c>
    </row>
    <row r="8" customFormat="false" ht="15" hidden="false" customHeight="false" outlineLevel="0" collapsed="false">
      <c r="A8" s="16" t="s">
        <v>51</v>
      </c>
      <c r="B8" s="17" t="n">
        <v>89520771</v>
      </c>
      <c r="C8" s="17" t="n">
        <v>72288343</v>
      </c>
      <c r="D8" s="17" t="n">
        <v>18977041</v>
      </c>
      <c r="E8" s="17" t="n">
        <v>12184497</v>
      </c>
      <c r="F8" s="17" t="n">
        <v>5335131</v>
      </c>
      <c r="G8" s="18" t="n">
        <v>5054332</v>
      </c>
      <c r="H8" s="17" t="n">
        <v>24149</v>
      </c>
      <c r="I8" s="17" t="n">
        <v>1287687</v>
      </c>
      <c r="J8" s="17" t="n">
        <v>428681</v>
      </c>
    </row>
    <row r="9" customFormat="false" ht="15" hidden="false" customHeight="false" outlineLevel="0" collapsed="false">
      <c r="A9" s="16" t="s">
        <v>52</v>
      </c>
      <c r="B9" s="17" t="n">
        <v>89076735</v>
      </c>
      <c r="C9" s="17" t="n">
        <v>73068244</v>
      </c>
      <c r="D9" s="17" t="n">
        <v>18802539</v>
      </c>
      <c r="E9" s="17" t="n">
        <v>11174723</v>
      </c>
      <c r="F9" s="17" t="n">
        <v>5271953</v>
      </c>
      <c r="G9" s="18" t="n">
        <v>4899069</v>
      </c>
      <c r="H9" s="17" t="n">
        <v>42300</v>
      </c>
      <c r="I9" s="17" t="n">
        <v>1319874</v>
      </c>
      <c r="J9" s="17" t="n">
        <v>438140</v>
      </c>
    </row>
    <row r="10" customFormat="false" ht="15" hidden="false" customHeight="false" outlineLevel="0" collapsed="false">
      <c r="A10" s="16" t="s">
        <v>53</v>
      </c>
      <c r="B10" s="17" t="n">
        <v>89070484</v>
      </c>
      <c r="C10" s="17" t="n">
        <v>75282163</v>
      </c>
      <c r="D10" s="17" t="n">
        <v>19046394</v>
      </c>
      <c r="E10" s="17" t="n">
        <v>10650441</v>
      </c>
      <c r="F10" s="17" t="n">
        <v>4671778</v>
      </c>
      <c r="G10" s="18" t="n">
        <v>4577608</v>
      </c>
      <c r="H10" s="17" t="n">
        <v>62220</v>
      </c>
      <c r="I10" s="17" t="n">
        <v>1342754</v>
      </c>
      <c r="J10" s="17" t="n">
        <v>424875</v>
      </c>
    </row>
    <row r="11" customFormat="false" ht="15" hidden="false" customHeight="false" outlineLevel="0" collapsed="false">
      <c r="A11" s="16" t="s">
        <v>54</v>
      </c>
      <c r="B11" s="17" t="n">
        <v>88594303</v>
      </c>
      <c r="C11" s="17" t="n">
        <v>72172001</v>
      </c>
      <c r="D11" s="17" t="n">
        <v>19895876</v>
      </c>
      <c r="E11" s="17" t="n">
        <v>10452546</v>
      </c>
      <c r="F11" s="17" t="n">
        <v>4236989</v>
      </c>
      <c r="G11" s="18" t="n">
        <v>3936865</v>
      </c>
      <c r="H11" s="17" t="n">
        <v>90328</v>
      </c>
      <c r="I11" s="17" t="n">
        <v>1286807</v>
      </c>
      <c r="J11" s="17" t="n">
        <v>476757</v>
      </c>
    </row>
    <row r="12" customFormat="false" ht="15" hidden="false" customHeight="false" outlineLevel="0" collapsed="false">
      <c r="A12" s="16" t="s">
        <v>55</v>
      </c>
      <c r="B12" s="17" t="n">
        <v>87953167</v>
      </c>
      <c r="C12" s="17" t="n">
        <v>70209718</v>
      </c>
      <c r="D12" s="17" t="n">
        <v>19992866</v>
      </c>
      <c r="E12" s="17" t="n">
        <v>10039501</v>
      </c>
      <c r="F12" s="17" t="n">
        <v>4686332</v>
      </c>
      <c r="G12" s="18" t="n">
        <v>5127441</v>
      </c>
      <c r="H12" s="17" t="n">
        <v>79851</v>
      </c>
      <c r="I12" s="17" t="n">
        <v>1492082</v>
      </c>
      <c r="J12" s="17" t="n">
        <v>605568</v>
      </c>
    </row>
    <row r="13" customFormat="false" ht="15" hidden="false" customHeight="false" outlineLevel="0" collapsed="false">
      <c r="A13" s="16" t="s">
        <v>56</v>
      </c>
      <c r="B13" s="17" t="n">
        <v>87522529</v>
      </c>
      <c r="C13" s="17" t="n">
        <v>70482924</v>
      </c>
      <c r="D13" s="17" t="n">
        <v>19170065</v>
      </c>
      <c r="E13" s="17" t="n">
        <v>9919647</v>
      </c>
      <c r="F13" s="17" t="n">
        <v>8023987</v>
      </c>
      <c r="G13" s="18" t="n">
        <v>7287230</v>
      </c>
      <c r="H13" s="17" t="n">
        <v>80192</v>
      </c>
      <c r="I13" s="17" t="n">
        <v>1748287</v>
      </c>
      <c r="J13" s="17" t="n">
        <v>784997</v>
      </c>
    </row>
    <row r="14" customFormat="false" ht="15" hidden="false" customHeight="false" outlineLevel="0" collapsed="false">
      <c r="A14" s="16" t="s">
        <v>57</v>
      </c>
      <c r="B14" s="17" t="n">
        <v>87356116</v>
      </c>
      <c r="C14" s="17" t="n">
        <v>72392539</v>
      </c>
      <c r="D14" s="17" t="n">
        <v>19547067</v>
      </c>
      <c r="E14" s="17" t="n">
        <v>10366810</v>
      </c>
      <c r="F14" s="17" t="n">
        <v>7410448</v>
      </c>
      <c r="G14" s="18" t="n">
        <v>6808244</v>
      </c>
      <c r="H14" s="17" t="n">
        <v>461087</v>
      </c>
      <c r="I14" s="17" t="n">
        <v>1837286</v>
      </c>
      <c r="J14" s="17" t="n">
        <v>845088</v>
      </c>
    </row>
    <row r="15" customFormat="false" ht="15" hidden="false" customHeight="false" outlineLevel="0" collapsed="false">
      <c r="A15" s="16" t="s">
        <v>58</v>
      </c>
      <c r="B15" s="17" t="n">
        <v>86864995</v>
      </c>
      <c r="C15" s="17" t="n">
        <v>71267433</v>
      </c>
      <c r="D15" s="17" t="n">
        <v>22007617</v>
      </c>
      <c r="E15" s="17" t="n">
        <v>16165513</v>
      </c>
      <c r="F15" s="17" t="n">
        <v>7842837</v>
      </c>
      <c r="G15" s="18" t="n">
        <v>8322225</v>
      </c>
      <c r="H15" s="17" t="n">
        <v>1252628</v>
      </c>
      <c r="I15" s="17" t="n">
        <v>1642291</v>
      </c>
      <c r="J15" s="17" t="n">
        <v>808966</v>
      </c>
    </row>
    <row r="16" customFormat="false" ht="15" hidden="false" customHeight="false" outlineLevel="0" collapsed="false">
      <c r="A16" s="16" t="s">
        <v>59</v>
      </c>
      <c r="B16" s="17" t="n">
        <v>87779770</v>
      </c>
      <c r="C16" s="17" t="n">
        <v>75870620</v>
      </c>
      <c r="D16" s="17" t="n">
        <v>21016069</v>
      </c>
      <c r="E16" s="17" t="n">
        <v>16102165</v>
      </c>
      <c r="F16" s="17" t="n">
        <v>7429768</v>
      </c>
      <c r="G16" s="18" t="n">
        <v>6921059</v>
      </c>
      <c r="H16" s="17" t="n">
        <v>832975</v>
      </c>
      <c r="I16" s="17" t="n">
        <v>1704865</v>
      </c>
      <c r="J16" s="17" t="n">
        <v>718100</v>
      </c>
    </row>
    <row r="17" customFormat="false" ht="15" hidden="false" customHeight="false" outlineLevel="0" collapsed="false">
      <c r="A17" s="16" t="s">
        <v>60</v>
      </c>
      <c r="B17" s="17" t="n">
        <v>85862794</v>
      </c>
      <c r="C17" s="17" t="n">
        <v>73915604</v>
      </c>
      <c r="D17" s="17" t="n">
        <v>22005576</v>
      </c>
      <c r="E17" s="17" t="n">
        <v>17037190</v>
      </c>
      <c r="F17" s="17" t="n">
        <v>8211018</v>
      </c>
      <c r="G17" s="18" t="n">
        <v>7468558</v>
      </c>
      <c r="H17" s="17" t="n">
        <v>567161</v>
      </c>
      <c r="I17" s="17" t="n">
        <v>1771577</v>
      </c>
      <c r="J17" s="17" t="n">
        <v>748385</v>
      </c>
    </row>
    <row r="18" customFormat="false" ht="15" hidden="false" customHeight="false" outlineLevel="0" collapsed="false">
      <c r="A18" s="16" t="s">
        <v>61</v>
      </c>
      <c r="B18" s="17" t="n">
        <v>85164755</v>
      </c>
      <c r="C18" s="17" t="n">
        <v>72023373</v>
      </c>
      <c r="D18" s="17" t="n">
        <v>21408211</v>
      </c>
      <c r="E18" s="17" t="n">
        <v>14690639</v>
      </c>
      <c r="F18" s="17" t="n">
        <v>7418040</v>
      </c>
      <c r="G18" s="18" t="n">
        <v>7118922</v>
      </c>
      <c r="H18" s="17" t="n">
        <v>679207</v>
      </c>
      <c r="I18" s="17" t="n">
        <v>1749440</v>
      </c>
      <c r="J18" s="17" t="n">
        <v>813315</v>
      </c>
    </row>
    <row r="19" customFormat="false" ht="15" hidden="false" customHeight="false" outlineLevel="0" collapsed="false">
      <c r="A19" s="16" t="s">
        <v>62</v>
      </c>
      <c r="B19" s="17" t="n">
        <v>86114379</v>
      </c>
      <c r="C19" s="17" t="n">
        <v>77372538</v>
      </c>
      <c r="D19" s="17" t="n">
        <v>21745443</v>
      </c>
      <c r="E19" s="17" t="n">
        <v>14392023</v>
      </c>
      <c r="F19" s="17" t="n">
        <v>6393844</v>
      </c>
      <c r="G19" s="18" t="n">
        <v>5508150</v>
      </c>
      <c r="H19" s="17" t="n">
        <v>650836</v>
      </c>
      <c r="I19" s="17" t="n">
        <v>1429962</v>
      </c>
      <c r="J19" s="17" t="n">
        <v>836386</v>
      </c>
    </row>
    <row r="20" customFormat="false" ht="15" hidden="false" customHeight="false" outlineLevel="0" collapsed="false">
      <c r="A20" s="16" t="s">
        <v>63</v>
      </c>
      <c r="B20" s="17" t="n">
        <v>85083749</v>
      </c>
      <c r="C20" s="17" t="n">
        <v>73848070</v>
      </c>
      <c r="D20" s="17" t="n">
        <v>21461855</v>
      </c>
      <c r="E20" s="17" t="n">
        <v>13377730</v>
      </c>
      <c r="F20" s="17" t="n">
        <v>5684575</v>
      </c>
      <c r="G20" s="18" t="n">
        <v>5249984</v>
      </c>
      <c r="H20" s="17" t="n">
        <v>538151</v>
      </c>
      <c r="I20" s="17" t="n">
        <v>1193025</v>
      </c>
      <c r="J20" s="17" t="n">
        <v>799205</v>
      </c>
    </row>
    <row r="21" customFormat="false" ht="15" hidden="false" customHeight="false" outlineLevel="0" collapsed="false">
      <c r="A21" s="16" t="s">
        <v>64</v>
      </c>
      <c r="B21" s="17" t="n">
        <v>84380276</v>
      </c>
      <c r="C21" s="17" t="n">
        <v>76400660</v>
      </c>
      <c r="D21" s="17" t="n">
        <v>18950006</v>
      </c>
      <c r="E21" s="17" t="n">
        <v>13899272</v>
      </c>
      <c r="F21" s="17" t="n">
        <v>6498957</v>
      </c>
      <c r="G21" s="18" t="n">
        <v>5421101</v>
      </c>
      <c r="H21" s="17" t="n">
        <v>580978</v>
      </c>
      <c r="I21" s="17" t="n">
        <v>1093619</v>
      </c>
      <c r="J21" s="17" t="n">
        <v>714427</v>
      </c>
    </row>
    <row r="22" customFormat="false" ht="15" hidden="false" customHeight="false" outlineLevel="0" collapsed="false">
      <c r="A22" s="16" t="s">
        <v>65</v>
      </c>
      <c r="B22" s="17" t="n">
        <v>84432802</v>
      </c>
      <c r="C22" s="17" t="n">
        <v>76612939</v>
      </c>
      <c r="D22" s="17" t="n">
        <v>18492985</v>
      </c>
      <c r="E22" s="17" t="n">
        <v>12762932</v>
      </c>
      <c r="F22" s="17" t="n">
        <v>5487757</v>
      </c>
      <c r="G22" s="18" t="n">
        <v>4502448</v>
      </c>
      <c r="H22" s="17" t="n">
        <v>609157</v>
      </c>
      <c r="I22" s="17" t="n">
        <v>1024625</v>
      </c>
      <c r="J22" s="17" t="n">
        <v>690901</v>
      </c>
    </row>
    <row r="23" customFormat="false" ht="15" hidden="false" customHeight="false" outlineLevel="0" collapsed="false">
      <c r="A23" s="16" t="s">
        <v>66</v>
      </c>
      <c r="B23" s="17" t="n">
        <v>84489762</v>
      </c>
      <c r="C23" s="17" t="n">
        <v>71927755</v>
      </c>
      <c r="D23" s="17" t="n">
        <v>18999710</v>
      </c>
      <c r="E23" s="17" t="n">
        <v>14162623</v>
      </c>
      <c r="F23" s="17" t="n">
        <v>4890939</v>
      </c>
      <c r="G23" s="18" t="n">
        <v>4675554</v>
      </c>
      <c r="H23" s="17" t="n">
        <v>670828</v>
      </c>
      <c r="I23" s="17" t="n">
        <v>1080786</v>
      </c>
      <c r="J23" s="17" t="n">
        <v>670908</v>
      </c>
    </row>
    <row r="24" customFormat="false" ht="15" hidden="false" customHeight="false" outlineLevel="0" collapsed="false">
      <c r="A24" s="16" t="s">
        <v>67</v>
      </c>
      <c r="B24" s="17" t="n">
        <v>83382277</v>
      </c>
      <c r="C24" s="17" t="n">
        <v>71792297</v>
      </c>
      <c r="D24" s="17" t="n">
        <v>18724036</v>
      </c>
      <c r="E24" s="17" t="n">
        <v>12911832</v>
      </c>
      <c r="F24" s="17" t="n">
        <v>5847154</v>
      </c>
      <c r="G24" s="18" t="n">
        <v>5109084</v>
      </c>
      <c r="H24" s="17" t="n">
        <v>728656</v>
      </c>
      <c r="I24" s="17" t="n">
        <v>1067164</v>
      </c>
      <c r="J24" s="17" t="n">
        <v>771091</v>
      </c>
    </row>
    <row r="25" customFormat="false" ht="15" hidden="false" customHeight="false" outlineLevel="0" collapsed="false">
      <c r="A25" s="16" t="s">
        <v>68</v>
      </c>
      <c r="B25" s="17" t="n">
        <v>83563039</v>
      </c>
      <c r="C25" s="17" t="n">
        <v>72930989</v>
      </c>
      <c r="D25" s="17" t="n">
        <v>19514810</v>
      </c>
      <c r="E25" s="17" t="n">
        <v>12391948</v>
      </c>
      <c r="F25" s="17" t="n">
        <v>9000813</v>
      </c>
      <c r="G25" s="18" t="n">
        <v>7832356</v>
      </c>
      <c r="H25" s="17" t="n">
        <v>1436174</v>
      </c>
      <c r="I25" s="17" t="n">
        <v>1359778</v>
      </c>
      <c r="J25" s="17" t="n">
        <v>1178229</v>
      </c>
    </row>
    <row r="26" customFormat="false" ht="15" hidden="false" customHeight="false" outlineLevel="0" collapsed="false">
      <c r="A26" s="16" t="s">
        <v>69</v>
      </c>
      <c r="B26" s="17" t="n">
        <v>82514336</v>
      </c>
      <c r="C26" s="17" t="n">
        <v>75175036</v>
      </c>
      <c r="D26" s="17" t="n">
        <v>19851204</v>
      </c>
      <c r="E26" s="17" t="n">
        <v>13356577</v>
      </c>
      <c r="F26" s="17" t="n">
        <v>8009807</v>
      </c>
      <c r="G26" s="18" t="n">
        <v>7330956</v>
      </c>
      <c r="H26" s="17" t="n">
        <v>1712813</v>
      </c>
      <c r="I26" s="17" t="n">
        <v>1519877</v>
      </c>
      <c r="J26" s="17" t="n">
        <v>1287840</v>
      </c>
    </row>
    <row r="27" customFormat="false" ht="15" hidden="false" customHeight="false" outlineLevel="0" collapsed="false">
      <c r="A27" s="16" t="s">
        <v>70</v>
      </c>
      <c r="B27" s="17" t="n">
        <v>82064624</v>
      </c>
      <c r="C27" s="17" t="n">
        <v>74766772</v>
      </c>
      <c r="D27" s="17" t="n">
        <v>18823950</v>
      </c>
      <c r="E27" s="17" t="n">
        <v>13139789</v>
      </c>
      <c r="F27" s="17" t="n">
        <v>8706918</v>
      </c>
      <c r="G27" s="18" t="n">
        <v>7477314</v>
      </c>
      <c r="H27" s="17" t="n">
        <v>2432126</v>
      </c>
      <c r="I27" s="17" t="n">
        <v>1433909</v>
      </c>
      <c r="J27" s="17" t="n">
        <v>1008733</v>
      </c>
    </row>
    <row r="28" customFormat="false" ht="15" hidden="false" customHeight="false" outlineLevel="0" collapsed="false">
      <c r="A28" s="16" t="s">
        <v>71</v>
      </c>
      <c r="B28" s="17" t="n">
        <v>82205567</v>
      </c>
      <c r="C28" s="17" t="n">
        <v>77262270</v>
      </c>
      <c r="D28" s="17" t="n">
        <v>18605771</v>
      </c>
      <c r="E28" s="17" t="n">
        <v>11304213</v>
      </c>
      <c r="F28" s="17" t="n">
        <v>7986868</v>
      </c>
      <c r="G28" s="18" t="n">
        <v>7737388</v>
      </c>
      <c r="H28" s="17" t="n">
        <v>3129671</v>
      </c>
      <c r="I28" s="17" t="n">
        <v>1586650</v>
      </c>
      <c r="J28" s="17" t="n">
        <v>804041</v>
      </c>
    </row>
    <row r="29" customFormat="false" ht="15" hidden="false" customHeight="false" outlineLevel="0" collapsed="false">
      <c r="A29" s="16" t="s">
        <v>72</v>
      </c>
      <c r="B29" s="17" t="n">
        <v>80832611</v>
      </c>
      <c r="C29" s="17" t="n">
        <v>75982430</v>
      </c>
      <c r="D29" s="17" t="n">
        <v>19605755</v>
      </c>
      <c r="E29" s="17" t="n">
        <v>11387181</v>
      </c>
      <c r="F29" s="17" t="n">
        <v>7563090</v>
      </c>
      <c r="G29" s="18" t="n">
        <v>8039581</v>
      </c>
      <c r="H29" s="17" t="n">
        <v>5004980</v>
      </c>
      <c r="I29" s="17" t="n">
        <v>1563358</v>
      </c>
      <c r="J29" s="17" t="n">
        <v>818583</v>
      </c>
    </row>
    <row r="30" customFormat="false" ht="15" hidden="false" customHeight="false" outlineLevel="0" collapsed="false">
      <c r="A30" s="16" t="s">
        <v>73</v>
      </c>
      <c r="B30" s="17" t="n">
        <v>81143160</v>
      </c>
      <c r="C30" s="17" t="n">
        <v>75350917</v>
      </c>
      <c r="D30" s="17" t="n">
        <v>18961116</v>
      </c>
      <c r="E30" s="17" t="n">
        <v>11442269</v>
      </c>
      <c r="F30" s="17" t="n">
        <v>6626278</v>
      </c>
      <c r="G30" s="18" t="n">
        <v>6809458</v>
      </c>
      <c r="H30" s="17" t="n">
        <v>4951023</v>
      </c>
      <c r="I30" s="17" t="n">
        <v>1383146</v>
      </c>
      <c r="J30" s="17" t="n">
        <v>782956</v>
      </c>
    </row>
    <row r="31" customFormat="false" ht="15" hidden="false" customHeight="false" outlineLevel="0" collapsed="false">
      <c r="A31" s="16" t="s">
        <v>74</v>
      </c>
      <c r="B31" s="17" t="n">
        <v>80734317</v>
      </c>
      <c r="C31" s="17" t="n">
        <v>78572085</v>
      </c>
      <c r="D31" s="17" t="n">
        <v>17805882</v>
      </c>
      <c r="E31" s="17" t="n">
        <v>10668627</v>
      </c>
      <c r="F31" s="17" t="n">
        <v>5283874</v>
      </c>
      <c r="G31" s="18" t="n">
        <v>4908174</v>
      </c>
      <c r="H31" s="17" t="n">
        <v>4844829</v>
      </c>
      <c r="I31" s="17" t="n">
        <v>1207300</v>
      </c>
      <c r="J31" s="17" t="n">
        <v>674620</v>
      </c>
    </row>
    <row r="32" customFormat="false" ht="15" hidden="false" customHeight="false" outlineLevel="0" collapsed="false">
      <c r="A32" s="16" t="s">
        <v>75</v>
      </c>
      <c r="B32" s="17" t="n">
        <v>78712942</v>
      </c>
      <c r="C32" s="17" t="n">
        <v>73688663</v>
      </c>
      <c r="D32" s="17" t="n">
        <v>17855882</v>
      </c>
      <c r="E32" s="17" t="n">
        <v>9756435</v>
      </c>
      <c r="F32" s="17" t="n">
        <v>4910021</v>
      </c>
      <c r="G32" s="18" t="n">
        <v>4956880</v>
      </c>
      <c r="H32" s="17" t="n">
        <v>4543440</v>
      </c>
      <c r="I32" s="17" t="n">
        <v>950354</v>
      </c>
      <c r="J32" s="17" t="n">
        <v>670739</v>
      </c>
    </row>
    <row r="33" customFormat="false" ht="15" hidden="false" customHeight="false" outlineLevel="0" collapsed="false">
      <c r="A33" s="16" t="s">
        <v>76</v>
      </c>
      <c r="B33" s="17" t="n">
        <v>79397248</v>
      </c>
      <c r="C33" s="17" t="n">
        <v>73763487</v>
      </c>
      <c r="D33" s="17" t="n">
        <v>17906679</v>
      </c>
      <c r="E33" s="17" t="n">
        <v>9753093</v>
      </c>
      <c r="F33" s="17" t="n">
        <v>4904902</v>
      </c>
      <c r="G33" s="18" t="n">
        <v>4960044</v>
      </c>
      <c r="H33" s="17" t="n">
        <v>4558343</v>
      </c>
      <c r="I33" s="17" t="n">
        <v>952958</v>
      </c>
      <c r="J33" s="17" t="n">
        <v>687105</v>
      </c>
    </row>
    <row r="35" customFormat="false" ht="15" hidden="false" customHeight="false" outlineLevel="0" collapsed="false">
      <c r="A35" s="19" t="s">
        <v>77</v>
      </c>
      <c r="B35" s="19"/>
      <c r="C35" s="19"/>
      <c r="D35" s="19"/>
      <c r="E35" s="19"/>
      <c r="F35" s="19"/>
      <c r="G35" s="19"/>
      <c r="H35" s="19"/>
      <c r="I35" s="19"/>
      <c r="J35" s="19"/>
    </row>
  </sheetData>
  <mergeCells count="1"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4" t="s">
        <v>78</v>
      </c>
    </row>
    <row r="2" customFormat="false" ht="15" hidden="false" customHeight="false" outlineLevel="0" collapsed="false">
      <c r="A2" s="3" t="s">
        <v>37</v>
      </c>
    </row>
    <row r="4" customFormat="false" ht="15" hidden="false" customHeight="false" outlineLevel="0" collapsed="false">
      <c r="A4" s="15" t="s">
        <v>38</v>
      </c>
      <c r="B4" s="15" t="s">
        <v>39</v>
      </c>
      <c r="C4" s="15" t="s">
        <v>40</v>
      </c>
      <c r="D4" s="15" t="s">
        <v>41</v>
      </c>
      <c r="E4" s="15" t="s">
        <v>42</v>
      </c>
      <c r="F4" s="15" t="s">
        <v>43</v>
      </c>
      <c r="G4" s="15" t="s">
        <v>44</v>
      </c>
      <c r="H4" s="15" t="s">
        <v>45</v>
      </c>
      <c r="I4" s="15" t="s">
        <v>46</v>
      </c>
      <c r="J4" s="15" t="s">
        <v>47</v>
      </c>
    </row>
    <row r="5" customFormat="false" ht="15" hidden="false" customHeight="false" outlineLevel="0" collapsed="false">
      <c r="A5" s="16" t="s">
        <v>48</v>
      </c>
      <c r="B5" s="17" t="n">
        <v>2070734</v>
      </c>
      <c r="C5" s="17" t="n">
        <v>1732903</v>
      </c>
      <c r="D5" s="17" t="n">
        <v>374525</v>
      </c>
      <c r="E5" s="17" t="n">
        <v>254246</v>
      </c>
      <c r="F5" s="17" t="n">
        <v>760129</v>
      </c>
      <c r="G5" s="18" t="n">
        <v>648725</v>
      </c>
      <c r="H5" s="20"/>
      <c r="I5" s="17" t="n">
        <v>357728</v>
      </c>
      <c r="J5" s="17" t="n">
        <v>84726</v>
      </c>
    </row>
    <row r="6" customFormat="false" ht="15" hidden="false" customHeight="false" outlineLevel="0" collapsed="false">
      <c r="A6" s="16" t="s">
        <v>49</v>
      </c>
      <c r="B6" s="17" t="n">
        <v>1980183</v>
      </c>
      <c r="C6" s="17" t="n">
        <v>1563176</v>
      </c>
      <c r="D6" s="17" t="n">
        <v>374540</v>
      </c>
      <c r="E6" s="17" t="n">
        <v>250286</v>
      </c>
      <c r="F6" s="17" t="n">
        <v>686479</v>
      </c>
      <c r="G6" s="18" t="n">
        <v>743560</v>
      </c>
      <c r="H6" s="20"/>
      <c r="I6" s="17" t="n">
        <v>341549</v>
      </c>
      <c r="J6" s="17" t="n">
        <v>132413</v>
      </c>
    </row>
    <row r="7" customFormat="false" ht="15" hidden="false" customHeight="false" outlineLevel="0" collapsed="false">
      <c r="A7" s="16" t="s">
        <v>50</v>
      </c>
      <c r="B7" s="17" t="n">
        <v>2075982</v>
      </c>
      <c r="C7" s="17" t="n">
        <v>1847151</v>
      </c>
      <c r="D7" s="17" t="n">
        <v>550519</v>
      </c>
      <c r="E7" s="17" t="n">
        <v>508395</v>
      </c>
      <c r="F7" s="17" t="n">
        <v>828130</v>
      </c>
      <c r="G7" s="18" t="n">
        <v>559063</v>
      </c>
      <c r="H7" s="17" t="n">
        <v>9596</v>
      </c>
      <c r="I7" s="17" t="n">
        <v>329145</v>
      </c>
      <c r="J7" s="17" t="n">
        <v>206444</v>
      </c>
    </row>
    <row r="8" customFormat="false" ht="15" hidden="false" customHeight="false" outlineLevel="0" collapsed="false">
      <c r="A8" s="16" t="s">
        <v>51</v>
      </c>
      <c r="B8" s="17" t="n">
        <v>2010416</v>
      </c>
      <c r="C8" s="17" t="n">
        <v>1479941</v>
      </c>
      <c r="D8" s="17" t="n">
        <v>346102</v>
      </c>
      <c r="E8" s="17" t="n">
        <v>326324</v>
      </c>
      <c r="F8" s="17" t="n">
        <v>529936</v>
      </c>
      <c r="G8" s="18" t="n">
        <v>411472</v>
      </c>
      <c r="H8" s="17" t="n">
        <v>13850</v>
      </c>
      <c r="I8" s="17" t="n">
        <v>209967</v>
      </c>
      <c r="J8" s="17" t="n">
        <v>186561</v>
      </c>
    </row>
    <row r="9" customFormat="false" ht="15" hidden="false" customHeight="false" outlineLevel="0" collapsed="false">
      <c r="A9" s="16" t="s">
        <v>52</v>
      </c>
      <c r="B9" s="17" t="n">
        <v>2066788</v>
      </c>
      <c r="C9" s="17" t="n">
        <v>1558530</v>
      </c>
      <c r="D9" s="17" t="n">
        <v>416139</v>
      </c>
      <c r="E9" s="17" t="n">
        <v>454644</v>
      </c>
      <c r="F9" s="17" t="n">
        <v>448638</v>
      </c>
      <c r="G9" s="18" t="n">
        <v>317698</v>
      </c>
      <c r="H9" s="17" t="n">
        <v>20902</v>
      </c>
      <c r="I9" s="17" t="n">
        <v>121810</v>
      </c>
      <c r="J9" s="17" t="n">
        <v>142985</v>
      </c>
    </row>
    <row r="10" customFormat="false" ht="15" hidden="false" customHeight="false" outlineLevel="0" collapsed="false">
      <c r="A10" s="16" t="s">
        <v>53</v>
      </c>
      <c r="B10" s="17" t="n">
        <v>2019157</v>
      </c>
      <c r="C10" s="17" t="n">
        <v>1608290</v>
      </c>
      <c r="D10" s="17" t="n">
        <v>356264</v>
      </c>
      <c r="E10" s="17" t="n">
        <v>401645</v>
      </c>
      <c r="F10" s="17" t="n">
        <v>272689</v>
      </c>
      <c r="G10" s="18" t="n">
        <v>247206</v>
      </c>
      <c r="H10" s="17" t="n">
        <v>31903</v>
      </c>
      <c r="I10" s="17" t="n">
        <v>98385</v>
      </c>
      <c r="J10" s="17" t="n">
        <v>131849</v>
      </c>
    </row>
    <row r="11" customFormat="false" ht="15" hidden="false" customHeight="false" outlineLevel="0" collapsed="false">
      <c r="A11" s="16" t="s">
        <v>54</v>
      </c>
      <c r="B11" s="17" t="n">
        <v>2118773</v>
      </c>
      <c r="C11" s="17" t="n">
        <v>1632082</v>
      </c>
      <c r="D11" s="17" t="n">
        <v>323635</v>
      </c>
      <c r="E11" s="17" t="n">
        <v>488607</v>
      </c>
      <c r="F11" s="17" t="n">
        <v>195134</v>
      </c>
      <c r="G11" s="18" t="n">
        <v>201889</v>
      </c>
      <c r="H11" s="17" t="n">
        <v>27067</v>
      </c>
      <c r="I11" s="17" t="n">
        <v>89110</v>
      </c>
      <c r="J11" s="17" t="n">
        <v>125835</v>
      </c>
    </row>
    <row r="12" customFormat="false" ht="15" hidden="false" customHeight="false" outlineLevel="0" collapsed="false">
      <c r="A12" s="16" t="s">
        <v>55</v>
      </c>
      <c r="B12" s="17" t="n">
        <v>2057395</v>
      </c>
      <c r="C12" s="17" t="n">
        <v>1628267</v>
      </c>
      <c r="D12" s="17" t="n">
        <v>373670</v>
      </c>
      <c r="E12" s="17" t="n">
        <v>368920</v>
      </c>
      <c r="F12" s="17" t="n">
        <v>271035</v>
      </c>
      <c r="G12" s="18" t="n">
        <v>287154</v>
      </c>
      <c r="H12" s="17" t="n">
        <v>8605</v>
      </c>
      <c r="I12" s="17" t="n">
        <v>109375</v>
      </c>
      <c r="J12" s="17" t="n">
        <v>171555</v>
      </c>
    </row>
    <row r="13" customFormat="false" ht="15" hidden="false" customHeight="false" outlineLevel="0" collapsed="false">
      <c r="A13" s="16" t="s">
        <v>56</v>
      </c>
      <c r="B13" s="17" t="n">
        <v>1860087</v>
      </c>
      <c r="C13" s="17" t="n">
        <v>1541529</v>
      </c>
      <c r="D13" s="17" t="n">
        <v>291959</v>
      </c>
      <c r="E13" s="17" t="n">
        <v>221815</v>
      </c>
      <c r="F13" s="17" t="n">
        <v>940404</v>
      </c>
      <c r="G13" s="18" t="n">
        <v>876701</v>
      </c>
      <c r="H13" s="17" t="n">
        <v>12329</v>
      </c>
      <c r="I13" s="17" t="n">
        <v>226999</v>
      </c>
      <c r="J13" s="17" t="n">
        <v>247594</v>
      </c>
    </row>
    <row r="14" customFormat="false" ht="15" hidden="false" customHeight="false" outlineLevel="0" collapsed="false">
      <c r="A14" s="16" t="s">
        <v>57</v>
      </c>
      <c r="B14" s="17" t="n">
        <v>1957791</v>
      </c>
      <c r="C14" s="17" t="n">
        <v>1580759</v>
      </c>
      <c r="D14" s="17" t="n">
        <v>333078</v>
      </c>
      <c r="E14" s="17" t="n">
        <v>230349</v>
      </c>
      <c r="F14" s="17" t="n">
        <v>676688</v>
      </c>
      <c r="G14" s="18" t="n">
        <v>560893</v>
      </c>
      <c r="H14" s="17" t="n">
        <v>576508</v>
      </c>
      <c r="I14" s="17" t="n">
        <v>218652</v>
      </c>
      <c r="J14" s="17" t="n">
        <v>203192</v>
      </c>
    </row>
    <row r="15" customFormat="false" ht="15" hidden="false" customHeight="false" outlineLevel="0" collapsed="false">
      <c r="A15" s="16" t="s">
        <v>58</v>
      </c>
      <c r="B15" s="17" t="n">
        <v>1844503</v>
      </c>
      <c r="C15" s="17" t="n">
        <v>1519571</v>
      </c>
      <c r="D15" s="17" t="n">
        <v>871814</v>
      </c>
      <c r="E15" s="17" t="n">
        <v>1080423</v>
      </c>
      <c r="F15" s="17" t="n">
        <v>694726</v>
      </c>
      <c r="G15" s="18" t="n">
        <v>875079</v>
      </c>
      <c r="H15" s="17" t="n">
        <v>638772</v>
      </c>
      <c r="I15" s="17" t="n">
        <v>243439</v>
      </c>
      <c r="J15" s="17" t="n">
        <v>209103</v>
      </c>
    </row>
    <row r="16" customFormat="false" ht="15" hidden="false" customHeight="false" outlineLevel="0" collapsed="false">
      <c r="A16" s="16" t="s">
        <v>59</v>
      </c>
      <c r="B16" s="17" t="n">
        <v>2183936</v>
      </c>
      <c r="C16" s="17" t="n">
        <v>1709109</v>
      </c>
      <c r="D16" s="17" t="n">
        <v>803210</v>
      </c>
      <c r="E16" s="17" t="n">
        <v>1124091</v>
      </c>
      <c r="F16" s="17" t="n">
        <v>528840</v>
      </c>
      <c r="G16" s="18" t="n">
        <v>442060</v>
      </c>
      <c r="H16" s="17" t="n">
        <v>37086</v>
      </c>
      <c r="I16" s="17" t="n">
        <v>167764</v>
      </c>
      <c r="J16" s="17" t="n">
        <v>220390</v>
      </c>
    </row>
    <row r="17" customFormat="false" ht="15" hidden="false" customHeight="false" outlineLevel="0" collapsed="false">
      <c r="A17" s="16" t="s">
        <v>60</v>
      </c>
      <c r="B17" s="17" t="n">
        <v>2119662</v>
      </c>
      <c r="C17" s="17" t="n">
        <v>1697673</v>
      </c>
      <c r="D17" s="17" t="n">
        <v>788082</v>
      </c>
      <c r="E17" s="17" t="n">
        <v>1159093</v>
      </c>
      <c r="F17" s="17" t="n">
        <v>646213</v>
      </c>
      <c r="G17" s="18" t="n">
        <v>565814</v>
      </c>
      <c r="H17" s="17" t="n">
        <v>81540</v>
      </c>
      <c r="I17" s="17" t="n">
        <v>193100</v>
      </c>
      <c r="J17" s="17" t="n">
        <v>189086</v>
      </c>
    </row>
    <row r="18" customFormat="false" ht="15" hidden="false" customHeight="false" outlineLevel="0" collapsed="false">
      <c r="A18" s="16" t="s">
        <v>61</v>
      </c>
      <c r="B18" s="17" t="n">
        <v>1728550</v>
      </c>
      <c r="C18" s="17" t="n">
        <v>1374728</v>
      </c>
      <c r="D18" s="17" t="n">
        <v>432718</v>
      </c>
      <c r="E18" s="17" t="n">
        <v>837679</v>
      </c>
      <c r="F18" s="17" t="n">
        <v>679812</v>
      </c>
      <c r="G18" s="18" t="n">
        <v>668541</v>
      </c>
      <c r="H18" s="17" t="n">
        <v>90320</v>
      </c>
      <c r="I18" s="17" t="n">
        <v>173613</v>
      </c>
      <c r="J18" s="17" t="n">
        <v>150848</v>
      </c>
    </row>
    <row r="19" customFormat="false" ht="15" hidden="false" customHeight="false" outlineLevel="0" collapsed="false">
      <c r="A19" s="16" t="s">
        <v>62</v>
      </c>
      <c r="B19" s="17" t="n">
        <v>1950195</v>
      </c>
      <c r="C19" s="17" t="n">
        <v>1491634</v>
      </c>
      <c r="D19" s="17" t="n">
        <v>468736</v>
      </c>
      <c r="E19" s="17" t="n">
        <v>490016</v>
      </c>
      <c r="F19" s="17" t="n">
        <v>323468</v>
      </c>
      <c r="G19" s="18" t="n">
        <v>282752</v>
      </c>
      <c r="H19" s="17" t="n">
        <v>39761</v>
      </c>
      <c r="I19" s="17" t="n">
        <v>133389</v>
      </c>
      <c r="J19" s="17" t="n">
        <v>199780</v>
      </c>
    </row>
    <row r="20" customFormat="false" ht="15" hidden="false" customHeight="false" outlineLevel="0" collapsed="false">
      <c r="A20" s="16" t="s">
        <v>63</v>
      </c>
      <c r="B20" s="17" t="n">
        <v>1951435</v>
      </c>
      <c r="C20" s="17" t="n">
        <v>1372075</v>
      </c>
      <c r="D20" s="17" t="n">
        <v>565974</v>
      </c>
      <c r="E20" s="17" t="n">
        <v>438008</v>
      </c>
      <c r="F20" s="17" t="n">
        <v>286099</v>
      </c>
      <c r="G20" s="18" t="n">
        <v>247189</v>
      </c>
      <c r="H20" s="17" t="n">
        <v>80534</v>
      </c>
      <c r="I20" s="17" t="n">
        <v>113596</v>
      </c>
      <c r="J20" s="17" t="n">
        <v>176865</v>
      </c>
    </row>
    <row r="21" customFormat="false" ht="15" hidden="false" customHeight="false" outlineLevel="0" collapsed="false">
      <c r="A21" s="16" t="s">
        <v>64</v>
      </c>
      <c r="B21" s="17" t="n">
        <v>1893357</v>
      </c>
      <c r="C21" s="17" t="n">
        <v>1435027</v>
      </c>
      <c r="D21" s="17" t="n">
        <v>407882</v>
      </c>
      <c r="E21" s="17" t="n">
        <v>458260</v>
      </c>
      <c r="F21" s="17" t="n">
        <v>346546</v>
      </c>
      <c r="G21" s="18" t="n">
        <v>292989</v>
      </c>
      <c r="H21" s="17" t="n">
        <v>77835</v>
      </c>
      <c r="I21" s="17" t="n">
        <v>110939</v>
      </c>
      <c r="J21" s="17" t="n">
        <v>166224</v>
      </c>
    </row>
    <row r="22" customFormat="false" ht="15" hidden="false" customHeight="false" outlineLevel="0" collapsed="false">
      <c r="A22" s="16" t="s">
        <v>65</v>
      </c>
      <c r="B22" s="17" t="n">
        <v>1898153</v>
      </c>
      <c r="C22" s="17" t="n">
        <v>1493826</v>
      </c>
      <c r="D22" s="17" t="n">
        <v>329540</v>
      </c>
      <c r="E22" s="17" t="n">
        <v>366486</v>
      </c>
      <c r="F22" s="17" t="n">
        <v>223491</v>
      </c>
      <c r="G22" s="18" t="n">
        <v>221934</v>
      </c>
      <c r="H22" s="17" t="n">
        <v>137291</v>
      </c>
      <c r="I22" s="17" t="n">
        <v>87837</v>
      </c>
      <c r="J22" s="17" t="n">
        <v>120710</v>
      </c>
    </row>
    <row r="23" customFormat="false" ht="15" hidden="false" customHeight="false" outlineLevel="0" collapsed="false">
      <c r="A23" s="16" t="s">
        <v>66</v>
      </c>
      <c r="B23" s="17" t="n">
        <v>1995116</v>
      </c>
      <c r="C23" s="17" t="n">
        <v>1507604</v>
      </c>
      <c r="D23" s="17" t="n">
        <v>539644</v>
      </c>
      <c r="E23" s="17" t="n">
        <v>634593</v>
      </c>
      <c r="F23" s="17" t="n">
        <v>208632</v>
      </c>
      <c r="G23" s="18" t="n">
        <v>191952</v>
      </c>
      <c r="H23" s="17" t="n">
        <v>168484</v>
      </c>
      <c r="I23" s="17" t="n">
        <v>80033</v>
      </c>
      <c r="J23" s="17" t="n">
        <v>97254</v>
      </c>
    </row>
    <row r="24" customFormat="false" ht="15" hidden="false" customHeight="false" outlineLevel="0" collapsed="false">
      <c r="A24" s="16" t="s">
        <v>67</v>
      </c>
      <c r="B24" s="17" t="n">
        <v>1896917</v>
      </c>
      <c r="C24" s="17" t="n">
        <v>1594358</v>
      </c>
      <c r="D24" s="17" t="n">
        <v>506918</v>
      </c>
      <c r="E24" s="17" t="n">
        <v>443493</v>
      </c>
      <c r="F24" s="17" t="n">
        <v>318013</v>
      </c>
      <c r="G24" s="18" t="n">
        <v>272099</v>
      </c>
      <c r="H24" s="17" t="n">
        <v>124543</v>
      </c>
      <c r="I24" s="17" t="n">
        <v>93697</v>
      </c>
      <c r="J24" s="17" t="n">
        <v>132728</v>
      </c>
    </row>
    <row r="25" customFormat="false" ht="15" hidden="false" customHeight="false" outlineLevel="0" collapsed="false">
      <c r="A25" s="16" t="s">
        <v>68</v>
      </c>
      <c r="B25" s="17" t="n">
        <v>1905501</v>
      </c>
      <c r="C25" s="17" t="n">
        <v>1614719</v>
      </c>
      <c r="D25" s="17" t="n">
        <v>542892</v>
      </c>
      <c r="E25" s="17" t="n">
        <v>427087</v>
      </c>
      <c r="F25" s="17" t="n">
        <v>862784</v>
      </c>
      <c r="G25" s="18" t="n">
        <v>912915</v>
      </c>
      <c r="H25" s="17" t="n">
        <v>424688</v>
      </c>
      <c r="I25" s="17" t="n">
        <v>191581</v>
      </c>
      <c r="J25" s="17" t="n">
        <v>386720</v>
      </c>
    </row>
    <row r="26" customFormat="false" ht="15" hidden="false" customHeight="false" outlineLevel="0" collapsed="false">
      <c r="A26" s="16" t="s">
        <v>69</v>
      </c>
      <c r="B26" s="17" t="n">
        <v>1881522</v>
      </c>
      <c r="C26" s="17" t="n">
        <v>1546040</v>
      </c>
      <c r="D26" s="17" t="n">
        <v>599895</v>
      </c>
      <c r="E26" s="17" t="n">
        <v>460039</v>
      </c>
      <c r="F26" s="17" t="n">
        <v>680722</v>
      </c>
      <c r="G26" s="18" t="n">
        <v>501055</v>
      </c>
      <c r="H26" s="17" t="n">
        <v>640775</v>
      </c>
      <c r="I26" s="17" t="n">
        <v>162090</v>
      </c>
      <c r="J26" s="17" t="n">
        <v>283855</v>
      </c>
    </row>
    <row r="27" customFormat="false" ht="15" hidden="false" customHeight="false" outlineLevel="0" collapsed="false">
      <c r="A27" s="16" t="s">
        <v>70</v>
      </c>
      <c r="B27" s="17" t="n">
        <v>1701864</v>
      </c>
      <c r="C27" s="17" t="n">
        <v>1394641</v>
      </c>
      <c r="D27" s="17" t="n">
        <v>481246</v>
      </c>
      <c r="E27" s="17" t="n">
        <v>449895</v>
      </c>
      <c r="F27" s="17" t="n">
        <v>535818</v>
      </c>
      <c r="G27" s="18" t="n">
        <v>415712</v>
      </c>
      <c r="H27" s="17" t="n">
        <v>806461</v>
      </c>
      <c r="I27" s="17" t="n">
        <v>158935</v>
      </c>
      <c r="J27" s="17" t="n">
        <v>221458</v>
      </c>
    </row>
    <row r="28" customFormat="false" ht="15" hidden="false" customHeight="false" outlineLevel="0" collapsed="false">
      <c r="A28" s="16" t="s">
        <v>71</v>
      </c>
      <c r="B28" s="17" t="n">
        <v>1793531</v>
      </c>
      <c r="C28" s="17" t="n">
        <v>1496726</v>
      </c>
      <c r="D28" s="17" t="n">
        <v>430838</v>
      </c>
      <c r="E28" s="17" t="n">
        <v>308207</v>
      </c>
      <c r="F28" s="17" t="n">
        <v>554026</v>
      </c>
      <c r="G28" s="18" t="n">
        <v>645033</v>
      </c>
      <c r="H28" s="17" t="n">
        <v>1299261</v>
      </c>
      <c r="I28" s="17" t="n">
        <v>176880</v>
      </c>
      <c r="J28" s="17" t="n">
        <v>250765</v>
      </c>
    </row>
    <row r="29" customFormat="false" ht="15" hidden="false" customHeight="false" outlineLevel="0" collapsed="false">
      <c r="A29" s="16" t="s">
        <v>72</v>
      </c>
      <c r="B29" s="17" t="n">
        <v>1719556</v>
      </c>
      <c r="C29" s="17" t="n">
        <v>1492124</v>
      </c>
      <c r="D29" s="17" t="n">
        <v>559257</v>
      </c>
      <c r="E29" s="17" t="n">
        <v>356614</v>
      </c>
      <c r="F29" s="17" t="n">
        <v>458288</v>
      </c>
      <c r="G29" s="18" t="n">
        <v>497858</v>
      </c>
      <c r="H29" s="17" t="n">
        <v>1907950</v>
      </c>
      <c r="I29" s="17" t="n">
        <v>165780</v>
      </c>
      <c r="J29" s="17" t="n">
        <v>222532</v>
      </c>
    </row>
    <row r="30" customFormat="false" ht="15" hidden="false" customHeight="false" outlineLevel="0" collapsed="false">
      <c r="A30" s="16" t="s">
        <v>73</v>
      </c>
      <c r="B30" s="17" t="n">
        <v>1586486</v>
      </c>
      <c r="C30" s="17" t="n">
        <v>1363644</v>
      </c>
      <c r="D30" s="17" t="n">
        <v>418982</v>
      </c>
      <c r="E30" s="17" t="n">
        <v>313597</v>
      </c>
      <c r="F30" s="17" t="n">
        <v>334596</v>
      </c>
      <c r="G30" s="18" t="n">
        <v>482921</v>
      </c>
      <c r="H30" s="17" t="n">
        <v>1213855</v>
      </c>
      <c r="I30" s="17" t="n">
        <v>118074</v>
      </c>
      <c r="J30" s="17" t="n">
        <v>199059</v>
      </c>
    </row>
    <row r="31" customFormat="false" ht="15" hidden="false" customHeight="false" outlineLevel="0" collapsed="false">
      <c r="A31" s="16" t="s">
        <v>74</v>
      </c>
      <c r="B31" s="17" t="n">
        <v>1830218</v>
      </c>
      <c r="C31" s="17" t="n">
        <v>1530281</v>
      </c>
      <c r="D31" s="17" t="n">
        <v>381948</v>
      </c>
      <c r="E31" s="17" t="n">
        <v>315938</v>
      </c>
      <c r="F31" s="17" t="n">
        <v>250540</v>
      </c>
      <c r="G31" s="18" t="n">
        <v>268839</v>
      </c>
      <c r="H31" s="17" t="n">
        <v>950056</v>
      </c>
      <c r="I31" s="17" t="n">
        <v>105535</v>
      </c>
      <c r="J31" s="17" t="n">
        <v>221906</v>
      </c>
    </row>
    <row r="32" customFormat="false" ht="15" hidden="false" customHeight="false" outlineLevel="0" collapsed="false">
      <c r="A32" s="16" t="s">
        <v>75</v>
      </c>
      <c r="B32" s="17" t="n">
        <v>1567709</v>
      </c>
      <c r="C32" s="17" t="n">
        <v>1354114</v>
      </c>
      <c r="D32" s="17" t="n">
        <v>363693</v>
      </c>
      <c r="E32" s="17" t="n">
        <v>259424</v>
      </c>
      <c r="F32" s="17" t="n">
        <v>263941</v>
      </c>
      <c r="G32" s="18" t="n">
        <v>254463</v>
      </c>
      <c r="H32" s="17" t="n">
        <v>779969</v>
      </c>
      <c r="I32" s="17" t="n">
        <v>85072</v>
      </c>
      <c r="J32" s="17" t="n">
        <v>214127</v>
      </c>
    </row>
    <row r="33" customFormat="false" ht="15" hidden="false" customHeight="false" outlineLevel="0" collapsed="false">
      <c r="A33" s="16" t="s">
        <v>76</v>
      </c>
      <c r="B33" s="17" t="n">
        <v>338640</v>
      </c>
      <c r="C33" s="17" t="n">
        <v>311910</v>
      </c>
      <c r="D33" s="17" t="n">
        <v>101702</v>
      </c>
      <c r="E33" s="17" t="n">
        <v>58776</v>
      </c>
      <c r="F33" s="17" t="n">
        <v>88200</v>
      </c>
      <c r="G33" s="18" t="n">
        <v>92628</v>
      </c>
      <c r="H33" s="17" t="n">
        <v>210426</v>
      </c>
      <c r="I33" s="17" t="n">
        <v>26631</v>
      </c>
      <c r="J33" s="17" t="n">
        <v>39023</v>
      </c>
    </row>
    <row r="35" customFormat="false" ht="15" hidden="false" customHeight="false" outlineLevel="0" collapsed="false">
      <c r="A35" s="19" t="s">
        <v>79</v>
      </c>
      <c r="B35" s="19"/>
      <c r="C35" s="19"/>
      <c r="D35" s="19"/>
      <c r="E35" s="19"/>
      <c r="F35" s="19"/>
      <c r="G35" s="19"/>
      <c r="H35" s="19"/>
      <c r="I35" s="19"/>
      <c r="J35" s="19"/>
    </row>
    <row r="36" customFormat="false" ht="15" hidden="false" customHeight="false" outlineLevel="0" collapsed="false">
      <c r="A36" s="13" t="s">
        <v>80</v>
      </c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2">
    <mergeCell ref="A35:J35"/>
    <mergeCell ref="A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1"/>
    <col collapsed="false" customWidth="true" hidden="false" outlineLevel="0" max="12" min="12" style="0" width="2"/>
    <col collapsed="false" customWidth="true" hidden="false" outlineLevel="0" max="13" min="13" style="0" width="38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4" t="s">
        <v>81</v>
      </c>
    </row>
    <row r="2" customFormat="false" ht="15" hidden="false" customHeight="false" outlineLevel="0" collapsed="false">
      <c r="A2" s="3" t="s">
        <v>82</v>
      </c>
    </row>
    <row r="4" customFormat="false" ht="15" hidden="false" customHeight="false" outlineLevel="0" collapsed="false">
      <c r="A4" s="15" t="s">
        <v>38</v>
      </c>
      <c r="B4" s="15" t="s">
        <v>44</v>
      </c>
      <c r="C4" s="15" t="s">
        <v>43</v>
      </c>
      <c r="D4" s="15" t="s">
        <v>46</v>
      </c>
      <c r="E4" s="15" t="s">
        <v>47</v>
      </c>
      <c r="F4" s="15" t="s">
        <v>41</v>
      </c>
      <c r="G4" s="15" t="s">
        <v>42</v>
      </c>
      <c r="H4" s="15" t="s">
        <v>39</v>
      </c>
      <c r="I4" s="15" t="s">
        <v>40</v>
      </c>
      <c r="J4" s="15" t="s">
        <v>45</v>
      </c>
      <c r="M4" s="21" t="s">
        <v>83</v>
      </c>
      <c r="N4" s="21"/>
    </row>
    <row r="5" customFormat="false" ht="15" hidden="false" customHeight="false" outlineLevel="0" collapsed="false">
      <c r="A5" s="22" t="str">
        <f aca="false">'MAU Data'!A17</f>
        <v>2025-01</v>
      </c>
      <c r="B5" s="23" t="n">
        <f aca="false">IFERROR('MAU Data'!G17/'MAU Data'!G5-1,"")</f>
        <v>0.45244982440828</v>
      </c>
      <c r="C5" s="24" t="n">
        <f aca="false">IFERROR('MAU Data'!F17/'MAU Data'!F5-1,"")</f>
        <v>0.370423648743714</v>
      </c>
      <c r="D5" s="24" t="n">
        <f aca="false">IFERROR('MAU Data'!I17/'MAU Data'!I5-1,"")</f>
        <v>0.309479882266503</v>
      </c>
      <c r="E5" s="24" t="n">
        <f aca="false">IFERROR('MAU Data'!J17/'MAU Data'!J5-1,"")</f>
        <v>3.46546415742807</v>
      </c>
      <c r="F5" s="24" t="n">
        <f aca="false">IFERROR('MAU Data'!D17/'MAU Data'!D5-1,"")</f>
        <v>0.216062950457881</v>
      </c>
      <c r="G5" s="24" t="n">
        <f aca="false">IFERROR('MAU Data'!E17/'MAU Data'!E5-1,"")</f>
        <v>0.426459613943397</v>
      </c>
      <c r="H5" s="24" t="n">
        <f aca="false">IFERROR('MAU Data'!B17/'MAU Data'!B5-1,"")</f>
        <v>-0.0433098032640548</v>
      </c>
      <c r="I5" s="24" t="n">
        <f aca="false">IFERROR('MAU Data'!C17/'MAU Data'!C5-1,"")</f>
        <v>0.0154360263702109</v>
      </c>
      <c r="J5" s="24" t="n">
        <f aca="false">IFERROR('MAU Data'!H17/'MAU Data'!H5-1,"")</f>
        <v>1039.6623853211</v>
      </c>
      <c r="M5" s="25" t="s">
        <v>12</v>
      </c>
      <c r="N5" s="26" t="n">
        <f aca="false">'MAU Data'!G32/'MAU Data'!G20-1</f>
        <v>-0.0558295034803915</v>
      </c>
    </row>
    <row r="6" customFormat="false" ht="15" hidden="false" customHeight="false" outlineLevel="0" collapsed="false">
      <c r="A6" s="22" t="str">
        <f aca="false">'MAU Data'!A18</f>
        <v>2025-02</v>
      </c>
      <c r="B6" s="23" t="n">
        <f aca="false">IFERROR('MAU Data'!G18/'MAU Data'!G6-1,"")</f>
        <v>0.136235108597112</v>
      </c>
      <c r="C6" s="24" t="n">
        <f aca="false">IFERROR('MAU Data'!F18/'MAU Data'!F6-1,"")</f>
        <v>0.0867857788005835</v>
      </c>
      <c r="D6" s="24" t="n">
        <f aca="false">IFERROR('MAU Data'!I18/'MAU Data'!I6-1,"")</f>
        <v>0.287005907408906</v>
      </c>
      <c r="E6" s="24" t="n">
        <f aca="false">IFERROR('MAU Data'!J18/'MAU Data'!J6-1,"")</f>
        <v>2.6961135398962</v>
      </c>
      <c r="F6" s="24" t="n">
        <f aca="false">IFERROR('MAU Data'!D18/'MAU Data'!D6-1,"")</f>
        <v>0.0848676591560627</v>
      </c>
      <c r="G6" s="24" t="n">
        <f aca="false">IFERROR('MAU Data'!E18/'MAU Data'!E6-1,"")</f>
        <v>0.195130636170711</v>
      </c>
      <c r="H6" s="24" t="n">
        <f aca="false">IFERROR('MAU Data'!B18/'MAU Data'!B6-1,"")</f>
        <v>-0.0618444410562377</v>
      </c>
      <c r="I6" s="24" t="n">
        <f aca="false">IFERROR('MAU Data'!C18/'MAU Data'!C6-1,"")</f>
        <v>-0.00632839283779818</v>
      </c>
      <c r="J6" s="24" t="n">
        <f aca="false">IFERROR('MAU Data'!H18/'MAU Data'!H6-1,"")</f>
        <v>1330.77843137255</v>
      </c>
      <c r="M6" s="25" t="s">
        <v>14</v>
      </c>
      <c r="N6" s="26" t="n">
        <f aca="false">'MAU Data'!G32/MAX('MAU Data'!G5:G32)-1</f>
        <v>-0.404380439125354</v>
      </c>
    </row>
    <row r="7" customFormat="false" ht="15" hidden="false" customHeight="false" outlineLevel="0" collapsed="false">
      <c r="A7" s="22" t="str">
        <f aca="false">'MAU Data'!A19</f>
        <v>2025-03</v>
      </c>
      <c r="B7" s="23" t="n">
        <f aca="false">IFERROR('MAU Data'!G19/'MAU Data'!G7-1,"")</f>
        <v>0.0975046993361353</v>
      </c>
      <c r="C7" s="24" t="n">
        <f aca="false">IFERROR('MAU Data'!F19/'MAU Data'!F7-1,"")</f>
        <v>0.125486735602211</v>
      </c>
      <c r="D7" s="24" t="n">
        <f aca="false">IFERROR('MAU Data'!I19/'MAU Data'!I7-1,"")</f>
        <v>0.129606428342341</v>
      </c>
      <c r="E7" s="24" t="n">
        <f aca="false">IFERROR('MAU Data'!J19/'MAU Data'!J7-1,"")</f>
        <v>1.68290852168111</v>
      </c>
      <c r="F7" s="24" t="n">
        <f aca="false">IFERROR('MAU Data'!D19/'MAU Data'!D7-1,"")</f>
        <v>0.0498570808870762</v>
      </c>
      <c r="G7" s="24" t="n">
        <f aca="false">IFERROR('MAU Data'!E19/'MAU Data'!E7-1,"")</f>
        <v>-0.0641031118456772</v>
      </c>
      <c r="H7" s="24" t="n">
        <f aca="false">IFERROR('MAU Data'!B19/'MAU Data'!B7-1,"")</f>
        <v>-0.0440001559984519</v>
      </c>
      <c r="I7" s="24" t="n">
        <f aca="false">IFERROR('MAU Data'!C19/'MAU Data'!C7-1,"")</f>
        <v>0.0587628885306215</v>
      </c>
      <c r="J7" s="24" t="n">
        <f aca="false">IFERROR('MAU Data'!H19/'MAU Data'!H7-1,"")</f>
        <v>76.8139646102343</v>
      </c>
      <c r="M7" s="25" t="s">
        <v>16</v>
      </c>
      <c r="N7" s="26" t="n">
        <f aca="false">'MAU Data'!F32/'MAU Data'!F20-1</f>
        <v>-0.136255392883373</v>
      </c>
    </row>
    <row r="8" customFormat="false" ht="15" hidden="false" customHeight="false" outlineLevel="0" collapsed="false">
      <c r="A8" s="22" t="str">
        <f aca="false">'MAU Data'!A20</f>
        <v>2025-04</v>
      </c>
      <c r="B8" s="23" t="n">
        <f aca="false">IFERROR('MAU Data'!G20/'MAU Data'!G8-1,"")</f>
        <v>0.0387097642181005</v>
      </c>
      <c r="C8" s="24" t="n">
        <f aca="false">IFERROR('MAU Data'!F20/'MAU Data'!F8-1,"")</f>
        <v>0.0654986728535814</v>
      </c>
      <c r="D8" s="24" t="n">
        <f aca="false">IFERROR('MAU Data'!I20/'MAU Data'!I8-1,"")</f>
        <v>-0.07351320623723</v>
      </c>
      <c r="E8" s="24" t="n">
        <f aca="false">IFERROR('MAU Data'!J20/'MAU Data'!J8-1,"")</f>
        <v>0.864335018346976</v>
      </c>
      <c r="F8" s="24" t="n">
        <f aca="false">IFERROR('MAU Data'!D20/'MAU Data'!D8-1,"")</f>
        <v>0.130937905440579</v>
      </c>
      <c r="G8" s="24" t="n">
        <f aca="false">IFERROR('MAU Data'!E20/'MAU Data'!E8-1,"")</f>
        <v>0.0979304274932318</v>
      </c>
      <c r="H8" s="24" t="n">
        <f aca="false">IFERROR('MAU Data'!B20/'MAU Data'!B8-1,"")</f>
        <v>-0.0495641620423488</v>
      </c>
      <c r="I8" s="24" t="n">
        <f aca="false">IFERROR('MAU Data'!C20/'MAU Data'!C8-1,"")</f>
        <v>0.0215764663467248</v>
      </c>
      <c r="J8" s="24" t="n">
        <f aca="false">IFERROR('MAU Data'!H20/'MAU Data'!H8-1,"")</f>
        <v>21.2846080583047</v>
      </c>
      <c r="M8" s="25" t="s">
        <v>18</v>
      </c>
      <c r="N8" s="27" t="n">
        <f aca="false">'MAU Data'!H32</f>
        <v>4543440</v>
      </c>
    </row>
    <row r="9" customFormat="false" ht="15" hidden="false" customHeight="false" outlineLevel="0" collapsed="false">
      <c r="A9" s="22" t="str">
        <f aca="false">'MAU Data'!A21</f>
        <v>2025-05</v>
      </c>
      <c r="B9" s="23" t="n">
        <f aca="false">IFERROR('MAU Data'!G21/'MAU Data'!G9-1,"")</f>
        <v>0.106557388761007</v>
      </c>
      <c r="C9" s="24" t="n">
        <f aca="false">IFERROR('MAU Data'!F21/'MAU Data'!F9-1,"")</f>
        <v>0.232741832106622</v>
      </c>
      <c r="D9" s="24" t="n">
        <f aca="false">IFERROR('MAU Data'!I21/'MAU Data'!I9-1,"")</f>
        <v>-0.171421666007513</v>
      </c>
      <c r="E9" s="24" t="n">
        <f aca="false">IFERROR('MAU Data'!J21/'MAU Data'!J9-1,"")</f>
        <v>0.630590678778473</v>
      </c>
      <c r="F9" s="24" t="n">
        <f aca="false">IFERROR('MAU Data'!D21/'MAU Data'!D9-1,"")</f>
        <v>0.00784293014895487</v>
      </c>
      <c r="G9" s="24" t="n">
        <f aca="false">IFERROR('MAU Data'!E21/'MAU Data'!E9-1,"")</f>
        <v>0.243813560300331</v>
      </c>
      <c r="H9" s="24" t="n">
        <f aca="false">IFERROR('MAU Data'!B21/'MAU Data'!B9-1,"")</f>
        <v>-0.0527237443087693</v>
      </c>
      <c r="I9" s="24" t="n">
        <f aca="false">IFERROR('MAU Data'!C21/'MAU Data'!C9-1,"")</f>
        <v>0.0456068986685927</v>
      </c>
      <c r="J9" s="24" t="n">
        <f aca="false">IFERROR('MAU Data'!H21/'MAU Data'!H9-1,"")</f>
        <v>12.7347044917258</v>
      </c>
      <c r="M9" s="25" t="s">
        <v>84</v>
      </c>
      <c r="N9" s="28" t="n">
        <f aca="false">'MAU Data'!H32/'MAU Data'!G32</f>
        <v>0.916592695405174</v>
      </c>
    </row>
    <row r="10" customFormat="false" ht="15" hidden="false" customHeight="false" outlineLevel="0" collapsed="false">
      <c r="A10" s="22" t="str">
        <f aca="false">'MAU Data'!A22</f>
        <v>2025-06</v>
      </c>
      <c r="B10" s="23" t="n">
        <f aca="false">IFERROR('MAU Data'!G22/'MAU Data'!G10-1,"")</f>
        <v>-0.0164190555416716</v>
      </c>
      <c r="C10" s="24" t="n">
        <f aca="false">IFERROR('MAU Data'!F22/'MAU Data'!F10-1,"")</f>
        <v>0.17466133878793</v>
      </c>
      <c r="D10" s="24" t="n">
        <f aca="false">IFERROR('MAU Data'!I22/'MAU Data'!I10-1,"")</f>
        <v>-0.23692277215335</v>
      </c>
      <c r="E10" s="24" t="n">
        <f aca="false">IFERROR('MAU Data'!J22/'MAU Data'!J10-1,"")</f>
        <v>0.626127684613121</v>
      </c>
      <c r="F10" s="24" t="n">
        <f aca="false">IFERROR('MAU Data'!D22/'MAU Data'!D10-1,"")</f>
        <v>-0.0290558412264285</v>
      </c>
      <c r="G10" s="24" t="n">
        <f aca="false">IFERROR('MAU Data'!E22/'MAU Data'!E10-1,"")</f>
        <v>0.198347749168321</v>
      </c>
      <c r="H10" s="24" t="n">
        <f aca="false">IFERROR('MAU Data'!B22/'MAU Data'!B10-1,"")</f>
        <v>-0.0520675513562944</v>
      </c>
      <c r="I10" s="24" t="n">
        <f aca="false">IFERROR('MAU Data'!C22/'MAU Data'!C10-1,"")</f>
        <v>0.0176771754020937</v>
      </c>
      <c r="J10" s="24" t="n">
        <f aca="false">IFERROR('MAU Data'!H22/'MAU Data'!H10-1,"")</f>
        <v>8.79037287045966</v>
      </c>
      <c r="M10" s="25" t="s">
        <v>85</v>
      </c>
      <c r="N10" s="26" t="n">
        <f aca="false">AVERAGE('MAU Data'!G29:G31)/AVERAGE('MAU Data'!G17:G19)-1</f>
        <v>-0.0168403279718027</v>
      </c>
    </row>
    <row r="11" customFormat="false" ht="15" hidden="false" customHeight="false" outlineLevel="0" collapsed="false">
      <c r="A11" s="22" t="str">
        <f aca="false">'MAU Data'!A23</f>
        <v>2025-07</v>
      </c>
      <c r="B11" s="23" t="n">
        <f aca="false">IFERROR('MAU Data'!G23/'MAU Data'!G11-1,"")</f>
        <v>0.187633815231155</v>
      </c>
      <c r="C11" s="24" t="n">
        <f aca="false">IFERROR('MAU Data'!F23/'MAU Data'!F11-1,"")</f>
        <v>0.154343096005206</v>
      </c>
      <c r="D11" s="24" t="n">
        <f aca="false">IFERROR('MAU Data'!I23/'MAU Data'!I11-1,"")</f>
        <v>-0.160102486231424</v>
      </c>
      <c r="E11" s="24" t="n">
        <f aca="false">IFERROR('MAU Data'!J23/'MAU Data'!J11-1,"")</f>
        <v>0.407232615357509</v>
      </c>
      <c r="F11" s="24" t="n">
        <f aca="false">IFERROR('MAU Data'!D23/'MAU Data'!D11-1,"")</f>
        <v>-0.0450428018349129</v>
      </c>
      <c r="G11" s="24" t="n">
        <f aca="false">IFERROR('MAU Data'!E23/'MAU Data'!E11-1,"")</f>
        <v>0.354944814402156</v>
      </c>
      <c r="H11" s="24" t="n">
        <f aca="false">IFERROR('MAU Data'!B23/'MAU Data'!B11-1,"")</f>
        <v>-0.0463296268609958</v>
      </c>
      <c r="I11" s="24" t="n">
        <f aca="false">IFERROR('MAU Data'!C23/'MAU Data'!C11-1,"")</f>
        <v>-0.00338422098065427</v>
      </c>
      <c r="J11" s="24" t="n">
        <f aca="false">IFERROR('MAU Data'!H23/'MAU Data'!H11-1,"")</f>
        <v>6.42657869099283</v>
      </c>
      <c r="M11" s="25" t="s">
        <v>86</v>
      </c>
      <c r="N11" s="26" t="n">
        <f aca="false">AVERAGE('MAU Data'!F29:F31)/AVERAGE('MAU Data'!F17:F19)-1</f>
        <v>-0.115773116549308</v>
      </c>
    </row>
    <row r="12" customFormat="false" ht="15" hidden="false" customHeight="false" outlineLevel="0" collapsed="false">
      <c r="A12" s="22" t="str">
        <f aca="false">'MAU Data'!A24</f>
        <v>2025-08</v>
      </c>
      <c r="B12" s="23" t="n">
        <f aca="false">IFERROR('MAU Data'!G24/'MAU Data'!G12-1,"")</f>
        <v>-0.0035801484600213</v>
      </c>
      <c r="C12" s="24" t="n">
        <f aca="false">IFERROR('MAU Data'!F24/'MAU Data'!F12-1,"")</f>
        <v>0.247703747835194</v>
      </c>
      <c r="D12" s="24" t="n">
        <f aca="false">IFERROR('MAU Data'!I24/'MAU Data'!I12-1,"")</f>
        <v>-0.284781935577267</v>
      </c>
      <c r="E12" s="24" t="n">
        <f aca="false">IFERROR('MAU Data'!J24/'MAU Data'!J12-1,"")</f>
        <v>0.273335116782921</v>
      </c>
      <c r="F12" s="24" t="n">
        <f aca="false">IFERROR('MAU Data'!D24/'MAU Data'!D12-1,"")</f>
        <v>-0.0634641376579026</v>
      </c>
      <c r="G12" s="24" t="n">
        <f aca="false">IFERROR('MAU Data'!E24/'MAU Data'!E12-1,"")</f>
        <v>0.286102964679221</v>
      </c>
      <c r="H12" s="24" t="n">
        <f aca="false">IFERROR('MAU Data'!B24/'MAU Data'!B12-1,"")</f>
        <v>-0.0519695896794711</v>
      </c>
      <c r="I12" s="24" t="n">
        <f aca="false">IFERROR('MAU Data'!C24/'MAU Data'!C12-1,"")</f>
        <v>0.0225407400155062</v>
      </c>
      <c r="J12" s="24" t="n">
        <f aca="false">IFERROR('MAU Data'!H24/'MAU Data'!H12-1,"")</f>
        <v>8.12519567694832</v>
      </c>
      <c r="M12" s="25" t="s">
        <v>87</v>
      </c>
      <c r="N12" s="26" t="n">
        <f aca="false">AVERAGE('MAU Data'!E29:E31)/AVERAGE('MAU Data'!E17:E19)-1</f>
        <v>-0.273673363045484</v>
      </c>
    </row>
    <row r="13" customFormat="false" ht="15" hidden="false" customHeight="false" outlineLevel="0" collapsed="false">
      <c r="A13" s="22" t="str">
        <f aca="false">'MAU Data'!A25</f>
        <v>2025-09</v>
      </c>
      <c r="B13" s="23" t="n">
        <f aca="false">IFERROR('MAU Data'!G25/'MAU Data'!G13-1,"")</f>
        <v>0.0748056531768586</v>
      </c>
      <c r="C13" s="24" t="n">
        <f aca="false">IFERROR('MAU Data'!F25/'MAU Data'!F13-1,"")</f>
        <v>0.121738233125253</v>
      </c>
      <c r="D13" s="24" t="n">
        <f aca="false">IFERROR('MAU Data'!I25/'MAU Data'!I13-1,"")</f>
        <v>-0.222222667102141</v>
      </c>
      <c r="E13" s="24" t="n">
        <f aca="false">IFERROR('MAU Data'!J25/'MAU Data'!J13-1,"")</f>
        <v>0.500934398475408</v>
      </c>
      <c r="F13" s="24" t="n">
        <f aca="false">IFERROR('MAU Data'!D25/'MAU Data'!D13-1,"")</f>
        <v>0.0179835070981762</v>
      </c>
      <c r="G13" s="24" t="n">
        <f aca="false">IFERROR('MAU Data'!E25/'MAU Data'!E13-1,"")</f>
        <v>0.249232759996399</v>
      </c>
      <c r="H13" s="24" t="n">
        <f aca="false">IFERROR('MAU Data'!B25/'MAU Data'!B13-1,"")</f>
        <v>-0.0452396662349645</v>
      </c>
      <c r="I13" s="24" t="n">
        <f aca="false">IFERROR('MAU Data'!C25/'MAU Data'!C13-1,"")</f>
        <v>0.0347327389539061</v>
      </c>
      <c r="J13" s="24" t="n">
        <f aca="false">IFERROR('MAU Data'!H25/'MAU Data'!H13-1,"")</f>
        <v>16.9091929369513</v>
      </c>
      <c r="M13" s="25" t="s">
        <v>88</v>
      </c>
      <c r="N13" s="26" t="n">
        <f aca="false">AVERAGE('MAU Data'!D29:D31)/AVERAGE('MAU Data'!D17:D19)-1</f>
        <v>-0.134846237440191</v>
      </c>
    </row>
    <row r="14" customFormat="false" ht="15" hidden="false" customHeight="false" outlineLevel="0" collapsed="false">
      <c r="A14" s="22" t="str">
        <f aca="false">'MAU Data'!A26</f>
        <v>2025-10</v>
      </c>
      <c r="B14" s="23" t="n">
        <f aca="false">IFERROR('MAU Data'!G26/'MAU Data'!G14-1,"")</f>
        <v>0.0767763317530923</v>
      </c>
      <c r="C14" s="24" t="n">
        <f aca="false">IFERROR('MAU Data'!F26/'MAU Data'!F14-1,"")</f>
        <v>0.0808802652687124</v>
      </c>
      <c r="D14" s="24" t="n">
        <f aca="false">IFERROR('MAU Data'!I26/'MAU Data'!I14-1,"")</f>
        <v>-0.17275971187937</v>
      </c>
      <c r="E14" s="24" t="n">
        <f aca="false">IFERROR('MAU Data'!J26/'MAU Data'!J14-1,"")</f>
        <v>0.523912302624106</v>
      </c>
      <c r="F14" s="24" t="n">
        <f aca="false">IFERROR('MAU Data'!D26/'MAU Data'!D14-1,"")</f>
        <v>0.0155592140754417</v>
      </c>
      <c r="G14" s="24" t="n">
        <f aca="false">IFERROR('MAU Data'!E26/'MAU Data'!E14-1,"")</f>
        <v>0.288397973918689</v>
      </c>
      <c r="H14" s="24" t="n">
        <f aca="false">IFERROR('MAU Data'!B26/'MAU Data'!B14-1,"")</f>
        <v>-0.0554257700743014</v>
      </c>
      <c r="I14" s="24" t="n">
        <f aca="false">IFERROR('MAU Data'!C26/'MAU Data'!C14-1,"")</f>
        <v>0.038436239955612</v>
      </c>
      <c r="J14" s="24" t="n">
        <f aca="false">IFERROR('MAU Data'!H26/'MAU Data'!H14-1,"")</f>
        <v>2.71472845688558</v>
      </c>
    </row>
    <row r="15" customFormat="false" ht="15" hidden="false" customHeight="false" outlineLevel="0" collapsed="false">
      <c r="A15" s="22" t="str">
        <f aca="false">'MAU Data'!A27</f>
        <v>2025-11</v>
      </c>
      <c r="B15" s="23" t="n">
        <f aca="false">IFERROR('MAU Data'!G27/'MAU Data'!G15-1,"")</f>
        <v>-0.101524652361598</v>
      </c>
      <c r="C15" s="24" t="n">
        <f aca="false">IFERROR('MAU Data'!F27/'MAU Data'!F15-1,"")</f>
        <v>0.110174545257029</v>
      </c>
      <c r="D15" s="24" t="n">
        <f aca="false">IFERROR('MAU Data'!I27/'MAU Data'!I15-1,"")</f>
        <v>-0.126884943046025</v>
      </c>
      <c r="E15" s="24" t="n">
        <f aca="false">IFERROR('MAU Data'!J27/'MAU Data'!J15-1,"")</f>
        <v>0.246941156983112</v>
      </c>
      <c r="F15" s="24" t="n">
        <f aca="false">IFERROR('MAU Data'!D27/'MAU Data'!D15-1,"")</f>
        <v>-0.144662050416454</v>
      </c>
      <c r="G15" s="24" t="n">
        <f aca="false">IFERROR('MAU Data'!E27/'MAU Data'!E15-1,"")</f>
        <v>-0.187171542282636</v>
      </c>
      <c r="H15" s="24" t="n">
        <f aca="false">IFERROR('MAU Data'!B27/'MAU Data'!B15-1,"")</f>
        <v>-0.0552624333887316</v>
      </c>
      <c r="I15" s="24" t="n">
        <f aca="false">IFERROR('MAU Data'!C27/'MAU Data'!C15-1,"")</f>
        <v>0.0491015159757473</v>
      </c>
      <c r="J15" s="24" t="n">
        <f aca="false">IFERROR('MAU Data'!H27/'MAU Data'!H15-1,"")</f>
        <v>0.941618740759427</v>
      </c>
    </row>
    <row r="16" customFormat="false" ht="15" hidden="false" customHeight="false" outlineLevel="0" collapsed="false">
      <c r="A16" s="22" t="str">
        <f aca="false">'MAU Data'!A28</f>
        <v>2025-12</v>
      </c>
      <c r="B16" s="23" t="n">
        <f aca="false">IFERROR('MAU Data'!G28/'MAU Data'!G16-1,"")</f>
        <v>0.117948568275462</v>
      </c>
      <c r="C16" s="24" t="n">
        <f aca="false">IFERROR('MAU Data'!F28/'MAU Data'!F16-1,"")</f>
        <v>0.0749821528747601</v>
      </c>
      <c r="D16" s="24" t="n">
        <f aca="false">IFERROR('MAU Data'!I28/'MAU Data'!I16-1,"")</f>
        <v>-0.0693398010986207</v>
      </c>
      <c r="E16" s="24" t="n">
        <f aca="false">IFERROR('MAU Data'!J28/'MAU Data'!J16-1,"")</f>
        <v>0.119678317783039</v>
      </c>
      <c r="F16" s="24" t="n">
        <f aca="false">IFERROR('MAU Data'!D28/'MAU Data'!D16-1,"")</f>
        <v>-0.114688336815034</v>
      </c>
      <c r="G16" s="24" t="n">
        <f aca="false">IFERROR('MAU Data'!E28/'MAU Data'!E16-1,"")</f>
        <v>-0.297969372441532</v>
      </c>
      <c r="H16" s="24" t="n">
        <f aca="false">IFERROR('MAU Data'!B28/'MAU Data'!B16-1,"")</f>
        <v>-0.0635021372236451</v>
      </c>
      <c r="I16" s="24" t="n">
        <f aca="false">IFERROR('MAU Data'!C28/'MAU Data'!C16-1,"")</f>
        <v>0.0183424097496501</v>
      </c>
      <c r="J16" s="24" t="n">
        <f aca="false">IFERROR('MAU Data'!H28/'MAU Data'!H16-1,"")</f>
        <v>2.75722080494613</v>
      </c>
    </row>
    <row r="17" customFormat="false" ht="15" hidden="false" customHeight="false" outlineLevel="0" collapsed="false">
      <c r="A17" s="22" t="str">
        <f aca="false">'MAU Data'!A29</f>
        <v>2026-01</v>
      </c>
      <c r="B17" s="23" t="n">
        <f aca="false">IFERROR('MAU Data'!G29/'MAU Data'!G17-1,"")</f>
        <v>0.0764569278299774</v>
      </c>
      <c r="C17" s="24" t="n">
        <f aca="false">IFERROR('MAU Data'!F29/'MAU Data'!F17-1,"")</f>
        <v>-0.0789095822223261</v>
      </c>
      <c r="D17" s="24" t="n">
        <f aca="false">IFERROR('MAU Data'!I29/'MAU Data'!I17-1,"")</f>
        <v>-0.117533135731611</v>
      </c>
      <c r="E17" s="24" t="n">
        <f aca="false">IFERROR('MAU Data'!J29/'MAU Data'!J17-1,"")</f>
        <v>0.0937993145239415</v>
      </c>
      <c r="F17" s="24" t="n">
        <f aca="false">IFERROR('MAU Data'!D29/'MAU Data'!D17-1,"")</f>
        <v>-0.109055132208309</v>
      </c>
      <c r="G17" s="24" t="n">
        <f aca="false">IFERROR('MAU Data'!E29/'MAU Data'!E17-1,"")</f>
        <v>-0.331627985600912</v>
      </c>
      <c r="H17" s="24" t="n">
        <f aca="false">IFERROR('MAU Data'!B29/'MAU Data'!B17-1,"")</f>
        <v>-0.0585839659492097</v>
      </c>
      <c r="I17" s="24" t="n">
        <f aca="false">IFERROR('MAU Data'!C29/'MAU Data'!C17-1,"")</f>
        <v>0.0279619713315202</v>
      </c>
      <c r="J17" s="24" t="n">
        <f aca="false">IFERROR('MAU Data'!H29/'MAU Data'!H17-1,"")</f>
        <v>7.82461946431437</v>
      </c>
    </row>
    <row r="18" customFormat="false" ht="15" hidden="false" customHeight="false" outlineLevel="0" collapsed="false">
      <c r="A18" s="22" t="str">
        <f aca="false">'MAU Data'!A30</f>
        <v>2026-02</v>
      </c>
      <c r="B18" s="23" t="n">
        <f aca="false">IFERROR('MAU Data'!G30/'MAU Data'!G18-1,"")</f>
        <v>-0.0434706265920599</v>
      </c>
      <c r="C18" s="24" t="n">
        <f aca="false">IFERROR('MAU Data'!F30/'MAU Data'!F18-1,"")</f>
        <v>-0.106734663064637</v>
      </c>
      <c r="D18" s="24" t="n">
        <f aca="false">IFERROR('MAU Data'!I30/'MAU Data'!I18-1,"")</f>
        <v>-0.209377858057435</v>
      </c>
      <c r="E18" s="24" t="n">
        <f aca="false">IFERROR('MAU Data'!J30/'MAU Data'!J18-1,"")</f>
        <v>-0.0373274807423938</v>
      </c>
      <c r="F18" s="24" t="n">
        <f aca="false">IFERROR('MAU Data'!D30/'MAU Data'!D18-1,"")</f>
        <v>-0.114306375250132</v>
      </c>
      <c r="G18" s="24" t="n">
        <f aca="false">IFERROR('MAU Data'!E30/'MAU Data'!E18-1,"")</f>
        <v>-0.221118359793607</v>
      </c>
      <c r="H18" s="24" t="n">
        <f aca="false">IFERROR('MAU Data'!B30/'MAU Data'!B18-1,"")</f>
        <v>-0.0472213534812611</v>
      </c>
      <c r="I18" s="24" t="n">
        <f aca="false">IFERROR('MAU Data'!C30/'MAU Data'!C18-1,"")</f>
        <v>0.0462008909246725</v>
      </c>
      <c r="J18" s="24" t="n">
        <f aca="false">IFERROR('MAU Data'!H30/'MAU Data'!H18-1,"")</f>
        <v>6.28941692297046</v>
      </c>
    </row>
    <row r="19" customFormat="false" ht="15" hidden="false" customHeight="false" outlineLevel="0" collapsed="false">
      <c r="A19" s="22" t="str">
        <f aca="false">'MAU Data'!A31</f>
        <v>2026-03</v>
      </c>
      <c r="B19" s="23" t="n">
        <f aca="false">IFERROR('MAU Data'!G31/'MAU Data'!G19-1,"")</f>
        <v>-0.108925138204297</v>
      </c>
      <c r="C19" s="24" t="n">
        <f aca="false">IFERROR('MAU Data'!F31/'MAU Data'!F19-1,"")</f>
        <v>-0.173599793801663</v>
      </c>
      <c r="D19" s="24" t="n">
        <f aca="false">IFERROR('MAU Data'!I31/'MAU Data'!I19-1,"")</f>
        <v>-0.155711830104576</v>
      </c>
      <c r="E19" s="24" t="n">
        <f aca="false">IFERROR('MAU Data'!J31/'MAU Data'!J19-1,"")</f>
        <v>-0.193410697931338</v>
      </c>
      <c r="F19" s="24" t="n">
        <f aca="false">IFERROR('MAU Data'!D31/'MAU Data'!D19-1,"")</f>
        <v>-0.18116719903108</v>
      </c>
      <c r="G19" s="24" t="n">
        <f aca="false">IFERROR('MAU Data'!E31/'MAU Data'!E19-1,"")</f>
        <v>-0.258712482602342</v>
      </c>
      <c r="H19" s="24" t="n">
        <f aca="false">IFERROR('MAU Data'!B31/'MAU Data'!B19-1,"")</f>
        <v>-0.0624757684195807</v>
      </c>
      <c r="I19" s="24" t="n">
        <f aca="false">IFERROR('MAU Data'!C31/'MAU Data'!C19-1,"")</f>
        <v>0.0155035240022758</v>
      </c>
      <c r="J19" s="24" t="n">
        <f aca="false">IFERROR('MAU Data'!H31/'MAU Data'!H19-1,"")</f>
        <v>6.44400893619898</v>
      </c>
    </row>
    <row r="20" customFormat="false" ht="15" hidden="false" customHeight="false" outlineLevel="0" collapsed="false">
      <c r="A20" s="22" t="str">
        <f aca="false">'MAU Data'!A32</f>
        <v>2026-04</v>
      </c>
      <c r="B20" s="23" t="n">
        <f aca="false">IFERROR('MAU Data'!G32/'MAU Data'!G20-1,"")</f>
        <v>-0.0558295034803915</v>
      </c>
      <c r="C20" s="24" t="n">
        <f aca="false">IFERROR('MAU Data'!F32/'MAU Data'!F20-1,"")</f>
        <v>-0.136255392883373</v>
      </c>
      <c r="D20" s="24" t="n">
        <f aca="false">IFERROR('MAU Data'!I32/'MAU Data'!I20-1,"")</f>
        <v>-0.203408143165483</v>
      </c>
      <c r="E20" s="24" t="n">
        <f aca="false">IFERROR('MAU Data'!J32/'MAU Data'!J20-1,"")</f>
        <v>-0.160742237598614</v>
      </c>
      <c r="F20" s="24" t="n">
        <f aca="false">IFERROR('MAU Data'!D32/'MAU Data'!D20-1,"")</f>
        <v>-0.168017769200286</v>
      </c>
      <c r="G20" s="24" t="n">
        <f aca="false">IFERROR('MAU Data'!E32/'MAU Data'!E20-1,"")</f>
        <v>-0.270695775740727</v>
      </c>
      <c r="H20" s="24" t="n">
        <f aca="false">IFERROR('MAU Data'!B32/'MAU Data'!B20-1,"")</f>
        <v>-0.0748768957042548</v>
      </c>
      <c r="I20" s="24" t="n">
        <f aca="false">IFERROR('MAU Data'!C32/'MAU Data'!C20-1,"")</f>
        <v>-0.00215858044766781</v>
      </c>
      <c r="J20" s="24" t="n">
        <f aca="false">IFERROR('MAU Data'!H32/'MAU Data'!H20-1,"")</f>
        <v>7.44268616057575</v>
      </c>
    </row>
    <row r="22" customFormat="false" ht="15" hidden="false" customHeight="false" outlineLevel="0" collapsed="false">
      <c r="A22" s="19" t="s">
        <v>89</v>
      </c>
      <c r="B22" s="19"/>
      <c r="C22" s="19"/>
      <c r="D22" s="19"/>
      <c r="E22" s="19"/>
      <c r="F22" s="19"/>
      <c r="G22" s="19"/>
      <c r="H22" s="19"/>
      <c r="I22" s="19"/>
      <c r="J22" s="19"/>
    </row>
  </sheetData>
  <mergeCells count="2">
    <mergeCell ref="M4:N4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4" t="s">
        <v>90</v>
      </c>
    </row>
    <row r="3" customFormat="false" ht="15" hidden="false" customHeight="false" outlineLevel="0" collapsed="false">
      <c r="A3" s="29" t="s">
        <v>91</v>
      </c>
    </row>
    <row r="4" customFormat="false" ht="15" hidden="false" customHeight="false" outlineLevel="0" collapsed="false">
      <c r="A4" s="3" t="s">
        <v>92</v>
      </c>
    </row>
    <row r="28" customFormat="false" ht="15" hidden="false" customHeight="false" outlineLevel="0" collapsed="false">
      <c r="A28" s="29" t="s">
        <v>93</v>
      </c>
    </row>
    <row r="29" customFormat="false" ht="15" hidden="false" customHeight="false" outlineLevel="0" collapsed="false">
      <c r="A29" s="3" t="s">
        <v>94</v>
      </c>
    </row>
    <row r="53" customFormat="false" ht="15" hidden="false" customHeight="false" outlineLevel="0" collapsed="false">
      <c r="A53" s="29" t="s">
        <v>95</v>
      </c>
    </row>
    <row r="54" customFormat="false" ht="15" hidden="false" customHeight="false" outlineLevel="0" collapsed="false">
      <c r="A54" s="3" t="s">
        <v>96</v>
      </c>
    </row>
    <row r="56" customFormat="false" ht="15" hidden="false" customHeight="false" outlineLevel="0" collapsed="false">
      <c r="A56" s="30" t="s">
        <v>97</v>
      </c>
      <c r="B56" s="30" t="s">
        <v>98</v>
      </c>
    </row>
    <row r="57" customFormat="false" ht="15" hidden="false" customHeight="false" outlineLevel="0" collapsed="false">
      <c r="A57" s="31" t="s">
        <v>42</v>
      </c>
      <c r="B57" s="32" t="n">
        <f aca="false">AVERAGE('MAU Data'!E29:E31)/AVERAGE('MAU Data'!E17:E19)-1</f>
        <v>-0.273673363045484</v>
      </c>
    </row>
    <row r="58" customFormat="false" ht="15" hidden="false" customHeight="false" outlineLevel="0" collapsed="false">
      <c r="A58" s="31" t="s">
        <v>46</v>
      </c>
      <c r="B58" s="32" t="n">
        <f aca="false">AVERAGE('MAU Data'!I29:I31)/AVERAGE('MAU Data'!I17:I19)-1</f>
        <v>-0.16101360963155</v>
      </c>
    </row>
    <row r="59" customFormat="false" ht="15" hidden="false" customHeight="false" outlineLevel="0" collapsed="false">
      <c r="A59" s="31" t="s">
        <v>41</v>
      </c>
      <c r="B59" s="32" t="n">
        <f aca="false">AVERAGE('MAU Data'!D29:D31)/AVERAGE('MAU Data'!D17:D19)-1</f>
        <v>-0.134846237440191</v>
      </c>
    </row>
    <row r="60" customFormat="false" ht="15" hidden="false" customHeight="false" outlineLevel="0" collapsed="false">
      <c r="A60" s="31" t="s">
        <v>43</v>
      </c>
      <c r="B60" s="32" t="n">
        <f aca="false">AVERAGE('MAU Data'!F29:F31)/AVERAGE('MAU Data'!F17:F19)-1</f>
        <v>-0.115773116549308</v>
      </c>
    </row>
    <row r="61" customFormat="false" ht="15" hidden="false" customHeight="false" outlineLevel="0" collapsed="false">
      <c r="A61" s="31" t="s">
        <v>39</v>
      </c>
      <c r="B61" s="32" t="n">
        <f aca="false">AVERAGE('MAU Data'!B29:B31)/AVERAGE('MAU Data'!B17:B19)-1</f>
        <v>-0.0561240250170325</v>
      </c>
    </row>
    <row r="62" customFormat="false" ht="15" hidden="false" customHeight="false" outlineLevel="0" collapsed="false">
      <c r="A62" s="31" t="s">
        <v>47</v>
      </c>
      <c r="B62" s="32" t="n">
        <f aca="false">AVERAGE('MAU Data'!J29:J31)/AVERAGE('MAU Data'!J17:J19)-1</f>
        <v>-0.0508434643294695</v>
      </c>
    </row>
    <row r="63" customFormat="false" ht="15" hidden="false" customHeight="false" outlineLevel="0" collapsed="false">
      <c r="A63" s="31" t="s">
        <v>44</v>
      </c>
      <c r="B63" s="32" t="n">
        <f aca="false">AVERAGE('MAU Data'!G29:G31)/AVERAGE('MAU Data'!G17:G19)-1</f>
        <v>-0.0168403279718027</v>
      </c>
    </row>
    <row r="64" customFormat="false" ht="15" hidden="false" customHeight="false" outlineLevel="0" collapsed="false">
      <c r="A64" s="31" t="s">
        <v>40</v>
      </c>
      <c r="B64" s="32" t="n">
        <f aca="false">AVERAGE('MAU Data'!C29:C31)/AVERAGE('MAU Data'!C17:C19)-1</f>
        <v>0.0295278861907322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2026-05-08T17:15:55Z</dcterms:created>
  <dc:creator>openpyxl</dc:creator>
  <dc:description/>
  <dc:language>en-US</dc:language>
  <cp:lastModifiedBy/>
  <dcterms:modified xsi:type="dcterms:W3CDTF">2026-05-08T17:15:57Z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