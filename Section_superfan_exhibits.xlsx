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Ex15 Concentration" sheetId="2" state="visible" r:id="rId4"/>
    <sheet name="Ex16 Conversion" sheetId="3" state="visible" r:id="rId5"/>
    <sheet name="Ex17 Live Nation" sheetId="4" state="visible" r:id="rId6"/>
    <sheet name="Ex18 Spotify Reserve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<sst xmlns="http://schemas.openxmlformats.org/spreadsheetml/2006/main" count="96" uniqueCount="91">
  <si>
    <t xml:space="preserve">The superfan section: exhibits</t>
  </si>
  <si>
    <t xml:space="preserve">High-quality engagement drives the K, and how Spotify &amp; Live Nation capture it</t>
  </si>
  <si>
    <t xml:space="preserve">Prepared 1 Jul 2026 | Bernstein analysis</t>
  </si>
  <si>
    <t xml:space="preserve">EXHIBITS IN THIS WORKBOOK</t>
  </si>
  <si>
    <t xml:space="preserve">Exhibit 15</t>
  </si>
  <si>
    <t xml:space="preserve">High-quality engagement is concentrated: a thin slice drives the volume</t>
  </si>
  <si>
    <t xml:space="preserve">Tab 'Ex15 Concentration'</t>
  </si>
  <si>
    <t xml:space="preserve">Exhibit 16</t>
  </si>
  <si>
    <t xml:space="preserve">High engagement converts: the engaged fan shows up and buys</t>
  </si>
  <si>
    <t xml:space="preserve">Tab 'Ex16 Conversion'</t>
  </si>
  <si>
    <t xml:space="preserve">Exhibit 17</t>
  </si>
  <si>
    <t xml:space="preserve">Live Nation is rebuilding the room around the premium fan</t>
  </si>
  <si>
    <t xml:space="preserve">Tab 'Ex17 Live Nation'</t>
  </si>
  <si>
    <t xml:space="preserve">Exhibit 18</t>
  </si>
  <si>
    <t xml:space="preserve">Spotify Reserved: identifying the superfan and routing them to live</t>
  </si>
  <si>
    <t xml:space="preserve">Tab 'Ex18 Spotify Reserved'</t>
  </si>
  <si>
    <t xml:space="preserve">Note: the spend-premium (66% on live) and the superfan funnel already appear in Consumption. Exhibit 17 reuses the Live Nation premiumisation metrics; if you keep it here, remove the duplicate instance from Consumption. Numbers follow the working draft; renumber for final pagination.</t>
  </si>
  <si>
    <t xml:space="preserve">Exhibit 15: High-quality engagement is concentrated, a thin slice drives the volume</t>
  </si>
  <si>
    <t xml:space="preserve">US music. The engaged top slice is small in number but large in activity and spend.</t>
  </si>
  <si>
    <t xml:space="preserve">Metric</t>
  </si>
  <si>
    <t xml:space="preserve">Value</t>
  </si>
  <si>
    <t xml:space="preserve">Superfans as share of an artist's listeners</t>
  </si>
  <si>
    <t xml:space="preserve">Share of that artist's streams they generate</t>
  </si>
  <si>
    <t xml:space="preserve">Concentration ratio (streams / listeners)</t>
  </si>
  <si>
    <t xml:space="preserve">Population measure</t>
  </si>
  <si>
    <t xml:space="preserve">Superfans as % of US music listeners, 2024</t>
  </si>
  <si>
    <t xml:space="preserve">Superfans as % of US music listeners, 2023</t>
  </si>
  <si>
    <t xml:space="preserve">Implied superfans as % of US population</t>
  </si>
  <si>
    <t xml:space="preserve">Around 2% of an artist's listeners generate roughly 18% of its streams, a concentration of about 9x. This is the same shape we saw in box office (the top 1% of shows taking a third of gross): a thin, highly-engaged slice drives disproportionate value.</t>
  </si>
  <si>
    <t xml:space="preserve">Source: Luminate 2024 Year-End Music Report; FanCircles Music Industry Report 2025. Bernstein analysis. Note: 2% and 20% are different denominators (share of one artist's listeners vs share of all US listeners); do not conflate.</t>
  </si>
  <si>
    <t xml:space="preserve">Exhibit 16: High engagement converts, the engaged fan shows up and buys</t>
  </si>
  <si>
    <t xml:space="preserve">US: propensity to attend and to buy, superfans vs general listeners.</t>
  </si>
  <si>
    <t xml:space="preserve">Behaviour</t>
  </si>
  <si>
    <t xml:space="preserve">Superfans</t>
  </si>
  <si>
    <t xml:space="preserve">General listeners</t>
  </si>
  <si>
    <t xml:space="preserve">Gap (pp)</t>
  </si>
  <si>
    <t xml:space="preserve">Would attend favourite artist's live show</t>
  </si>
  <si>
    <t xml:space="preserve">Likely to buy artist merchandise</t>
  </si>
  <si>
    <t xml:space="preserve">Engagement is the leading indicator of live spend. The most-engaged fans are the likeliest to convert to attendance and merchandise, which is why identifying them behaviourally, before the general on-sale, is so valuable.</t>
  </si>
  <si>
    <t xml:space="preserve">Source: Luminate 2024 Year-End Music Report (US consumer research). Bernstein analysis.</t>
  </si>
  <si>
    <t xml:space="preserve">Exhibit 17: Live Nation is rebuilding the room around the premium fan</t>
  </si>
  <si>
    <t xml:space="preserve">The capture strategy on the venue side: shift capacity to premium, then monetise the high-value fan.</t>
  </si>
  <si>
    <t xml:space="preserve">A. Arena capacity mix: from general admission to premium</t>
  </si>
  <si>
    <t xml:space="preserve">Capacity type</t>
  </si>
  <si>
    <t xml:space="preserve">Historic norm</t>
  </si>
  <si>
    <t xml:space="preserve">New-build target</t>
  </si>
  <si>
    <t xml:space="preserve">Premium (suites, boxes, VIP, lounges)</t>
  </si>
  <si>
    <t xml:space="preserve">General admission</t>
  </si>
  <si>
    <t xml:space="preserve">B. Onsite spend and premium monetisation (FY25 / Q1'26)</t>
  </si>
  <si>
    <t xml:space="preserve">Hollywood Palladium onsite spend per fan</t>
  </si>
  <si>
    <t xml:space="preserve">&gt; $100</t>
  </si>
  <si>
    <t xml:space="preserve">Ziggo Dome (Amsterdam) per-fan spend, YoY</t>
  </si>
  <si>
    <t xml:space="preserve">+30%</t>
  </si>
  <si>
    <t xml:space="preserve">Amphitheatre onsite spend growth, FY25</t>
  </si>
  <si>
    <t xml:space="preserve">+6%</t>
  </si>
  <si>
    <t xml:space="preserve">Fans hosted at operated venues, FY25</t>
  </si>
  <si>
    <t xml:space="preserve">65m (+8%)</t>
  </si>
  <si>
    <t xml:space="preserve">Sponsorship AOI, FY25</t>
  </si>
  <si>
    <t xml:space="preserve">$845m (+11%)</t>
  </si>
  <si>
    <t xml:space="preserve">Live Nation captures the superfan on the venue side: move from 1% premium capacity toward roughly 30%, then monetise the fan who will pay for it. It owns the transaction and the room; the missing piece was knowing exactly who the superfan is before the on-sale.</t>
  </si>
  <si>
    <t xml:space="preserve">Source: Live Nation FY/Q4 2025 results (19 Feb 2026); Q1 2026 earnings call (5 May 2026), CEO M. Rapino. Bernstein analysis.</t>
  </si>
  <si>
    <t xml:space="preserve">Exhibit 18: Spotify Reserved, identifying the superfan and routing them to live</t>
  </si>
  <si>
    <t xml:space="preserve">Launched 18 Jun 2026 (US). The behavioural identification layer that the venue side has lacked.</t>
  </si>
  <si>
    <t xml:space="preserve">A. How it works</t>
  </si>
  <si>
    <t xml:space="preserve">Feature</t>
  </si>
  <si>
    <t xml:space="preserve">Detail</t>
  </si>
  <si>
    <t xml:space="preserve">Identifies</t>
  </si>
  <si>
    <t xml:space="preserve">An artist's most-engaged fans, from streams, saves, playlist adds, shares, profile activity and fan tenure</t>
  </si>
  <si>
    <t xml:space="preserve">Holds</t>
  </si>
  <si>
    <t xml:space="preserve">Up to 2 concert tickets per eligible fan, before the general on-sale</t>
  </si>
  <si>
    <t xml:space="preserve">Inventory</t>
  </si>
  <si>
    <t xml:space="preserve">Dedicated inventory set aside for the biggest fans, not a subset of an existing presale</t>
  </si>
  <si>
    <t xml:space="preserve">Price to fan</t>
  </si>
  <si>
    <t xml:space="preserve">Included in standard Premium at no extra cost (18+ , US)</t>
  </si>
  <si>
    <t xml:space="preserve">Transacts</t>
  </si>
  <si>
    <t xml:space="preserve">Powered by Ticketmaster via a multi-year exclusive Live Nation partnership</t>
  </si>
  <si>
    <t xml:space="preserve">B. Why it matters, scale and signals</t>
  </si>
  <si>
    <t xml:space="preserve">Spotify Premium subscribers (Q1'26)</t>
  </si>
  <si>
    <t xml:space="preserve">293m, +9% YoY</t>
  </si>
  <si>
    <t xml:space="preserve">Spotify monthly active users</t>
  </si>
  <si>
    <t xml:space="preserve">761m</t>
  </si>
  <si>
    <t xml:space="preserve">Reported cost of early-access rights</t>
  </si>
  <si>
    <t xml:space="preserve">'tens of millions' (Bloomberg)</t>
  </si>
  <si>
    <t xml:space="preserve">Demand vs supply</t>
  </si>
  <si>
    <t xml:space="preserve">'Significantly more superfans than seats', not every fan gets an offer</t>
  </si>
  <si>
    <t xml:space="preserve">First tour</t>
  </si>
  <si>
    <t xml:space="preserve">Role Model (17 cities); window opened 23 Jun 2026</t>
  </si>
  <si>
    <t xml:space="preserve">Roadmap</t>
  </si>
  <si>
    <t xml:space="preserve">Expanding from biggest to developing artists; more partners, smaller venues, international</t>
  </si>
  <si>
    <t xml:space="preserve">Reserved is the identification layer: Spotify turns observable engagement into an addressable superfan, then hands the transaction to Live Nation and Ticketmaster. Notably it sits inside standard Premium rather than a paid add-on, prioritising reach and data over a direct fee.</t>
  </si>
  <si>
    <t xml:space="preserve">Source: Spotify Investor Day (21 May 2026); Spotify Newsroom; Music Business Worldwide; Bloomberg; TechCrunch (Jun 2026). Bernstein analysis.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</si>
</sst>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2E5496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D6E0F0"/>
        <bgColor rgb="FFD9D9D9"/>
      </patternFill>
    </fill>
    <fill>
      <patternFill patternType="solid">
        <fgColor rgb="FFE2EFDA"/>
        <bgColor rgb="FFD6E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DC3E6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~2% of listeners generate ~18% of streams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'Ex15 Concentration'!$B$6:$B$7</c:f>
              <c:strCache>
                <c:ptCount val="2"/>
                <c:pt idx="0">
                  <c:v>Superfans as share of an artist's listeners</c:v>
                </c:pt>
                <c:pt idx="1">
                  <c:v>Share of that artist's streams they generate</c:v>
                </c:pt>
              </c:strCache>
            </c:strRef>
          </c:cat>
          <c:val>
            <c:numRef>
              <c:f>'Ex15 Concentration'!$C$6:$C$7</c:f>
              <c:numCache>
                <c:formatCode>0%</c:formatCode>
                <c:ptCount val="2"/>
                <c:pt idx="0">
                  <c:v>0.02</c:v>
                </c:pt>
                <c:pt idx="1">
                  <c:v>0.18</c:v>
                </c:pt>
              </c:numCache>
            </c:numRef>
          </c:val>
        </c:ser>
        <c:gapWidth val="150"/>
        <c:overlap val="0"/>
        <c:axId val="35840980"/>
        <c:axId val="78744244"/>
      </c:barChart>
      <c:catAx>
        <c:axId val="35840980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44244"/>
        <c:crosses val="autoZero"/>
        <c:auto val="1"/>
        <c:lblAlgn val="ctr"/>
        <c:lblOffset val="100"/>
        <c:noMultiLvlLbl val="0"/>
      </c:catAx>
      <c:valAx>
        <c:axId val="78744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409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Propensity to attend and buy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'Ex16 Conversion'!C5</c:f>
              <c:strCache>
                <c:ptCount val="1"/>
                <c:pt idx="0">
                  <c:v>Superfans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'Ex16 Conversion'!$B$6:$B$7</c:f>
              <c:strCache>
                <c:ptCount val="2"/>
                <c:pt idx="0">
                  <c:v>Would attend favourite artist's live show</c:v>
                </c:pt>
                <c:pt idx="1">
                  <c:v>Likely to buy artist merchandise</c:v>
                </c:pt>
              </c:strCache>
            </c:strRef>
          </c:cat>
          <c:val>
            <c:numRef>
              <c:f>'Ex16 Conversion'!$C$6:$C$7</c:f>
              <c:numCache>
                <c:formatCode>0%</c:formatCode>
                <c:ptCount val="2"/>
                <c:pt idx="0">
                  <c:v>0.9</c:v>
                </c:pt>
                <c:pt idx="1">
                  <c:v>0.73</c:v>
                </c:pt>
              </c:numCache>
            </c:numRef>
          </c:val>
        </c:ser>
        <c:ser>
          <c:idx val="1"/>
          <c:order val="1"/>
          <c:tx>
            <c:strRef>
              <c:f>'Ex16 Conversion'!D5</c:f>
              <c:strCache>
                <c:ptCount val="1"/>
                <c:pt idx="0">
                  <c:v>General listeners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'Ex16 Conversion'!$B$6:$B$7</c:f>
              <c:strCache>
                <c:ptCount val="2"/>
                <c:pt idx="0">
                  <c:v>Would attend favourite artist's live show</c:v>
                </c:pt>
                <c:pt idx="1">
                  <c:v>Likely to buy artist merchandise</c:v>
                </c:pt>
              </c:strCache>
            </c:strRef>
          </c:cat>
          <c:val>
            <c:numRef>
              <c:f>'Ex16 Conversion'!$D$6:$D$7</c:f>
              <c:numCache>
                <c:formatCode>0%</c:formatCode>
                <c:ptCount val="2"/>
                <c:pt idx="0">
                  <c:v>0.59</c:v>
                </c:pt>
                <c:pt idx="1">
                  <c:v>0.26</c:v>
                </c:pt>
              </c:numCache>
            </c:numRef>
          </c:val>
        </c:ser>
        <c:gapWidth val="150"/>
        <c:overlap val="0"/>
        <c:axId val="85762513"/>
        <c:axId val="56512943"/>
      </c:barChart>
      <c:catAx>
        <c:axId val="85762513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12943"/>
        <c:crosses val="autoZero"/>
        <c:auto val="1"/>
        <c:lblAlgn val="ctr"/>
        <c:lblOffset val="100"/>
        <c:noMultiLvlLbl val="0"/>
      </c:catAx>
      <c:valAx>
        <c:axId val="565129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625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Arena capacity mix: historic vs new-build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'Ex17 Live Nation'!C6</c:f>
              <c:strCache>
                <c:ptCount val="1"/>
                <c:pt idx="0">
                  <c:v>Historic norm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'Ex17 Live Nation'!$B$7:$B$8</c:f>
              <c:strCache>
                <c:ptCount val="2"/>
                <c:pt idx="0">
                  <c:v>Premium (suites, boxes, VIP, lounges)</c:v>
                </c:pt>
                <c:pt idx="1">
                  <c:v>General admission</c:v>
                </c:pt>
              </c:strCache>
            </c:strRef>
          </c:cat>
          <c:val>
            <c:numRef>
              <c:f>'Ex17 Live Nation'!$C$7:$C$8</c:f>
              <c:numCache>
                <c:formatCode>0%</c:formatCode>
                <c:ptCount val="2"/>
                <c:pt idx="0">
                  <c:v>0.01</c:v>
                </c:pt>
                <c:pt idx="1">
                  <c:v>0.99</c:v>
                </c:pt>
              </c:numCache>
            </c:numRef>
          </c:val>
        </c:ser>
        <c:ser>
          <c:idx val="1"/>
          <c:order val="1"/>
          <c:tx>
            <c:strRef>
              <c:f>'Ex17 Live Nation'!D6</c:f>
              <c:strCache>
                <c:ptCount val="1"/>
                <c:pt idx="0">
                  <c:v>New-build target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'Ex17 Live Nation'!$B$7:$B$8</c:f>
              <c:strCache>
                <c:ptCount val="2"/>
                <c:pt idx="0">
                  <c:v>Premium (suites, boxes, VIP, lounges)</c:v>
                </c:pt>
                <c:pt idx="1">
                  <c:v>General admission</c:v>
                </c:pt>
              </c:strCache>
            </c:strRef>
          </c:cat>
          <c:val>
            <c:numRef>
              <c:f>'Ex17 Live Nation'!$D$7:$D$8</c:f>
              <c:numCache>
                <c:formatCode>0%</c:formatCode>
                <c:ptCount val="2"/>
                <c:pt idx="0">
                  <c:v>0.3</c:v>
                </c:pt>
                <c:pt idx="1">
                  <c:v>0.7</c:v>
                </c:pt>
              </c:numCache>
            </c:numRef>
          </c:val>
        </c:ser>
        <c:gapWidth val="150"/>
        <c:overlap val="100"/>
        <c:axId val="51839509"/>
        <c:axId val="72612657"/>
      </c:barChart>
      <c:catAx>
        <c:axId val="51839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12657"/>
        <c:crosses val="autoZero"/>
        <c:auto val="1"/>
        <c:lblAlgn val="ctr"/>
        <c:lblOffset val="100"/>
        <c:noMultiLvlLbl val="0"/>
      </c:catAx>
      <c:valAx>
        <c:axId val="72612657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39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16</xdr:col>
      <xdr:colOff>38880</xdr:colOff>
      <xdr:row>14</xdr:row>
      <xdr:rowOff>45000</xdr:rowOff>
    </xdr:to>
    <xdr:graphicFrame>
      <xdr:nvGraphicFramePr>
        <xdr:cNvPr id="0" name="Chart 1"/>
        <xdr:cNvGraphicFramePr/>
      </xdr:nvGraphicFramePr>
      <xdr:xfrm>
        <a:off x="9844920" y="762120"/>
        <a:ext cx="431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16</xdr:col>
      <xdr:colOff>398880</xdr:colOff>
      <xdr:row>13</xdr:row>
      <xdr:rowOff>152640</xdr:rowOff>
    </xdr:to>
    <xdr:graphicFrame>
      <xdr:nvGraphicFramePr>
        <xdr:cNvPr id="1" name="Chart 1"/>
        <xdr:cNvGraphicFramePr/>
      </xdr:nvGraphicFramePr>
      <xdr:xfrm>
        <a:off x="10549800" y="762120"/>
        <a:ext cx="467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16</xdr:col>
      <xdr:colOff>399240</xdr:colOff>
      <xdr:row>16</xdr:row>
      <xdr:rowOff>53280</xdr:rowOff>
    </xdr:to>
    <xdr:graphicFrame>
      <xdr:nvGraphicFramePr>
        <xdr:cNvPr id="2" name="Chart 1"/>
        <xdr:cNvGraphicFramePr/>
      </xdr:nvGraphicFramePr>
      <xdr:xfrm>
        <a:off x="10409040" y="7621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5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  <c r="I4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B7" s="5" t="s">
        <v>4</v>
      </c>
      <c r="C7" s="6" t="s">
        <v>5</v>
      </c>
      <c r="D7" s="6"/>
      <c r="E7" s="6"/>
      <c r="F7" s="6"/>
      <c r="G7" s="6"/>
      <c r="H7" s="7" t="s">
        <v>6</v>
      </c>
      <c r="I7" s="7"/>
    </row>
    <row r="8" customFormat="false" ht="15" hidden="false" customHeight="true" outlineLevel="0" collapsed="false">
      <c r="B8" s="5" t="s">
        <v>7</v>
      </c>
      <c r="C8" s="6" t="s">
        <v>8</v>
      </c>
      <c r="D8" s="6"/>
      <c r="E8" s="6"/>
      <c r="F8" s="6"/>
      <c r="G8" s="6"/>
      <c r="H8" s="7" t="s">
        <v>9</v>
      </c>
      <c r="I8" s="7"/>
    </row>
    <row r="9" customFormat="false" ht="15" hidden="false" customHeight="true" outlineLevel="0" collapsed="false">
      <c r="B9" s="5" t="s">
        <v>10</v>
      </c>
      <c r="C9" s="6" t="s">
        <v>11</v>
      </c>
      <c r="D9" s="6"/>
      <c r="E9" s="6"/>
      <c r="F9" s="6"/>
      <c r="G9" s="6"/>
      <c r="H9" s="7" t="s">
        <v>12</v>
      </c>
      <c r="I9" s="7"/>
    </row>
    <row r="10" customFormat="false" ht="15" hidden="false" customHeight="true" outlineLevel="0" collapsed="false">
      <c r="B10" s="5" t="s">
        <v>13</v>
      </c>
      <c r="C10" s="6" t="s">
        <v>14</v>
      </c>
      <c r="D10" s="6"/>
      <c r="E10" s="6"/>
      <c r="F10" s="6"/>
      <c r="G10" s="6"/>
      <c r="H10" s="7" t="s">
        <v>15</v>
      </c>
      <c r="I10" s="7"/>
    </row>
    <row r="12" customFormat="false" ht="19.4" hidden="false" customHeight="true" outlineLevel="0" collapsed="false">
      <c r="B12" s="7" t="s">
        <v>16</v>
      </c>
      <c r="C12" s="7"/>
      <c r="D12" s="7"/>
      <c r="E12" s="7"/>
      <c r="F12" s="7"/>
      <c r="G12" s="7"/>
      <c r="H12" s="7"/>
      <c r="I12" s="7"/>
    </row>
  </sheetData>
  <mergeCells count="13">
    <mergeCell ref="B2:I2"/>
    <mergeCell ref="B3:I3"/>
    <mergeCell ref="B4:I4"/>
    <mergeCell ref="B6:I6"/>
    <mergeCell ref="C7:G7"/>
    <mergeCell ref="H7:I7"/>
    <mergeCell ref="C8:G8"/>
    <mergeCell ref="H8:I8"/>
    <mergeCell ref="C9:G9"/>
    <mergeCell ref="H9:I9"/>
    <mergeCell ref="C10:G10"/>
    <mergeCell ref="H10:I10"/>
    <mergeCell ref="B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8" min="3" style="0" width="14"/>
  </cols>
  <sheetData>
    <row r="2" customFormat="false" ht="17.35" hidden="false" customHeight="true" outlineLevel="0" collapsed="false">
      <c r="B2" s="8" t="s">
        <v>17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9" t="s">
        <v>18</v>
      </c>
      <c r="C3" s="9"/>
      <c r="D3" s="9"/>
      <c r="E3" s="9"/>
      <c r="F3" s="9"/>
      <c r="G3" s="9"/>
      <c r="H3" s="9"/>
    </row>
    <row r="5" customFormat="false" ht="15" hidden="false" customHeight="false" outlineLevel="0" collapsed="false">
      <c r="B5" s="10" t="s">
        <v>19</v>
      </c>
      <c r="C5" s="10" t="s">
        <v>20</v>
      </c>
    </row>
    <row r="6" customFormat="false" ht="15" hidden="false" customHeight="false" outlineLevel="0" collapsed="false">
      <c r="B6" s="11" t="s">
        <v>21</v>
      </c>
      <c r="C6" s="12" t="n">
        <v>0.02</v>
      </c>
    </row>
    <row r="7" customFormat="false" ht="15" hidden="false" customHeight="false" outlineLevel="0" collapsed="false">
      <c r="B7" s="11" t="s">
        <v>22</v>
      </c>
      <c r="C7" s="12" t="n">
        <v>0.18</v>
      </c>
    </row>
    <row r="8" customFormat="false" ht="15" hidden="false" customHeight="false" outlineLevel="0" collapsed="false">
      <c r="B8" s="13" t="s">
        <v>23</v>
      </c>
      <c r="C8" s="14" t="n">
        <f aca="false">C7/C6</f>
        <v>9</v>
      </c>
    </row>
    <row r="10" customFormat="false" ht="15" hidden="false" customHeight="false" outlineLevel="0" collapsed="false">
      <c r="B10" s="15" t="s">
        <v>24</v>
      </c>
      <c r="C10" s="15" t="s">
        <v>20</v>
      </c>
    </row>
    <row r="11" customFormat="false" ht="15" hidden="false" customHeight="false" outlineLevel="0" collapsed="false">
      <c r="B11" s="11" t="s">
        <v>25</v>
      </c>
      <c r="C11" s="12" t="n">
        <v>0.2</v>
      </c>
    </row>
    <row r="12" customFormat="false" ht="15" hidden="false" customHeight="false" outlineLevel="0" collapsed="false">
      <c r="B12" s="11" t="s">
        <v>26</v>
      </c>
      <c r="C12" s="12" t="n">
        <v>0.18</v>
      </c>
    </row>
    <row r="13" customFormat="false" ht="15" hidden="false" customHeight="false" outlineLevel="0" collapsed="false">
      <c r="B13" s="11" t="s">
        <v>27</v>
      </c>
      <c r="C13" s="12" t="n">
        <v>0.15</v>
      </c>
    </row>
    <row r="15" customFormat="false" ht="23.85" hidden="false" customHeight="true" outlineLevel="0" collapsed="false">
      <c r="B15" s="16" t="s">
        <v>28</v>
      </c>
      <c r="C15" s="16"/>
      <c r="D15" s="16"/>
      <c r="E15" s="16"/>
      <c r="F15" s="16"/>
      <c r="G15" s="16"/>
      <c r="H15" s="16"/>
    </row>
    <row r="16" customFormat="false" ht="19.4" hidden="false" customHeight="true" outlineLevel="0" collapsed="false">
      <c r="B16" s="7" t="s">
        <v>29</v>
      </c>
      <c r="C16" s="7"/>
      <c r="D16" s="7"/>
      <c r="E16" s="7"/>
      <c r="F16" s="7"/>
      <c r="G16" s="7"/>
      <c r="H16" s="7"/>
    </row>
  </sheetData>
  <mergeCells count="4">
    <mergeCell ref="B2:H2"/>
    <mergeCell ref="B3:H3"/>
    <mergeCell ref="B15:H15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6"/>
  </cols>
  <sheetData>
    <row r="2" customFormat="false" ht="17.35" hidden="false" customHeight="true" outlineLevel="0" collapsed="false">
      <c r="B2" s="8" t="s">
        <v>30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9" t="s">
        <v>31</v>
      </c>
      <c r="C3" s="9"/>
      <c r="D3" s="9"/>
      <c r="E3" s="9"/>
      <c r="F3" s="9"/>
      <c r="G3" s="9"/>
      <c r="H3" s="9"/>
    </row>
    <row r="5" customFormat="false" ht="26.85" hidden="false" customHeight="false" outlineLevel="0" collapsed="false">
      <c r="B5" s="10" t="s">
        <v>32</v>
      </c>
      <c r="C5" s="10" t="s">
        <v>33</v>
      </c>
      <c r="D5" s="10" t="s">
        <v>34</v>
      </c>
      <c r="E5" s="10" t="s">
        <v>35</v>
      </c>
    </row>
    <row r="6" customFormat="false" ht="15" hidden="false" customHeight="false" outlineLevel="0" collapsed="false">
      <c r="B6" s="11" t="s">
        <v>36</v>
      </c>
      <c r="C6" s="12" t="n">
        <v>0.9</v>
      </c>
      <c r="D6" s="12" t="n">
        <v>0.59</v>
      </c>
      <c r="E6" s="17" t="n">
        <f aca="false">(C6-D6)</f>
        <v>0.31</v>
      </c>
    </row>
    <row r="7" customFormat="false" ht="15" hidden="false" customHeight="false" outlineLevel="0" collapsed="false">
      <c r="B7" s="11" t="s">
        <v>37</v>
      </c>
      <c r="C7" s="12" t="n">
        <v>0.73</v>
      </c>
      <c r="D7" s="12" t="n">
        <v>0.26</v>
      </c>
      <c r="E7" s="17" t="n">
        <f aca="false">(C7-D7)</f>
        <v>0.47</v>
      </c>
    </row>
    <row r="9" customFormat="false" ht="23.85" hidden="false" customHeight="true" outlineLevel="0" collapsed="false">
      <c r="B9" s="16" t="s">
        <v>38</v>
      </c>
      <c r="C9" s="16"/>
      <c r="D9" s="16"/>
      <c r="E9" s="16"/>
      <c r="F9" s="16"/>
      <c r="G9" s="16"/>
      <c r="H9" s="16"/>
    </row>
    <row r="10" customFormat="false" ht="15" hidden="false" customHeight="true" outlineLevel="0" collapsed="false">
      <c r="B10" s="7" t="s">
        <v>39</v>
      </c>
      <c r="C10" s="7"/>
      <c r="D10" s="7"/>
      <c r="E10" s="7"/>
      <c r="F10" s="7"/>
      <c r="G10" s="7"/>
      <c r="H10" s="7"/>
    </row>
  </sheetData>
  <mergeCells count="4">
    <mergeCell ref="B2:H2"/>
    <mergeCell ref="B3:H3"/>
    <mergeCell ref="B9:H9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8" min="3" style="0" width="15"/>
  </cols>
  <sheetData>
    <row r="2" customFormat="false" ht="17.35" hidden="false" customHeight="true" outlineLevel="0" collapsed="false">
      <c r="B2" s="8" t="s">
        <v>40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9" t="s">
        <v>41</v>
      </c>
      <c r="C3" s="9"/>
      <c r="D3" s="9"/>
      <c r="E3" s="9"/>
      <c r="F3" s="9"/>
      <c r="G3" s="9"/>
      <c r="H3" s="9"/>
    </row>
    <row r="5" customFormat="false" ht="15" hidden="false" customHeight="false" outlineLevel="0" collapsed="false">
      <c r="B5" s="18" t="s">
        <v>42</v>
      </c>
    </row>
    <row r="6" customFormat="false" ht="26.85" hidden="false" customHeight="false" outlineLevel="0" collapsed="false">
      <c r="B6" s="10" t="s">
        <v>43</v>
      </c>
      <c r="C6" s="10" t="s">
        <v>44</v>
      </c>
      <c r="D6" s="10" t="s">
        <v>45</v>
      </c>
    </row>
    <row r="7" customFormat="false" ht="15" hidden="false" customHeight="false" outlineLevel="0" collapsed="false">
      <c r="B7" s="19" t="s">
        <v>46</v>
      </c>
      <c r="C7" s="20" t="n">
        <v>0.01</v>
      </c>
      <c r="D7" s="20" t="n">
        <v>0.3</v>
      </c>
    </row>
    <row r="8" customFormat="false" ht="15" hidden="false" customHeight="false" outlineLevel="0" collapsed="false">
      <c r="B8" s="11" t="s">
        <v>47</v>
      </c>
      <c r="C8" s="12" t="n">
        <v>0.99</v>
      </c>
      <c r="D8" s="12" t="n">
        <v>0.7</v>
      </c>
    </row>
    <row r="10" customFormat="false" ht="15" hidden="false" customHeight="false" outlineLevel="0" collapsed="false">
      <c r="B10" s="18" t="s">
        <v>48</v>
      </c>
    </row>
    <row r="11" customFormat="false" ht="15" hidden="false" customHeight="false" outlineLevel="0" collapsed="false">
      <c r="B11" s="15" t="s">
        <v>19</v>
      </c>
      <c r="C11" s="15" t="s">
        <v>20</v>
      </c>
    </row>
    <row r="12" customFormat="false" ht="15" hidden="false" customHeight="false" outlineLevel="0" collapsed="false">
      <c r="B12" s="11" t="s">
        <v>49</v>
      </c>
      <c r="C12" s="21" t="s">
        <v>50</v>
      </c>
    </row>
    <row r="13" customFormat="false" ht="15" hidden="false" customHeight="false" outlineLevel="0" collapsed="false">
      <c r="B13" s="11" t="s">
        <v>51</v>
      </c>
      <c r="C13" s="21" t="s">
        <v>52</v>
      </c>
    </row>
    <row r="14" customFormat="false" ht="15" hidden="false" customHeight="false" outlineLevel="0" collapsed="false">
      <c r="B14" s="11" t="s">
        <v>53</v>
      </c>
      <c r="C14" s="21" t="s">
        <v>54</v>
      </c>
    </row>
    <row r="15" customFormat="false" ht="15" hidden="false" customHeight="false" outlineLevel="0" collapsed="false">
      <c r="B15" s="11" t="s">
        <v>55</v>
      </c>
      <c r="C15" s="21" t="s">
        <v>56</v>
      </c>
    </row>
    <row r="16" customFormat="false" ht="15" hidden="false" customHeight="false" outlineLevel="0" collapsed="false">
      <c r="B16" s="11" t="s">
        <v>57</v>
      </c>
      <c r="C16" s="21" t="s">
        <v>58</v>
      </c>
    </row>
    <row r="18" customFormat="false" ht="23.85" hidden="false" customHeight="true" outlineLevel="0" collapsed="false">
      <c r="B18" s="16" t="s">
        <v>59</v>
      </c>
      <c r="C18" s="16"/>
      <c r="D18" s="16"/>
      <c r="E18" s="16"/>
      <c r="F18" s="16"/>
      <c r="G18" s="16"/>
      <c r="H18" s="16"/>
    </row>
    <row r="19" customFormat="false" ht="15" hidden="false" customHeight="true" outlineLevel="0" collapsed="false">
      <c r="B19" s="7" t="s">
        <v>60</v>
      </c>
      <c r="C19" s="7"/>
      <c r="D19" s="7"/>
      <c r="E19" s="7"/>
      <c r="F19" s="7"/>
      <c r="G19" s="7"/>
      <c r="H19" s="7"/>
    </row>
  </sheetData>
  <mergeCells count="4">
    <mergeCell ref="B2:H2"/>
    <mergeCell ref="B3:H3"/>
    <mergeCell ref="B18:H18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8" min="4" style="0" width="13"/>
  </cols>
  <sheetData>
    <row r="2" customFormat="false" ht="17.35" hidden="false" customHeight="true" outlineLevel="0" collapsed="false">
      <c r="B2" s="8" t="s">
        <v>61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9" t="s">
        <v>62</v>
      </c>
      <c r="C3" s="9"/>
      <c r="D3" s="9"/>
      <c r="E3" s="9"/>
      <c r="F3" s="9"/>
      <c r="G3" s="9"/>
      <c r="H3" s="9"/>
    </row>
    <row r="5" customFormat="false" ht="15" hidden="false" customHeight="false" outlineLevel="0" collapsed="false">
      <c r="B5" s="18" t="s">
        <v>63</v>
      </c>
    </row>
    <row r="6" customFormat="false" ht="15" hidden="false" customHeight="false" outlineLevel="0" collapsed="false">
      <c r="B6" s="10" t="s">
        <v>64</v>
      </c>
      <c r="C6" s="10" t="s">
        <v>65</v>
      </c>
    </row>
    <row r="7" customFormat="false" ht="23.85" hidden="false" customHeight="false" outlineLevel="0" collapsed="false">
      <c r="B7" s="13" t="s">
        <v>66</v>
      </c>
      <c r="C7" s="11" t="s">
        <v>67</v>
      </c>
    </row>
    <row r="8" customFormat="false" ht="23.85" hidden="false" customHeight="false" outlineLevel="0" collapsed="false">
      <c r="B8" s="13" t="s">
        <v>68</v>
      </c>
      <c r="C8" s="11" t="s">
        <v>69</v>
      </c>
    </row>
    <row r="9" customFormat="false" ht="23.85" hidden="false" customHeight="false" outlineLevel="0" collapsed="false">
      <c r="B9" s="13" t="s">
        <v>70</v>
      </c>
      <c r="C9" s="11" t="s">
        <v>71</v>
      </c>
    </row>
    <row r="10" customFormat="false" ht="15" hidden="false" customHeight="false" outlineLevel="0" collapsed="false">
      <c r="B10" s="13" t="s">
        <v>72</v>
      </c>
      <c r="C10" s="11" t="s">
        <v>73</v>
      </c>
    </row>
    <row r="11" customFormat="false" ht="23.85" hidden="false" customHeight="false" outlineLevel="0" collapsed="false">
      <c r="B11" s="13" t="s">
        <v>74</v>
      </c>
      <c r="C11" s="11" t="s">
        <v>75</v>
      </c>
    </row>
    <row r="13" customFormat="false" ht="15" hidden="false" customHeight="false" outlineLevel="0" collapsed="false">
      <c r="B13" s="18" t="s">
        <v>76</v>
      </c>
    </row>
    <row r="14" customFormat="false" ht="15" hidden="false" customHeight="false" outlineLevel="0" collapsed="false">
      <c r="B14" s="15" t="s">
        <v>19</v>
      </c>
      <c r="C14" s="15" t="s">
        <v>20</v>
      </c>
    </row>
    <row r="15" customFormat="false" ht="15" hidden="false" customHeight="false" outlineLevel="0" collapsed="false">
      <c r="B15" s="11" t="s">
        <v>77</v>
      </c>
      <c r="C15" s="11" t="s">
        <v>78</v>
      </c>
    </row>
    <row r="16" customFormat="false" ht="15" hidden="false" customHeight="false" outlineLevel="0" collapsed="false">
      <c r="B16" s="11" t="s">
        <v>79</v>
      </c>
      <c r="C16" s="11" t="s">
        <v>80</v>
      </c>
    </row>
    <row r="17" customFormat="false" ht="15" hidden="false" customHeight="false" outlineLevel="0" collapsed="false">
      <c r="B17" s="11" t="s">
        <v>81</v>
      </c>
      <c r="C17" s="11" t="s">
        <v>82</v>
      </c>
    </row>
    <row r="18" customFormat="false" ht="23.85" hidden="false" customHeight="false" outlineLevel="0" collapsed="false">
      <c r="B18" s="11" t="s">
        <v>83</v>
      </c>
      <c r="C18" s="11" t="s">
        <v>84</v>
      </c>
    </row>
    <row r="19" customFormat="false" ht="15" hidden="false" customHeight="false" outlineLevel="0" collapsed="false">
      <c r="B19" s="11" t="s">
        <v>85</v>
      </c>
      <c r="C19" s="11" t="s">
        <v>86</v>
      </c>
    </row>
    <row r="20" customFormat="false" ht="23.85" hidden="false" customHeight="false" outlineLevel="0" collapsed="false">
      <c r="B20" s="11" t="s">
        <v>87</v>
      </c>
      <c r="C20" s="11" t="s">
        <v>88</v>
      </c>
    </row>
    <row r="22" customFormat="false" ht="23.85" hidden="false" customHeight="true" outlineLevel="0" collapsed="false">
      <c r="B22" s="16" t="s">
        <v>89</v>
      </c>
      <c r="C22" s="16"/>
      <c r="D22" s="16"/>
      <c r="E22" s="16"/>
      <c r="F22" s="16"/>
      <c r="G22" s="16"/>
      <c r="H22" s="16"/>
    </row>
    <row r="23" customFormat="false" ht="15" hidden="false" customHeight="true" outlineLevel="0" collapsed="false">
      <c r="B23" s="7" t="s">
        <v>90</v>
      </c>
      <c r="C23" s="7"/>
      <c r="D23" s="7"/>
      <c r="E23" s="7"/>
      <c r="F23" s="7"/>
      <c r="G23" s="7"/>
      <c r="H23" s="7"/>
    </row>
  </sheetData>
  <mergeCells count="4">
    <mergeCell ref="B2:H2"/>
    <mergeCell ref="B3:H3"/>
    <mergeCell ref="B22:H22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2026-07-01T19:22:30Z</dcterms:created>
  <dc:creator>openpyxl</dc:creator>
  <dc:description/>
  <dc:language>en-US</dc:language>
  <cp:lastModifiedBy/>
  <dcterms:modified xsi:type="dcterms:W3CDTF">2026-07-01T19:22:33Z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