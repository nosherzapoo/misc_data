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1 Site Fees" sheetId="1" state="visible" r:id="rId1"/>
    <sheet xmlns:r="http://schemas.openxmlformats.org/officeDocument/2006/relationships" name="UFC FIPs" sheetId="2" state="visible" r:id="rId2"/>
    <sheet xmlns:r="http://schemas.openxmlformats.org/officeDocument/2006/relationships" name="MotoGP Site Fees" sheetId="3" state="visible" r:id="rId3"/>
    <sheet xmlns:r="http://schemas.openxmlformats.org/officeDocument/2006/relationships" name="WWE FIP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"/>
    <numFmt numFmtId="165" formatCode="0.0%"/>
    <numFmt numFmtId="166" formatCode="0.0\x"/>
    <numFmt numFmtId="167" formatCode="\$#,##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2A4A"/>
      <sz val="14"/>
    </font>
    <font>
      <name val="Arial"/>
      <charset val="1"/>
      <family val="0"/>
      <color rgb="FF7F8C8D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1B2A4A"/>
      <sz val="11"/>
    </font>
    <font>
      <name val="Arial"/>
      <charset val="1"/>
      <family val="0"/>
      <color rgb="FF555555"/>
      <sz val="9"/>
    </font>
  </fonts>
  <fills count="12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3E0"/>
        <bgColor rgb="FFFEF9E7"/>
      </patternFill>
    </fill>
    <fill>
      <patternFill patternType="solid">
        <fgColor rgb="FFE0F2F1"/>
        <bgColor rgb="FFE8F8F5"/>
      </patternFill>
    </fill>
    <fill>
      <patternFill patternType="solid">
        <fgColor rgb="FFE8EAF6"/>
        <bgColor rgb="FFE0F2F1"/>
      </patternFill>
    </fill>
    <fill>
      <patternFill patternType="solid">
        <fgColor rgb="FFFCE4EC"/>
        <bgColor rgb="FFFADBD8"/>
      </patternFill>
    </fill>
    <fill>
      <patternFill patternType="solid">
        <fgColor rgb="FFF1F8E9"/>
        <bgColor rgb="FFE8F8F5"/>
      </patternFill>
    </fill>
    <fill>
      <patternFill patternType="solid">
        <fgColor rgb="FFE8F8F5"/>
        <bgColor rgb="FFF1F8E9"/>
      </patternFill>
    </fill>
    <fill>
      <patternFill patternType="solid">
        <fgColor rgb="FFFADBD8"/>
        <bgColor rgb="FFFCE4EC"/>
      </patternFill>
    </fill>
    <fill>
      <patternFill patternType="solid">
        <fgColor rgb="FFFEF9E7"/>
        <bgColor rgb="FFFFF3E0"/>
      </patternFill>
    </fill>
    <fill>
      <patternFill patternType="solid">
        <fgColor rgb="FFD5F5E3"/>
        <bgColor rgb="FFE0F2F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164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164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164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164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164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164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9" fontId="11" fillId="9" borderId="1" applyAlignment="1" pivotButton="0" quotePrefix="0" xfId="0">
      <alignment horizontal="center" vertical="center"/>
    </xf>
    <xf numFmtId="165" fontId="10" fillId="8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1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164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166" fontId="11" fillId="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67" fontId="8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6" fontId="11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164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164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164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164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164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164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9" fontId="11" fillId="9" borderId="1" applyAlignment="1" pivotButton="0" quotePrefix="0" xfId="0">
      <alignment horizontal="center" vertical="center"/>
    </xf>
    <xf numFmtId="165" fontId="10" fillId="8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10" borderId="0" applyAlignment="1" pivotButton="0" quotePrefix="0" xfId="0">
      <alignment horizontal="general" vertical="top" wrapText="1"/>
    </xf>
    <xf numFmtId="166" fontId="11" fillId="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67" fontId="8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8C8D"/>
      <rgbColor rgb="FF9999FF"/>
      <rgbColor rgb="FF993366"/>
      <rgbColor rgb="FFFEF9E7"/>
      <rgbColor rgb="FFE0F2F1"/>
      <rgbColor rgb="FF660066"/>
      <rgbColor rgb="FFFF8080"/>
      <rgbColor rgb="FF0066CC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F5"/>
      <rgbColor rgb="FFD5F5E3"/>
      <rgbColor rgb="FFFFF3E0"/>
      <rgbColor rgb="FFFCE4EC"/>
      <rgbColor rgb="FFF1F8E9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555555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8" min="1" max="1"/>
    <col width="14" customWidth="1" style="48" min="2" max="2"/>
    <col width="16" customWidth="1" style="48" min="3" max="4"/>
    <col width="50" customWidth="1" style="48" min="5" max="5"/>
  </cols>
  <sheetData>
    <row r="1" ht="17.25" customHeight="1" s="49">
      <c r="A1" s="50" t="inlineStr">
        <is>
          <t>F1 — Race Promotion Fees (2025 Est.)</t>
        </is>
      </c>
    </row>
    <row r="2" ht="15" customHeight="1" s="49">
      <c r="A2" s="51" t="inlineStr">
        <is>
          <t>Paid by circuit promoter/govt to Liberty Media (FWONK) | $M USD | Base: RacingNews365 2023 + ~5%/yr escalation to 2025</t>
        </is>
      </c>
    </row>
    <row r="4" ht="31.5" customHeight="1" s="49">
      <c r="A4" s="52" t="inlineStr">
        <is>
          <t>Grand Prix</t>
        </is>
      </c>
      <c r="B4" s="52" t="inlineStr">
        <is>
          <t>Region</t>
        </is>
      </c>
      <c r="C4" s="52" t="inlineStr">
        <is>
          <t>Est. 2025
Fee ($M)</t>
        </is>
      </c>
      <c r="D4" s="52" t="inlineStr">
        <is>
          <t>Contract
Through</t>
        </is>
      </c>
      <c r="E4" s="52" t="inlineStr">
        <is>
          <t>Source / Notes</t>
        </is>
      </c>
    </row>
    <row r="5" ht="39.75" customHeight="1" s="49">
      <c r="A5" s="53" t="inlineStr">
        <is>
          <t>Azerbaijan (Baku)</t>
        </is>
      </c>
      <c r="B5" s="53" t="inlineStr">
        <is>
          <t>Gulf/CIS</t>
        </is>
      </c>
      <c r="C5" s="54" t="n">
        <v>62</v>
      </c>
      <c r="D5" s="53" t="inlineStr">
        <is>
          <t>2030</t>
        </is>
      </c>
      <c r="E5" s="55" t="inlineStr">
        <is>
          <t>RN365 2023: $57M → 2025 est. $62M (5% esc.). Highest single circuit fee. New 4yr extension signed 2025.</t>
        </is>
      </c>
    </row>
    <row r="6" ht="39.75" customHeight="1" s="49">
      <c r="A6" s="53" t="inlineStr">
        <is>
          <t>Qatar (Lusail)</t>
        </is>
      </c>
      <c r="B6" s="53" t="inlineStr">
        <is>
          <t>Gulf</t>
        </is>
      </c>
      <c r="C6" s="54" t="n">
        <v>60</v>
      </c>
      <c r="D6" s="53" t="inlineStr">
        <is>
          <t>2032</t>
        </is>
      </c>
      <c r="E6" s="55" t="inlineStr">
        <is>
          <t>RN365 2023: $55M → 2025 est. $60M. 10yr/$550M+ deal. Yahoo Sports (Mar 2026) confirmed ~$55M base.</t>
        </is>
      </c>
    </row>
    <row r="7" ht="39.75" customHeight="1" s="49">
      <c r="A7" s="53" t="inlineStr">
        <is>
          <t>Saudi Arabia (Jeddah)</t>
        </is>
      </c>
      <c r="B7" s="53" t="inlineStr">
        <is>
          <t>Gulf</t>
        </is>
      </c>
      <c r="C7" s="54" t="n">
        <v>60</v>
      </c>
      <c r="D7" s="53" t="inlineStr">
        <is>
          <t>2030+</t>
        </is>
      </c>
      <c r="E7" s="55" t="inlineStr">
        <is>
          <t>RN365 2023: $55M → 2025 est. $60M. Total Saudi spend &gt;$100M/yr incl. Aramco title sponsorship (separate).</t>
        </is>
      </c>
    </row>
    <row r="8" ht="39.75" customHeight="1" s="49">
      <c r="A8" s="53" t="inlineStr">
        <is>
          <t>Bahrain (Sakhir)</t>
        </is>
      </c>
      <c r="B8" s="53" t="inlineStr">
        <is>
          <t>Gulf</t>
        </is>
      </c>
      <c r="C8" s="54" t="n">
        <v>50</v>
      </c>
      <c r="D8" s="53" t="inlineStr">
        <is>
          <t>2036</t>
        </is>
      </c>
      <c r="E8" s="55" t="inlineStr">
        <is>
          <t>RN365/Yahoo (Mar 2026): ~$45M base → 2025 est. $50M. Longest contract. Bahrain SWF owns McLaren.</t>
        </is>
      </c>
    </row>
    <row r="9" ht="39.75" customHeight="1" s="49">
      <c r="A9" s="53" t="inlineStr">
        <is>
          <t>Abu Dhabi (Yas Marina)</t>
        </is>
      </c>
      <c r="B9" s="53" t="inlineStr">
        <is>
          <t>Gulf</t>
        </is>
      </c>
      <c r="C9" s="54" t="n">
        <v>46</v>
      </c>
      <c r="D9" s="53" t="inlineStr">
        <is>
          <t>2030</t>
        </is>
      </c>
      <c r="E9" s="55" t="inlineStr">
        <is>
          <t>RN365 2023: ~$42M → 2025 est. $46M. Season finale lock. Part of $40B Yas Island investment.</t>
        </is>
      </c>
    </row>
    <row r="10" ht="39.75" customHeight="1" s="49">
      <c r="A10" s="56" t="inlineStr">
        <is>
          <t>China (Shanghai)</t>
        </is>
      </c>
      <c r="B10" s="56" t="inlineStr">
        <is>
          <t>Asia</t>
        </is>
      </c>
      <c r="C10" s="57" t="n">
        <v>44</v>
      </c>
      <c r="D10" s="56" t="inlineStr">
        <is>
          <t>2030</t>
        </is>
      </c>
      <c r="E10" s="58" t="inlineStr">
        <is>
          <t>RN365 2023: ~$40M → 2025 est. $44M. New 5yr extension signed Dec 2024.</t>
        </is>
      </c>
    </row>
    <row r="11" ht="39.75" customHeight="1" s="49">
      <c r="A11" s="56" t="inlineStr">
        <is>
          <t>Singapore (Marina Bay)</t>
        </is>
      </c>
      <c r="B11" s="56" t="inlineStr">
        <is>
          <t>Asia</t>
        </is>
      </c>
      <c r="C11" s="57" t="n">
        <v>42</v>
      </c>
      <c r="D11" s="56" t="inlineStr">
        <is>
          <t>2028</t>
        </is>
      </c>
      <c r="E11" s="58" t="inlineStr">
        <is>
          <t>RN365: ~$38M → 2025 est. $42M. $150-200M tourism ROI per weekend (arthnova.com).</t>
        </is>
      </c>
    </row>
    <row r="12" ht="39.75" customHeight="1" s="49">
      <c r="A12" s="56" t="inlineStr">
        <is>
          <t>Australia (Melbourne)</t>
        </is>
      </c>
      <c r="B12" s="56" t="inlineStr">
        <is>
          <t>Asia-Pac</t>
        </is>
      </c>
      <c r="C12" s="57" t="n">
        <v>39</v>
      </c>
      <c r="D12" s="56" t="inlineStr">
        <is>
          <t>2035</t>
        </is>
      </c>
      <c r="E12" s="58" t="inlineStr">
        <is>
          <t>arthnova.com: $37M locked pre-boom → 2025 est. ~$39M. Below-market long-term rate.</t>
        </is>
      </c>
    </row>
    <row r="13" ht="39.75" customHeight="1" s="49">
      <c r="A13" s="56" t="inlineStr">
        <is>
          <t>Japan (Suzuka)</t>
        </is>
      </c>
      <c r="B13" s="56" t="inlineStr">
        <is>
          <t>Asia</t>
        </is>
      </c>
      <c r="C13" s="57" t="n">
        <v>33</v>
      </c>
      <c r="D13" s="56" t="inlineStr">
        <is>
          <t>2029</t>
        </is>
      </c>
      <c r="E13" s="58" t="inlineStr">
        <is>
          <t>Est. from RN365 range (~$30M base). Honda heritage. 5yr extension signed Feb 2024.</t>
        </is>
      </c>
    </row>
    <row r="14" ht="39.75" customHeight="1" s="49">
      <c r="A14" s="59" t="inlineStr">
        <is>
          <t>Monaco (Monte Carlo)</t>
        </is>
      </c>
      <c r="B14" s="59" t="inlineStr">
        <is>
          <t>Europe</t>
        </is>
      </c>
      <c r="C14" s="60" t="n">
        <v>22</v>
      </c>
      <c r="D14" s="59" t="inlineStr">
        <is>
          <t>2031</t>
        </is>
      </c>
      <c r="E14" s="61" t="inlineStr">
        <is>
          <t>Was $20M through 2025 (BlackBook, May 2024). Renegotiated — est. ~$22M for 2025 final yr of old deal. New deal higher.</t>
        </is>
      </c>
    </row>
    <row r="15" ht="39.75" customHeight="1" s="49">
      <c r="A15" s="59" t="inlineStr">
        <is>
          <t>Silverstone (UK)</t>
        </is>
      </c>
      <c r="B15" s="59" t="inlineStr">
        <is>
          <t>Europe</t>
        </is>
      </c>
      <c r="C15" s="60" t="n">
        <v>28</v>
      </c>
      <c r="D15" s="59" t="inlineStr">
        <is>
          <t>2034</t>
        </is>
      </c>
      <c r="E15" s="61" t="inlineStr">
        <is>
          <t>RN365: ~$26M → 2025 est. $28M. New long-term deal signed 2024. No govt subsidy.</t>
        </is>
      </c>
    </row>
    <row r="16" ht="39.75" customHeight="1" s="49">
      <c r="A16" s="59" t="inlineStr">
        <is>
          <t>Spain (Barcelona)</t>
        </is>
      </c>
      <c r="B16" s="59" t="inlineStr">
        <is>
          <t>Europe</t>
        </is>
      </c>
      <c r="C16" s="60" t="n">
        <v>27</v>
      </c>
      <c r="D16" s="59" t="inlineStr">
        <is>
          <t>2026 (last yr)</t>
        </is>
      </c>
      <c r="E16" s="61" t="inlineStr">
        <is>
          <t>Est. ~$25M → $27M. Madrid replaces from 2026 at higher fee.</t>
        </is>
      </c>
    </row>
    <row r="17" ht="39.75" customHeight="1" s="49">
      <c r="A17" s="59" t="inlineStr">
        <is>
          <t>Belgium (Spa)</t>
        </is>
      </c>
      <c r="B17" s="59" t="inlineStr">
        <is>
          <t>Europe</t>
        </is>
      </c>
      <c r="C17" s="60" t="n">
        <v>25</v>
      </c>
      <c r="D17" s="59" t="inlineStr">
        <is>
          <t>2025 (last yr?)</t>
        </is>
      </c>
      <c r="E17" s="61" t="inlineStr">
        <is>
          <t>RN365: ~$23M → $25M. Year-to-year, perennially threatened. Rotation system from 2026.</t>
        </is>
      </c>
    </row>
    <row r="18" ht="39.75" customHeight="1" s="49">
      <c r="A18" s="59" t="inlineStr">
        <is>
          <t>Italy (Monza)</t>
        </is>
      </c>
      <c r="B18" s="59" t="inlineStr">
        <is>
          <t>Europe</t>
        </is>
      </c>
      <c r="C18" s="60" t="n">
        <v>25</v>
      </c>
      <c r="D18" s="59" t="inlineStr">
        <is>
          <t>2031</t>
        </is>
      </c>
      <c r="E18" s="61" t="inlineStr">
        <is>
          <t>Est. ~$22M → $25M. New 6yr deal signed Nov 2024 (GPDestinations).</t>
        </is>
      </c>
    </row>
    <row r="19" ht="39.75" customHeight="1" s="49">
      <c r="A19" s="59" t="inlineStr">
        <is>
          <t>Netherlands (Zandvoort)</t>
        </is>
      </c>
      <c r="B19" s="59" t="inlineStr">
        <is>
          <t>Europe</t>
        </is>
      </c>
      <c r="C19" s="60" t="n">
        <v>24</v>
      </c>
      <c r="D19" s="59" t="inlineStr">
        <is>
          <t>2026 (last yr)</t>
        </is>
      </c>
      <c r="E19" s="61" t="inlineStr">
        <is>
          <t>Est. Dutch GP leaves calendar after 2026.</t>
        </is>
      </c>
    </row>
    <row r="20" ht="39.75" customHeight="1" s="49">
      <c r="A20" s="59" t="inlineStr">
        <is>
          <t>Hungary (Budapest)</t>
        </is>
      </c>
      <c r="B20" s="59" t="inlineStr">
        <is>
          <t>Europe</t>
        </is>
      </c>
      <c r="C20" s="60" t="n">
        <v>24</v>
      </c>
      <c r="D20" s="59" t="inlineStr">
        <is>
          <t>2032</t>
        </is>
      </c>
      <c r="E20" s="61" t="inlineStr">
        <is>
          <t>Est. from RN365 range. Govt-backed.</t>
        </is>
      </c>
    </row>
    <row r="21" ht="39.75" customHeight="1" s="49">
      <c r="A21" s="59" t="inlineStr">
        <is>
          <t>Austria (Red Bull Ring)</t>
        </is>
      </c>
      <c r="B21" s="59" t="inlineStr">
        <is>
          <t>Europe</t>
        </is>
      </c>
      <c r="C21" s="60" t="n">
        <v>24</v>
      </c>
      <c r="D21" s="59" t="inlineStr">
        <is>
          <t>2030+</t>
        </is>
      </c>
      <c r="E21" s="61" t="inlineStr">
        <is>
          <t>Est. Red Bull-owned. Multi-year option.</t>
        </is>
      </c>
    </row>
    <row r="22" ht="39.75" customHeight="1" s="49">
      <c r="A22" s="62" t="inlineStr">
        <is>
          <t>Austin (COTA)</t>
        </is>
      </c>
      <c r="B22" s="62" t="inlineStr">
        <is>
          <t>US</t>
        </is>
      </c>
      <c r="C22" s="63" t="n">
        <v>27</v>
      </c>
      <c r="D22" s="62" t="inlineStr">
        <is>
          <t>2026</t>
        </is>
      </c>
      <c r="E22" s="64" t="inlineStr">
        <is>
          <t>Est. Texas Major Events Reimbursement Program subsidized.</t>
        </is>
      </c>
    </row>
    <row r="23" ht="39.75" customHeight="1" s="49">
      <c r="A23" s="62" t="inlineStr">
        <is>
          <t>Miami</t>
        </is>
      </c>
      <c r="B23" s="62" t="inlineStr">
        <is>
          <t>US</t>
        </is>
      </c>
      <c r="C23" s="63" t="n">
        <v>0</v>
      </c>
      <c r="D23" s="62" t="inlineStr">
        <is>
          <t>2031</t>
        </is>
      </c>
      <c r="E23" s="64" t="inlineStr">
        <is>
          <t>Co-promotion model — Liberty invests directly. No standard hosting fee (arthnova.com).</t>
        </is>
      </c>
    </row>
    <row r="24" ht="39.75" customHeight="1" s="49">
      <c r="A24" s="62" t="inlineStr">
        <is>
          <t>Las Vegas</t>
        </is>
      </c>
      <c r="B24" s="62" t="inlineStr">
        <is>
          <t>US</t>
        </is>
      </c>
      <c r="C24" s="63" t="n">
        <v>0</v>
      </c>
      <c r="D24" s="62" t="inlineStr">
        <is>
          <t>2032+</t>
        </is>
      </c>
      <c r="E24" s="64" t="inlineStr">
        <is>
          <t>Co-promotion model — Liberty direct participation. $1.5B economic impact debut yr.</t>
        </is>
      </c>
    </row>
    <row r="25" ht="39.75" customHeight="1" s="49">
      <c r="A25" s="65" t="inlineStr">
        <is>
          <t>São Paulo (Interlagos)</t>
        </is>
      </c>
      <c r="B25" s="65" t="inlineStr">
        <is>
          <t>LatAm</t>
        </is>
      </c>
      <c r="C25" s="66" t="n">
        <v>28</v>
      </c>
      <c r="D25" s="65" t="inlineStr">
        <is>
          <t>2030</t>
        </is>
      </c>
      <c r="E25" s="67" t="inlineStr">
        <is>
          <t>Est. Renamed from Brazilian GP. Local govt financial input (GPDestinations).</t>
        </is>
      </c>
    </row>
    <row r="26" ht="39.75" customHeight="1" s="49">
      <c r="A26" s="65" t="inlineStr">
        <is>
          <t>Mexico City</t>
        </is>
      </c>
      <c r="B26" s="65" t="inlineStr">
        <is>
          <t>LatAm</t>
        </is>
      </c>
      <c r="C26" s="66" t="n">
        <v>28</v>
      </c>
      <c r="D26" s="65" t="inlineStr">
        <is>
          <t>2025+</t>
        </is>
      </c>
      <c r="E26" s="67" t="inlineStr">
        <is>
          <t>Est. Govt-subsidized.</t>
        </is>
      </c>
    </row>
    <row r="28" ht="21.75" customHeight="1" s="49">
      <c r="A28" s="68" t="inlineStr">
        <is>
          <t>Gulf/CIS Avg (5 races)</t>
        </is>
      </c>
      <c r="B28" s="69" t="n"/>
      <c r="C28" s="70">
        <f>AVERAGE(C5:C9)</f>
        <v/>
      </c>
      <c r="D28" s="69" t="n"/>
      <c r="E28" s="69" t="n"/>
    </row>
    <row r="29" ht="21.75" customHeight="1" s="49">
      <c r="A29" s="68" t="inlineStr">
        <is>
          <t>Asia Avg (4 races)</t>
        </is>
      </c>
      <c r="B29" s="69" t="n"/>
      <c r="C29" s="70">
        <f>AVERAGE(C10:C13)</f>
        <v/>
      </c>
      <c r="D29" s="69" t="n"/>
      <c r="E29" s="69" t="n"/>
    </row>
    <row r="30" ht="21.75" customHeight="1" s="49">
      <c r="A30" s="68" t="inlineStr">
        <is>
          <t>Europe Avg (8 races)</t>
        </is>
      </c>
      <c r="B30" s="69" t="n"/>
      <c r="C30" s="70">
        <f>AVERAGE(C14:C21)</f>
        <v/>
      </c>
      <c r="D30" s="69" t="n"/>
      <c r="E30" s="69" t="n"/>
    </row>
    <row r="31" ht="21.75" customHeight="1" s="49">
      <c r="A31" s="71" t="inlineStr">
        <is>
          <t>Gulf Premium vs Europe</t>
        </is>
      </c>
      <c r="B31" s="72" t="n"/>
      <c r="C31" s="73">
        <f>C28/C30-1</f>
        <v/>
      </c>
      <c r="D31" s="72" t="n"/>
      <c r="E31" s="72" t="n"/>
    </row>
    <row r="33" ht="21.75" customHeight="1" s="49">
      <c r="A33" s="68" t="inlineStr">
        <is>
          <t>Gulf Total Annual (5 races)</t>
        </is>
      </c>
      <c r="B33" s="69" t="n"/>
      <c r="C33" s="70">
        <f>SUM(C5:C9)</f>
        <v/>
      </c>
      <c r="D33" s="69" t="n"/>
      <c r="E33" s="69" t="n"/>
    </row>
    <row r="34" ht="21.75" customHeight="1" s="49">
      <c r="A34" s="68" t="inlineStr">
        <is>
          <t>Full Calendar Total (est.)</t>
        </is>
      </c>
      <c r="B34" s="69" t="n"/>
      <c r="C34" s="70">
        <f>SUM(C5:C26)</f>
        <v/>
      </c>
      <c r="D34" s="69" t="n"/>
      <c r="E34" s="69" t="n"/>
    </row>
    <row r="35" ht="21.75" customHeight="1" s="49">
      <c r="A35" s="68" t="inlineStr">
        <is>
          <t>Gulf % of Total</t>
        </is>
      </c>
      <c r="B35" s="69" t="n"/>
      <c r="C35" s="74">
        <f>C33/C34</f>
        <v/>
      </c>
      <c r="D35" s="69" t="n"/>
      <c r="E35" s="69" t="n"/>
    </row>
    <row r="38" ht="15" customHeight="1" s="49">
      <c r="A38" s="75" t="inlineStr">
        <is>
          <t>NOTES &amp; SOURCES</t>
        </is>
      </c>
    </row>
    <row r="39" ht="36" customHeight="1" s="49">
      <c r="A39" s="76" t="inlineStr">
        <is>
          <t>1. Base fees from RacingNews365 2023 circuit survey (compiled from promoters, F1, teams). Escalated ~5%/yr to 2025.</t>
        </is>
      </c>
    </row>
    <row r="40" ht="36" customHeight="1" s="49">
      <c r="A40" s="76" t="inlineStr">
        <is>
          <t>2. Most contracts include ~5% annual escalators per arthnova.com (Feb 2025). Actual 2025 fees may differ.</t>
        </is>
      </c>
    </row>
    <row r="41" ht="36" customHeight="1" s="49">
      <c r="A41" s="76" t="inlineStr">
        <is>
          <t>3. F1 total race promotion revenue was ~$1.07B in FY2024 per Liberty Media earnings (29.3% of $3.65B). Source: arthnova.com.</t>
        </is>
      </c>
    </row>
    <row r="42" ht="36" customHeight="1" s="49">
      <c r="A42" s="76" t="inlineStr">
        <is>
          <t>4. Miami &amp; Las Vegas are co-promotion (Liberty invests directly) — shown as $0 fee but Liberty earns direct event revenue.</t>
        </is>
      </c>
    </row>
    <row r="43" ht="36" customHeight="1" s="49">
      <c r="A43" s="76" t="inlineStr">
        <is>
          <t>5. Saudi total F1 commitment &gt;$100M/yr incl. Aramco global title sponsorship (separate from circuit fee). Source: arthnova.com.</t>
        </is>
      </c>
    </row>
    <row r="44" ht="36" customHeight="1" s="49">
      <c r="A44" s="76" t="inlineStr">
        <is>
          <t>6. Bahrain $45M confirmed by Yahoo Sports (Mar 7, 2026). Saudi/Qatar $55M confirmed by RN365 and multiple sources.</t>
        </is>
      </c>
    </row>
    <row r="45" ht="36" customHeight="1" s="49">
      <c r="A45" s="76" t="inlineStr">
        <is>
          <t>7. Blue text = hardcoded estimates. All other calculated cells are formulas.</t>
        </is>
      </c>
    </row>
  </sheetData>
  <mergeCells count="10">
    <mergeCell ref="A39:E39"/>
    <mergeCell ref="A43:E43"/>
    <mergeCell ref="A38:E38"/>
    <mergeCell ref="A2:E2"/>
    <mergeCell ref="A42:E42"/>
    <mergeCell ref="A41:E41"/>
    <mergeCell ref="A1:E1"/>
    <mergeCell ref="A45:E45"/>
    <mergeCell ref="A44:E44"/>
    <mergeCell ref="A40:E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8" min="1" max="1"/>
    <col width="14" customWidth="1" style="48" min="2" max="2"/>
    <col width="16" customWidth="1" style="48" min="3" max="4"/>
    <col width="50" customWidth="1" style="48" min="5" max="5"/>
  </cols>
  <sheetData>
    <row r="1" ht="27.75" customHeight="1" s="49">
      <c r="A1" s="50" t="inlineStr">
        <is>
          <t>UFC — Financial Incentive Packages / Site Fees (2025)</t>
        </is>
      </c>
    </row>
    <row r="2" ht="15" customHeight="1" s="49">
      <c r="A2" s="51" t="inlineStr">
        <is>
          <t>Paid by host govt/city to TKO Group Holdings (UFC) | $M USD | UFC pioneered the FIP model that WWE later adopted</t>
        </is>
      </c>
    </row>
    <row r="4" ht="31.5" customHeight="1" s="49">
      <c r="A4" s="52" t="inlineStr">
        <is>
          <t>Event / Venue</t>
        </is>
      </c>
      <c r="B4" s="52" t="inlineStr">
        <is>
          <t>Region</t>
        </is>
      </c>
      <c r="C4" s="52" t="inlineStr">
        <is>
          <t>FIP Per
Event ($M)</t>
        </is>
      </c>
      <c r="D4" s="52" t="inlineStr">
        <is>
          <t>2025
Frequency</t>
        </is>
      </c>
      <c r="E4" s="52" t="inlineStr">
        <is>
          <t>Source / Notes</t>
        </is>
      </c>
    </row>
    <row r="5" ht="42" customHeight="1" s="49">
      <c r="A5" s="53" t="inlineStr">
        <is>
          <t>Abu Dhabi — Fight Night / PPV (Etihad Arena)</t>
        </is>
      </c>
      <c r="B5" s="53" t="inlineStr">
        <is>
          <t>Gulf (UAE)</t>
        </is>
      </c>
      <c r="C5" s="54" t="n">
        <v>25</v>
      </c>
      <c r="D5" s="53" t="inlineStr">
        <is>
          <t>2-3x/yr</t>
        </is>
      </c>
      <c r="E5" s="55" t="inlineStr">
        <is>
          <t>Mark Shapiro at Global Media Conference (reported via Lemmy/MMA media, 2024): "$25M site fee for each event in Abu Dhabi." Partnership extended through 2028 (Arab News, Oct 2023).</t>
        </is>
      </c>
    </row>
    <row r="6" ht="42" customHeight="1" s="49">
      <c r="A6" s="53" t="inlineStr">
        <is>
          <t>Abu Dhabi — UFC 308 (Oct 2024)</t>
        </is>
      </c>
      <c r="B6" s="53" t="inlineStr">
        <is>
          <t>Gulf (UAE)</t>
        </is>
      </c>
      <c r="C6" s="54" t="n">
        <v>25</v>
      </c>
      <c r="D6" s="53" t="inlineStr">
        <is>
          <t>Incl. above</t>
        </is>
      </c>
      <c r="E6" s="55" t="inlineStr">
        <is>
          <t>Topuria vs Holloway. Same $25M per-event fee structure. Abu Dhabi also covered all Fight Island logistics during COVID (theScore, Jul 2020).</t>
        </is>
      </c>
    </row>
    <row r="7" ht="42" customHeight="1" s="49">
      <c r="A7" s="53" t="inlineStr">
        <is>
          <t>Abu Dhabi — Fight Night (Jul 26, 2025)</t>
        </is>
      </c>
      <c r="B7" s="53" t="inlineStr">
        <is>
          <t>Gulf (UAE)</t>
        </is>
      </c>
      <c r="C7" s="54" t="n">
        <v>25</v>
      </c>
      <c r="D7" s="53" t="inlineStr">
        <is>
          <t>Confirmed</t>
        </is>
      </c>
      <c r="E7" s="55" t="inlineStr">
        <is>
          <t>Etihad Arena official site. Same deal structure.</t>
        </is>
      </c>
    </row>
    <row r="8" ht="42" customHeight="1" s="49">
      <c r="A8" s="53" t="inlineStr">
        <is>
          <t>Saudi Arabia — Fight Night (Riyadh, Jun 2024)</t>
        </is>
      </c>
      <c r="B8" s="53" t="inlineStr">
        <is>
          <t>Gulf (Saudi)</t>
        </is>
      </c>
      <c r="C8" s="54" t="n">
        <v>20</v>
      </c>
      <c r="D8" s="53" t="inlineStr">
        <is>
          <t>1-2x/yr</t>
        </is>
      </c>
      <c r="E8" s="55" t="inlineStr">
        <is>
          <t>Shapiro at media conference: "$20M site fee for Fight Night in Saudi Arabia." Chimaev vs Whittaker headlined first Riyadh card. PTF-Lab confirmed.</t>
        </is>
      </c>
    </row>
    <row r="9" ht="42" customHeight="1" s="49">
      <c r="A9" s="53" t="inlineStr">
        <is>
          <t>Saudi Arabia — Fight Night (Riyadh, Feb 2025)</t>
        </is>
      </c>
      <c r="B9" s="53" t="inlineStr">
        <is>
          <t>Gulf (Saudi)</t>
        </is>
      </c>
      <c r="C9" s="54" t="n">
        <v>20</v>
      </c>
      <c r="D9" s="53" t="inlineStr">
        <is>
          <t>Confirmed</t>
        </is>
      </c>
      <c r="E9" s="55" t="inlineStr">
        <is>
          <t>Adesanya vs Imavov. Same $20M fee structure. Riyadh Season sponsorship layered on top.</t>
        </is>
      </c>
    </row>
    <row r="10" ht="42" customHeight="1" s="49">
      <c r="A10" s="53" t="inlineStr">
        <is>
          <t>Qatar — Fight Night (Doha, Nov 2025)</t>
        </is>
      </c>
      <c r="B10" s="53" t="inlineStr">
        <is>
          <t>Gulf (Qatar)</t>
        </is>
      </c>
      <c r="C10" s="54" t="n">
        <v>15</v>
      </c>
      <c r="D10" s="53" t="inlineStr">
        <is>
          <t>1x (debut)</t>
        </is>
      </c>
      <c r="E10" s="55" t="inlineStr">
        <is>
          <t>Tsarukyan vs Hooker. First-ever UFC event in Qatar. Fee est. $15-20M based on Gulf benchmarks. No official confirmation.</t>
        </is>
      </c>
    </row>
    <row r="11" ht="42" customHeight="1" s="49">
      <c r="A11" s="56" t="inlineStr">
        <is>
          <t>Australia — UFC package (2024/25)</t>
        </is>
      </c>
      <c r="B11" s="56" t="inlineStr">
        <is>
          <t>Asia-Pac</t>
        </is>
      </c>
      <c r="C11" s="57" t="n">
        <v>16</v>
      </c>
      <c r="D11" s="56" t="inlineStr">
        <is>
          <t>Package</t>
        </is>
      </c>
      <c r="E11" s="58" t="inlineStr">
        <is>
          <t>Shapiro at media conference: "$16M site fee for Australia." Likely covers multiple events. Same figure cited for WWE Perth package.</t>
        </is>
      </c>
    </row>
    <row r="12" ht="42" customHeight="1" s="49">
      <c r="A12" s="56" t="inlineStr">
        <is>
          <t>Singapore — Fight Night (historically)</t>
        </is>
      </c>
      <c r="B12" s="56" t="inlineStr">
        <is>
          <t>Asia</t>
        </is>
      </c>
      <c r="C12" s="57" t="n"/>
      <c r="D12" s="56" t="inlineStr">
        <is>
          <t>0 in 2025</t>
        </is>
      </c>
      <c r="E12" s="58" t="inlineStr">
        <is>
          <t>Last UFC event in Singapore was Oct 2023. No confirmed 2025 event. FIP unknown.</t>
        </is>
      </c>
    </row>
    <row r="13" ht="42" customHeight="1" s="49">
      <c r="A13" s="62" t="inlineStr">
        <is>
          <t>Salt Lake City (reference event)</t>
        </is>
      </c>
      <c r="B13" s="62" t="inlineStr">
        <is>
          <t>US</t>
        </is>
      </c>
      <c r="C13" s="63" t="n">
        <v>3</v>
      </c>
      <c r="D13" s="62" t="inlineStr">
        <is>
          <t>Periodic</t>
        </is>
      </c>
      <c r="E13" s="64" t="inlineStr">
        <is>
          <t>Nick Khan (Puck/Ourand, Sep 2025): "Salt Lake City was paying TKO nearly $3M to host an event." This was the catalyst for WWE entering the FIP business.</t>
        </is>
      </c>
    </row>
    <row r="14" ht="42" customHeight="1" s="49">
      <c r="A14" s="62" t="inlineStr">
        <is>
          <t>Anaheim — Honda Center (3x/yr deal)</t>
        </is>
      </c>
      <c r="B14" s="62" t="inlineStr">
        <is>
          <t>US</t>
        </is>
      </c>
      <c r="C14" s="63" t="n"/>
      <c r="D14" s="62" t="inlineStr">
        <is>
          <t>3x/yr</t>
        </is>
      </c>
      <c r="E14" s="64" t="inlineStr">
        <is>
          <t>UFC announced deal with OC Vibe for at least 3 events/yr at Honda Center. FIP amount undisclosed.</t>
        </is>
      </c>
    </row>
    <row r="15" ht="42" customHeight="1" s="49">
      <c r="A15" s="62" t="inlineStr">
        <is>
          <t>Las Vegas — UFC Apex / T-Mobile (home base)</t>
        </is>
      </c>
      <c r="B15" s="62" t="inlineStr">
        <is>
          <t>US</t>
        </is>
      </c>
      <c r="C15" s="63" t="n">
        <v>0</v>
      </c>
      <c r="D15" s="62" t="inlineStr">
        <is>
          <t>~20x/yr</t>
        </is>
      </c>
      <c r="E15" s="64" t="inlineStr">
        <is>
          <t>Apex is UFC HQ — no site fee. T-Mobile Arena events likely carry Nevada tourism incentives but undisclosed.</t>
        </is>
      </c>
    </row>
    <row r="16" ht="42" customHeight="1" s="49">
      <c r="A16" s="62" t="inlineStr">
        <is>
          <t>White House — UFC 250th Anniversary (Jun 2026)</t>
        </is>
      </c>
      <c r="B16" s="62" t="inlineStr">
        <is>
          <t>US</t>
        </is>
      </c>
      <c r="C16" s="63" t="n">
        <v>0</v>
      </c>
      <c r="D16" s="62" t="inlineStr">
        <is>
          <t>One-time</t>
        </is>
      </c>
      <c r="E16" s="64" t="inlineStr">
        <is>
          <t>Shapiro (Q4 2025 call): ~$60M cost to UFC as "long-term marketing investment." Not a FIP — UFC is paying, not receiving.</t>
        </is>
      </c>
    </row>
    <row r="17" ht="42" customHeight="1" s="49">
      <c r="A17" s="59" t="inlineStr">
        <is>
          <t>London — UFC Fight Night (Mar 2025)</t>
        </is>
      </c>
      <c r="B17" s="59" t="inlineStr">
        <is>
          <t>Europe</t>
        </is>
      </c>
      <c r="C17" s="60" t="n"/>
      <c r="D17" s="59" t="inlineStr">
        <is>
          <t>1-2x/yr</t>
        </is>
      </c>
      <c r="E17" s="61" t="inlineStr">
        <is>
          <t>Regular UFC venue (O2 Arena). FIP undisclosed but TKO pursuing fees for all intl events per Schleimer Q3 2025.</t>
        </is>
      </c>
    </row>
    <row r="18" ht="42" customHeight="1" s="49">
      <c r="A18" s="59" t="inlineStr">
        <is>
          <t>Paris — UFC Fight Night (Sep 2025)</t>
        </is>
      </c>
      <c r="B18" s="59" t="inlineStr">
        <is>
          <t>Europe</t>
        </is>
      </c>
      <c r="C18" s="60" t="n"/>
      <c r="D18" s="59" t="inlineStr">
        <is>
          <t>1x/yr</t>
        </is>
      </c>
      <c r="E18" s="61" t="inlineStr">
        <is>
          <t>Accor Arena. FIP undisclosed. French govt likely provides some tourism incentive.</t>
        </is>
      </c>
    </row>
    <row r="19" ht="42" customHeight="1" s="49">
      <c r="A19" s="65" t="inlineStr">
        <is>
          <t>São Paulo — UFC Fight Night</t>
        </is>
      </c>
      <c r="B19" s="65" t="inlineStr">
        <is>
          <t>LatAm</t>
        </is>
      </c>
      <c r="C19" s="66" t="n"/>
      <c r="D19" s="65" t="inlineStr">
        <is>
          <t>1-2x/yr</t>
        </is>
      </c>
      <c r="E19" s="67" t="inlineStr">
        <is>
          <t>Regular UFC venue. FIP undisclosed.</t>
        </is>
      </c>
    </row>
    <row r="21" ht="21.75" customHeight="1" s="49">
      <c r="A21" s="68" t="inlineStr">
        <is>
          <t>Gulf Total (est. annual, 5-6 events)</t>
        </is>
      </c>
      <c r="B21" s="69" t="n"/>
      <c r="C21" s="70">
        <f>SUM(C5:C10)</f>
        <v/>
      </c>
      <c r="D21" s="69" t="n"/>
      <c r="E21" s="69" t="n"/>
    </row>
    <row r="22" ht="15" customHeight="1" s="49">
      <c r="A22" s="68" t="inlineStr">
        <is>
          <t>Gulf Avg Per Event</t>
        </is>
      </c>
      <c r="B22" s="69" t="n"/>
      <c r="C22" s="70">
        <f>AVERAGE(C5,C8,C10)</f>
        <v/>
      </c>
      <c r="D22" s="69" t="n"/>
      <c r="E22" s="69" t="n"/>
    </row>
    <row r="23" ht="15" customHeight="1" s="49">
      <c r="A23" s="68" t="inlineStr">
        <is>
          <t>US Confirmed (Salt Lake City only)</t>
        </is>
      </c>
      <c r="B23" s="69" t="n"/>
      <c r="C23" s="70">
        <f>C13</f>
        <v/>
      </c>
      <c r="D23" s="69" t="n"/>
      <c r="E23" s="69" t="n"/>
    </row>
    <row r="24" ht="15" customHeight="1" s="49">
      <c r="A24" s="71" t="inlineStr">
        <is>
          <t>Gulf FIP vs US FIP Multiple</t>
        </is>
      </c>
      <c r="B24" s="72" t="n"/>
      <c r="C24" s="77">
        <f>C22/C23</f>
        <v/>
      </c>
      <c r="D24" s="72" t="n"/>
      <c r="E24" s="72" t="n"/>
    </row>
    <row r="26" ht="15" customHeight="1" s="49">
      <c r="A26" s="78" t="inlineStr">
        <is>
          <t>TKO Combined FIP Target 2026 (UFC+WWE+PBR+Boxing)</t>
        </is>
      </c>
      <c r="B26" s="79" t="n"/>
      <c r="C26" s="80" t="n">
        <v>300</v>
      </c>
      <c r="D26" s="79" t="n"/>
      <c r="E26" s="81" t="inlineStr">
        <is>
          <t>Shapiro Q4 2025 call: "&gt;$300M aggregate value" from FIPs in 2026. Normalized ~$240M excl. one-timers.</t>
        </is>
      </c>
    </row>
    <row r="27" ht="15" customHeight="1" s="49">
      <c r="A27" s="78" t="inlineStr">
        <is>
          <t>TKO Combined FIP Target 2030</t>
        </is>
      </c>
      <c r="B27" s="79" t="n"/>
      <c r="C27" s="80" t="n">
        <v>400</v>
      </c>
      <c r="D27" s="79" t="n"/>
      <c r="E27" s="81" t="inlineStr">
        <is>
          <t>Shapiro Q4 2025 call: "$380-420M range by 2030." Up from initial $360M target.</t>
        </is>
      </c>
    </row>
    <row r="29" ht="15" customHeight="1" s="49">
      <c r="A29" s="75" t="inlineStr">
        <is>
          <t>NOTES &amp; SOURCES</t>
        </is>
      </c>
    </row>
    <row r="30" ht="36" customHeight="1" s="49">
      <c r="A30" s="76" t="inlineStr">
        <is>
          <t>1. UFC pioneered the site fee / FIP model within TKO. Nick Khan explicitly credited UFC's Salt Lake City deal as inspiration for WWE entering "the subsidy business" (Puck/Ourand, Sep 2025).</t>
        </is>
      </c>
    </row>
    <row r="31" ht="36" customHeight="1" s="49">
      <c r="A31" s="76" t="inlineStr">
        <is>
          <t>2. Key source: Mark Shapiro at Global Media &amp; Communications Conference (2024) disclosed Abu Dhabi $25M, Saudi $20M, Australia $16M per-event/package fees. Reported by multiple MMA outlets.</t>
        </is>
      </c>
    </row>
    <row r="32" ht="36" customHeight="1" s="49">
      <c r="A32" s="76" t="inlineStr">
        <is>
          <t>3. Saudi Arabia reportedly paid $20M for its first UFC event (Riyadh, Jun 2024). Source: PTF-Lab.com MMA market report; VerdictMMA.</t>
        </is>
      </c>
    </row>
    <row r="33" ht="36" customHeight="1" s="49">
      <c r="A33" s="76" t="inlineStr">
        <is>
          <t>4. Abu Dhabi relationship dates to 2010 when Abu Dhabi's Mubadala bought 10% stake in UFC (sold back to Endeavor 2018). Abu Dhabi covered all Fight Island costs during COVID + paid hosting fees (theScore, Jul 2020).</t>
        </is>
      </c>
    </row>
    <row r="34" ht="36" customHeight="1" s="49">
      <c r="A34" s="76" t="inlineStr">
        <is>
          <t>5. Q1 2025 included a Saudi Fight Night with "meaningful FIP" per TKO CFO Schleimer (Q4 2025 call). Q1 2026 will not have equivalent.</t>
        </is>
      </c>
    </row>
    <row r="35" ht="36" customHeight="1" s="49">
      <c r="A35" s="76" t="inlineStr">
        <is>
          <t>6. Shapiro (Q4 2025): FIPs now rebranded as "Financial Incentive Packages" to reflect mix of cash, subsidies, and value-in-kind. ~50% of marquee events had FIPs in 2025.</t>
        </is>
      </c>
    </row>
    <row r="36" ht="36" customHeight="1" s="49">
      <c r="A36" s="76" t="inlineStr">
        <is>
          <t>7. TKO has a dedicated 6-person FIP team that Shapiro described as "dialing for dollars" and approaching FIPs "like a heat-seeking missile" (Q3 2025 call).</t>
        </is>
      </c>
    </row>
    <row r="37" ht="36" customHeight="1" s="49">
      <c r="A37" s="76" t="inlineStr">
        <is>
          <t>8. White House UFC event (~Jun 2026) is NOT a FIP — UFC is spending ~$60M as "earned media" investment. Shapiro calls it "strategic, not profitable."</t>
        </is>
      </c>
    </row>
    <row r="38" ht="36" customHeight="1" s="49">
      <c r="A38" s="76" t="inlineStr">
        <is>
          <t>9. European and LatAm UFC FIPs are undisclosed but likely exist per Schleimer's stated strategy of pursuing fees from "markets we've been to but don't currently receive a fee from."</t>
        </is>
      </c>
    </row>
    <row r="39" ht="36" customHeight="1" s="49">
      <c r="A39" s="76" t="inlineStr">
        <is>
          <t>10. Blue text = confirmed or estimated values. Blank = undisclosed but likely non-zero per TKO strategy.</t>
        </is>
      </c>
    </row>
  </sheetData>
  <mergeCells count="13">
    <mergeCell ref="A30:E30"/>
    <mergeCell ref="A39:E39"/>
    <mergeCell ref="A34:E34"/>
    <mergeCell ref="A29:E29"/>
    <mergeCell ref="A35:E35"/>
    <mergeCell ref="A38:E38"/>
    <mergeCell ref="A2:E2"/>
    <mergeCell ref="A33:E33"/>
    <mergeCell ref="A1:E1"/>
    <mergeCell ref="A37:E37"/>
    <mergeCell ref="A32:E32"/>
    <mergeCell ref="A36:E36"/>
    <mergeCell ref="A31:E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8" min="1" max="1"/>
    <col width="14" customWidth="1" style="48" min="2" max="2"/>
    <col width="16" customWidth="1" style="48" min="3" max="4"/>
    <col width="50" customWidth="1" style="48" min="5" max="5"/>
  </cols>
  <sheetData>
    <row r="1" ht="17.25" customHeight="1" s="49">
      <c r="A1" s="50" t="inlineStr">
        <is>
          <t>MotoGP — Race Hosting Fees (2025 Est.)</t>
        </is>
      </c>
    </row>
    <row r="2" ht="15" customHeight="1" s="49">
      <c r="A2" s="51" t="inlineStr">
        <is>
          <t>Paid by circuit/govt to Dorna Sports (now Liberty Media) | $M USD | Less transparent than F1 — wider estimate ranges</t>
        </is>
      </c>
    </row>
    <row r="4" ht="31.5" customHeight="1" s="49">
      <c r="A4" s="52" t="inlineStr">
        <is>
          <t>Grand Prix</t>
        </is>
      </c>
      <c r="B4" s="52" t="inlineStr">
        <is>
          <t>Region</t>
        </is>
      </c>
      <c r="C4" s="52" t="inlineStr">
        <is>
          <t>Est. 2025
Fee ($M)</t>
        </is>
      </c>
      <c r="D4" s="52" t="inlineStr">
        <is>
          <t>Govt
Subsidized?</t>
        </is>
      </c>
      <c r="E4" s="52" t="inlineStr">
        <is>
          <t>Source / Notes</t>
        </is>
      </c>
    </row>
    <row r="5" ht="39.75" customHeight="1" s="49">
      <c r="A5" s="53" t="inlineStr">
        <is>
          <t>Qatar (Lusail)</t>
        </is>
      </c>
      <c r="B5" s="53" t="inlineStr">
        <is>
          <t>Gulf</t>
        </is>
      </c>
      <c r="C5" s="54" t="n">
        <v>16</v>
      </c>
      <c r="D5" s="53" t="inlineStr">
        <is>
          <t>Yes (state)</t>
        </is>
      </c>
      <c r="E5" s="55" t="inlineStr">
        <is>
          <t>MotoMatters (Dec 2022): "Qatar pays a lot...enough to cover transport for most flyaways." Est. $15-18M. Highest MotoGP fee.</t>
        </is>
      </c>
    </row>
    <row r="6" ht="39.75" customHeight="1" s="49">
      <c r="A6" s="56" t="inlineStr">
        <is>
          <t>Indonesia (Mandalika)</t>
        </is>
      </c>
      <c r="B6" s="56" t="inlineStr">
        <is>
          <t>Asia</t>
        </is>
      </c>
      <c r="C6" s="57" t="n">
        <v>14</v>
      </c>
      <c r="D6" s="56" t="inlineStr">
        <is>
          <t>Yes (ITDC/govt)</t>
        </is>
      </c>
      <c r="E6" s="58" t="inlineStr">
        <is>
          <t>VOI.id (Sep 2024): €12.85M (~$14M) incl. taxes per ITDC public filings. Hardest MotoGP data point.</t>
        </is>
      </c>
    </row>
    <row r="7" ht="39.75" customHeight="1" s="49">
      <c r="A7" s="56" t="inlineStr">
        <is>
          <t>India (Buddh, dropped)</t>
        </is>
      </c>
      <c r="B7" s="56" t="inlineStr">
        <is>
          <t>Asia</t>
        </is>
      </c>
      <c r="C7" s="57" t="n">
        <v>12</v>
      </c>
      <c r="D7" s="56" t="inlineStr">
        <is>
          <t>Yes (govt)</t>
        </is>
      </c>
      <c r="E7" s="58" t="inlineStr">
        <is>
          <t>Est. Was on 2023 calendar only. Dropped. Similar fee structure to Indonesia — govt tourism play.</t>
        </is>
      </c>
    </row>
    <row r="8" ht="39.75" customHeight="1" s="49">
      <c r="A8" s="56" t="inlineStr">
        <is>
          <t>Thailand (Buriram)</t>
        </is>
      </c>
      <c r="B8" s="56" t="inlineStr">
        <is>
          <t>Asia</t>
        </is>
      </c>
      <c r="C8" s="57" t="n">
        <v>10</v>
      </c>
      <c r="D8" s="56" t="inlineStr">
        <is>
          <t>Yes (govt)</t>
        </is>
      </c>
      <c r="E8" s="58" t="inlineStr">
        <is>
          <t>Est. AMW Group: $8-15M for non-European flyaways. Thai govt tourism priority.</t>
        </is>
      </c>
    </row>
    <row r="9" ht="39.75" customHeight="1" s="49">
      <c r="A9" s="56" t="inlineStr">
        <is>
          <t>Japan (Motegi)</t>
        </is>
      </c>
      <c r="B9" s="56" t="inlineStr">
        <is>
          <t>Asia</t>
        </is>
      </c>
      <c r="C9" s="57" t="n">
        <v>8</v>
      </c>
      <c r="D9" s="56" t="inlineStr">
        <is>
          <t>No (Honda)</t>
        </is>
      </c>
      <c r="E9" s="58" t="inlineStr">
        <is>
          <t>Est. Honda heritage venue. MotoMatters: avg €5-8M for established circuits.</t>
        </is>
      </c>
    </row>
    <row r="10" ht="39.75" customHeight="1" s="49">
      <c r="A10" s="56" t="inlineStr">
        <is>
          <t>Malaysia (Sepang)</t>
        </is>
      </c>
      <c r="B10" s="56" t="inlineStr">
        <is>
          <t>Asia</t>
        </is>
      </c>
      <c r="C10" s="57" t="n">
        <v>8</v>
      </c>
      <c r="D10" s="56" t="inlineStr">
        <is>
          <t>Yes (SIC/govt)</t>
        </is>
      </c>
      <c r="E10" s="58" t="inlineStr">
        <is>
          <t>Est. Sepang International Circuit is govt-owned. Similar to Japan.</t>
        </is>
      </c>
    </row>
    <row r="11" ht="39.75" customHeight="1" s="49">
      <c r="A11" s="59" t="inlineStr">
        <is>
          <t>Spain — Jerez</t>
        </is>
      </c>
      <c r="B11" s="59" t="inlineStr">
        <is>
          <t>Europe</t>
        </is>
      </c>
      <c r="C11" s="60" t="n">
        <v>9</v>
      </c>
      <c r="D11" s="59" t="inlineStr">
        <is>
          <t>Yes (regional)</t>
        </is>
      </c>
      <c r="E11" s="61" t="inlineStr">
        <is>
          <t>A&amp;R (2011): ~€8M. Likely ~€8.5M by 2025. Andalusia regional govt subsidy.</t>
        </is>
      </c>
    </row>
    <row r="12" ht="39.75" customHeight="1" s="49">
      <c r="A12" s="59" t="inlineStr">
        <is>
          <t>Spain — Barcelona</t>
        </is>
      </c>
      <c r="B12" s="59" t="inlineStr">
        <is>
          <t>Europe</t>
        </is>
      </c>
      <c r="C12" s="60" t="n">
        <v>9</v>
      </c>
      <c r="D12" s="59" t="inlineStr">
        <is>
          <t>Yes (regional)</t>
        </is>
      </c>
      <c r="E12" s="61" t="inlineStr">
        <is>
          <t>Comparable to Jerez per A&amp;R. Catalan govt support.</t>
        </is>
      </c>
    </row>
    <row r="13" ht="39.75" customHeight="1" s="49">
      <c r="A13" s="59" t="inlineStr">
        <is>
          <t>Spain — Aragon</t>
        </is>
      </c>
      <c r="B13" s="59" t="inlineStr">
        <is>
          <t>Europe</t>
        </is>
      </c>
      <c r="C13" s="60" t="n">
        <v>8</v>
      </c>
      <c r="D13" s="59" t="inlineStr">
        <is>
          <t>Yes (regional)</t>
        </is>
      </c>
      <c r="E13" s="61" t="inlineStr">
        <is>
          <t>A&amp;R (2011): €7M base. ~€8M by 2025 w/ escalation. Aragon govt subsidy.</t>
        </is>
      </c>
    </row>
    <row r="14" ht="39.75" customHeight="1" s="49">
      <c r="A14" s="59" t="inlineStr">
        <is>
          <t>Italy (Mugello)</t>
        </is>
      </c>
      <c r="B14" s="59" t="inlineStr">
        <is>
          <t>Europe</t>
        </is>
      </c>
      <c r="C14" s="60" t="n">
        <v>7</v>
      </c>
      <c r="D14" s="59" t="inlineStr">
        <is>
          <t>No (Ferrari)</t>
        </is>
      </c>
      <c r="E14" s="61" t="inlineStr">
        <is>
          <t>MotoMatters: mid-range European. Ferrari-owned circuit.</t>
        </is>
      </c>
    </row>
    <row r="15" ht="39.75" customHeight="1" s="49">
      <c r="A15" s="59" t="inlineStr">
        <is>
          <t>Italy (Misano)</t>
        </is>
      </c>
      <c r="B15" s="59" t="inlineStr">
        <is>
          <t>Europe</t>
        </is>
      </c>
      <c r="C15" s="60" t="n">
        <v>6</v>
      </c>
      <c r="D15" s="59" t="inlineStr">
        <is>
          <t>Partial</t>
        </is>
      </c>
      <c r="E15" s="61" t="inlineStr">
        <is>
          <t>Est. San Marino GP. Regional tourism support.</t>
        </is>
      </c>
    </row>
    <row r="16" ht="39.75" customHeight="1" s="49">
      <c r="A16" s="59" t="inlineStr">
        <is>
          <t>France (Le Mans)</t>
        </is>
      </c>
      <c r="B16" s="59" t="inlineStr">
        <is>
          <t>Europe</t>
        </is>
      </c>
      <c r="C16" s="60" t="n">
        <v>6</v>
      </c>
      <c r="D16" s="59" t="inlineStr">
        <is>
          <t>Partial</t>
        </is>
      </c>
      <c r="E16" s="61" t="inlineStr">
        <is>
          <t>MotoMatters: "massive crowds...profitable without subsidy." Lower fee range.</t>
        </is>
      </c>
    </row>
    <row r="17" ht="39.75" customHeight="1" s="49">
      <c r="A17" s="59" t="inlineStr">
        <is>
          <t>UK (Silverstone)</t>
        </is>
      </c>
      <c r="B17" s="59" t="inlineStr">
        <is>
          <t>Europe</t>
        </is>
      </c>
      <c r="C17" s="60" t="n">
        <v>6.5</v>
      </c>
      <c r="D17" s="59" t="inlineStr">
        <is>
          <t>No</t>
        </is>
      </c>
      <c r="E17" s="61" t="inlineStr">
        <is>
          <t>Est. Mid-range European circuit.</t>
        </is>
      </c>
    </row>
    <row r="18" ht="39.75" customHeight="1" s="49">
      <c r="A18" s="59" t="inlineStr">
        <is>
          <t>Netherlands (Assen)</t>
        </is>
      </c>
      <c r="B18" s="59" t="inlineStr">
        <is>
          <t>Europe</t>
        </is>
      </c>
      <c r="C18" s="60" t="n">
        <v>5.5</v>
      </c>
      <c r="D18" s="59" t="inlineStr">
        <is>
          <t>No</t>
        </is>
      </c>
      <c r="E18" s="61" t="inlineStr">
        <is>
          <t>MotoMatters: "massive crowds." Cathedral of MotoGP. Lower fee but self-sustaining.</t>
        </is>
      </c>
    </row>
    <row r="19" ht="39.75" customHeight="1" s="49">
      <c r="A19" s="59" t="inlineStr">
        <is>
          <t>Germany (Sachsenring)</t>
        </is>
      </c>
      <c r="B19" s="59" t="inlineStr">
        <is>
          <t>Europe</t>
        </is>
      </c>
      <c r="C19" s="60" t="n">
        <v>5.5</v>
      </c>
      <c r="D19" s="59" t="inlineStr">
        <is>
          <t>Yes (state)</t>
        </is>
      </c>
      <c r="E19" s="61" t="inlineStr">
        <is>
          <t>MotoMatters: "barely breaks even" despite big crowds. Heavy temp infrastructure.</t>
        </is>
      </c>
    </row>
    <row r="20" ht="39.75" customHeight="1" s="49">
      <c r="A20" s="59" t="inlineStr">
        <is>
          <t>Czech Republic (Brno)</t>
        </is>
      </c>
      <c r="B20" s="59" t="inlineStr">
        <is>
          <t>Europe</t>
        </is>
      </c>
      <c r="C20" s="60" t="n">
        <v>6</v>
      </c>
      <c r="D20" s="59" t="inlineStr">
        <is>
          <t>Yes (regional)</t>
        </is>
      </c>
      <c r="E20" s="61" t="inlineStr">
        <is>
          <t>Returned to calendar 2025. Historically had contract issues over financing.</t>
        </is>
      </c>
    </row>
    <row r="21" ht="39.75" customHeight="1" s="49">
      <c r="A21" s="59" t="inlineStr">
        <is>
          <t>Austria (Red Bull Ring)</t>
        </is>
      </c>
      <c r="B21" s="59" t="inlineStr">
        <is>
          <t>Europe</t>
        </is>
      </c>
      <c r="C21" s="60" t="n">
        <v>6</v>
      </c>
      <c r="D21" s="59" t="inlineStr">
        <is>
          <t>No (Red Bull)</t>
        </is>
      </c>
      <c r="E21" s="61" t="inlineStr">
        <is>
          <t>Est. Red Bull-backed. Mid-range.</t>
        </is>
      </c>
    </row>
    <row r="22" ht="39.75" customHeight="1" s="49">
      <c r="A22" s="59" t="inlineStr">
        <is>
          <t>Portugal (Portimão)</t>
        </is>
      </c>
      <c r="B22" s="59" t="inlineStr">
        <is>
          <t>Europe</t>
        </is>
      </c>
      <c r="C22" s="60" t="n">
        <v>5</v>
      </c>
      <c r="D22" s="59" t="inlineStr">
        <is>
          <t>Yes (Algarve)</t>
        </is>
      </c>
      <c r="E22" s="61" t="inlineStr">
        <is>
          <t>Est. Regional tourism subsidy. Lower tier.</t>
        </is>
      </c>
    </row>
    <row r="23" ht="39.75" customHeight="1" s="49">
      <c r="A23" s="62" t="inlineStr">
        <is>
          <t>Americas (COTA)</t>
        </is>
      </c>
      <c r="B23" s="62" t="inlineStr">
        <is>
          <t>US</t>
        </is>
      </c>
      <c r="C23" s="63" t="n">
        <v>5</v>
      </c>
      <c r="D23" s="62" t="inlineStr">
        <is>
          <t>Partial (Texas)</t>
        </is>
      </c>
      <c r="E23" s="64" t="inlineStr">
        <is>
          <t>MotoMatters: US races pay less — Dorna subsidizes for market access. Texas state program.</t>
        </is>
      </c>
    </row>
    <row r="24" ht="39.75" customHeight="1" s="49">
      <c r="A24" s="56" t="inlineStr">
        <is>
          <t>Australia (Phillip Island)</t>
        </is>
      </c>
      <c r="B24" s="56" t="inlineStr">
        <is>
          <t>Asia-Pac</t>
        </is>
      </c>
      <c r="C24" s="57" t="n">
        <v>8</v>
      </c>
      <c r="D24" s="56" t="inlineStr">
        <is>
          <t>Yes (Victoria)</t>
        </is>
      </c>
      <c r="E24" s="58" t="inlineStr">
        <is>
          <t>Est. Govt tourism subsidy. Similar to Malaysian/Japanese range.</t>
        </is>
      </c>
    </row>
    <row r="26" ht="21.75" customHeight="1" s="49">
      <c r="A26" s="68" t="inlineStr">
        <is>
          <t>Qatar (Gulf only)</t>
        </is>
      </c>
      <c r="B26" s="69" t="n"/>
      <c r="C26" s="70">
        <f>C5</f>
        <v/>
      </c>
      <c r="D26" s="69" t="n"/>
      <c r="E26" s="69" t="n"/>
    </row>
    <row r="27" ht="21.75" customHeight="1" s="49">
      <c r="A27" s="68" t="inlineStr">
        <is>
          <t>Asia Avg (5 races)</t>
        </is>
      </c>
      <c r="B27" s="69" t="n"/>
      <c r="C27" s="70">
        <f>AVERAGE(C6:C10)</f>
        <v/>
      </c>
      <c r="D27" s="69" t="n"/>
      <c r="E27" s="69" t="n"/>
    </row>
    <row r="28" ht="21.75" customHeight="1" s="49">
      <c r="A28" s="68" t="inlineStr">
        <is>
          <t>Europe Avg (12 races)</t>
        </is>
      </c>
      <c r="B28" s="69" t="n"/>
      <c r="C28" s="70">
        <f>AVERAGE(C11:C22)</f>
        <v/>
      </c>
      <c r="D28" s="69" t="n"/>
      <c r="E28" s="69" t="n"/>
    </row>
    <row r="29" ht="21.75" customHeight="1" s="49">
      <c r="A29" s="71" t="inlineStr">
        <is>
          <t>Qatar Premium vs Europe</t>
        </is>
      </c>
      <c r="B29" s="72" t="n"/>
      <c r="C29" s="73">
        <f>C26/C28-1</f>
        <v/>
      </c>
      <c r="D29" s="72" t="n"/>
      <c r="E29" s="72" t="n"/>
    </row>
    <row r="31" ht="21.75" customHeight="1" s="49">
      <c r="A31" s="68" t="inlineStr">
        <is>
          <t>Full Calendar Total (est.)</t>
        </is>
      </c>
      <c r="B31" s="69" t="n"/>
      <c r="C31" s="70">
        <f>SUM(C5:C24)</f>
        <v/>
      </c>
      <c r="D31" s="69" t="n"/>
      <c r="E31" s="69" t="n"/>
    </row>
    <row r="34" ht="15" customHeight="1" s="49">
      <c r="A34" s="75" t="inlineStr">
        <is>
          <t>NOTES &amp; SOURCES</t>
        </is>
      </c>
    </row>
    <row r="35" ht="36" customHeight="1" s="49">
      <c r="A35" s="76" t="inlineStr">
        <is>
          <t>1. MotoGP fees are far less transparent than F1. Only hard data point: Indonesia €12.85M via ITDC public filings (VOI.id, Sep 2024).</t>
        </is>
      </c>
    </row>
    <row r="36" ht="36" customHeight="1" s="49">
      <c r="A36" s="76" t="inlineStr">
        <is>
          <t>2. MotoMatters (Dec 2022) David Emmett analysis: European races avg €5-8M; Qatar pays "a lot more"; US pays less (Dorna subsidizes market entry).</t>
        </is>
      </c>
    </row>
    <row r="37" ht="36" customHeight="1" s="49">
      <c r="A37" s="76" t="inlineStr">
        <is>
          <t>3. AMW Group (Jul 2025): $8-15M range for non-European flyaway circuits.</t>
        </is>
      </c>
    </row>
    <row r="38" ht="36" customHeight="1" s="49">
      <c r="A38" s="76" t="inlineStr">
        <is>
          <t>4. Asphalt &amp; Rubber (2011): Aragon €7M, Jerez/Valencia ~€8M. Inflated ~10-15% to 2025.</t>
        </is>
      </c>
    </row>
    <row r="39" ht="36" customHeight="1" s="49">
      <c r="A39" s="76" t="inlineStr">
        <is>
          <t>5. MotoGP total hosting fee revenue est. ~$150-170M/yr across 22 races (vs F1 ~$1.07B across 24). ~10x smaller.</t>
        </is>
      </c>
    </row>
    <row r="40" ht="36" customHeight="1" s="49">
      <c r="A40" s="76" t="inlineStr">
        <is>
          <t>6. Liberty Media acquired 84% of Dorna (Jul 2025) for $4.5B. May restructure fee model over time.</t>
        </is>
      </c>
    </row>
    <row r="41" ht="36" customHeight="1" s="49">
      <c r="A41" s="76" t="inlineStr">
        <is>
          <t>7. Blue text = hardcoded estimates. Wide uncertainty bands — treat as ±20-30%.</t>
        </is>
      </c>
    </row>
  </sheetData>
  <mergeCells count="10">
    <mergeCell ref="A39:E39"/>
    <mergeCell ref="A34:E34"/>
    <mergeCell ref="A35:E35"/>
    <mergeCell ref="A38:E38"/>
    <mergeCell ref="A2:E2"/>
    <mergeCell ref="A41:E41"/>
    <mergeCell ref="A1:E1"/>
    <mergeCell ref="A37:E37"/>
    <mergeCell ref="A36:E36"/>
    <mergeCell ref="A40:E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8" min="1" max="1"/>
    <col width="14" customWidth="1" style="48" min="2" max="2"/>
    <col width="16" customWidth="1" style="48" min="3" max="4"/>
    <col width="50" customWidth="1" style="48" min="5" max="5"/>
  </cols>
  <sheetData>
    <row r="1" ht="17.25" customHeight="1" s="49">
      <c r="A1" s="50" t="inlineStr">
        <is>
          <t>WWE — Financial Incentive Packages / Site Fees (2025)</t>
        </is>
      </c>
    </row>
    <row r="2" ht="15" customHeight="1" s="49">
      <c r="A2" s="51" t="inlineStr">
        <is>
          <t>Paid by host govt/city to TKO Group Holdings (WWE) | $M USD | TKO target: $360M/yr FIPs by 2030 (UFC+WWE combined)</t>
        </is>
      </c>
    </row>
    <row r="4" ht="31.5" customHeight="1" s="49">
      <c r="A4" s="52" t="inlineStr">
        <is>
          <t>Event / Venue</t>
        </is>
      </c>
      <c r="B4" s="52" t="inlineStr">
        <is>
          <t>Region</t>
        </is>
      </c>
      <c r="C4" s="52" t="inlineStr">
        <is>
          <t>2025 FIP
($M)</t>
        </is>
      </c>
      <c r="D4" s="52" t="inlineStr">
        <is>
          <t>Frequency</t>
        </is>
      </c>
      <c r="E4" s="52" t="inlineStr">
        <is>
          <t>Source / Notes</t>
        </is>
      </c>
    </row>
    <row r="5" ht="39.75" customHeight="1" s="49">
      <c r="A5" s="53" t="inlineStr">
        <is>
          <t>Night of Champions (Riyadh, Jun 2025)</t>
        </is>
      </c>
      <c r="B5" s="53" t="inlineStr">
        <is>
          <t>Gulf (Saudi)</t>
        </is>
      </c>
      <c r="C5" s="54" t="n">
        <v>55</v>
      </c>
      <c r="D5" s="53" t="inlineStr">
        <is>
          <t>1x in 2025</t>
        </is>
      </c>
      <c r="E5" s="55" t="inlineStr">
        <is>
          <t>Wrestlenomics (Thurston, 2020/2021): $50-55M per event. WWE CAO Kowal sworn declaration. Wrestling Observer (Meltzer): $55M.</t>
        </is>
      </c>
    </row>
    <row r="6" ht="39.75" customHeight="1" s="49">
      <c r="A6" s="53" t="inlineStr">
        <is>
          <t>Crown Jewel (usually Saudi, moved to Perth 2025)</t>
        </is>
      </c>
      <c r="B6" s="53" t="inlineStr">
        <is>
          <t>Gulf (Saudi)</t>
        </is>
      </c>
      <c r="C6" s="54" t="n">
        <v>0</v>
      </c>
      <c r="D6" s="53" t="inlineStr">
        <is>
          <t>Moved to AUS in 2025</t>
        </is>
      </c>
      <c r="E6" s="55" t="inlineStr">
        <is>
          <t>Normally $55M but Crown Jewel moved to Perth in 2025 due to Royal Rumble shifting to Saudi for Jan 2026.</t>
        </is>
      </c>
    </row>
    <row r="7" ht="39.75" customHeight="1" s="49">
      <c r="A7" s="56" t="inlineStr">
        <is>
          <t>Elimination Chamber: Perth (Feb 2024)</t>
        </is>
      </c>
      <c r="B7" s="56" t="inlineStr">
        <is>
          <t>Asia-Pac</t>
        </is>
      </c>
      <c r="C7" s="57" t="n">
        <v>16</v>
      </c>
      <c r="D7" s="56" t="inlineStr">
        <is>
          <t>Package deal</t>
        </is>
      </c>
      <c r="E7" s="58" t="inlineStr">
        <is>
          <t>TKO COO Shapiro (Q1 2024 call): $16M for "combination of events" in Australia. Highest non-Saudi FIP ever at time.</t>
        </is>
      </c>
    </row>
    <row r="8" ht="39.75" customHeight="1" s="49">
      <c r="A8" s="56" t="inlineStr">
        <is>
          <t>Crown Jewel: Perth (Oct 2025)</t>
        </is>
      </c>
      <c r="B8" s="56" t="inlineStr">
        <is>
          <t>Asia-Pac</t>
        </is>
      </c>
      <c r="C8" s="57" t="n">
        <v>0</v>
      </c>
      <c r="D8" s="56" t="inlineStr">
        <is>
          <t>Incl. above</t>
        </is>
      </c>
      <c r="E8" s="58" t="inlineStr">
        <is>
          <t>Part of the $16M Australia package per Shapiro. Gate: $4.16M (Pollstar via Wrestlenomics, Feb 2026).</t>
        </is>
      </c>
    </row>
    <row r="9" ht="39.75" customHeight="1" s="49">
      <c r="A9" s="62" t="inlineStr">
        <is>
          <t>WrestleMania 41 (Las Vegas, Apr 2025)</t>
        </is>
      </c>
      <c r="B9" s="62" t="inlineStr">
        <is>
          <t>US</t>
        </is>
      </c>
      <c r="C9" s="63" t="n">
        <v>9.199999999999999</v>
      </c>
      <c r="D9" s="62" t="inlineStr">
        <is>
          <t>1x/yr</t>
        </is>
      </c>
      <c r="E9" s="64" t="inlineStr">
        <is>
          <t>Puck/Ourand (Sep 2025): $5M site fees + $4.2M tax credits = $9.2M combined. Nick Khan quote.</t>
        </is>
      </c>
    </row>
    <row r="10" ht="39.75" customHeight="1" s="49">
      <c r="A10" s="62" t="inlineStr">
        <is>
          <t>SummerSlam (New Jersey, Aug 2025)</t>
        </is>
      </c>
      <c r="B10" s="62" t="inlineStr">
        <is>
          <t>US</t>
        </is>
      </c>
      <c r="C10" s="63" t="n">
        <v>7.1</v>
      </c>
      <c r="D10" s="62" t="inlineStr">
        <is>
          <t>1x/yr</t>
        </is>
      </c>
      <c r="E10" s="64" t="inlineStr">
        <is>
          <t>Wrestlenomics (Dec 2024): $7.1M — highest known US WWE site fee. 14x the Tampa Royal Rumble.</t>
        </is>
      </c>
    </row>
    <row r="11" ht="39.75" customHeight="1" s="49">
      <c r="A11" s="62" t="inlineStr">
        <is>
          <t>Survivor Series: WarGames (San Diego, Nov 2025)</t>
        </is>
      </c>
      <c r="B11" s="62" t="inlineStr">
        <is>
          <t>US</t>
        </is>
      </c>
      <c r="C11" s="63" t="n">
        <v>5</v>
      </c>
      <c r="D11" s="62" t="inlineStr">
        <is>
          <t>1x/yr</t>
        </is>
      </c>
      <c r="E11" s="64" t="inlineStr">
        <is>
          <t>WrestlingNewsSource (Sep 2025): $5M. Nick Khan confirmed.</t>
        </is>
      </c>
    </row>
    <row r="12" ht="39.75" customHeight="1" s="49">
      <c r="A12" s="62" t="inlineStr">
        <is>
          <t>Royal Rumble (Tampa-St. Pete, Feb 2025)</t>
        </is>
      </c>
      <c r="B12" s="62" t="inlineStr">
        <is>
          <t>US</t>
        </is>
      </c>
      <c r="C12" s="63" t="n">
        <v>0.5</v>
      </c>
      <c r="D12" s="62" t="inlineStr">
        <is>
          <t>1x/yr</t>
        </is>
      </c>
      <c r="E12" s="64" t="inlineStr">
        <is>
          <t>Wrestlenomics (Dec 2024): $500K from local tourism board. 1-day event, much lower than multi-day PLEs.</t>
        </is>
      </c>
    </row>
    <row r="13" ht="39.75" customHeight="1" s="49">
      <c r="A13" s="62" t="inlineStr">
        <is>
          <t>Wrestlepalooza (Indianapolis, Sep 2025)</t>
        </is>
      </c>
      <c r="B13" s="62" t="inlineStr">
        <is>
          <t>US</t>
        </is>
      </c>
      <c r="C13" s="63" t="n"/>
      <c r="D13" s="62" t="inlineStr">
        <is>
          <t>1x</t>
        </is>
      </c>
      <c r="E13" s="64" t="inlineStr">
        <is>
          <t>Indiana Sports Corp deal signed Jun 2024; financial terms undisclosed. Likely $3-5M range.</t>
        </is>
      </c>
    </row>
    <row r="14" ht="39.75" customHeight="1" s="49">
      <c r="A14" s="59" t="inlineStr">
        <is>
          <t>Clash at the Castle (Glasgow, 2024)</t>
        </is>
      </c>
      <c r="B14" s="59" t="inlineStr">
        <is>
          <t>Europe</t>
        </is>
      </c>
      <c r="C14" s="60" t="n">
        <v>3</v>
      </c>
      <c r="D14" s="59" t="inlineStr">
        <is>
          <t>1x/yr (UK)</t>
        </is>
      </c>
      <c r="E14" s="61" t="inlineStr">
        <is>
          <t>F4WOnline (Oct 2023): ~$3M from Welsh govt for Cardiff 2022. Glasgow 2024 likely similar or higher.</t>
        </is>
      </c>
    </row>
    <row r="15" ht="39.75" customHeight="1" s="49">
      <c r="A15" s="59" t="inlineStr">
        <is>
          <t>Clash in Paris (Aug 2025)</t>
        </is>
      </c>
      <c r="B15" s="59" t="inlineStr">
        <is>
          <t>Europe</t>
        </is>
      </c>
      <c r="C15" s="60" t="n"/>
      <c r="D15" s="59" t="inlineStr">
        <is>
          <t>1x</t>
        </is>
      </c>
      <c r="E15" s="61" t="inlineStr">
        <is>
          <t>Undisclosed. Likely has a FIP — TKO pursuing site fees for all intl PLEs per Schleimer (Q3 2025 call).</t>
        </is>
      </c>
    </row>
    <row r="16" ht="39.75" customHeight="1" s="49">
      <c r="A16" s="59" t="inlineStr">
        <is>
          <t>Bash in Berlin (2024)</t>
        </is>
      </c>
      <c r="B16" s="59" t="inlineStr">
        <is>
          <t>Europe</t>
        </is>
      </c>
      <c r="C16" s="60" t="n"/>
      <c r="D16" s="59" t="inlineStr">
        <is>
          <t>1x</t>
        </is>
      </c>
      <c r="E16" s="61" t="inlineStr">
        <is>
          <t>Undisclosed. WrestlingNews.co (Dec 2025): TKO "prioritized securing site fees" for all intl PLEs.</t>
        </is>
      </c>
    </row>
    <row r="17" ht="39.75" customHeight="1" s="49">
      <c r="A17" s="65" t="inlineStr">
        <is>
          <t>Backlash: Puerto Rico (2023)</t>
        </is>
      </c>
      <c r="B17" s="65" t="inlineStr">
        <is>
          <t>LatAm</t>
        </is>
      </c>
      <c r="C17" s="66" t="n">
        <v>1.5</v>
      </c>
      <c r="D17" s="65" t="inlineStr">
        <is>
          <t>1x</t>
        </is>
      </c>
      <c r="E17" s="67" t="inlineStr">
        <is>
          <t>F4WOnline (Oct 2023): ~$1.5M from Puerto Rican govt.</t>
        </is>
      </c>
    </row>
    <row r="18" ht="39.75" customHeight="1" s="49">
      <c r="A18" s="62" t="inlineStr">
        <is>
          <t>John Cena Retirement (D.C., Dec 2025)</t>
        </is>
      </c>
      <c r="B18" s="62" t="inlineStr">
        <is>
          <t>US</t>
        </is>
      </c>
      <c r="C18" s="63" t="n"/>
      <c r="D18" s="62" t="inlineStr">
        <is>
          <t>1x</t>
        </is>
      </c>
      <c r="E18" s="64" t="inlineStr">
        <is>
          <t>Wrestlenomics (Feb 2026): "presented in association with Events DC" — suggests incentives. FOIA lawsuit pending.</t>
        </is>
      </c>
    </row>
    <row r="19" ht="39.75" customHeight="1" s="49">
      <c r="A19" s="62" t="inlineStr">
        <is>
          <t>Pre-Nick Khan WrestleMania (baseline)</t>
        </is>
      </c>
      <c r="B19" s="62" t="inlineStr">
        <is>
          <t>US</t>
        </is>
      </c>
      <c r="C19" s="63" t="n">
        <v>0.15</v>
      </c>
      <c r="D19" s="62" t="inlineStr">
        <is>
          <t>Historical</t>
        </is>
      </c>
      <c r="E19" s="64" t="inlineStr">
        <is>
          <t>Nick Khan quote (Puck, Sep 2025): "We were getting ~$150K for WrestleMania and posters around the city."</t>
        </is>
      </c>
    </row>
    <row r="21" ht="21.75" customHeight="1" s="49">
      <c r="A21" s="68" t="inlineStr">
        <is>
          <t>Saudi Total 2025 (1 PLE)</t>
        </is>
      </c>
      <c r="B21" s="69" t="n"/>
      <c r="C21" s="70">
        <f>C5</f>
        <v/>
      </c>
      <c r="D21" s="69" t="n"/>
      <c r="E21" s="69" t="n"/>
    </row>
    <row r="22" ht="21.75" customHeight="1" s="49">
      <c r="A22" s="68" t="inlineStr">
        <is>
          <t>Australia Package 2024/25</t>
        </is>
      </c>
      <c r="B22" s="69" t="n"/>
      <c r="C22" s="70">
        <f>C7</f>
        <v/>
      </c>
      <c r="D22" s="69" t="n"/>
      <c r="E22" s="69" t="n"/>
    </row>
    <row r="23" ht="21.75" customHeight="1" s="49">
      <c r="A23" s="68" t="inlineStr">
        <is>
          <t>US Total (confirmed 2025)</t>
        </is>
      </c>
      <c r="B23" s="69" t="n"/>
      <c r="C23" s="70">
        <f>SUM(C9:C12)</f>
        <v/>
      </c>
      <c r="D23" s="69" t="n"/>
      <c r="E23" s="69" t="n"/>
    </row>
    <row r="24" ht="21.75" customHeight="1" s="49">
      <c r="A24" s="71" t="inlineStr">
        <is>
          <t>Saudi FIP vs WrestleMania FIP</t>
        </is>
      </c>
      <c r="B24" s="72" t="n"/>
      <c r="C24" s="77">
        <f>C5/C9</f>
        <v/>
      </c>
      <c r="D24" s="72" t="n"/>
      <c r="E24" s="72" t="n"/>
    </row>
    <row r="27" ht="15" customHeight="1" s="49">
      <c r="A27" s="75" t="inlineStr">
        <is>
          <t>NOTES &amp; SOURCES</t>
        </is>
      </c>
    </row>
    <row r="28" ht="36" customHeight="1" s="49">
      <c r="A28" s="76" t="inlineStr">
        <is>
          <t>1. WWE Saudi fees are best-documented: $50-55M per event confirmed via WWE CAO Mark Kowal sworn declaration (Wrestlenomics, Nov 2020).</t>
        </is>
      </c>
    </row>
    <row r="29" ht="36" customHeight="1" s="49">
      <c r="A29" s="76" t="inlineStr">
        <is>
          <t>2. Nick Khan (Puck/Ourand, Sep 2025): WWE went from ~$150K for WrestleMania to $9.2M — entering "the subsidy business" after learning UFC got $3M from Salt Lake City.</t>
        </is>
      </c>
    </row>
    <row r="30" ht="36" customHeight="1" s="49">
      <c r="A30" s="76" t="inlineStr">
        <is>
          <t>3. TKO CFO Schleimer (Q3 2025 call): "We continue to see meaningful momentum in securing significant financial incentives...focused on a multi-pronged strategy."</t>
        </is>
      </c>
    </row>
    <row r="31" ht="36" customHeight="1" s="49">
      <c r="A31" s="76" t="inlineStr">
        <is>
          <t>4. TKO COO Shapiro (Q3 2025): FIPs are a "high-margin revenue opportunity that we are approaching like a heat-seeking missile" with a dedicated 6-person team.</t>
        </is>
      </c>
    </row>
    <row r="32" ht="36" customHeight="1" s="49">
      <c r="A32" s="76" t="inlineStr">
        <is>
          <t>5. TKO target: $360M/yr in FIPs by 2030 across UFC + WWE combined (MMA Draw, Mar 2026).</t>
        </is>
      </c>
    </row>
    <row r="33" ht="36" customHeight="1" s="49">
      <c r="A33" s="76" t="inlineStr">
        <is>
          <t>6. WWE 2025 had only 1 Saudi PLE (Night of Champions) vs typical 2/yr — Crown Jewel moved to Perth. 2026 plans 3 Saudi PLEs.</t>
        </is>
      </c>
    </row>
    <row r="34" ht="36" customHeight="1" s="49">
      <c r="A34" s="76" t="inlineStr">
        <is>
          <t>7. After Night of Champions 2025, WWE cumulative Saudi revenue = ~$600M since 2018 — 1.5x all WrestleMania ticket sales ever (Wrestlenomics, Jun 2025).</t>
        </is>
      </c>
    </row>
    <row r="35" ht="36" customHeight="1" s="49">
      <c r="A35" s="76" t="inlineStr">
        <is>
          <t>8. WrestleMania 43 (Saudi, 2027): reportedly ~$100M FIP (MMA Draw, F4WOnline). Would be 10x a US WrestleMania FIP.</t>
        </is>
      </c>
    </row>
    <row r="36" ht="36" customHeight="1" s="49">
      <c r="A36" s="76" t="inlineStr">
        <is>
          <t>9. European FIPs likely exist for all intl PLEs but are undisclosed. Wales ($3M) and Puerto Rico ($1.5M) are the only confirmed non-US/Saudi figures.</t>
        </is>
      </c>
    </row>
    <row r="37" ht="36" customHeight="1" s="49">
      <c r="A37" s="76" t="inlineStr">
        <is>
          <t>10. Blue text = confirmed or estimated values. Blank = undisclosed but likely non-zero per TKO strategy.</t>
        </is>
      </c>
    </row>
  </sheetData>
  <mergeCells count="13">
    <mergeCell ref="A30:E30"/>
    <mergeCell ref="A34:E34"/>
    <mergeCell ref="A29:E29"/>
    <mergeCell ref="A35:E35"/>
    <mergeCell ref="A2:E2"/>
    <mergeCell ref="A28:E28"/>
    <mergeCell ref="A33:E33"/>
    <mergeCell ref="A1:E1"/>
    <mergeCell ref="A37:E37"/>
    <mergeCell ref="A32:E32"/>
    <mergeCell ref="A36:E36"/>
    <mergeCell ref="A31:E31"/>
    <mergeCell ref="A27:E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2026-03-12T18:03:19Z</dcterms:created>
  <dcterms:modified xmlns:dcterms="http://purl.org/dc/terms/" xmlns:xsi="http://www.w3.org/2001/XMLSchema-instance" xsi:type="dcterms:W3CDTF">2026-03-12T18:16:26Z</dcterms:modified>
  <cp:revision>0</cp:revision>
</cp:coreProperties>
</file>