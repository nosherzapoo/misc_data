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-EBITDA Walk" sheetId="1" state="visible" r:id="rId3"/>
    <sheet name="Assumptions" sheetId="2" state="visible" r:id="rId4"/>
    <sheet name="2026 Scenarios" sheetId="3" state="visible" r:id="rId5"/>
    <sheet name="2027 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<sst xmlns="http://schemas.openxmlformats.org/spreadsheetml/2006/main" count="323" uniqueCount="260">
  <si>
    <t xml:space="preserve">FWONK — LOOK THROUGH THE NOISE: 2028E VALUATION ANCHORS REGARDLESS OF ME OUTCOME</t>
  </si>
  <si>
    <t xml:space="preserve">EV = $25.2B (static) | Bernstein 2026E | Revenue retention: promo 100% lost, media ~5%, spon ~25%, other ~70%</t>
  </si>
  <si>
    <t xml:space="preserve">2026E</t>
  </si>
  <si>
    <t xml:space="preserve">2027E</t>
  </si>
  <si>
    <t xml:space="preserve">2028E</t>
  </si>
  <si>
    <t xml:space="preserve">26E uFCF/EV</t>
  </si>
  <si>
    <t xml:space="preserve">27E uFCF/EV</t>
  </si>
  <si>
    <t xml:space="preserve">28E uFCF/EV</t>
  </si>
  <si>
    <t xml:space="preserve">26E lFCF/Eq</t>
  </si>
  <si>
    <t xml:space="preserve">27E lFCF/Eq</t>
  </si>
  <si>
    <t xml:space="preserve">28E lFCF/Eq</t>
  </si>
  <si>
    <t xml:space="preserve">FWONK Consolidated OIBDA — Base Case</t>
  </si>
  <si>
    <t xml:space="preserve">Base Case EV / OIBDA</t>
  </si>
  <si>
    <t xml:space="preserve">2026 SCENARIOS</t>
  </si>
  <si>
    <t xml:space="preserve">A) BH+SA cancelled (confirmed); rest runs</t>
  </si>
  <si>
    <t xml:space="preserve">    EV / OIBDA</t>
  </si>
  <si>
    <t xml:space="preserve">B) Full ME out; EU repl. for AZE/QAT/ABU</t>
  </si>
  <si>
    <t xml:space="preserve">C) Full ME out; NO replacements</t>
  </si>
  <si>
    <t xml:space="preserve">2026 + 2027 COMBINED SCENARIOS (Conflict Persists Through 2027)</t>
  </si>
  <si>
    <t xml:space="preserve">B+D) '26: EU repl AZE/QAT/ABU | '27: No repl</t>
  </si>
  <si>
    <t xml:space="preserve">B+E) '26: EU repl AZE/QAT/ABU | '27: EU repl all 5</t>
  </si>
  <si>
    <t xml:space="preserve">C+D) '26: No repl | '27: No repl [WORST CASE]</t>
  </si>
  <si>
    <t xml:space="preserve">C+E) '26: No repl | '27: EU repl all 5</t>
  </si>
  <si>
    <t xml:space="preserve">Notes:</t>
  </si>
  <si>
    <t xml:space="preserve">1. Static EV ($25.2B) assumed throughout — multiples expand on lower EBITDA, all else equal</t>
  </si>
  <si>
    <t xml:space="preserve">2. Revenue retention per Ian Moore: promo 100% lost, media ~5%, spon ~25%, other ~70% → ~55% of allocated rev retained</t>
  </si>
  <si>
    <t xml:space="preserve">3. Net EBITDA hit per replaced race = hosting fee shortfall only (~$17M); media/spon/other revenue fully recovered</t>
  </si>
  <si>
    <t xml:space="preserve">4. BH+SA confirmed cancelled 3/14/2026 with no replacement → 22-race calendar. AZE (Sept), QAT (Nov), ABU (Dec) at risk</t>
  </si>
  <si>
    <t xml:space="preserve">5. Team payment reduction assumed at 40% of per-race allocation (Concorde partially adjusts to lower profitability)</t>
  </si>
  <si>
    <t xml:space="preserve">5. Team payment reduction assumed at 40% of per-race allocation (Concorde partially adjusts)</t>
  </si>
  <si>
    <t xml:space="preserve">6. FCF assumptions are placeholders — link to financial model via Assumptions tab cells B69:D73</t>
  </si>
  <si>
    <t xml:space="preserve">7. uFCF/EV = (OIBDA - Capex) / EV. lFCF/Eq = (OIBDA - Capex - Int - Taxes) / Mkt Cap</t>
  </si>
  <si>
    <t xml:space="preserve">THE LOOK-THROUGH: 2028E MULTIPLE IS 17.0x IN EVERY SCENARIO</t>
  </si>
  <si>
    <t xml:space="preserve">2028E OIBDA is unaffected by ME disruption — all scenarios revert to full 24-race calendar</t>
  </si>
  <si>
    <t xml:space="preserve">Implied Share Price at Target 2028E EV/OIBDA</t>
  </si>
  <si>
    <t xml:space="preserve">Multiple</t>
  </si>
  <si>
    <t xml:space="preserve">Implied EV ($M)</t>
  </si>
  <si>
    <t xml:space="preserve">Implied Equity ($M)</t>
  </si>
  <si>
    <t xml:space="preserve">Implied $/sh</t>
  </si>
  <si>
    <t xml:space="preserve">% vs Current</t>
  </si>
  <si>
    <t xml:space="preserve">uFCF/EV</t>
  </si>
  <si>
    <t xml:space="preserve">Current (spot)</t>
  </si>
  <si>
    <t xml:space="preserve">15.0x</t>
  </si>
  <si>
    <t xml:space="preserve">17.5x</t>
  </si>
  <si>
    <t xml:space="preserve">20.0x</t>
  </si>
  <si>
    <t xml:space="preserve">22.5x</t>
  </si>
  <si>
    <t xml:space="preserve">25.0x (hist. avg)</t>
  </si>
  <si>
    <t xml:space="preserve">WHAT IS THE MARKET PRICING TODAY?</t>
  </si>
  <si>
    <t xml:space="preserve">Current 2026E EV/OIBDA (base case)</t>
  </si>
  <si>
    <t xml:space="preserve">Current 2026E EV/OIBDA (Scenario A: BH+SA priced in)</t>
  </si>
  <si>
    <t xml:space="preserve">Current 2028E EV/OIBDA (look-through)</t>
  </si>
  <si>
    <t xml:space="preserve">Stock is down ~23% from 52-wk high ($109)</t>
  </si>
  <si>
    <t xml:space="preserve">At 20x 2028E OIBDA, implied price = ~$102 (+21% upside)</t>
  </si>
  <si>
    <t xml:space="preserve">BERNSTEIN BOTTOM LINE</t>
  </si>
  <si>
    <t xml:space="preserve">• BH+SA already cancelled and ~priced in at 23.0x '26E. Remaining 3 ME races (Sept-Dec) are the swing.</t>
  </si>
  <si>
    <t xml:space="preserve">• With EU replacements for the 3 at-risk races, the hit is just ~$50M (fee shortfall) → 21.9x, barely above base.</t>
  </si>
  <si>
    <t xml:space="preserve">• Even worst case (no replacements, 2 years), 2028E is still 17.0x — cheap for a 24-race global franchise.</t>
  </si>
  <si>
    <t xml:space="preserve">• At 20x 2028E OIBDA, implied ~$102/sh = +21% upside from current $84. Look through the noise.</t>
  </si>
  <si>
    <t xml:space="preserve">• Media rights (annual contracts) and sponsorship (season-level) provide ~51% revenue retention even with cancellations.</t>
  </si>
  <si>
    <t xml:space="preserve">FWONK — ME Disruption Model: Assumptions &amp; Per-Race Economics</t>
  </si>
  <si>
    <t xml:space="preserve">Anchored to Bernstein 2026E F1 estimates from per-race EBITDA model (March 2026)</t>
  </si>
  <si>
    <t xml:space="preserve">Bernstein 2026E F1 Estimates</t>
  </si>
  <si>
    <t xml:space="preserve">Value</t>
  </si>
  <si>
    <t xml:space="preserve">Source / Note</t>
  </si>
  <si>
    <t xml:space="preserve">Total F1 Revenue ($M)</t>
  </si>
  <si>
    <t xml:space="preserve">Bernstein 2026E</t>
  </si>
  <si>
    <t xml:space="preserve">Number of Races (Original Calendar)</t>
  </si>
  <si>
    <t xml:space="preserve">Adjusted OIBDA ($M)</t>
  </si>
  <si>
    <t xml:space="preserve">  Race Promotion Revenue ($M)</t>
  </si>
  <si>
    <t xml:space="preserve">  Media Rights Revenue ($M)</t>
  </si>
  <si>
    <t xml:space="preserve">  Sponsorship Revenue ($M)</t>
  </si>
  <si>
    <t xml:space="preserve">  Other Revenue ($M)</t>
  </si>
  <si>
    <t xml:space="preserve">Cost Structure</t>
  </si>
  <si>
    <t xml:space="preserve">Note</t>
  </si>
  <si>
    <t xml:space="preserve">Total Costs ($M)</t>
  </si>
  <si>
    <t xml:space="preserve">Team Payments ($M)</t>
  </si>
  <si>
    <t xml:space="preserve">Concorde Agreement; 11 teams in 2026 incl. Cadillac</t>
  </si>
  <si>
    <t xml:space="preserve">Variable OpEx ($M)</t>
  </si>
  <si>
    <t xml:space="preserve">Logistics, hospitality COGS, commissions; ~38% of non-promo rev</t>
  </si>
  <si>
    <t xml:space="preserve">Fixed Overhead ($M) [plug]</t>
  </si>
  <si>
    <t xml:space="preserve">SGA, personnel, D&amp;A; non-scalable with # of races</t>
  </si>
  <si>
    <t xml:space="preserve">Derived Rates</t>
  </si>
  <si>
    <t xml:space="preserve">Variable Cost Rate (% of non-promo rev)</t>
  </si>
  <si>
    <t xml:space="preserve">Fixed Cost per Race ($M)</t>
  </si>
  <si>
    <t xml:space="preserve">Team Payment per Race ($M)</t>
  </si>
  <si>
    <t xml:space="preserve">Avg Revenue per Race ($M)</t>
  </si>
  <si>
    <t xml:space="preserve">ME Race-Level Economics</t>
  </si>
  <si>
    <t xml:space="preserve">Hosting Fee</t>
  </si>
  <si>
    <t xml:space="preserve">Non-Promo Rev</t>
  </si>
  <si>
    <t xml:space="preserve">Total Rev</t>
  </si>
  <si>
    <t xml:space="preserve">Alloc EBITDA</t>
  </si>
  <si>
    <t xml:space="preserve">Status</t>
  </si>
  <si>
    <t xml:space="preserve">Bahrain GP</t>
  </si>
  <si>
    <t xml:space="preserve">Cancelled — confirmed 3/14</t>
  </si>
  <si>
    <t xml:space="preserve">Saudi Arabia GP</t>
  </si>
  <si>
    <t xml:space="preserve">Azerbaijan GP (Baku)</t>
  </si>
  <si>
    <t xml:space="preserve">At risk — Sept 26; Iran struck Baku</t>
  </si>
  <si>
    <t xml:space="preserve">Qatar GP (Lusail)</t>
  </si>
  <si>
    <t xml:space="preserve">At risk — Nov 29; Doha airport closed</t>
  </si>
  <si>
    <t xml:space="preserve">Abu Dhabi GP (Yas Marina)</t>
  </si>
  <si>
    <t xml:space="preserve">At risk — Dec 6; UAE struck by Iran</t>
  </si>
  <si>
    <t xml:space="preserve">Total All 5 ME Races</t>
  </si>
  <si>
    <t xml:space="preserve">% of F1 Total</t>
  </si>
  <si>
    <t xml:space="preserve">Revenue Retention on Cancellation (No Repl)</t>
  </si>
  <si>
    <t xml:space="preserve">% Lost</t>
  </si>
  <si>
    <t xml:space="preserve">% Retained</t>
  </si>
  <si>
    <t xml:space="preserve">Avg $/Race</t>
  </si>
  <si>
    <t xml:space="preserve">$ Lost/Race</t>
  </si>
  <si>
    <t xml:space="preserve">Rationale</t>
  </si>
  <si>
    <t xml:space="preserve">Race Promotion Fee</t>
  </si>
  <si>
    <t xml:space="preserve">Hosting fee zero if no race. Full loss.</t>
  </si>
  <si>
    <t xml:space="preserve">Media Rights</t>
  </si>
  <si>
    <t xml:space="preserve">Annual contracts (Sky/ESPN/Netflix). Small rebate for fewer races.</t>
  </si>
  <si>
    <t xml:space="preserve">Sponsorship</t>
  </si>
  <si>
    <t xml:space="preserve">Season commitments; per-race activation + regional sponsors (Aramco) lost.</t>
  </si>
  <si>
    <t xml:space="preserve">Other (Paddock Club, freight, F2/F3)</t>
  </si>
  <si>
    <t xml:space="preserve">Hospitality + freight + support series largely event-driven.</t>
  </si>
  <si>
    <t xml:space="preserve">Total Revenue Lost per Cancelled Race</t>
  </si>
  <si>
    <t xml:space="preserve">Memo: Full Allocated Rev/Race</t>
  </si>
  <si>
    <t xml:space="preserve">Revenue Retention Rate</t>
  </si>
  <si>
    <t xml:space="preserve">Revised Net EBITDA Hit per Cancelled Race (No Repl)</t>
  </si>
  <si>
    <t xml:space="preserve">$M</t>
  </si>
  <si>
    <t xml:space="preserve">Revenue Lost</t>
  </si>
  <si>
    <t xml:space="preserve">Less: Variable Costs Avoided</t>
  </si>
  <si>
    <t xml:space="preserve">VCR applied to non-promo revenue lost only</t>
  </si>
  <si>
    <t xml:space="preserve">Team Payment Reduction Assumption</t>
  </si>
  <si>
    <t xml:space="preserve">Less: TP Savings</t>
  </si>
  <si>
    <t xml:space="preserve">NET EBITDA HIT per Cancelled Race (no repl)</t>
  </si>
  <si>
    <t xml:space="preserve">Replacement Race Economics</t>
  </si>
  <si>
    <t xml:space="preserve">EU Replacement Hosting Fee ($M)</t>
  </si>
  <si>
    <t xml:space="preserve">Avg ME Hosting Fee ($M)</t>
  </si>
  <si>
    <t xml:space="preserve">Hosting Fee Shortfall</t>
  </si>
  <si>
    <t xml:space="preserve">NET EBITDA HIT per Replaced Race</t>
  </si>
  <si>
    <t xml:space="preserve">Only promo fee delta — all other rev recovered</t>
  </si>
  <si>
    <t xml:space="preserve">FWONK Market Data</t>
  </si>
  <si>
    <t xml:space="preserve">Stock Price ($/sh)</t>
  </si>
  <si>
    <t xml:space="preserve">Diluted Shares (M)</t>
  </si>
  <si>
    <t xml:space="preserve">Market Cap ($M)</t>
  </si>
  <si>
    <t xml:space="preserve">Net Debt ($M)</t>
  </si>
  <si>
    <t xml:space="preserve">Enterprise Value ($M)</t>
  </si>
  <si>
    <t xml:space="preserve">FWONK Consolidated OIBDA</t>
  </si>
  <si>
    <t xml:space="preserve">F1 OIBDA</t>
  </si>
  <si>
    <t xml:space="preserve">MotoGP OIBDA</t>
  </si>
  <si>
    <t xml:space="preserve">Total FWONK OIBDA (Base)</t>
  </si>
  <si>
    <t xml:space="preserve">FCF Bridge (Placeholder — link to financial model)</t>
  </si>
  <si>
    <t xml:space="preserve">Capex ($M)</t>
  </si>
  <si>
    <t xml:space="preserve">Placeholder — broadcast infra, tech, facility maint.</t>
  </si>
  <si>
    <t xml:space="preserve">D&amp;A ($M) [memo, already above OIBDA line]</t>
  </si>
  <si>
    <t xml:space="preserve">Cash Interest ($M)</t>
  </si>
  <si>
    <t xml:space="preserve">~5% avg rate on ~$4.2B gross debt; declining w/ paydown</t>
  </si>
  <si>
    <t xml:space="preserve">Cash Tax Rate</t>
  </si>
  <si>
    <t xml:space="preserve">Placeholder eff. rate on taxable income; Liberty structure complex</t>
  </si>
  <si>
    <t xml:space="preserve">Working Capital Change ($M)</t>
  </si>
  <si>
    <t xml:space="preserve">~Neutral for F1; prepaid race fees offset receivables</t>
  </si>
  <si>
    <t xml:space="preserve">Base Case FCF Build</t>
  </si>
  <si>
    <t xml:space="preserve">FWONK OIBDA</t>
  </si>
  <si>
    <t xml:space="preserve">Less: Capex</t>
  </si>
  <si>
    <t xml:space="preserve">Unlevered FCF</t>
  </si>
  <si>
    <t xml:space="preserve">Less: Cash Interest</t>
  </si>
  <si>
    <t xml:space="preserve">Less: Cash Taxes</t>
  </si>
  <si>
    <t xml:space="preserve">Working Capital</t>
  </si>
  <si>
    <t xml:space="preserve">Levered FCF</t>
  </si>
  <si>
    <t xml:space="preserve">Unlevered FCF / EV</t>
  </si>
  <si>
    <t xml:space="preserve">Levered FCF / Equity</t>
  </si>
  <si>
    <t xml:space="preserve">FCF Conversion (uFCF / OIBDA)</t>
  </si>
  <si>
    <t xml:space="preserve">LINKABLE INPUTS (connect to financial model)</t>
  </si>
  <si>
    <t xml:space="preserve">Cell Ref</t>
  </si>
  <si>
    <t xml:space="preserve">Description</t>
  </si>
  <si>
    <t xml:space="preserve">B57</t>
  </si>
  <si>
    <t xml:space="preserve">B58</t>
  </si>
  <si>
    <t xml:space="preserve">B60</t>
  </si>
  <si>
    <t xml:space="preserve">Incl. MotoGP debt</t>
  </si>
  <si>
    <t xml:space="preserve">B61</t>
  </si>
  <si>
    <t xml:space="preserve">Mkt Cap + Net Debt</t>
  </si>
  <si>
    <t xml:space="preserve">F1 OIBDA 2026E</t>
  </si>
  <si>
    <t xml:space="preserve">B64</t>
  </si>
  <si>
    <t xml:space="preserve">F1 OIBDA 2027E</t>
  </si>
  <si>
    <t xml:space="preserve">C64</t>
  </si>
  <si>
    <t xml:space="preserve">F1 OIBDA 2028E</t>
  </si>
  <si>
    <t xml:space="preserve">D64</t>
  </si>
  <si>
    <t xml:space="preserve">MotoGP OIBDA 2026E</t>
  </si>
  <si>
    <t xml:space="preserve">B65</t>
  </si>
  <si>
    <t xml:space="preserve">MotoGP OIBDA 2027E</t>
  </si>
  <si>
    <t xml:space="preserve">C65</t>
  </si>
  <si>
    <t xml:space="preserve">MotoGP OIBDA 2028E</t>
  </si>
  <si>
    <t xml:space="preserve">D65</t>
  </si>
  <si>
    <t xml:space="preserve">B15</t>
  </si>
  <si>
    <t xml:space="preserve">Concorde</t>
  </si>
  <si>
    <t xml:space="preserve">B16</t>
  </si>
  <si>
    <t xml:space="preserve">EU Replacement Fee ($M)</t>
  </si>
  <si>
    <t xml:space="preserve">B51</t>
  </si>
  <si>
    <t xml:space="preserve">TP Reduction Assumption</t>
  </si>
  <si>
    <t xml:space="preserve">B46</t>
  </si>
  <si>
    <t xml:space="preserve">Promo Fee % Lost</t>
  </si>
  <si>
    <t xml:space="preserve">B35</t>
  </si>
  <si>
    <t xml:space="preserve">Media Rights % Lost</t>
  </si>
  <si>
    <t xml:space="preserve">B36</t>
  </si>
  <si>
    <t xml:space="preserve">Sponsorship % Lost</t>
  </si>
  <si>
    <t xml:space="preserve">B37</t>
  </si>
  <si>
    <t xml:space="preserve">Other % Lost</t>
  </si>
  <si>
    <t xml:space="preserve">B38</t>
  </si>
  <si>
    <t xml:space="preserve">Capex 2026E</t>
  </si>
  <si>
    <t xml:space="preserve">B69</t>
  </si>
  <si>
    <t xml:space="preserve">Capex 2027E</t>
  </si>
  <si>
    <t xml:space="preserve">C69</t>
  </si>
  <si>
    <t xml:space="preserve">Capex 2028E</t>
  </si>
  <si>
    <t xml:space="preserve">D69</t>
  </si>
  <si>
    <t xml:space="preserve">D&amp;A 2026E</t>
  </si>
  <si>
    <t xml:space="preserve">B70</t>
  </si>
  <si>
    <t xml:space="preserve">Memo</t>
  </si>
  <si>
    <t xml:space="preserve">D&amp;A 2027E</t>
  </si>
  <si>
    <t xml:space="preserve">C70</t>
  </si>
  <si>
    <t xml:space="preserve">D&amp;A 2028E</t>
  </si>
  <si>
    <t xml:space="preserve">D70</t>
  </si>
  <si>
    <t xml:space="preserve">Cash Interest 2026E</t>
  </si>
  <si>
    <t xml:space="preserve">B71</t>
  </si>
  <si>
    <t xml:space="preserve">Cash Interest 2027E</t>
  </si>
  <si>
    <t xml:space="preserve">C71</t>
  </si>
  <si>
    <t xml:space="preserve">Cash Interest 2028E</t>
  </si>
  <si>
    <t xml:space="preserve">D71</t>
  </si>
  <si>
    <t xml:space="preserve">Cash Tax Rate 2026E</t>
  </si>
  <si>
    <t xml:space="preserve">B72</t>
  </si>
  <si>
    <t xml:space="preserve">Cash Tax Rate 2027E</t>
  </si>
  <si>
    <t xml:space="preserve">C72</t>
  </si>
  <si>
    <t xml:space="preserve">Cash Tax Rate 2028E</t>
  </si>
  <si>
    <t xml:space="preserve">D72</t>
  </si>
  <si>
    <t xml:space="preserve">WC Change 2026E</t>
  </si>
  <si>
    <t xml:space="preserve">B73</t>
  </si>
  <si>
    <t xml:space="preserve">WC Change 2027E</t>
  </si>
  <si>
    <t xml:space="preserve">C73</t>
  </si>
  <si>
    <t xml:space="preserve">WC Change 2028E</t>
  </si>
  <si>
    <t xml:space="preserve">D73</t>
  </si>
  <si>
    <t xml:space="preserve">FWONK — 2026 ME Disruption Scenarios</t>
  </si>
  <si>
    <t xml:space="preserve">BH + SA already confirmed cancelled with no replacement. Scenarios vary treatment of AZE/QAT/ABU.</t>
  </si>
  <si>
    <t xml:space="preserve">SCENARIO A: BH + SA Cancelled Only (confirmed)</t>
  </si>
  <si>
    <t xml:space="preserve">Races</t>
  </si>
  <si>
    <t xml:space="preserve">EBITDA Hit ($M)</t>
  </si>
  <si>
    <t xml:space="preserve">BH + SA Net EBITDA Impact (no replacement, confirmed)</t>
  </si>
  <si>
    <t xml:space="preserve">AZE / QAT / ABU → Assumed to run as scheduled</t>
  </si>
  <si>
    <t xml:space="preserve">Total 2026 EBITDA Haircut — Scenario A</t>
  </si>
  <si>
    <t xml:space="preserve">Adjusted FWONK 2026E OIBDA</t>
  </si>
  <si>
    <t xml:space="preserve">EV / Adjusted OIBDA</t>
  </si>
  <si>
    <t xml:space="preserve">SCENARIO B: Full 2026 ME Out — EU Replacements for 3 remaining</t>
  </si>
  <si>
    <t xml:space="preserve">BH + SA Net EBITDA Impact (no replacement)</t>
  </si>
  <si>
    <t xml:space="preserve">AZE + QAT + ABU → Cancelled, replaced with EU races</t>
  </si>
  <si>
    <t xml:space="preserve">Only hosting fee shortfall vs ME; media/spon recovered</t>
  </si>
  <si>
    <t xml:space="preserve">Total 2026 EBITDA Haircut — Scenario B</t>
  </si>
  <si>
    <t xml:space="preserve">SCENARIO C: Full 2026 ME Out — NO Replacements</t>
  </si>
  <si>
    <t xml:space="preserve">All 5 ME Races Net EBITDA Impact (no replacement)</t>
  </si>
  <si>
    <t xml:space="preserve">Total 2026 EBITDA Haircut — Scenario C</t>
  </si>
  <si>
    <t xml:space="preserve">FWONK — 2027 ME Disruption Scenarios (Conflict Persists)</t>
  </si>
  <si>
    <t xml:space="preserve">Assumes full 2027 ME calendar also disrupted. 2028 reverts to normal.</t>
  </si>
  <si>
    <t xml:space="preserve">SCENARIO D: Full 2027 ME Out — NO Replacements</t>
  </si>
  <si>
    <t xml:space="preserve">Same per-race mechanics; slight conservatism (no fee escalators)</t>
  </si>
  <si>
    <t xml:space="preserve">Total 2027 EBITDA Haircut — Scenario D</t>
  </si>
  <si>
    <t xml:space="preserve">Adjusted FWONK 2027E OIBDA</t>
  </si>
  <si>
    <t xml:space="preserve">SCENARIO E: Full 2027 ME Out — EU Replacements for all 5</t>
  </si>
  <si>
    <t xml:space="preserve">All 5 ME Races → Replaced with EU circuits</t>
  </si>
  <si>
    <t xml:space="preserve">Only hosting fee shortfall; media/spon/other fully recovered</t>
  </si>
  <si>
    <t xml:space="preserve">Total 2027 EBITDA Haircut — Scenario 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</si>
</sst>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\x"/>
    <numFmt numFmtId="167" formatCode="0.0%"/>
    <numFmt numFmtId="168" formatCode="\$#,##0.00"/>
    <numFmt numFmtId="169" formatCode="\+0.0%;\-0.0%"/>
    <numFmt numFmtId="170" formatCode="#,##0.0"/>
    <numFmt numFmtId="171" formatCode="#,##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B05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i val="true"/>
      <sz val="10"/>
      <color rgb="FF00B050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7030A0"/>
      <name val="Arial"/>
      <family val="0"/>
      <charset val="1"/>
    </font>
    <font>
      <sz val="9"/>
      <color rgb="FF7030A0"/>
      <name val="Arial"/>
      <family val="0"/>
      <charset val="1"/>
    </font>
    <font>
      <b val="true"/>
      <sz val="13"/>
      <color rgb="FFC6591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2F3"/>
      </patternFill>
    </fill>
    <fill>
      <patternFill patternType="solid">
        <fgColor rgb="FFE4DFEC"/>
        <bgColor rgb="FFD9E2F3"/>
      </patternFill>
    </fill>
    <fill>
      <patternFill patternType="solid">
        <fgColor rgb="FFE2EFDA"/>
        <bgColor rgb="FFD6E4F0"/>
      </patternFill>
    </fill>
    <fill>
      <patternFill patternType="solid">
        <fgColor rgb="FFC65911"/>
        <bgColor rgb="FF9933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1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99CC"/>
      <rgbColor rgb="FFCC99FF"/>
      <rgbColor rgb="FFF2DCDB"/>
      <rgbColor rgb="FF4472C4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6"/>
    <col collapsed="false" customWidth="true" hidden="false" outlineLevel="0" max="7" min="5" style="1" width="14"/>
    <col collapsed="false" customWidth="true" hidden="false" outlineLevel="0" max="10" min="8" style="0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5" t="s">
        <v>5</v>
      </c>
      <c r="F4" s="5" t="s">
        <v>6</v>
      </c>
      <c r="G4" s="5" t="s">
        <v>7</v>
      </c>
      <c r="H4" s="6" t="s">
        <v>8</v>
      </c>
      <c r="I4" s="6" t="s">
        <v>9</v>
      </c>
      <c r="J4" s="6" t="s">
        <v>10</v>
      </c>
    </row>
    <row r="5" customFormat="false" ht="15" hidden="false" customHeight="true" outlineLevel="0" collapsed="false">
      <c r="A5" s="7" t="s">
        <v>11</v>
      </c>
      <c r="B5" s="8" t="n">
        <f aca="false">Assumptions!B66</f>
        <v>1200</v>
      </c>
      <c r="C5" s="8" t="n">
        <f aca="false">Assumptions!C66</f>
        <v>1338</v>
      </c>
      <c r="D5" s="8" t="n">
        <f aca="false">Assumptions!D66</f>
        <v>1485</v>
      </c>
    </row>
    <row r="6" customFormat="false" ht="15" hidden="false" customHeight="true" outlineLevel="0" collapsed="false">
      <c r="A6" s="7" t="s">
        <v>12</v>
      </c>
      <c r="B6" s="9" t="n">
        <f aca="false">Assumptions!B61/B5</f>
        <v>21</v>
      </c>
      <c r="C6" s="9" t="n">
        <f aca="false">Assumptions!B61/C5</f>
        <v>18.8340807174888</v>
      </c>
      <c r="D6" s="9" t="n">
        <f aca="false">Assumptions!B61/D5</f>
        <v>16.969696969697</v>
      </c>
      <c r="E6" s="10" t="n">
        <f aca="false">(B5-Assumptions!B69)/Assumptions!B61</f>
        <v>0.0430555555555556</v>
      </c>
      <c r="F6" s="10" t="n">
        <f aca="false">(C5-Assumptions!C69)/Assumptions!B61</f>
        <v>0.0483333333333333</v>
      </c>
      <c r="G6" s="10" t="n">
        <f aca="false">(D5-Assumptions!D69)/Assumptions!B61</f>
        <v>0.053968253968254</v>
      </c>
      <c r="H6" s="10" t="n">
        <f aca="false">(B5-Assumptions!B69-Assumptions!B71-MAX(0,Assumptions!B72*(B5-Assumptions!B70-Assumptions!B71)))/Assumptions!B59</f>
        <v>0.0358809523809524</v>
      </c>
      <c r="I6" s="10" t="n">
        <f aca="false">(C5-Assumptions!C69-Assumptions!C71-MAX(0,Assumptions!C72*(C5-Assumptions!C70-Assumptions!C71)))/Assumptions!B59</f>
        <v>0.0408019047619048</v>
      </c>
      <c r="J6" s="10" t="n">
        <f aca="false">(D5-Assumptions!D69-Assumptions!D71-MAX(0,Assumptions!D72*(D5-Assumptions!D70-Assumptions!D71)))/Assumptions!B59</f>
        <v>0.0464809523809524</v>
      </c>
    </row>
    <row r="8" customFormat="false" ht="15" hidden="false" customHeight="true" outlineLevel="0" collapsed="false">
      <c r="A8" s="11" t="s">
        <v>13</v>
      </c>
      <c r="B8" s="11"/>
      <c r="C8" s="11"/>
      <c r="D8" s="11"/>
    </row>
    <row r="9" customFormat="false" ht="15" hidden="false" customHeight="true" outlineLevel="0" collapsed="false">
      <c r="A9" s="12"/>
      <c r="B9" s="12" t="s">
        <v>2</v>
      </c>
      <c r="C9" s="12" t="s">
        <v>3</v>
      </c>
      <c r="D9" s="12" t="s">
        <v>4</v>
      </c>
      <c r="E9" s="5" t="s">
        <v>5</v>
      </c>
      <c r="F9" s="5" t="s">
        <v>6</v>
      </c>
      <c r="G9" s="5" t="s">
        <v>7</v>
      </c>
      <c r="H9" s="6" t="s">
        <v>8</v>
      </c>
      <c r="I9" s="6" t="s">
        <v>9</v>
      </c>
      <c r="J9" s="6" t="s">
        <v>10</v>
      </c>
    </row>
    <row r="10" customFormat="false" ht="15" hidden="false" customHeight="true" outlineLevel="0" collapsed="false">
      <c r="A10" s="13" t="s">
        <v>14</v>
      </c>
      <c r="B10" s="14" t="n">
        <f aca="false">'2026 Scenarios'!C8</f>
        <v>1093.89891960597</v>
      </c>
      <c r="C10" s="14" t="n">
        <f aca="false">Assumptions!C66</f>
        <v>1338</v>
      </c>
      <c r="D10" s="14" t="n">
        <f aca="false">Assumptions!D66</f>
        <v>1485</v>
      </c>
    </row>
    <row r="11" customFormat="false" ht="15" hidden="false" customHeight="true" outlineLevel="0" collapsed="false">
      <c r="A11" s="7" t="s">
        <v>15</v>
      </c>
      <c r="B11" s="15" t="n">
        <f aca="false">Assumptions!B61/B10</f>
        <v>23.036863414288</v>
      </c>
      <c r="C11" s="15" t="n">
        <f aca="false">Assumptions!B61/C10</f>
        <v>18.8340807174888</v>
      </c>
      <c r="D11" s="15" t="n">
        <f aca="false">Assumptions!B61/D10</f>
        <v>16.969696969697</v>
      </c>
      <c r="E11" s="16" t="n">
        <f aca="false">(B10-Assumptions!B69)/Assumptions!B61</f>
        <v>0.0388451952224593</v>
      </c>
      <c r="F11" s="16" t="n">
        <f aca="false">(C10-Assumptions!C69)/Assumptions!B61</f>
        <v>0.0483333333333333</v>
      </c>
      <c r="G11" s="16" t="n">
        <f aca="false">(D10-Assumptions!D69)/Assumptions!B61</f>
        <v>0.053968253968254</v>
      </c>
      <c r="H11" s="16" t="n">
        <f aca="false">(B10-Assumptions!B69-Assumptions!B71-MAX(0,Assumptions!B72*(B10-Assumptions!B70-Assumptions!B71)))/Assumptions!B59</f>
        <v>0.0315863848411942</v>
      </c>
      <c r="I11" s="16" t="n">
        <f aca="false">(C10-Assumptions!C69-Assumptions!C71-MAX(0,Assumptions!C72*(C10-Assumptions!C70-Assumptions!C71)))/Assumptions!B59</f>
        <v>0.0408019047619048</v>
      </c>
      <c r="J11" s="16" t="n">
        <f aca="false">(D10-Assumptions!D69-Assumptions!D71-MAX(0,Assumptions!D72*(D10-Assumptions!D70-Assumptions!D71)))/Assumptions!B59</f>
        <v>0.0464809523809524</v>
      </c>
    </row>
    <row r="12" customFormat="false" ht="15" hidden="false" customHeight="true" outlineLevel="0" collapsed="false">
      <c r="A12" s="13" t="s">
        <v>16</v>
      </c>
      <c r="B12" s="14" t="n">
        <f aca="false">'2026 Scenarios'!C15</f>
        <v>1150.29891960597</v>
      </c>
      <c r="C12" s="14" t="n">
        <f aca="false">Assumptions!C66</f>
        <v>1338</v>
      </c>
      <c r="D12" s="14" t="n">
        <f aca="false">Assumptions!D66</f>
        <v>1485</v>
      </c>
    </row>
    <row r="13" customFormat="false" ht="15" hidden="false" customHeight="true" outlineLevel="0" collapsed="false">
      <c r="A13" s="7" t="s">
        <v>15</v>
      </c>
      <c r="B13" s="17" t="n">
        <f aca="false">Assumptions!B61/B12</f>
        <v>21.9073490989908</v>
      </c>
      <c r="C13" s="17" t="n">
        <f aca="false">Assumptions!B61/C12</f>
        <v>18.8340807174888</v>
      </c>
      <c r="D13" s="17" t="n">
        <f aca="false">Assumptions!B61/D12</f>
        <v>16.969696969697</v>
      </c>
      <c r="E13" s="16" t="n">
        <f aca="false">(B12-Assumptions!B69)/Assumptions!B61</f>
        <v>0.0410832904605545</v>
      </c>
      <c r="F13" s="16" t="n">
        <f aca="false">(C12-Assumptions!C69)/Assumptions!B61</f>
        <v>0.0483333333333333</v>
      </c>
      <c r="G13" s="16" t="n">
        <f aca="false">(D12-Assumptions!D69)/Assumptions!B61</f>
        <v>0.053968253968254</v>
      </c>
      <c r="H13" s="16" t="n">
        <f aca="false">(B12-Assumptions!B69-Assumptions!B71-MAX(0,Assumptions!B72*(B12-Assumptions!B70-Assumptions!B71)))/Assumptions!B59</f>
        <v>0.0338692419840513</v>
      </c>
      <c r="I13" s="16" t="n">
        <f aca="false">(C12-Assumptions!C69-Assumptions!C71-MAX(0,Assumptions!C72*(C12-Assumptions!C70-Assumptions!C71)))/Assumptions!B59</f>
        <v>0.0408019047619048</v>
      </c>
      <c r="J13" s="16" t="n">
        <f aca="false">(D12-Assumptions!D69-Assumptions!D71-MAX(0,Assumptions!D72*(D12-Assumptions!D70-Assumptions!D71)))/Assumptions!B59</f>
        <v>0.0464809523809524</v>
      </c>
    </row>
    <row r="14" customFormat="false" ht="15" hidden="false" customHeight="true" outlineLevel="0" collapsed="false">
      <c r="A14" s="18" t="s">
        <v>17</v>
      </c>
      <c r="B14" s="14" t="n">
        <f aca="false">'2026 Scenarios'!C21</f>
        <v>934.747299014935</v>
      </c>
      <c r="C14" s="14" t="n">
        <f aca="false">Assumptions!C66</f>
        <v>1338</v>
      </c>
      <c r="D14" s="14" t="n">
        <f aca="false">Assumptions!D66</f>
        <v>1485</v>
      </c>
    </row>
    <row r="15" customFormat="false" ht="15" hidden="false" customHeight="true" outlineLevel="0" collapsed="false">
      <c r="A15" s="19" t="s">
        <v>15</v>
      </c>
      <c r="B15" s="20" t="n">
        <f aca="false">Assumptions!B61/B14</f>
        <v>26.9591578671118</v>
      </c>
      <c r="C15" s="21" t="n">
        <f aca="false">Assumptions!B61/C14</f>
        <v>18.8340807174888</v>
      </c>
      <c r="D15" s="21" t="n">
        <f aca="false">Assumptions!B61/D14</f>
        <v>16.969696969697</v>
      </c>
      <c r="E15" s="22" t="n">
        <f aca="false">(B14-Assumptions!B69)/Assumptions!B61</f>
        <v>0.0325296547228149</v>
      </c>
      <c r="F15" s="22" t="n">
        <f aca="false">(C14-Assumptions!C69)/Assumptions!B61</f>
        <v>0.0483333333333333</v>
      </c>
      <c r="G15" s="22" t="n">
        <f aca="false">(D14-Assumptions!D69)/Assumptions!B61</f>
        <v>0.053968253968254</v>
      </c>
      <c r="H15" s="22" t="n">
        <f aca="false">(B14-Assumptions!B69-Assumptions!B71-MAX(0,Assumptions!B72*(B14-Assumptions!B70-Assumptions!B71)))/Assumptions!B59</f>
        <v>0.0251445335315569</v>
      </c>
      <c r="I15" s="22" t="n">
        <f aca="false">(C14-Assumptions!C69-Assumptions!C71-MAX(0,Assumptions!C72*(C14-Assumptions!C70-Assumptions!C71)))/Assumptions!B59</f>
        <v>0.0408019047619048</v>
      </c>
      <c r="J15" s="22" t="n">
        <f aca="false">(D14-Assumptions!D69-Assumptions!D71-MAX(0,Assumptions!D72*(D14-Assumptions!D70-Assumptions!D71)))/Assumptions!B59</f>
        <v>0.0464809523809524</v>
      </c>
    </row>
    <row r="17" customFormat="false" ht="15" hidden="false" customHeight="true" outlineLevel="0" collapsed="false">
      <c r="A17" s="23" t="s">
        <v>18</v>
      </c>
      <c r="B17" s="23"/>
      <c r="C17" s="23"/>
      <c r="D17" s="23"/>
    </row>
    <row r="18" customFormat="false" ht="15" hidden="false" customHeight="true" outlineLevel="0" collapsed="false">
      <c r="A18" s="12"/>
      <c r="B18" s="12" t="s">
        <v>2</v>
      </c>
      <c r="C18" s="12" t="s">
        <v>3</v>
      </c>
      <c r="D18" s="12" t="s">
        <v>4</v>
      </c>
      <c r="E18" s="5" t="s">
        <v>5</v>
      </c>
      <c r="F18" s="5" t="s">
        <v>6</v>
      </c>
      <c r="G18" s="5" t="s">
        <v>7</v>
      </c>
      <c r="H18" s="6" t="s">
        <v>8</v>
      </c>
      <c r="I18" s="6" t="s">
        <v>9</v>
      </c>
      <c r="J18" s="6" t="s">
        <v>10</v>
      </c>
    </row>
    <row r="19" customFormat="false" ht="15" hidden="false" customHeight="true" outlineLevel="0" collapsed="false">
      <c r="A19" s="13" t="s">
        <v>19</v>
      </c>
      <c r="B19" s="14" t="n">
        <f aca="false">'2026 Scenarios'!C15</f>
        <v>1150.29891960597</v>
      </c>
      <c r="C19" s="14" t="n">
        <f aca="false">'2027 Scenarios'!C7</f>
        <v>1072.74729901494</v>
      </c>
      <c r="D19" s="14" t="n">
        <f aca="false">Assumptions!D66</f>
        <v>1485</v>
      </c>
    </row>
    <row r="20" customFormat="false" ht="15" hidden="false" customHeight="true" outlineLevel="0" collapsed="false">
      <c r="A20" s="7" t="s">
        <v>15</v>
      </c>
      <c r="B20" s="17" t="n">
        <f aca="false">Assumptions!B61/B19</f>
        <v>21.9073490989908</v>
      </c>
      <c r="C20" s="17" t="n">
        <f aca="false">Assumptions!B61/C19</f>
        <v>23.4910868786528</v>
      </c>
      <c r="D20" s="17" t="n">
        <f aca="false">Assumptions!B61/D19</f>
        <v>16.969696969697</v>
      </c>
      <c r="E20" s="16" t="n">
        <f aca="false">(B19-Assumptions!B69)/Assumptions!B61</f>
        <v>0.0410832904605545</v>
      </c>
      <c r="F20" s="16" t="n">
        <f aca="false">(C19-Assumptions!C69)/Assumptions!B61</f>
        <v>0.0378074325005927</v>
      </c>
      <c r="G20" s="16" t="n">
        <f aca="false">(D19-Assumptions!D69)/Assumptions!B61</f>
        <v>0.053968253968254</v>
      </c>
      <c r="H20" s="16" t="n">
        <f aca="false">(B19-Assumptions!B69-Assumptions!B71-MAX(0,Assumptions!B72*(B19-Assumptions!B70-Assumptions!B71)))/Assumptions!B59</f>
        <v>0.0338692419840513</v>
      </c>
      <c r="I20" s="16" t="n">
        <f aca="false">(C19-Assumptions!C69-Assumptions!C71-MAX(0,Assumptions!C72*(C19-Assumptions!C70-Assumptions!C71)))/Assumptions!B59</f>
        <v>0.030318107532495</v>
      </c>
      <c r="J20" s="16" t="n">
        <f aca="false">(D19-Assumptions!D69-Assumptions!D71-MAX(0,Assumptions!D72*(D19-Assumptions!D70-Assumptions!D71)))/Assumptions!B59</f>
        <v>0.0464809523809524</v>
      </c>
    </row>
    <row r="21" customFormat="false" ht="15" hidden="false" customHeight="true" outlineLevel="0" collapsed="false">
      <c r="A21" s="13" t="s">
        <v>20</v>
      </c>
      <c r="B21" s="14" t="n">
        <f aca="false">'2026 Scenarios'!C15</f>
        <v>1150.29891960597</v>
      </c>
      <c r="C21" s="14" t="n">
        <f aca="false">'2027 Scenarios'!C13</f>
        <v>1432</v>
      </c>
      <c r="D21" s="14" t="n">
        <f aca="false">Assumptions!D66</f>
        <v>1485</v>
      </c>
    </row>
    <row r="22" customFormat="false" ht="15" hidden="false" customHeight="true" outlineLevel="0" collapsed="false">
      <c r="A22" s="7" t="s">
        <v>15</v>
      </c>
      <c r="B22" s="15" t="n">
        <f aca="false">Assumptions!B61/B21</f>
        <v>21.9073490989908</v>
      </c>
      <c r="C22" s="15" t="n">
        <f aca="false">Assumptions!B61/C21</f>
        <v>17.5977653631285</v>
      </c>
      <c r="D22" s="15" t="n">
        <f aca="false">Assumptions!B61/D21</f>
        <v>16.969696969697</v>
      </c>
      <c r="E22" s="16" t="n">
        <f aca="false">(B21-Assumptions!B69)/Assumptions!B61</f>
        <v>0.0410832904605545</v>
      </c>
      <c r="F22" s="16" t="n">
        <f aca="false">(C21-Assumptions!C69)/Assumptions!B61</f>
        <v>0.0520634920634921</v>
      </c>
      <c r="G22" s="16" t="n">
        <f aca="false">(D21-Assumptions!D69)/Assumptions!B61</f>
        <v>0.053968253968254</v>
      </c>
      <c r="H22" s="16" t="n">
        <f aca="false">(B21-Assumptions!B69-Assumptions!B71-MAX(0,Assumptions!B72*(B21-Assumptions!B70-Assumptions!B71)))/Assumptions!B59</f>
        <v>0.0338692419840513</v>
      </c>
      <c r="I22" s="16" t="n">
        <f aca="false">(C21-Assumptions!C69-Assumptions!C71-MAX(0,Assumptions!C72*(C21-Assumptions!C70-Assumptions!C71)))/Assumptions!B59</f>
        <v>0.0445171428571429</v>
      </c>
      <c r="J22" s="16" t="n">
        <f aca="false">(D21-Assumptions!D69-Assumptions!D71-MAX(0,Assumptions!D72*(D21-Assumptions!D70-Assumptions!D71)))/Assumptions!B59</f>
        <v>0.0464809523809524</v>
      </c>
    </row>
    <row r="23" customFormat="false" ht="15" hidden="false" customHeight="true" outlineLevel="0" collapsed="false">
      <c r="A23" s="18" t="s">
        <v>21</v>
      </c>
      <c r="B23" s="14" t="n">
        <f aca="false">'2026 Scenarios'!C21</f>
        <v>934.747299014935</v>
      </c>
      <c r="C23" s="14" t="n">
        <f aca="false">'2027 Scenarios'!C7</f>
        <v>1072.74729901494</v>
      </c>
      <c r="D23" s="14" t="n">
        <f aca="false">Assumptions!D66</f>
        <v>1485</v>
      </c>
    </row>
    <row r="24" customFormat="false" ht="15" hidden="false" customHeight="true" outlineLevel="0" collapsed="false">
      <c r="A24" s="18" t="s">
        <v>15</v>
      </c>
      <c r="B24" s="20" t="n">
        <f aca="false">Assumptions!B61/B23</f>
        <v>26.9591578671118</v>
      </c>
      <c r="C24" s="20" t="n">
        <f aca="false">Assumptions!B61/C23</f>
        <v>23.4910868786528</v>
      </c>
      <c r="D24" s="21" t="n">
        <f aca="false">Assumptions!B61/D23</f>
        <v>16.969696969697</v>
      </c>
      <c r="E24" s="22" t="n">
        <f aca="false">(B23-Assumptions!B69)/Assumptions!B61</f>
        <v>0.0325296547228149</v>
      </c>
      <c r="F24" s="22" t="n">
        <f aca="false">(C23-Assumptions!C69)/Assumptions!B61</f>
        <v>0.0378074325005927</v>
      </c>
      <c r="G24" s="22" t="n">
        <f aca="false">(D23-Assumptions!D69)/Assumptions!B61</f>
        <v>0.053968253968254</v>
      </c>
      <c r="H24" s="22" t="n">
        <f aca="false">(B23-Assumptions!B69-Assumptions!B71-MAX(0,Assumptions!B72*(B23-Assumptions!B70-Assumptions!B71)))/Assumptions!B59</f>
        <v>0.0251445335315569</v>
      </c>
      <c r="I24" s="22" t="n">
        <f aca="false">(C23-Assumptions!C69-Assumptions!C71-MAX(0,Assumptions!C72*(C23-Assumptions!C70-Assumptions!C71)))/Assumptions!B59</f>
        <v>0.030318107532495</v>
      </c>
      <c r="J24" s="22" t="n">
        <f aca="false">(D23-Assumptions!D69-Assumptions!D71-MAX(0,Assumptions!D72*(D23-Assumptions!D70-Assumptions!D71)))/Assumptions!B59</f>
        <v>0.0464809523809524</v>
      </c>
    </row>
    <row r="25" customFormat="false" ht="15" hidden="false" customHeight="true" outlineLevel="0" collapsed="false">
      <c r="A25" s="13" t="s">
        <v>22</v>
      </c>
      <c r="B25" s="14" t="n">
        <f aca="false">'2026 Scenarios'!C21</f>
        <v>934.747299014935</v>
      </c>
      <c r="C25" s="14" t="n">
        <f aca="false">'2027 Scenarios'!C13</f>
        <v>1432</v>
      </c>
      <c r="D25" s="14" t="n">
        <f aca="false">Assumptions!D66</f>
        <v>1485</v>
      </c>
    </row>
    <row r="26" customFormat="false" ht="15" hidden="false" customHeight="true" outlineLevel="0" collapsed="false">
      <c r="A26" s="7" t="s">
        <v>15</v>
      </c>
      <c r="B26" s="17" t="n">
        <f aca="false">Assumptions!B61/B25</f>
        <v>26.9591578671118</v>
      </c>
      <c r="C26" s="17" t="n">
        <f aca="false">Assumptions!B61/C25</f>
        <v>17.5977653631285</v>
      </c>
      <c r="D26" s="17" t="n">
        <f aca="false">Assumptions!B61/D25</f>
        <v>16.969696969697</v>
      </c>
      <c r="E26" s="16" t="n">
        <f aca="false">(B25-Assumptions!B69)/Assumptions!B61</f>
        <v>0.0325296547228149</v>
      </c>
      <c r="F26" s="16" t="n">
        <f aca="false">(C25-Assumptions!C69)/Assumptions!B61</f>
        <v>0.0520634920634921</v>
      </c>
      <c r="G26" s="16" t="n">
        <f aca="false">(D25-Assumptions!D69)/Assumptions!B61</f>
        <v>0.053968253968254</v>
      </c>
      <c r="H26" s="16" t="n">
        <f aca="false">(B25-Assumptions!B69-Assumptions!B71-MAX(0,Assumptions!B72*(B25-Assumptions!B70-Assumptions!B71)))/Assumptions!B59</f>
        <v>0.0251445335315569</v>
      </c>
      <c r="I26" s="16" t="n">
        <f aca="false">(C25-Assumptions!C69-Assumptions!C71-MAX(0,Assumptions!C72*(C25-Assumptions!C70-Assumptions!C71)))/Assumptions!B59</f>
        <v>0.0445171428571429</v>
      </c>
      <c r="J26" s="16" t="n">
        <f aca="false">(D25-Assumptions!D69-Assumptions!D71-MAX(0,Assumptions!D72*(D25-Assumptions!D70-Assumptions!D71)))/Assumptions!B59</f>
        <v>0.0464809523809524</v>
      </c>
    </row>
    <row r="28" customFormat="false" ht="15" hidden="false" customHeight="true" outlineLevel="0" collapsed="false">
      <c r="A28" s="24" t="s">
        <v>23</v>
      </c>
    </row>
    <row r="29" customFormat="false" ht="15" hidden="false" customHeight="true" outlineLevel="0" collapsed="false">
      <c r="A29" s="25" t="s">
        <v>24</v>
      </c>
    </row>
    <row r="30" customFormat="false" ht="15" hidden="false" customHeight="true" outlineLevel="0" collapsed="false">
      <c r="A30" s="25" t="s">
        <v>25</v>
      </c>
    </row>
    <row r="31" customFormat="false" ht="15" hidden="false" customHeight="true" outlineLevel="0" collapsed="false">
      <c r="A31" s="25" t="s">
        <v>26</v>
      </c>
    </row>
    <row r="32" customFormat="false" ht="15" hidden="false" customHeight="true" outlineLevel="0" collapsed="false">
      <c r="A32" s="25" t="s">
        <v>27</v>
      </c>
    </row>
    <row r="33" customFormat="false" ht="15" hidden="false" customHeight="true" outlineLevel="0" collapsed="false">
      <c r="A33" s="25" t="s">
        <v>28</v>
      </c>
    </row>
    <row r="34" customFormat="false" ht="15" hidden="false" customHeight="true" outlineLevel="0" collapsed="false">
      <c r="A34" s="25" t="s">
        <v>29</v>
      </c>
    </row>
    <row r="35" customFormat="false" ht="15" hidden="false" customHeight="true" outlineLevel="0" collapsed="false">
      <c r="A35" s="25" t="s">
        <v>30</v>
      </c>
    </row>
    <row r="36" customFormat="false" ht="15" hidden="false" customHeight="true" outlineLevel="0" collapsed="false">
      <c r="A36" s="25" t="s">
        <v>31</v>
      </c>
    </row>
    <row r="38" customFormat="false" ht="15.75" hidden="false" customHeight="true" outlineLevel="0" collapsed="false">
      <c r="A38" s="26" t="s">
        <v>32</v>
      </c>
      <c r="B38" s="26"/>
      <c r="C38" s="26"/>
      <c r="D38" s="26"/>
      <c r="E38" s="13"/>
      <c r="F38" s="13"/>
      <c r="G38" s="13"/>
    </row>
    <row r="39" customFormat="false" ht="15" hidden="false" customHeight="true" outlineLevel="0" collapsed="false">
      <c r="A39" s="27" t="s">
        <v>33</v>
      </c>
      <c r="B39" s="13"/>
      <c r="C39" s="13"/>
      <c r="D39" s="13"/>
      <c r="E39" s="13"/>
      <c r="F39" s="13"/>
      <c r="G39" s="13"/>
    </row>
    <row r="40" customFormat="false" ht="15" hidden="false" customHeight="true" outlineLevel="0" collapsed="false">
      <c r="A40" s="13"/>
      <c r="B40" s="13"/>
      <c r="C40" s="13"/>
      <c r="D40" s="13"/>
      <c r="E40" s="13"/>
      <c r="F40" s="13"/>
      <c r="G40" s="13"/>
    </row>
    <row r="41" customFormat="false" ht="23.25" hidden="false" customHeight="true" outlineLevel="0" collapsed="false">
      <c r="A41" s="28" t="s">
        <v>34</v>
      </c>
      <c r="B41" s="28" t="s">
        <v>35</v>
      </c>
      <c r="C41" s="28" t="s">
        <v>36</v>
      </c>
      <c r="D41" s="28" t="s">
        <v>37</v>
      </c>
      <c r="E41" s="28" t="s">
        <v>38</v>
      </c>
      <c r="F41" s="28" t="s">
        <v>39</v>
      </c>
      <c r="G41" s="29" t="s">
        <v>40</v>
      </c>
    </row>
    <row r="42" customFormat="false" ht="15" hidden="false" customHeight="true" outlineLevel="0" collapsed="false">
      <c r="A42" s="30" t="s">
        <v>41</v>
      </c>
      <c r="B42" s="31" t="n">
        <f aca="false">Assumptions!B61/Assumptions!D66</f>
        <v>16.969696969697</v>
      </c>
      <c r="C42" s="32" t="n">
        <f aca="false">B42*Assumptions!D66</f>
        <v>25200</v>
      </c>
      <c r="D42" s="32" t="n">
        <f aca="false">C42-Assumptions!B60</f>
        <v>21000</v>
      </c>
      <c r="E42" s="33" t="n">
        <f aca="false">D42/Assumptions!B58</f>
        <v>84</v>
      </c>
      <c r="F42" s="34" t="n">
        <f aca="false">(E42/Assumptions!B57)-1</f>
        <v>0</v>
      </c>
      <c r="G42" s="35" t="n">
        <f aca="false">(Assumptions!D66-Assumptions!D69)/C42</f>
        <v>0.053968253968254</v>
      </c>
    </row>
    <row r="43" customFormat="false" ht="15" hidden="false" customHeight="true" outlineLevel="0" collapsed="false">
      <c r="A43" s="36" t="s">
        <v>42</v>
      </c>
      <c r="B43" s="37" t="n">
        <v>15</v>
      </c>
      <c r="C43" s="38" t="n">
        <f aca="false">B43*Assumptions!D66</f>
        <v>22275</v>
      </c>
      <c r="D43" s="38" t="n">
        <f aca="false">C43-Assumptions!B60</f>
        <v>18075</v>
      </c>
      <c r="E43" s="39" t="n">
        <f aca="false">D43/Assumptions!B58</f>
        <v>72.3</v>
      </c>
      <c r="F43" s="40" t="n">
        <f aca="false">(E43/Assumptions!B57)-1</f>
        <v>-0.139285714285714</v>
      </c>
      <c r="G43" s="35" t="n">
        <f aca="false">(Assumptions!D66-Assumptions!D69)/C43</f>
        <v>0.0610549943883277</v>
      </c>
    </row>
    <row r="44" customFormat="false" ht="15" hidden="false" customHeight="true" outlineLevel="0" collapsed="false">
      <c r="A44" s="36" t="s">
        <v>43</v>
      </c>
      <c r="B44" s="37" t="n">
        <v>17.5</v>
      </c>
      <c r="C44" s="38" t="n">
        <f aca="false">B44*Assumptions!D66</f>
        <v>25987.5</v>
      </c>
      <c r="D44" s="38" t="n">
        <f aca="false">C44-Assumptions!B60</f>
        <v>21787.5</v>
      </c>
      <c r="E44" s="39" t="n">
        <f aca="false">D44/Assumptions!B58</f>
        <v>87.15</v>
      </c>
      <c r="F44" s="40" t="n">
        <f aca="false">(E44/Assumptions!B57)-1</f>
        <v>0.0375000000000001</v>
      </c>
      <c r="G44" s="35" t="n">
        <f aca="false">(Assumptions!D66-Assumptions!D69)/C44</f>
        <v>0.0523328523328523</v>
      </c>
    </row>
    <row r="45" customFormat="false" ht="15" hidden="false" customHeight="true" outlineLevel="0" collapsed="false">
      <c r="A45" s="41" t="s">
        <v>44</v>
      </c>
      <c r="B45" s="42" t="n">
        <v>20</v>
      </c>
      <c r="C45" s="43" t="n">
        <f aca="false">B45*Assumptions!D66</f>
        <v>29700</v>
      </c>
      <c r="D45" s="43" t="n">
        <f aca="false">C45-Assumptions!B60</f>
        <v>25500</v>
      </c>
      <c r="E45" s="44" t="n">
        <f aca="false">D45/Assumptions!B58</f>
        <v>102</v>
      </c>
      <c r="F45" s="45" t="n">
        <f aca="false">(E45/Assumptions!B57)-1</f>
        <v>0.214285714285714</v>
      </c>
      <c r="G45" s="46" t="n">
        <f aca="false">(Assumptions!D66-Assumptions!D69)/C45</f>
        <v>0.0457912457912458</v>
      </c>
    </row>
    <row r="46" customFormat="false" ht="15" hidden="false" customHeight="true" outlineLevel="0" collapsed="false">
      <c r="A46" s="36" t="s">
        <v>45</v>
      </c>
      <c r="B46" s="37" t="n">
        <v>22.5</v>
      </c>
      <c r="C46" s="38" t="n">
        <f aca="false">B46*Assumptions!D66</f>
        <v>33412.5</v>
      </c>
      <c r="D46" s="38" t="n">
        <f aca="false">C46-Assumptions!B60</f>
        <v>29212.5</v>
      </c>
      <c r="E46" s="39" t="n">
        <f aca="false">D46/Assumptions!B58</f>
        <v>116.85</v>
      </c>
      <c r="F46" s="40" t="n">
        <f aca="false">(E46/Assumptions!B57)-1</f>
        <v>0.391071428571429</v>
      </c>
      <c r="G46" s="35" t="n">
        <f aca="false">(Assumptions!D66-Assumptions!D69)/C46</f>
        <v>0.0407033295922185</v>
      </c>
    </row>
    <row r="47" customFormat="false" ht="15" hidden="false" customHeight="true" outlineLevel="0" collapsed="false">
      <c r="A47" s="36" t="s">
        <v>46</v>
      </c>
      <c r="B47" s="37" t="n">
        <v>25</v>
      </c>
      <c r="C47" s="38" t="n">
        <f aca="false">B47*Assumptions!D66</f>
        <v>37125</v>
      </c>
      <c r="D47" s="38" t="n">
        <f aca="false">C47-Assumptions!B60</f>
        <v>32925</v>
      </c>
      <c r="E47" s="39" t="n">
        <f aca="false">D47/Assumptions!B58</f>
        <v>131.7</v>
      </c>
      <c r="F47" s="40" t="n">
        <f aca="false">(E47/Assumptions!B57)-1</f>
        <v>0.567857142857143</v>
      </c>
      <c r="G47" s="35" t="n">
        <f aca="false">(Assumptions!D66-Assumptions!D69)/C47</f>
        <v>0.0366329966329966</v>
      </c>
    </row>
    <row r="48" customFormat="false" ht="15" hidden="false" customHeight="true" outlineLevel="0" collapsed="false">
      <c r="A48" s="13"/>
      <c r="B48" s="13"/>
      <c r="C48" s="13"/>
      <c r="D48" s="13"/>
      <c r="E48" s="13"/>
      <c r="F48" s="13"/>
      <c r="G48" s="13"/>
    </row>
    <row r="49" customFormat="false" ht="15" hidden="false" customHeight="true" outlineLevel="0" collapsed="false">
      <c r="A49" s="47" t="s">
        <v>47</v>
      </c>
      <c r="B49" s="47"/>
      <c r="C49" s="47"/>
      <c r="D49" s="47"/>
      <c r="E49" s="13"/>
      <c r="F49" s="13"/>
      <c r="G49" s="13"/>
    </row>
    <row r="50" customFormat="false" ht="15" hidden="false" customHeight="true" outlineLevel="0" collapsed="false">
      <c r="A50" s="13" t="s">
        <v>48</v>
      </c>
      <c r="B50" s="48" t="n">
        <f aca="false">Assumptions!B61/Assumptions!B66</f>
        <v>21</v>
      </c>
      <c r="C50" s="13"/>
      <c r="D50" s="13"/>
      <c r="E50" s="13"/>
      <c r="F50" s="13"/>
      <c r="G50" s="13"/>
    </row>
    <row r="51" customFormat="false" ht="15" hidden="false" customHeight="true" outlineLevel="0" collapsed="false">
      <c r="A51" s="13" t="s">
        <v>49</v>
      </c>
      <c r="B51" s="48" t="n">
        <f aca="false">B11</f>
        <v>23.036863414288</v>
      </c>
      <c r="C51" s="13"/>
      <c r="D51" s="13"/>
      <c r="E51" s="13"/>
      <c r="F51" s="13"/>
      <c r="G51" s="13"/>
    </row>
    <row r="52" customFormat="false" ht="15" hidden="false" customHeight="true" outlineLevel="0" collapsed="false">
      <c r="A52" s="49" t="s">
        <v>50</v>
      </c>
      <c r="B52" s="50" t="n">
        <f aca="false">Assumptions!B61/Assumptions!D66</f>
        <v>16.969696969697</v>
      </c>
      <c r="C52" s="13"/>
      <c r="D52" s="13"/>
      <c r="E52" s="13"/>
      <c r="F52" s="13"/>
      <c r="G52" s="13"/>
    </row>
    <row r="53" customFormat="false" ht="15" hidden="false" customHeight="true" outlineLevel="0" collapsed="false">
      <c r="A53" s="51" t="s">
        <v>51</v>
      </c>
      <c r="B53" s="13"/>
      <c r="C53" s="13"/>
      <c r="D53" s="13"/>
      <c r="E53" s="13"/>
      <c r="F53" s="13"/>
      <c r="G53" s="13"/>
    </row>
    <row r="54" customFormat="false" ht="15" hidden="false" customHeight="true" outlineLevel="0" collapsed="false">
      <c r="A54" s="52" t="s">
        <v>52</v>
      </c>
      <c r="B54" s="13"/>
      <c r="C54" s="13"/>
      <c r="D54" s="13"/>
      <c r="E54" s="13"/>
      <c r="F54" s="13"/>
      <c r="G54" s="13"/>
    </row>
    <row r="55" customFormat="false" ht="15" hidden="false" customHeight="true" outlineLevel="0" collapsed="false">
      <c r="A55" s="13"/>
      <c r="B55" s="13"/>
      <c r="C55" s="13"/>
      <c r="D55" s="13"/>
      <c r="E55" s="13"/>
      <c r="F55" s="13"/>
      <c r="G55" s="13"/>
    </row>
    <row r="56" customFormat="false" ht="15" hidden="false" customHeight="true" outlineLevel="0" collapsed="false">
      <c r="A56" s="53" t="s">
        <v>53</v>
      </c>
      <c r="B56" s="53"/>
      <c r="C56" s="53"/>
      <c r="D56" s="53"/>
      <c r="E56" s="13"/>
      <c r="F56" s="13"/>
      <c r="G56" s="13"/>
    </row>
    <row r="57" customFormat="false" ht="15" hidden="false" customHeight="true" outlineLevel="0" collapsed="false">
      <c r="A57" s="54" t="s">
        <v>54</v>
      </c>
      <c r="B57" s="13"/>
      <c r="C57" s="13"/>
      <c r="D57" s="13"/>
      <c r="E57" s="13"/>
      <c r="F57" s="13"/>
      <c r="G57" s="13"/>
    </row>
    <row r="58" customFormat="false" ht="15" hidden="false" customHeight="true" outlineLevel="0" collapsed="false">
      <c r="A58" s="54" t="s">
        <v>55</v>
      </c>
      <c r="B58" s="13"/>
      <c r="C58" s="13"/>
      <c r="D58" s="13"/>
      <c r="E58" s="13"/>
      <c r="F58" s="13"/>
      <c r="G58" s="13"/>
    </row>
    <row r="59" customFormat="false" ht="15" hidden="false" customHeight="true" outlineLevel="0" collapsed="false">
      <c r="A59" s="54" t="s">
        <v>56</v>
      </c>
      <c r="B59" s="13"/>
      <c r="C59" s="13"/>
      <c r="D59" s="13"/>
      <c r="E59" s="13"/>
      <c r="F59" s="13"/>
      <c r="G59" s="13"/>
    </row>
    <row r="60" customFormat="false" ht="15" hidden="false" customHeight="true" outlineLevel="0" collapsed="false">
      <c r="A60" s="54" t="s">
        <v>57</v>
      </c>
    </row>
    <row r="61" customFormat="false" ht="15" hidden="false" customHeight="true" outlineLevel="0" collapsed="false">
      <c r="A61" s="54" t="s">
        <v>58</v>
      </c>
    </row>
  </sheetData>
  <mergeCells count="6">
    <mergeCell ref="A1:D1"/>
    <mergeCell ref="A8:D8"/>
    <mergeCell ref="A17:D17"/>
    <mergeCell ref="A38:D38"/>
    <mergeCell ref="A49:D49"/>
    <mergeCell ref="A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59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60</v>
      </c>
    </row>
    <row r="4" customFormat="false" ht="15" hidden="false" customHeight="true" outlineLevel="0" collapsed="false">
      <c r="A4" s="4" t="s">
        <v>61</v>
      </c>
      <c r="B4" s="4" t="s">
        <v>62</v>
      </c>
      <c r="C4" s="4"/>
      <c r="D4" s="4"/>
      <c r="E4" s="4"/>
      <c r="F4" s="4"/>
      <c r="G4" s="4" t="s">
        <v>63</v>
      </c>
    </row>
    <row r="5" customFormat="false" ht="15" hidden="false" customHeight="true" outlineLevel="0" collapsed="false">
      <c r="A5" s="13" t="s">
        <v>64</v>
      </c>
      <c r="B5" s="55" t="n">
        <v>4254</v>
      </c>
      <c r="G5" s="3" t="s">
        <v>65</v>
      </c>
    </row>
    <row r="6" customFormat="false" ht="15" hidden="false" customHeight="true" outlineLevel="0" collapsed="false">
      <c r="A6" s="13" t="s">
        <v>66</v>
      </c>
      <c r="B6" s="55" t="n">
        <v>24</v>
      </c>
    </row>
    <row r="7" customFormat="false" ht="15" hidden="false" customHeight="true" outlineLevel="0" collapsed="false">
      <c r="A7" s="13" t="s">
        <v>67</v>
      </c>
      <c r="B7" s="55" t="n">
        <v>1148</v>
      </c>
      <c r="G7" s="3" t="s">
        <v>65</v>
      </c>
    </row>
    <row r="8" customFormat="false" ht="15" hidden="false" customHeight="true" outlineLevel="0" collapsed="false">
      <c r="A8" s="13" t="s">
        <v>68</v>
      </c>
      <c r="B8" s="55" t="n">
        <v>1106</v>
      </c>
    </row>
    <row r="9" customFormat="false" ht="15" hidden="false" customHeight="true" outlineLevel="0" collapsed="false">
      <c r="A9" s="13" t="s">
        <v>69</v>
      </c>
      <c r="B9" s="55" t="n">
        <v>1329</v>
      </c>
    </row>
    <row r="10" customFormat="false" ht="15" hidden="false" customHeight="true" outlineLevel="0" collapsed="false">
      <c r="A10" s="13" t="s">
        <v>70</v>
      </c>
      <c r="B10" s="55" t="n">
        <v>957</v>
      </c>
    </row>
    <row r="11" customFormat="false" ht="15" hidden="false" customHeight="true" outlineLevel="0" collapsed="false">
      <c r="A11" s="13" t="s">
        <v>71</v>
      </c>
      <c r="B11" s="55" t="n">
        <v>861</v>
      </c>
    </row>
    <row r="13" customFormat="false" ht="15" hidden="false" customHeight="true" outlineLevel="0" collapsed="false">
      <c r="A13" s="4" t="s">
        <v>72</v>
      </c>
      <c r="B13" s="4" t="s">
        <v>62</v>
      </c>
      <c r="C13" s="4"/>
      <c r="D13" s="4"/>
      <c r="E13" s="4"/>
      <c r="F13" s="4"/>
      <c r="G13" s="4" t="s">
        <v>73</v>
      </c>
    </row>
    <row r="14" customFormat="false" ht="15" hidden="false" customHeight="true" outlineLevel="0" collapsed="false">
      <c r="A14" s="7" t="s">
        <v>74</v>
      </c>
      <c r="B14" s="8" t="n">
        <f aca="false">B5-B7</f>
        <v>3106</v>
      </c>
    </row>
    <row r="15" customFormat="false" ht="15" hidden="false" customHeight="true" outlineLevel="0" collapsed="false">
      <c r="A15" s="13" t="s">
        <v>75</v>
      </c>
      <c r="B15" s="56" t="n">
        <v>1450</v>
      </c>
      <c r="G15" s="3" t="s">
        <v>76</v>
      </c>
    </row>
    <row r="16" customFormat="false" ht="15" hidden="false" customHeight="true" outlineLevel="0" collapsed="false">
      <c r="A16" s="13" t="s">
        <v>77</v>
      </c>
      <c r="B16" s="56" t="n">
        <v>1200</v>
      </c>
      <c r="G16" s="3" t="s">
        <v>78</v>
      </c>
    </row>
    <row r="17" customFormat="false" ht="15" hidden="false" customHeight="true" outlineLevel="0" collapsed="false">
      <c r="A17" s="13" t="s">
        <v>79</v>
      </c>
      <c r="B17" s="14" t="n">
        <f aca="false">B14-B15-B16</f>
        <v>456</v>
      </c>
      <c r="G17" s="3" t="s">
        <v>80</v>
      </c>
    </row>
    <row r="19" customFormat="false" ht="15" hidden="false" customHeight="true" outlineLevel="0" collapsed="false">
      <c r="A19" s="4" t="s">
        <v>81</v>
      </c>
      <c r="B19" s="4" t="s">
        <v>62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A20" s="13" t="s">
        <v>82</v>
      </c>
      <c r="B20" s="57" t="n">
        <f aca="false">B16/(B9+B10+B11)</f>
        <v>0.381315538608198</v>
      </c>
    </row>
    <row r="21" customFormat="false" ht="15" hidden="false" customHeight="true" outlineLevel="0" collapsed="false">
      <c r="A21" s="13" t="s">
        <v>83</v>
      </c>
      <c r="B21" s="58" t="n">
        <f aca="false">B17/B6</f>
        <v>19</v>
      </c>
    </row>
    <row r="22" customFormat="false" ht="15" hidden="false" customHeight="true" outlineLevel="0" collapsed="false">
      <c r="A22" s="13" t="s">
        <v>84</v>
      </c>
      <c r="B22" s="58" t="n">
        <f aca="false">B15/B6</f>
        <v>60.4166666666667</v>
      </c>
    </row>
    <row r="23" customFormat="false" ht="15" hidden="false" customHeight="true" outlineLevel="0" collapsed="false">
      <c r="A23" s="13" t="s">
        <v>85</v>
      </c>
      <c r="B23" s="58" t="n">
        <f aca="false">B5/B6</f>
        <v>177.25</v>
      </c>
    </row>
    <row r="25" customFormat="false" ht="23.25" hidden="false" customHeight="true" outlineLevel="0" collapsed="false">
      <c r="A25" s="4" t="s">
        <v>86</v>
      </c>
      <c r="B25" s="4" t="s">
        <v>87</v>
      </c>
      <c r="C25" s="4" t="s">
        <v>88</v>
      </c>
      <c r="D25" s="4" t="s">
        <v>89</v>
      </c>
      <c r="E25" s="4" t="s">
        <v>90</v>
      </c>
      <c r="F25" s="4" t="s">
        <v>91</v>
      </c>
      <c r="G25" s="4"/>
    </row>
    <row r="26" customFormat="false" ht="15" hidden="false" customHeight="true" outlineLevel="0" collapsed="false">
      <c r="A26" s="36" t="s">
        <v>92</v>
      </c>
      <c r="B26" s="59" t="n">
        <v>60</v>
      </c>
      <c r="C26" s="59" t="n">
        <v>128</v>
      </c>
      <c r="D26" s="38" t="n">
        <f aca="false">B26+C26</f>
        <v>188</v>
      </c>
      <c r="E26" s="60" t="n">
        <f aca="false">D26 - (B$20*C26) - B$21 - B$22</f>
        <v>59.774944391484</v>
      </c>
      <c r="F26" s="61" t="s">
        <v>93</v>
      </c>
    </row>
    <row r="27" customFormat="false" ht="15" hidden="false" customHeight="true" outlineLevel="0" collapsed="false">
      <c r="A27" s="36" t="s">
        <v>94</v>
      </c>
      <c r="B27" s="59" t="n">
        <v>55</v>
      </c>
      <c r="C27" s="59" t="n">
        <v>137</v>
      </c>
      <c r="D27" s="38" t="n">
        <f aca="false">B27+C27</f>
        <v>192</v>
      </c>
      <c r="E27" s="60" t="n">
        <f aca="false">D27 - (B$20*C27) - B$21 - B$22</f>
        <v>60.3431045440102</v>
      </c>
      <c r="F27" s="61" t="s">
        <v>93</v>
      </c>
    </row>
    <row r="28" customFormat="false" ht="15" hidden="false" customHeight="true" outlineLevel="0" collapsed="false">
      <c r="A28" s="36" t="s">
        <v>95</v>
      </c>
      <c r="B28" s="59" t="n">
        <v>57</v>
      </c>
      <c r="C28" s="59" t="n">
        <v>133</v>
      </c>
      <c r="D28" s="38" t="n">
        <f aca="false">B28+C28</f>
        <v>190</v>
      </c>
      <c r="E28" s="60" t="n">
        <f aca="false">D28 - (B$20*C28) - B$21 - B$22</f>
        <v>59.868366698443</v>
      </c>
      <c r="F28" s="61" t="s">
        <v>96</v>
      </c>
    </row>
    <row r="29" customFormat="false" ht="15" hidden="false" customHeight="true" outlineLevel="0" collapsed="false">
      <c r="A29" s="36" t="s">
        <v>97</v>
      </c>
      <c r="B29" s="59" t="n">
        <v>55</v>
      </c>
      <c r="C29" s="59" t="n">
        <v>133</v>
      </c>
      <c r="D29" s="38" t="n">
        <f aca="false">B29+C29</f>
        <v>188</v>
      </c>
      <c r="E29" s="60" t="n">
        <f aca="false">D29 - (B$20*C29) - B$21 - B$22</f>
        <v>57.868366698443</v>
      </c>
      <c r="F29" s="61" t="s">
        <v>98</v>
      </c>
    </row>
    <row r="30" customFormat="false" ht="15" hidden="false" customHeight="true" outlineLevel="0" collapsed="false">
      <c r="A30" s="36" t="s">
        <v>99</v>
      </c>
      <c r="B30" s="59" t="n">
        <v>42</v>
      </c>
      <c r="C30" s="59" t="n">
        <v>133</v>
      </c>
      <c r="D30" s="38" t="n">
        <f aca="false">B30+C30</f>
        <v>175</v>
      </c>
      <c r="E30" s="60" t="n">
        <f aca="false">D30 - (B$20*C30) - B$21 - B$22</f>
        <v>44.868366698443</v>
      </c>
      <c r="F30" s="61" t="s">
        <v>100</v>
      </c>
    </row>
    <row r="31" customFormat="false" ht="15" hidden="false" customHeight="true" outlineLevel="0" collapsed="false">
      <c r="A31" s="7" t="s">
        <v>101</v>
      </c>
      <c r="B31" s="62" t="n">
        <f aca="false">SUM(B26:B30)</f>
        <v>269</v>
      </c>
      <c r="C31" s="62" t="n">
        <f aca="false">SUM(C26:C30)</f>
        <v>664</v>
      </c>
      <c r="D31" s="62" t="n">
        <f aca="false">SUM(D26:D30)</f>
        <v>933</v>
      </c>
      <c r="E31" s="62" t="n">
        <f aca="false">SUM(E26:E30)</f>
        <v>282.723149030823</v>
      </c>
    </row>
    <row r="32" customFormat="false" ht="15" hidden="false" customHeight="true" outlineLevel="0" collapsed="false">
      <c r="A32" s="51" t="s">
        <v>102</v>
      </c>
      <c r="D32" s="63" t="n">
        <f aca="false">D31/B5</f>
        <v>0.219322990126939</v>
      </c>
      <c r="E32" s="63" t="n">
        <f aca="false">E31/B7</f>
        <v>0.246274520061692</v>
      </c>
    </row>
    <row r="34" customFormat="false" ht="15" hidden="false" customHeight="true" outlineLevel="0" collapsed="false">
      <c r="A34" s="4" t="s">
        <v>103</v>
      </c>
      <c r="B34" s="4" t="s">
        <v>104</v>
      </c>
      <c r="C34" s="4" t="s">
        <v>105</v>
      </c>
      <c r="D34" s="4" t="s">
        <v>106</v>
      </c>
      <c r="E34" s="4" t="s">
        <v>107</v>
      </c>
      <c r="F34" s="4"/>
      <c r="G34" s="4" t="s">
        <v>108</v>
      </c>
    </row>
    <row r="35" customFormat="false" ht="15" hidden="false" customHeight="true" outlineLevel="0" collapsed="false">
      <c r="A35" s="36" t="s">
        <v>109</v>
      </c>
      <c r="B35" s="64" t="n">
        <v>1</v>
      </c>
      <c r="C35" s="35" t="n">
        <f aca="false">1-B35</f>
        <v>0</v>
      </c>
      <c r="D35" s="60" t="n">
        <f aca="false">B31/5</f>
        <v>53.8</v>
      </c>
      <c r="E35" s="60" t="n">
        <f aca="false">B35*D35</f>
        <v>53.8</v>
      </c>
      <c r="F35" s="36"/>
      <c r="G35" s="65" t="s">
        <v>110</v>
      </c>
    </row>
    <row r="36" customFormat="false" ht="15" hidden="false" customHeight="true" outlineLevel="0" collapsed="false">
      <c r="A36" s="36" t="s">
        <v>111</v>
      </c>
      <c r="B36" s="64" t="n">
        <v>0.05</v>
      </c>
      <c r="C36" s="35" t="n">
        <f aca="false">1-B36</f>
        <v>0.95</v>
      </c>
      <c r="D36" s="60" t="n">
        <f aca="false">B9/B6</f>
        <v>55.375</v>
      </c>
      <c r="E36" s="60" t="n">
        <f aca="false">B36*D36</f>
        <v>2.76875</v>
      </c>
      <c r="F36" s="36"/>
      <c r="G36" s="65" t="s">
        <v>112</v>
      </c>
    </row>
    <row r="37" customFormat="false" ht="15" hidden="false" customHeight="true" outlineLevel="0" collapsed="false">
      <c r="A37" s="36" t="s">
        <v>113</v>
      </c>
      <c r="B37" s="64" t="n">
        <v>0.25</v>
      </c>
      <c r="C37" s="35" t="n">
        <f aca="false">1-B37</f>
        <v>0.75</v>
      </c>
      <c r="D37" s="60" t="n">
        <f aca="false">B10/B6</f>
        <v>39.875</v>
      </c>
      <c r="E37" s="60" t="n">
        <f aca="false">B37*D37</f>
        <v>9.96875</v>
      </c>
      <c r="F37" s="36"/>
      <c r="G37" s="65" t="s">
        <v>114</v>
      </c>
    </row>
    <row r="38" customFormat="false" ht="15" hidden="false" customHeight="true" outlineLevel="0" collapsed="false">
      <c r="A38" s="36" t="s">
        <v>115</v>
      </c>
      <c r="B38" s="64" t="n">
        <v>0.7</v>
      </c>
      <c r="C38" s="35" t="n">
        <f aca="false">1-B38</f>
        <v>0.3</v>
      </c>
      <c r="D38" s="60" t="n">
        <f aca="false">B11/B6</f>
        <v>35.875</v>
      </c>
      <c r="E38" s="60" t="n">
        <f aca="false">B38*D38</f>
        <v>25.1125</v>
      </c>
      <c r="F38" s="36"/>
      <c r="G38" s="65" t="s">
        <v>116</v>
      </c>
    </row>
    <row r="39" customFormat="false" ht="15" hidden="false" customHeight="true" outlineLevel="0" collapsed="false">
      <c r="A39" s="18" t="s">
        <v>117</v>
      </c>
      <c r="B39" s="13"/>
      <c r="C39" s="13"/>
      <c r="D39" s="13"/>
      <c r="E39" s="66" t="n">
        <f aca="false">SUM(E35:E38)</f>
        <v>91.65</v>
      </c>
      <c r="F39" s="13"/>
      <c r="G39" s="13"/>
    </row>
    <row r="40" customFormat="false" ht="15" hidden="false" customHeight="true" outlineLevel="0" collapsed="false">
      <c r="A40" s="3" t="s">
        <v>118</v>
      </c>
      <c r="B40" s="13"/>
      <c r="C40" s="13"/>
      <c r="D40" s="13"/>
      <c r="E40" s="67" t="n">
        <f aca="false">D31/5</f>
        <v>186.6</v>
      </c>
      <c r="F40" s="13"/>
      <c r="G40" s="13"/>
    </row>
    <row r="41" customFormat="false" ht="15" hidden="false" customHeight="true" outlineLevel="0" collapsed="false">
      <c r="A41" s="7" t="s">
        <v>119</v>
      </c>
      <c r="B41" s="13"/>
      <c r="C41" s="13"/>
      <c r="D41" s="13"/>
      <c r="E41" s="68" t="n">
        <f aca="false">1-(E39/E40)</f>
        <v>0.508842443729904</v>
      </c>
      <c r="F41" s="13"/>
      <c r="G41" s="13"/>
    </row>
    <row r="42" customFormat="false" ht="15" hidden="false" customHeight="true" outlineLevel="0" collapsed="false">
      <c r="A42" s="69"/>
      <c r="B42" s="69"/>
      <c r="C42" s="69"/>
      <c r="D42" s="69"/>
      <c r="E42" s="69"/>
      <c r="F42" s="69"/>
      <c r="G42" s="69"/>
    </row>
    <row r="43" customFormat="false" ht="15" hidden="false" customHeight="true" outlineLevel="0" collapsed="false">
      <c r="A43" s="70" t="s">
        <v>120</v>
      </c>
      <c r="B43" s="70" t="s">
        <v>121</v>
      </c>
      <c r="C43" s="70"/>
      <c r="D43" s="70"/>
      <c r="E43" s="70"/>
      <c r="F43" s="70"/>
      <c r="G43" s="70"/>
    </row>
    <row r="44" customFormat="false" ht="15" hidden="false" customHeight="true" outlineLevel="0" collapsed="false">
      <c r="A44" s="13" t="s">
        <v>122</v>
      </c>
      <c r="B44" s="58" t="n">
        <f aca="false">E39</f>
        <v>91.65</v>
      </c>
      <c r="C44" s="13"/>
      <c r="D44" s="13"/>
      <c r="E44" s="13"/>
      <c r="F44" s="13"/>
      <c r="G44" s="13"/>
    </row>
    <row r="45" customFormat="false" ht="15" hidden="false" customHeight="true" outlineLevel="0" collapsed="false">
      <c r="A45" s="13" t="s">
        <v>123</v>
      </c>
      <c r="B45" s="58" t="n">
        <f aca="false">-B20*(E36+E37+E38)</f>
        <v>-14.4327931363203</v>
      </c>
      <c r="C45" s="13"/>
      <c r="D45" s="13"/>
      <c r="E45" s="13"/>
      <c r="F45" s="13"/>
      <c r="G45" s="3" t="s">
        <v>124</v>
      </c>
    </row>
    <row r="46" customFormat="false" ht="15" hidden="false" customHeight="true" outlineLevel="0" collapsed="false">
      <c r="A46" s="7" t="s">
        <v>125</v>
      </c>
      <c r="B46" s="71" t="n">
        <v>0.4</v>
      </c>
      <c r="C46" s="13"/>
      <c r="D46" s="13"/>
      <c r="E46" s="13"/>
      <c r="F46" s="13"/>
      <c r="G46" s="13"/>
    </row>
    <row r="47" customFormat="false" ht="15" hidden="false" customHeight="true" outlineLevel="0" collapsed="false">
      <c r="A47" s="13" t="s">
        <v>126</v>
      </c>
      <c r="B47" s="58" t="n">
        <f aca="false">-B22*B46</f>
        <v>-24.1666666666667</v>
      </c>
      <c r="C47" s="13"/>
      <c r="D47" s="13"/>
      <c r="E47" s="13"/>
      <c r="F47" s="13"/>
      <c r="G47" s="13"/>
    </row>
    <row r="48" customFormat="false" ht="15" hidden="false" customHeight="true" outlineLevel="0" collapsed="false">
      <c r="A48" s="18" t="s">
        <v>127</v>
      </c>
      <c r="B48" s="72" t="n">
        <f aca="false">B44+B45+B47</f>
        <v>53.050540197013</v>
      </c>
      <c r="C48" s="13"/>
      <c r="D48" s="13"/>
      <c r="E48" s="13"/>
      <c r="F48" s="13"/>
      <c r="G48" s="13"/>
    </row>
    <row r="49" customFormat="false" ht="15" hidden="false" customHeight="true" outlineLevel="0" collapsed="false">
      <c r="A49" s="69"/>
      <c r="B49" s="69"/>
      <c r="C49" s="69"/>
      <c r="D49" s="69"/>
      <c r="E49" s="69"/>
      <c r="F49" s="69"/>
      <c r="G49" s="69"/>
    </row>
    <row r="50" customFormat="false" ht="15" hidden="false" customHeight="true" outlineLevel="0" collapsed="false">
      <c r="A50" s="4" t="s">
        <v>128</v>
      </c>
      <c r="B50" s="4" t="s">
        <v>121</v>
      </c>
      <c r="C50" s="4"/>
      <c r="D50" s="4"/>
      <c r="E50" s="4"/>
      <c r="F50" s="4"/>
      <c r="G50" s="4"/>
    </row>
    <row r="51" customFormat="false" ht="15" hidden="false" customHeight="true" outlineLevel="0" collapsed="false">
      <c r="A51" s="13" t="s">
        <v>129</v>
      </c>
      <c r="B51" s="56" t="n">
        <v>35</v>
      </c>
      <c r="C51" s="13"/>
      <c r="D51" s="13"/>
      <c r="E51" s="13"/>
      <c r="F51" s="13"/>
      <c r="G51" s="13"/>
    </row>
    <row r="52" customFormat="false" ht="15" hidden="false" customHeight="true" outlineLevel="0" collapsed="false">
      <c r="A52" s="13" t="s">
        <v>130</v>
      </c>
      <c r="B52" s="58" t="n">
        <f aca="false">B31/5</f>
        <v>53.8</v>
      </c>
      <c r="C52" s="13"/>
      <c r="D52" s="13"/>
      <c r="E52" s="13"/>
      <c r="F52" s="13"/>
      <c r="G52" s="13"/>
    </row>
    <row r="53" customFormat="false" ht="15" hidden="false" customHeight="true" outlineLevel="0" collapsed="false">
      <c r="A53" s="13" t="s">
        <v>131</v>
      </c>
      <c r="B53" s="58" t="n">
        <f aca="false">B51-B52</f>
        <v>-18.8</v>
      </c>
      <c r="C53" s="13"/>
      <c r="D53" s="13"/>
      <c r="E53" s="13"/>
      <c r="F53" s="13"/>
      <c r="G53" s="13"/>
    </row>
    <row r="54" customFormat="false" ht="15" hidden="false" customHeight="true" outlineLevel="0" collapsed="false">
      <c r="A54" s="18" t="s">
        <v>132</v>
      </c>
      <c r="B54" s="72" t="n">
        <f aca="false">B53</f>
        <v>-18.8</v>
      </c>
      <c r="C54" s="13"/>
      <c r="D54" s="13"/>
      <c r="E54" s="13"/>
      <c r="F54" s="13"/>
      <c r="G54" s="3" t="s">
        <v>133</v>
      </c>
    </row>
    <row r="55" customFormat="false" ht="15" hidden="false" customHeight="true" outlineLevel="0" collapsed="false">
      <c r="A55" s="13"/>
      <c r="B55" s="13"/>
      <c r="C55" s="13"/>
      <c r="D55" s="13"/>
      <c r="E55" s="13"/>
      <c r="F55" s="13"/>
      <c r="G55" s="13"/>
    </row>
    <row r="56" customFormat="false" ht="15" hidden="false" customHeight="true" outlineLevel="0" collapsed="false">
      <c r="A56" s="4" t="s">
        <v>134</v>
      </c>
      <c r="B56" s="4" t="s">
        <v>62</v>
      </c>
      <c r="C56" s="4"/>
      <c r="D56" s="4"/>
      <c r="E56" s="4"/>
      <c r="F56" s="4"/>
      <c r="G56" s="4"/>
    </row>
    <row r="57" customFormat="false" ht="15" hidden="false" customHeight="true" outlineLevel="0" collapsed="false">
      <c r="A57" s="13" t="s">
        <v>135</v>
      </c>
      <c r="B57" s="73" t="n">
        <v>84</v>
      </c>
      <c r="C57" s="13"/>
      <c r="D57" s="13"/>
      <c r="E57" s="13"/>
      <c r="F57" s="13"/>
      <c r="G57" s="13"/>
    </row>
    <row r="58" customFormat="false" ht="15" hidden="false" customHeight="true" outlineLevel="0" collapsed="false">
      <c r="A58" s="13" t="s">
        <v>136</v>
      </c>
      <c r="B58" s="55" t="n">
        <v>250</v>
      </c>
      <c r="C58" s="13"/>
      <c r="D58" s="13"/>
      <c r="E58" s="13"/>
      <c r="F58" s="13"/>
      <c r="G58" s="13"/>
    </row>
    <row r="59" customFormat="false" ht="15" hidden="false" customHeight="true" outlineLevel="0" collapsed="false">
      <c r="A59" s="13" t="s">
        <v>137</v>
      </c>
      <c r="B59" s="14" t="n">
        <f aca="false">B57*B58</f>
        <v>21000</v>
      </c>
      <c r="C59" s="13"/>
      <c r="D59" s="13"/>
      <c r="E59" s="13"/>
      <c r="F59" s="13"/>
      <c r="G59" s="13"/>
    </row>
    <row r="60" customFormat="false" ht="15" hidden="false" customHeight="true" outlineLevel="0" collapsed="false">
      <c r="A60" s="13" t="s">
        <v>138</v>
      </c>
      <c r="B60" s="55" t="n">
        <v>4200</v>
      </c>
      <c r="C60" s="13"/>
      <c r="D60" s="13"/>
      <c r="E60" s="13"/>
      <c r="F60" s="13"/>
      <c r="G60" s="13"/>
    </row>
    <row r="61" customFormat="false" ht="15" hidden="false" customHeight="true" outlineLevel="0" collapsed="false">
      <c r="A61" s="7" t="s">
        <v>139</v>
      </c>
      <c r="B61" s="62" t="n">
        <f aca="false">B59+B60</f>
        <v>25200</v>
      </c>
      <c r="C61" s="13"/>
      <c r="D61" s="13"/>
      <c r="E61" s="13"/>
      <c r="F61" s="13"/>
      <c r="G61" s="13"/>
    </row>
    <row r="62" customFormat="false" ht="15" hidden="false" customHeight="true" outlineLevel="0" collapsed="false">
      <c r="A62" s="13"/>
      <c r="B62" s="13"/>
      <c r="C62" s="13"/>
      <c r="D62" s="13"/>
      <c r="E62" s="13"/>
      <c r="F62" s="13"/>
      <c r="G62" s="13"/>
    </row>
    <row r="63" customFormat="false" ht="15" hidden="false" customHeight="true" outlineLevel="0" collapsed="false">
      <c r="A63" s="4" t="s">
        <v>140</v>
      </c>
      <c r="B63" s="4" t="s">
        <v>2</v>
      </c>
      <c r="C63" s="4" t="s">
        <v>3</v>
      </c>
      <c r="D63" s="4" t="s">
        <v>4</v>
      </c>
      <c r="E63" s="4"/>
      <c r="F63" s="4"/>
      <c r="G63" s="4"/>
    </row>
    <row r="64" customFormat="false" ht="15" hidden="false" customHeight="true" outlineLevel="0" collapsed="false">
      <c r="A64" s="13" t="s">
        <v>141</v>
      </c>
      <c r="B64" s="74" t="n">
        <f aca="false">B7</f>
        <v>1148</v>
      </c>
      <c r="C64" s="55" t="n">
        <v>1263</v>
      </c>
      <c r="D64" s="55" t="n">
        <v>1390</v>
      </c>
      <c r="E64" s="13"/>
      <c r="F64" s="13"/>
      <c r="G64" s="13"/>
    </row>
    <row r="65" customFormat="false" ht="15" hidden="false" customHeight="true" outlineLevel="0" collapsed="false">
      <c r="A65" s="13" t="s">
        <v>142</v>
      </c>
      <c r="B65" s="55" t="n">
        <v>52</v>
      </c>
      <c r="C65" s="55" t="n">
        <v>75</v>
      </c>
      <c r="D65" s="55" t="n">
        <v>95</v>
      </c>
      <c r="E65" s="13"/>
      <c r="F65" s="13"/>
      <c r="G65" s="13"/>
    </row>
    <row r="66" customFormat="false" ht="15" hidden="false" customHeight="true" outlineLevel="0" collapsed="false">
      <c r="A66" s="7" t="s">
        <v>143</v>
      </c>
      <c r="B66" s="75" t="n">
        <f aca="false">B64+B65</f>
        <v>1200</v>
      </c>
      <c r="C66" s="75" t="n">
        <f aca="false">C64+C65</f>
        <v>1338</v>
      </c>
      <c r="D66" s="75" t="n">
        <f aca="false">D64+D65</f>
        <v>1485</v>
      </c>
      <c r="E66" s="13"/>
      <c r="F66" s="13"/>
      <c r="G66" s="13"/>
    </row>
    <row r="67" customFormat="false" ht="15" hidden="false" customHeight="true" outlineLevel="0" collapsed="false">
      <c r="A67" s="13"/>
      <c r="B67" s="13"/>
      <c r="C67" s="13"/>
      <c r="D67" s="13"/>
      <c r="E67" s="13"/>
      <c r="F67" s="13"/>
      <c r="G67" s="13"/>
    </row>
    <row r="68" customFormat="false" ht="15" hidden="false" customHeight="true" outlineLevel="0" collapsed="false">
      <c r="A68" s="76" t="s">
        <v>144</v>
      </c>
      <c r="B68" s="77" t="s">
        <v>2</v>
      </c>
      <c r="C68" s="77" t="s">
        <v>3</v>
      </c>
      <c r="D68" s="77" t="s">
        <v>4</v>
      </c>
      <c r="E68" s="77"/>
      <c r="F68" s="77"/>
      <c r="G68" s="77" t="s">
        <v>73</v>
      </c>
    </row>
    <row r="69" customFormat="false" ht="15" hidden="false" customHeight="true" outlineLevel="0" collapsed="false">
      <c r="A69" s="78" t="s">
        <v>145</v>
      </c>
      <c r="B69" s="79" t="n">
        <v>115</v>
      </c>
      <c r="C69" s="79" t="n">
        <v>120</v>
      </c>
      <c r="D69" s="79" t="n">
        <v>125</v>
      </c>
      <c r="E69" s="78"/>
      <c r="F69" s="78"/>
      <c r="G69" s="80" t="s">
        <v>146</v>
      </c>
    </row>
    <row r="70" customFormat="false" ht="15" hidden="false" customHeight="true" outlineLevel="0" collapsed="false">
      <c r="A70" s="81" t="s">
        <v>147</v>
      </c>
      <c r="B70" s="82" t="n">
        <v>180</v>
      </c>
      <c r="C70" s="82" t="n">
        <v>190</v>
      </c>
      <c r="D70" s="82" t="n">
        <v>195</v>
      </c>
      <c r="E70" s="78"/>
      <c r="F70" s="78"/>
      <c r="G70" s="78"/>
    </row>
    <row r="71" customFormat="false" ht="15" hidden="false" customHeight="true" outlineLevel="0" collapsed="false">
      <c r="A71" s="78" t="s">
        <v>148</v>
      </c>
      <c r="B71" s="79" t="n">
        <v>210</v>
      </c>
      <c r="C71" s="79" t="n">
        <v>200</v>
      </c>
      <c r="D71" s="83" t="n">
        <v>185</v>
      </c>
      <c r="E71" s="84"/>
      <c r="F71" s="84"/>
      <c r="G71" s="80" t="s">
        <v>149</v>
      </c>
    </row>
    <row r="72" customFormat="false" ht="15" hidden="false" customHeight="true" outlineLevel="0" collapsed="false">
      <c r="A72" s="78" t="s">
        <v>150</v>
      </c>
      <c r="B72" s="85" t="n">
        <v>0.15</v>
      </c>
      <c r="C72" s="85" t="n">
        <v>0.17</v>
      </c>
      <c r="D72" s="86" t="n">
        <v>0.18</v>
      </c>
      <c r="E72" s="84"/>
      <c r="F72" s="84"/>
      <c r="G72" s="80" t="s">
        <v>151</v>
      </c>
    </row>
    <row r="73" customFormat="false" ht="15" hidden="false" customHeight="true" outlineLevel="0" collapsed="false">
      <c r="A73" s="78" t="s">
        <v>152</v>
      </c>
      <c r="B73" s="79" t="n">
        <v>0</v>
      </c>
      <c r="C73" s="79" t="n">
        <v>0</v>
      </c>
      <c r="D73" s="83" t="n">
        <v>0</v>
      </c>
      <c r="E73" s="84"/>
      <c r="F73" s="84"/>
      <c r="G73" s="80" t="s">
        <v>153</v>
      </c>
    </row>
    <row r="74" customFormat="false" ht="15" hidden="false" customHeight="true" outlineLevel="0" collapsed="false">
      <c r="A74" s="78"/>
      <c r="B74" s="78"/>
      <c r="C74" s="78"/>
      <c r="D74" s="84"/>
      <c r="E74" s="84"/>
      <c r="F74" s="84"/>
      <c r="G74" s="78"/>
    </row>
    <row r="75" customFormat="false" ht="15" hidden="false" customHeight="true" outlineLevel="0" collapsed="false">
      <c r="A75" s="77" t="s">
        <v>154</v>
      </c>
      <c r="B75" s="77" t="s">
        <v>2</v>
      </c>
      <c r="C75" s="77" t="s">
        <v>3</v>
      </c>
      <c r="D75" s="77" t="s">
        <v>4</v>
      </c>
      <c r="E75" s="77"/>
      <c r="F75" s="77"/>
      <c r="G75" s="77"/>
    </row>
    <row r="76" customFormat="false" ht="15" hidden="false" customHeight="true" outlineLevel="0" collapsed="false">
      <c r="A76" s="78" t="s">
        <v>155</v>
      </c>
      <c r="B76" s="87" t="n">
        <f aca="false">B66</f>
        <v>1200</v>
      </c>
      <c r="C76" s="87" t="n">
        <f aca="false">C66</f>
        <v>1338</v>
      </c>
      <c r="D76" s="88" t="n">
        <f aca="false">D66</f>
        <v>1485</v>
      </c>
      <c r="E76" s="84"/>
      <c r="F76" s="84"/>
      <c r="G76" s="78"/>
    </row>
    <row r="77" customFormat="false" ht="15" hidden="false" customHeight="true" outlineLevel="0" collapsed="false">
      <c r="A77" s="78" t="s">
        <v>156</v>
      </c>
      <c r="B77" s="89" t="n">
        <f aca="false">-B69</f>
        <v>-115</v>
      </c>
      <c r="C77" s="89" t="n">
        <f aca="false">-C69</f>
        <v>-120</v>
      </c>
      <c r="D77" s="90" t="n">
        <f aca="false">-D69</f>
        <v>-125</v>
      </c>
      <c r="E77" s="84"/>
      <c r="F77" s="84"/>
      <c r="G77" s="78"/>
    </row>
    <row r="78" customFormat="false" ht="15" hidden="false" customHeight="true" outlineLevel="0" collapsed="false">
      <c r="A78" s="91" t="s">
        <v>157</v>
      </c>
      <c r="B78" s="92" t="n">
        <f aca="false">B76+B77</f>
        <v>1085</v>
      </c>
      <c r="C78" s="92" t="n">
        <f aca="false">C76+C77</f>
        <v>1218</v>
      </c>
      <c r="D78" s="93" t="n">
        <f aca="false">D76+D77</f>
        <v>1360</v>
      </c>
      <c r="E78" s="84"/>
      <c r="F78" s="84"/>
      <c r="G78" s="78"/>
    </row>
    <row r="79" customFormat="false" ht="15" hidden="false" customHeight="true" outlineLevel="0" collapsed="false">
      <c r="A79" s="78" t="s">
        <v>158</v>
      </c>
      <c r="B79" s="89" t="n">
        <f aca="false">-B71</f>
        <v>-210</v>
      </c>
      <c r="C79" s="89" t="n">
        <f aca="false">-C71</f>
        <v>-200</v>
      </c>
      <c r="D79" s="90" t="n">
        <f aca="false">-D71</f>
        <v>-185</v>
      </c>
      <c r="E79" s="84"/>
      <c r="F79" s="84"/>
      <c r="G79" s="78"/>
    </row>
    <row r="80" customFormat="false" ht="15" hidden="false" customHeight="true" outlineLevel="0" collapsed="false">
      <c r="A80" s="78" t="s">
        <v>159</v>
      </c>
      <c r="B80" s="89" t="n">
        <f aca="false">-MAX(0,B72*(B76-B70-B71))</f>
        <v>-121.5</v>
      </c>
      <c r="C80" s="89" t="n">
        <f aca="false">-MAX(0,C72*(C76-C70-C71))</f>
        <v>-161.16</v>
      </c>
      <c r="D80" s="90" t="n">
        <f aca="false">-MAX(0,D72*(D76-D70-D71))</f>
        <v>-198.9</v>
      </c>
      <c r="E80" s="84"/>
      <c r="F80" s="84"/>
      <c r="G80" s="78"/>
    </row>
    <row r="81" customFormat="false" ht="15" hidden="false" customHeight="true" outlineLevel="0" collapsed="false">
      <c r="A81" s="78" t="s">
        <v>160</v>
      </c>
      <c r="B81" s="89" t="n">
        <f aca="false">B73</f>
        <v>0</v>
      </c>
      <c r="C81" s="89" t="n">
        <f aca="false">C73</f>
        <v>0</v>
      </c>
      <c r="D81" s="90" t="n">
        <f aca="false">D73</f>
        <v>0</v>
      </c>
      <c r="E81" s="84"/>
      <c r="F81" s="84"/>
      <c r="G81" s="78"/>
    </row>
    <row r="82" customFormat="false" ht="15" hidden="false" customHeight="true" outlineLevel="0" collapsed="false">
      <c r="A82" s="91" t="s">
        <v>161</v>
      </c>
      <c r="B82" s="62" t="n">
        <f aca="false">B78+B79+B80+B81</f>
        <v>753.5</v>
      </c>
      <c r="C82" s="62" t="n">
        <f aca="false">C78+C79+C80+C81</f>
        <v>856.84</v>
      </c>
      <c r="D82" s="94" t="n">
        <f aca="false">D78+D79+D80+D81</f>
        <v>976.1</v>
      </c>
      <c r="E82" s="84"/>
      <c r="F82" s="84"/>
      <c r="G82" s="78"/>
    </row>
    <row r="83" customFormat="false" ht="15" hidden="false" customHeight="true" outlineLevel="0" collapsed="false">
      <c r="A83" s="95" t="s">
        <v>162</v>
      </c>
      <c r="B83" s="96" t="n">
        <f aca="false">B78/B61</f>
        <v>0.0430555555555556</v>
      </c>
      <c r="C83" s="96" t="n">
        <f aca="false">C78/B61</f>
        <v>0.0483333333333333</v>
      </c>
      <c r="D83" s="97" t="n">
        <f aca="false">D78/B61</f>
        <v>0.053968253968254</v>
      </c>
      <c r="E83" s="84"/>
      <c r="F83" s="84"/>
      <c r="G83" s="78"/>
    </row>
    <row r="84" customFormat="false" ht="15" hidden="false" customHeight="true" outlineLevel="0" collapsed="false">
      <c r="A84" s="95" t="s">
        <v>163</v>
      </c>
      <c r="B84" s="96" t="n">
        <f aca="false">B82/B59</f>
        <v>0.0358809523809524</v>
      </c>
      <c r="C84" s="96" t="n">
        <f aca="false">C82/B59</f>
        <v>0.0408019047619048</v>
      </c>
      <c r="D84" s="97" t="n">
        <f aca="false">D82/B59</f>
        <v>0.0464809523809524</v>
      </c>
      <c r="E84" s="84"/>
      <c r="F84" s="84"/>
      <c r="G84" s="78"/>
    </row>
    <row r="85" customFormat="false" ht="15" hidden="false" customHeight="true" outlineLevel="0" collapsed="false">
      <c r="A85" s="78" t="s">
        <v>164</v>
      </c>
      <c r="B85" s="98" t="n">
        <f aca="false">B78/B76</f>
        <v>0.904166666666667</v>
      </c>
      <c r="C85" s="98" t="n">
        <f aca="false">C78/C76</f>
        <v>0.910313901345291</v>
      </c>
      <c r="D85" s="99" t="n">
        <f aca="false">D78/D76</f>
        <v>0.915824915824916</v>
      </c>
      <c r="E85" s="84"/>
      <c r="F85" s="84"/>
      <c r="G85" s="78"/>
    </row>
    <row r="86" customFormat="false" ht="15" hidden="false" customHeight="true" outlineLevel="0" collapsed="false">
      <c r="A86" s="78"/>
      <c r="B86" s="78"/>
      <c r="C86" s="78"/>
      <c r="D86" s="84"/>
      <c r="E86" s="84"/>
      <c r="F86" s="84"/>
      <c r="G86" s="78"/>
    </row>
    <row r="87" customFormat="false" ht="26.85" hidden="false" customHeight="false" outlineLevel="0" collapsed="false">
      <c r="A87" s="100" t="s">
        <v>165</v>
      </c>
      <c r="B87" s="101" t="s">
        <v>62</v>
      </c>
      <c r="C87" s="101" t="s">
        <v>166</v>
      </c>
      <c r="D87" s="101"/>
      <c r="E87" s="101"/>
      <c r="F87" s="101"/>
      <c r="G87" s="101" t="s">
        <v>167</v>
      </c>
    </row>
    <row r="88" customFormat="false" ht="15" hidden="false" customHeight="false" outlineLevel="0" collapsed="false">
      <c r="A88" s="102" t="s">
        <v>135</v>
      </c>
      <c r="B88" s="103" t="n">
        <f aca="false">B57</f>
        <v>84</v>
      </c>
      <c r="C88" s="104" t="s">
        <v>168</v>
      </c>
      <c r="D88" s="84"/>
      <c r="E88" s="84"/>
      <c r="F88" s="84"/>
      <c r="G88" s="84"/>
    </row>
    <row r="89" customFormat="false" ht="15" hidden="false" customHeight="false" outlineLevel="0" collapsed="false">
      <c r="A89" s="102" t="s">
        <v>136</v>
      </c>
      <c r="B89" s="105" t="n">
        <f aca="false">B58</f>
        <v>250</v>
      </c>
      <c r="C89" s="104" t="s">
        <v>169</v>
      </c>
      <c r="D89" s="84"/>
      <c r="E89" s="84"/>
      <c r="F89" s="84"/>
      <c r="G89" s="84"/>
    </row>
    <row r="90" customFormat="false" ht="15" hidden="false" customHeight="false" outlineLevel="0" collapsed="false">
      <c r="A90" s="102" t="s">
        <v>138</v>
      </c>
      <c r="B90" s="105" t="n">
        <f aca="false">B60</f>
        <v>4200</v>
      </c>
      <c r="C90" s="104" t="s">
        <v>170</v>
      </c>
      <c r="D90" s="84"/>
      <c r="E90" s="84"/>
      <c r="F90" s="84"/>
      <c r="G90" s="106" t="s">
        <v>171</v>
      </c>
    </row>
    <row r="91" customFormat="false" ht="15" hidden="false" customHeight="false" outlineLevel="0" collapsed="false">
      <c r="A91" s="102" t="s">
        <v>139</v>
      </c>
      <c r="B91" s="105" t="n">
        <f aca="false">B61</f>
        <v>25200</v>
      </c>
      <c r="C91" s="104" t="s">
        <v>172</v>
      </c>
      <c r="D91" s="84"/>
      <c r="E91" s="84"/>
      <c r="F91" s="84"/>
      <c r="G91" s="106" t="s">
        <v>173</v>
      </c>
    </row>
    <row r="92" customFormat="false" ht="15" hidden="false" customHeight="false" outlineLevel="0" collapsed="false">
      <c r="A92" s="102" t="s">
        <v>174</v>
      </c>
      <c r="B92" s="105" t="n">
        <f aca="false">B64</f>
        <v>1148</v>
      </c>
      <c r="C92" s="104" t="s">
        <v>175</v>
      </c>
      <c r="D92" s="84"/>
      <c r="E92" s="84"/>
      <c r="F92" s="84"/>
      <c r="G92" s="84"/>
    </row>
    <row r="93" customFormat="false" ht="15" hidden="false" customHeight="false" outlineLevel="0" collapsed="false">
      <c r="A93" s="102" t="s">
        <v>176</v>
      </c>
      <c r="B93" s="105" t="n">
        <f aca="false">C64</f>
        <v>1263</v>
      </c>
      <c r="C93" s="104" t="s">
        <v>177</v>
      </c>
      <c r="D93" s="84"/>
      <c r="E93" s="84"/>
      <c r="F93" s="84"/>
      <c r="G93" s="84"/>
    </row>
    <row r="94" customFormat="false" ht="15" hidden="false" customHeight="false" outlineLevel="0" collapsed="false">
      <c r="A94" s="102" t="s">
        <v>178</v>
      </c>
      <c r="B94" s="105" t="n">
        <f aca="false">D64</f>
        <v>1390</v>
      </c>
      <c r="C94" s="104" t="s">
        <v>179</v>
      </c>
      <c r="D94" s="84"/>
      <c r="E94" s="84"/>
      <c r="F94" s="84"/>
      <c r="G94" s="84"/>
    </row>
    <row r="95" customFormat="false" ht="15" hidden="false" customHeight="false" outlineLevel="0" collapsed="false">
      <c r="A95" s="102" t="s">
        <v>180</v>
      </c>
      <c r="B95" s="105" t="n">
        <f aca="false">B65</f>
        <v>52</v>
      </c>
      <c r="C95" s="104" t="s">
        <v>181</v>
      </c>
    </row>
    <row r="96" customFormat="false" ht="15" hidden="false" customHeight="false" outlineLevel="0" collapsed="false">
      <c r="A96" s="102" t="s">
        <v>182</v>
      </c>
      <c r="B96" s="105" t="n">
        <f aca="false">C65</f>
        <v>75</v>
      </c>
      <c r="C96" s="104" t="s">
        <v>183</v>
      </c>
    </row>
    <row r="97" customFormat="false" ht="15" hidden="false" customHeight="false" outlineLevel="0" collapsed="false">
      <c r="A97" s="102" t="s">
        <v>184</v>
      </c>
      <c r="B97" s="105" t="n">
        <f aca="false">D65</f>
        <v>95</v>
      </c>
      <c r="C97" s="104" t="s">
        <v>185</v>
      </c>
    </row>
    <row r="98" customFormat="false" ht="15" hidden="false" customHeight="false" outlineLevel="0" collapsed="false">
      <c r="A98" s="102" t="s">
        <v>75</v>
      </c>
      <c r="B98" s="105" t="n">
        <f aca="false">B15</f>
        <v>1450</v>
      </c>
      <c r="C98" s="104" t="s">
        <v>186</v>
      </c>
      <c r="G98" s="107" t="s">
        <v>187</v>
      </c>
    </row>
    <row r="99" customFormat="false" ht="15" hidden="false" customHeight="false" outlineLevel="0" collapsed="false">
      <c r="A99" s="102" t="s">
        <v>77</v>
      </c>
      <c r="B99" s="105" t="n">
        <f aca="false">B16</f>
        <v>1200</v>
      </c>
      <c r="C99" s="104" t="s">
        <v>188</v>
      </c>
    </row>
    <row r="100" customFormat="false" ht="15" hidden="false" customHeight="false" outlineLevel="0" collapsed="false">
      <c r="A100" s="102" t="s">
        <v>189</v>
      </c>
      <c r="B100" s="105" t="n">
        <f aca="false">B51</f>
        <v>35</v>
      </c>
      <c r="C100" s="104" t="s">
        <v>190</v>
      </c>
    </row>
    <row r="101" customFormat="false" ht="15" hidden="false" customHeight="false" outlineLevel="0" collapsed="false">
      <c r="A101" s="102" t="s">
        <v>191</v>
      </c>
      <c r="B101" s="108" t="n">
        <f aca="false">B46</f>
        <v>0.4</v>
      </c>
      <c r="C101" s="104" t="s">
        <v>192</v>
      </c>
    </row>
    <row r="102" customFormat="false" ht="15" hidden="false" customHeight="false" outlineLevel="0" collapsed="false">
      <c r="A102" s="102" t="s">
        <v>193</v>
      </c>
      <c r="B102" s="108" t="n">
        <f aca="false">B35</f>
        <v>1</v>
      </c>
      <c r="C102" s="104" t="s">
        <v>194</v>
      </c>
    </row>
    <row r="103" customFormat="false" ht="15" hidden="false" customHeight="false" outlineLevel="0" collapsed="false">
      <c r="A103" s="102" t="s">
        <v>195</v>
      </c>
      <c r="B103" s="108" t="n">
        <f aca="false">B36</f>
        <v>0.05</v>
      </c>
      <c r="C103" s="104" t="s">
        <v>196</v>
      </c>
    </row>
    <row r="104" customFormat="false" ht="15" hidden="false" customHeight="false" outlineLevel="0" collapsed="false">
      <c r="A104" s="102" t="s">
        <v>197</v>
      </c>
      <c r="B104" s="108" t="n">
        <f aca="false">B37</f>
        <v>0.25</v>
      </c>
      <c r="C104" s="104" t="s">
        <v>198</v>
      </c>
    </row>
    <row r="105" customFormat="false" ht="15" hidden="false" customHeight="false" outlineLevel="0" collapsed="false">
      <c r="A105" s="102" t="s">
        <v>199</v>
      </c>
      <c r="B105" s="108" t="n">
        <f aca="false">B38</f>
        <v>0.7</v>
      </c>
      <c r="C105" s="104" t="s">
        <v>200</v>
      </c>
    </row>
    <row r="106" customFormat="false" ht="15" hidden="false" customHeight="false" outlineLevel="0" collapsed="false">
      <c r="A106" s="102" t="s">
        <v>201</v>
      </c>
      <c r="B106" s="105" t="n">
        <f aca="false">B69</f>
        <v>115</v>
      </c>
      <c r="C106" s="104" t="s">
        <v>202</v>
      </c>
    </row>
    <row r="107" customFormat="false" ht="15" hidden="false" customHeight="false" outlineLevel="0" collapsed="false">
      <c r="A107" s="102" t="s">
        <v>203</v>
      </c>
      <c r="B107" s="105" t="n">
        <f aca="false">C69</f>
        <v>120</v>
      </c>
      <c r="C107" s="104" t="s">
        <v>204</v>
      </c>
    </row>
    <row r="108" customFormat="false" ht="15" hidden="false" customHeight="false" outlineLevel="0" collapsed="false">
      <c r="A108" s="102" t="s">
        <v>205</v>
      </c>
      <c r="B108" s="105" t="n">
        <f aca="false">D69</f>
        <v>125</v>
      </c>
      <c r="C108" s="104" t="s">
        <v>206</v>
      </c>
    </row>
    <row r="109" customFormat="false" ht="15" hidden="false" customHeight="false" outlineLevel="0" collapsed="false">
      <c r="A109" s="102" t="s">
        <v>207</v>
      </c>
      <c r="B109" s="105" t="n">
        <f aca="false">B70</f>
        <v>180</v>
      </c>
      <c r="C109" s="104" t="s">
        <v>208</v>
      </c>
      <c r="G109" s="107" t="s">
        <v>209</v>
      </c>
    </row>
    <row r="110" customFormat="false" ht="15" hidden="false" customHeight="false" outlineLevel="0" collapsed="false">
      <c r="A110" s="102" t="s">
        <v>210</v>
      </c>
      <c r="B110" s="105" t="n">
        <f aca="false">C70</f>
        <v>190</v>
      </c>
      <c r="C110" s="104" t="s">
        <v>211</v>
      </c>
    </row>
    <row r="111" customFormat="false" ht="15" hidden="false" customHeight="false" outlineLevel="0" collapsed="false">
      <c r="A111" s="102" t="s">
        <v>212</v>
      </c>
      <c r="B111" s="105" t="n">
        <f aca="false">D70</f>
        <v>195</v>
      </c>
      <c r="C111" s="104" t="s">
        <v>213</v>
      </c>
    </row>
    <row r="112" customFormat="false" ht="15" hidden="false" customHeight="false" outlineLevel="0" collapsed="false">
      <c r="A112" s="102" t="s">
        <v>214</v>
      </c>
      <c r="B112" s="105" t="n">
        <f aca="false">B71</f>
        <v>210</v>
      </c>
      <c r="C112" s="104" t="s">
        <v>215</v>
      </c>
    </row>
    <row r="113" customFormat="false" ht="15" hidden="false" customHeight="false" outlineLevel="0" collapsed="false">
      <c r="A113" s="102" t="s">
        <v>216</v>
      </c>
      <c r="B113" s="105" t="n">
        <f aca="false">C71</f>
        <v>200</v>
      </c>
      <c r="C113" s="104" t="s">
        <v>217</v>
      </c>
    </row>
    <row r="114" customFormat="false" ht="15" hidden="false" customHeight="false" outlineLevel="0" collapsed="false">
      <c r="A114" s="102" t="s">
        <v>218</v>
      </c>
      <c r="B114" s="105" t="n">
        <f aca="false">D71</f>
        <v>185</v>
      </c>
      <c r="C114" s="104" t="s">
        <v>219</v>
      </c>
    </row>
    <row r="115" customFormat="false" ht="15" hidden="false" customHeight="false" outlineLevel="0" collapsed="false">
      <c r="A115" s="102" t="s">
        <v>220</v>
      </c>
      <c r="B115" s="108" t="n">
        <f aca="false">B72</f>
        <v>0.15</v>
      </c>
      <c r="C115" s="104" t="s">
        <v>221</v>
      </c>
    </row>
    <row r="116" customFormat="false" ht="15" hidden="false" customHeight="false" outlineLevel="0" collapsed="false">
      <c r="A116" s="102" t="s">
        <v>222</v>
      </c>
      <c r="B116" s="108" t="n">
        <f aca="false">C72</f>
        <v>0.17</v>
      </c>
      <c r="C116" s="104" t="s">
        <v>223</v>
      </c>
    </row>
    <row r="117" customFormat="false" ht="15" hidden="false" customHeight="false" outlineLevel="0" collapsed="false">
      <c r="A117" s="102" t="s">
        <v>224</v>
      </c>
      <c r="B117" s="108" t="n">
        <f aca="false">D72</f>
        <v>0.18</v>
      </c>
      <c r="C117" s="104" t="s">
        <v>225</v>
      </c>
    </row>
    <row r="118" customFormat="false" ht="15" hidden="false" customHeight="false" outlineLevel="0" collapsed="false">
      <c r="A118" s="102" t="s">
        <v>226</v>
      </c>
      <c r="B118" s="105" t="n">
        <f aca="false">B73</f>
        <v>0</v>
      </c>
      <c r="C118" s="104" t="s">
        <v>227</v>
      </c>
    </row>
    <row r="119" customFormat="false" ht="15" hidden="false" customHeight="false" outlineLevel="0" collapsed="false">
      <c r="A119" s="102" t="s">
        <v>228</v>
      </c>
      <c r="B119" s="105" t="n">
        <f aca="false">C73</f>
        <v>0</v>
      </c>
      <c r="C119" s="104" t="s">
        <v>229</v>
      </c>
    </row>
    <row r="120" customFormat="false" ht="15" hidden="false" customHeight="false" outlineLevel="0" collapsed="false">
      <c r="A120" s="102" t="s">
        <v>230</v>
      </c>
      <c r="B120" s="105" t="n">
        <f aca="false">D73</f>
        <v>0</v>
      </c>
      <c r="C120" s="104" t="s">
        <v>231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109" t="s">
        <v>232</v>
      </c>
      <c r="B1" s="109"/>
      <c r="C1" s="109"/>
      <c r="D1" s="109"/>
      <c r="E1" s="109"/>
    </row>
    <row r="2" customFormat="false" ht="15" hidden="false" customHeight="true" outlineLevel="0" collapsed="false">
      <c r="A2" s="3" t="s">
        <v>233</v>
      </c>
    </row>
    <row r="4" customFormat="false" ht="15" hidden="false" customHeight="true" outlineLevel="0" collapsed="false">
      <c r="A4" s="110" t="s">
        <v>234</v>
      </c>
      <c r="B4" s="110" t="s">
        <v>235</v>
      </c>
      <c r="C4" s="110" t="s">
        <v>236</v>
      </c>
      <c r="D4" s="110"/>
      <c r="E4" s="110"/>
      <c r="F4" s="110"/>
    </row>
    <row r="5" customFormat="false" ht="15" hidden="false" customHeight="true" outlineLevel="0" collapsed="false">
      <c r="A5" s="13" t="s">
        <v>237</v>
      </c>
      <c r="B5" s="13" t="n">
        <v>2</v>
      </c>
      <c r="C5" s="111" t="n">
        <f aca="false">Assumptions!B48*2</f>
        <v>106.101080394026</v>
      </c>
    </row>
    <row r="6" customFormat="false" ht="15" hidden="false" customHeight="true" outlineLevel="0" collapsed="false">
      <c r="A6" s="13" t="s">
        <v>238</v>
      </c>
      <c r="B6" s="13" t="n">
        <v>0</v>
      </c>
      <c r="C6" s="13" t="n">
        <v>0</v>
      </c>
    </row>
    <row r="7" customFormat="false" ht="15" hidden="false" customHeight="true" outlineLevel="0" collapsed="false">
      <c r="A7" s="7" t="s">
        <v>239</v>
      </c>
      <c r="C7" s="112" t="n">
        <f aca="false">C5+C6</f>
        <v>106.101080394026</v>
      </c>
    </row>
    <row r="8" customFormat="false" ht="15" hidden="false" customHeight="true" outlineLevel="0" collapsed="false">
      <c r="A8" s="7" t="s">
        <v>240</v>
      </c>
      <c r="C8" s="113" t="n">
        <f aca="false">Assumptions!B66-C7</f>
        <v>1093.89891960597</v>
      </c>
    </row>
    <row r="9" customFormat="false" ht="15" hidden="false" customHeight="true" outlineLevel="0" collapsed="false">
      <c r="A9" s="7" t="s">
        <v>241</v>
      </c>
      <c r="C9" s="114" t="n">
        <f aca="false">Assumptions!B61/C8</f>
        <v>23.036863414288</v>
      </c>
    </row>
    <row r="11" customFormat="false" ht="23.25" hidden="false" customHeight="true" outlineLevel="0" collapsed="false">
      <c r="A11" s="115" t="s">
        <v>242</v>
      </c>
      <c r="B11" s="115" t="s">
        <v>235</v>
      </c>
      <c r="C11" s="115" t="s">
        <v>236</v>
      </c>
      <c r="D11" s="115"/>
      <c r="E11" s="115"/>
      <c r="F11" s="115"/>
    </row>
    <row r="12" customFormat="false" ht="15" hidden="false" customHeight="true" outlineLevel="0" collapsed="false">
      <c r="A12" s="13" t="s">
        <v>243</v>
      </c>
      <c r="B12" s="13" t="n">
        <v>2</v>
      </c>
      <c r="C12" s="111" t="n">
        <f aca="false">Assumptions!B48*2</f>
        <v>106.101080394026</v>
      </c>
    </row>
    <row r="13" customFormat="false" ht="15" hidden="false" customHeight="true" outlineLevel="0" collapsed="false">
      <c r="A13" s="13" t="s">
        <v>244</v>
      </c>
      <c r="B13" s="13" t="n">
        <v>3</v>
      </c>
      <c r="C13" s="111" t="n">
        <f aca="false">Assumptions!B54*3</f>
        <v>-56.4</v>
      </c>
      <c r="F13" s="3" t="s">
        <v>245</v>
      </c>
    </row>
    <row r="14" customFormat="false" ht="15" hidden="false" customHeight="true" outlineLevel="0" collapsed="false">
      <c r="A14" s="7" t="s">
        <v>246</v>
      </c>
      <c r="C14" s="112" t="n">
        <f aca="false">C12+C13</f>
        <v>49.7010803940261</v>
      </c>
    </row>
    <row r="15" customFormat="false" ht="15" hidden="false" customHeight="true" outlineLevel="0" collapsed="false">
      <c r="A15" s="7" t="s">
        <v>240</v>
      </c>
      <c r="C15" s="113" t="n">
        <f aca="false">Assumptions!B66-C14</f>
        <v>1150.29891960597</v>
      </c>
    </row>
    <row r="16" customFormat="false" ht="15" hidden="false" customHeight="true" outlineLevel="0" collapsed="false">
      <c r="A16" s="7" t="s">
        <v>241</v>
      </c>
      <c r="C16" s="114" t="n">
        <f aca="false">Assumptions!B61/C15</f>
        <v>21.9073490989908</v>
      </c>
    </row>
    <row r="18" customFormat="false" ht="15" hidden="false" customHeight="true" outlineLevel="0" collapsed="false">
      <c r="A18" s="70" t="s">
        <v>247</v>
      </c>
      <c r="B18" s="70" t="s">
        <v>235</v>
      </c>
      <c r="C18" s="70" t="s">
        <v>236</v>
      </c>
      <c r="D18" s="70"/>
      <c r="E18" s="70"/>
      <c r="F18" s="70"/>
    </row>
    <row r="19" customFormat="false" ht="15" hidden="false" customHeight="true" outlineLevel="0" collapsed="false">
      <c r="A19" s="13" t="s">
        <v>248</v>
      </c>
      <c r="B19" s="13" t="n">
        <v>5</v>
      </c>
      <c r="C19" s="111" t="n">
        <f aca="false">Assumptions!B48*5</f>
        <v>265.252700985065</v>
      </c>
    </row>
    <row r="20" customFormat="false" ht="15" hidden="false" customHeight="true" outlineLevel="0" collapsed="false">
      <c r="A20" s="7" t="s">
        <v>249</v>
      </c>
      <c r="C20" s="112" t="n">
        <f aca="false">C19</f>
        <v>265.252700985065</v>
      </c>
    </row>
    <row r="21" customFormat="false" ht="15" hidden="false" customHeight="true" outlineLevel="0" collapsed="false">
      <c r="A21" s="7" t="s">
        <v>240</v>
      </c>
      <c r="C21" s="113" t="n">
        <f aca="false">Assumptions!B66-C20</f>
        <v>934.747299014935</v>
      </c>
    </row>
    <row r="22" customFormat="false" ht="15" hidden="false" customHeight="true" outlineLevel="0" collapsed="false">
      <c r="A22" s="7" t="s">
        <v>241</v>
      </c>
      <c r="C22" s="114" t="n">
        <f aca="false">Assumptions!B61/C21</f>
        <v>26.9591578671118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116" t="s">
        <v>250</v>
      </c>
      <c r="B1" s="116"/>
      <c r="C1" s="116"/>
      <c r="D1" s="116"/>
      <c r="E1" s="116"/>
    </row>
    <row r="2" customFormat="false" ht="15" hidden="false" customHeight="true" outlineLevel="0" collapsed="false">
      <c r="A2" s="3" t="s">
        <v>251</v>
      </c>
    </row>
    <row r="4" customFormat="false" ht="15" hidden="false" customHeight="true" outlineLevel="0" collapsed="false">
      <c r="A4" s="70" t="s">
        <v>252</v>
      </c>
      <c r="B4" s="70" t="s">
        <v>235</v>
      </c>
      <c r="C4" s="70" t="s">
        <v>236</v>
      </c>
      <c r="D4" s="70"/>
      <c r="E4" s="70"/>
      <c r="F4" s="70"/>
    </row>
    <row r="5" customFormat="false" ht="15" hidden="false" customHeight="true" outlineLevel="0" collapsed="false">
      <c r="A5" s="13" t="s">
        <v>248</v>
      </c>
      <c r="B5" s="13" t="n">
        <v>5</v>
      </c>
      <c r="C5" s="111" t="n">
        <f aca="false">Assumptions!B48*5</f>
        <v>265.252700985065</v>
      </c>
      <c r="F5" s="3" t="s">
        <v>253</v>
      </c>
    </row>
    <row r="6" customFormat="false" ht="15" hidden="false" customHeight="true" outlineLevel="0" collapsed="false">
      <c r="A6" s="7" t="s">
        <v>254</v>
      </c>
      <c r="C6" s="112" t="n">
        <f aca="false">C5</f>
        <v>265.252700985065</v>
      </c>
    </row>
    <row r="7" customFormat="false" ht="15" hidden="false" customHeight="true" outlineLevel="0" collapsed="false">
      <c r="A7" s="7" t="s">
        <v>255</v>
      </c>
      <c r="C7" s="113" t="n">
        <f aca="false">Assumptions!C66-C6</f>
        <v>1072.74729901494</v>
      </c>
    </row>
    <row r="8" customFormat="false" ht="15" hidden="false" customHeight="true" outlineLevel="0" collapsed="false">
      <c r="A8" s="7" t="s">
        <v>241</v>
      </c>
      <c r="C8" s="114" t="n">
        <f aca="false">Assumptions!B61/C7</f>
        <v>23.4910868786528</v>
      </c>
    </row>
    <row r="10" customFormat="false" ht="23.25" hidden="false" customHeight="true" outlineLevel="0" collapsed="false">
      <c r="A10" s="115" t="s">
        <v>256</v>
      </c>
      <c r="B10" s="115" t="s">
        <v>235</v>
      </c>
      <c r="C10" s="115" t="s">
        <v>236</v>
      </c>
      <c r="D10" s="115"/>
      <c r="E10" s="115"/>
      <c r="F10" s="115"/>
    </row>
    <row r="11" customFormat="false" ht="15" hidden="false" customHeight="true" outlineLevel="0" collapsed="false">
      <c r="A11" s="13" t="s">
        <v>257</v>
      </c>
      <c r="B11" s="13" t="n">
        <v>5</v>
      </c>
      <c r="C11" s="111" t="n">
        <f aca="false">Assumptions!B54*5</f>
        <v>-94</v>
      </c>
      <c r="F11" s="3" t="s">
        <v>258</v>
      </c>
    </row>
    <row r="12" customFormat="false" ht="15" hidden="false" customHeight="true" outlineLevel="0" collapsed="false">
      <c r="A12" s="7" t="s">
        <v>259</v>
      </c>
      <c r="C12" s="112" t="n">
        <f aca="false">C11</f>
        <v>-94</v>
      </c>
    </row>
    <row r="13" customFormat="false" ht="15" hidden="false" customHeight="true" outlineLevel="0" collapsed="false">
      <c r="A13" s="7" t="s">
        <v>255</v>
      </c>
      <c r="C13" s="113" t="n">
        <f aca="false">Assumptions!C66-C12</f>
        <v>1432</v>
      </c>
    </row>
    <row r="14" customFormat="false" ht="15" hidden="false" customHeight="true" outlineLevel="0" collapsed="false">
      <c r="A14" s="7" t="s">
        <v>241</v>
      </c>
      <c r="C14" s="114" t="n">
        <f aca="false">Assumptions!B61/C13</f>
        <v>17.5977653631285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2026-03-19T12:49:50Z</dcterms:created>
  <dc:creator>openpyxl</dc:creator>
  <dc:description/>
  <dc:language>en-US</dc:language>
  <cp:lastModifiedBy/>
  <dcterms:modified xsi:type="dcterms:W3CDTF">2026-03-19T13:15:45Z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