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ap_Table" sheetId="2" state="visible" r:id="rId4"/>
    <sheet name="Category_Mix" sheetId="3" state="visible" r:id="rId5"/>
    <sheet name="Renewal_Calendar" sheetId="4" state="visible" r:id="rId6"/>
    <sheet name="Land_to_Lock" sheetId="5" state="visible" r:id="rId7"/>
    <sheet name="B2B_to_B2C" sheetId="6" state="visible" r:id="rId8"/>
    <sheet name="Sponsor_Revenue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<sst xmlns="http://schemas.openxmlformats.org/spreadsheetml/2006/main" count="568" uniqueCount="382">
  <si>
    <t xml:space="preserve">Bernstein Research — F1 Sponsorship Deep-Dive</t>
  </si>
  <si>
    <t xml:space="preserve">Is F1 sponsorship transitioning from a growth story to a pricing story?</t>
  </si>
  <si>
    <t xml:space="preserve">MODEL CONTENTS</t>
  </si>
  <si>
    <t xml:space="preserve">1. Cover</t>
  </si>
  <si>
    <t xml:space="preserve">Executive thesis</t>
  </si>
  <si>
    <t xml:space="preserve">2. Cap_Table</t>
  </si>
  <si>
    <t xml:space="preserve">Full F1 Group sponsor cap table with deal values &amp; terms</t>
  </si>
  <si>
    <t xml:space="preserve">3. Category_Mix</t>
  </si>
  <si>
    <t xml:space="preserve">Category penetration analysis &amp; whitespace identification</t>
  </si>
  <si>
    <t xml:space="preserve">4. Renewal_Calendar</t>
  </si>
  <si>
    <t xml:space="preserve">Forward-looking renewal cycle waterfall 2026-2032</t>
  </si>
  <si>
    <t xml:space="preserve">5. Land_to_Lock</t>
  </si>
  <si>
    <t xml:space="preserve">Land grab → lock-in: new logos vs. renewals 2017-2026</t>
  </si>
  <si>
    <t xml:space="preserve">6. B2B_to_B2C</t>
  </si>
  <si>
    <t xml:space="preserve">B2B-to-B2C transition analysis</t>
  </si>
  <si>
    <t xml:space="preserve">7. Sponsor_Revenue</t>
  </si>
  <si>
    <t xml:space="preserve">Sponsorship revenue line: 2017-2025 history &amp; forecast</t>
  </si>
  <si>
    <t xml:space="preserve">8. Sources</t>
  </si>
  <si>
    <t xml:space="preserve">Source list &amp; methodology</t>
  </si>
  <si>
    <t xml:space="preserve">EXECUTIVE THESIS</t>
  </si>
  <si>
    <t xml:space="preserve">  • F1 sponsorship is structurally maturing</t>
  </si>
  <si>
    <t xml:space="preserve">Q1 commentary on early renewals + incumbents 'locking down to prevent others coming in' is classic late-cycle pricing-power language, not growth-story language</t>
  </si>
  <si>
    <t xml:space="preserve">  • Concentration is increasing, not diversifying</t>
  </si>
  <si>
    <t xml:space="preserve">10 Global Partners + 16 Official Partners; financial services and luxury are overweight; most categories are now 'closed' to additions</t>
  </si>
  <si>
    <t xml:space="preserve">  • Headline growth masks shifting drivers</t>
  </si>
  <si>
    <t xml:space="preserve">Sponsorship revenue grew from ~$268M (2017) to ~$840M (2025) — +213%. Next leg of growth depends on RENEWAL PRICING, not new logos</t>
  </si>
  <si>
    <t xml:space="preserve">  • LVMH 10-yr deal at ~$150M/yr is the new pricing benchmark</t>
  </si>
  <si>
    <t xml:space="preserve">Sets a 3x multiple over the 2020 Aramco benchmark of ~$45M/yr — implies massive pricing power on next renewal cycle</t>
  </si>
  <si>
    <t xml:space="preserve">  • High-tech is the only meaningful whitespace</t>
  </si>
  <si>
    <t xml:space="preserve">Domenicali explicitly flagged this on the Q1 call. Every other major category is filled. Watch for tech/AI announcements as the new growth narrative</t>
  </si>
  <si>
    <t xml:space="preserve">  • B2B-to-B2C transition increases pricing leverage</t>
  </si>
  <si>
    <t xml:space="preserve">B2C buyers (LVMH, Heineken, PepsiCo, FanDuel) compete more aggressively for limited slots than B2B buyers (Salesforce, AWS). Mix shift = pricing tailwind</t>
  </si>
  <si>
    <t xml:space="preserve">  • Real risk: peak pricing in 2026-2028 renewal cycle</t>
  </si>
  <si>
    <t xml:space="preserve">If F1 locks in current pricing too aggressively now, leaves money on the table if Apple/US flywheel works. Tension between defensive renewals and audience monetization</t>
  </si>
  <si>
    <t xml:space="preserve">COLOR LEGEND</t>
  </si>
  <si>
    <t xml:space="preserve">Blue text</t>
  </si>
  <si>
    <t xml:space="preserve">Hardcoded inputs</t>
  </si>
  <si>
    <t xml:space="preserve">Black text</t>
  </si>
  <si>
    <t xml:space="preserve">Formulas</t>
  </si>
  <si>
    <t xml:space="preserve">Yellow fill</t>
  </si>
  <si>
    <t xml:space="preserve">Global Partner (tier 1)</t>
  </si>
  <si>
    <t xml:space="preserve">Light blue fill</t>
  </si>
  <si>
    <t xml:space="preserve">Official Partner (tier 2)</t>
  </si>
  <si>
    <t xml:space="preserve">F1 Group Sponsor Cap Table — Tier 1 (Global Partners) &amp; Tier 2 (Official Partners)</t>
  </si>
  <si>
    <t xml:space="preserve">All deal values are estimates from public reporting. Figures in $M annual run-rate.</t>
  </si>
  <si>
    <t xml:space="preserve">Sponsor</t>
  </si>
  <si>
    <t xml:space="preserve">Tier</t>
  </si>
  <si>
    <t xml:space="preserve">Category</t>
  </si>
  <si>
    <t xml:space="preserve">Type (B2B/B2C)</t>
  </si>
  <si>
    <t xml:space="preserve">Est. Annual Value ($M)</t>
  </si>
  <si>
    <t xml:space="preserve">Term Start</t>
  </si>
  <si>
    <t xml:space="preserve">Term End</t>
  </si>
  <si>
    <t xml:space="preserve">Status</t>
  </si>
  <si>
    <t xml:space="preserve">Notes / Source</t>
  </si>
  <si>
    <t xml:space="preserve">TIER 1: GLOBAL PARTNERS (10 active)</t>
  </si>
  <si>
    <t xml:space="preserve">Aramco</t>
  </si>
  <si>
    <t xml:space="preserve">Global Partner</t>
  </si>
  <si>
    <t xml:space="preserve">Energy / Oil &amp; Gas</t>
  </si>
  <si>
    <t xml:space="preserve">B2B/B2C</t>
  </si>
  <si>
    <t xml:space="preserve">Active (10-yr deal)</t>
  </si>
  <si>
    <t xml:space="preserve">Estimated $42-51M/yr per MotorsportWeek; 10-yr from 2020</t>
  </si>
  <si>
    <t xml:space="preserve">AWS (Amazon)</t>
  </si>
  <si>
    <t xml:space="preserve">Technology / Cloud</t>
  </si>
  <si>
    <t xml:space="preserve">B2B</t>
  </si>
  <si>
    <t xml:space="preserve">Renewing</t>
  </si>
  <si>
    <t xml:space="preserve">Joined 2018 as Official Cloud Partner; status of post-2025 renewal unclear</t>
  </si>
  <si>
    <t xml:space="preserve">Crypto.com</t>
  </si>
  <si>
    <t xml:space="preserve">Financial Services / Crypto</t>
  </si>
  <si>
    <t xml:space="preserve">B2C</t>
  </si>
  <si>
    <t xml:space="preserve">Extended Q4 2024</t>
  </si>
  <si>
    <t xml:space="preserve">Extension to 2030 announced Q4 2024 at ~$20M/yr; also Miami GP title</t>
  </si>
  <si>
    <t xml:space="preserve">DHL</t>
  </si>
  <si>
    <t xml:space="preserve">Logistics</t>
  </si>
  <si>
    <t xml:space="preserve">Active (extended)</t>
  </si>
  <si>
    <t xml:space="preserve">Longest-running F1 partner since 2004; ~$40M/yr</t>
  </si>
  <si>
    <t xml:space="preserve">Heineken</t>
  </si>
  <si>
    <t xml:space="preserve">Consumer / Beverage</t>
  </si>
  <si>
    <t xml:space="preserve">Extended Nov 2025</t>
  </si>
  <si>
    <t xml:space="preserve">Extension announced Nov 2025; original deal ~$250M / 5 yrs</t>
  </si>
  <si>
    <t xml:space="preserve">Lenovo</t>
  </si>
  <si>
    <t xml:space="preserve">Technology</t>
  </si>
  <si>
    <t xml:space="preserve">Active</t>
  </si>
  <si>
    <t xml:space="preserve">Multi-year from 2022; deal value estimated</t>
  </si>
  <si>
    <t xml:space="preserve">LVMH</t>
  </si>
  <si>
    <t xml:space="preserve">Luxury</t>
  </si>
  <si>
    <t xml:space="preserve">Active (NEW, 10-yr)</t>
  </si>
  <si>
    <t xml:space="preserve">Largest F1 sponsorship deal ever; ~$150M/yr per Bocconi analysis</t>
  </si>
  <si>
    <t xml:space="preserve">MSC Cruises</t>
  </si>
  <si>
    <t xml:space="preserve">Travel / Cruise</t>
  </si>
  <si>
    <t xml:space="preserve">Multi-year; deal value estimated</t>
  </si>
  <si>
    <t xml:space="preserve">Pirelli</t>
  </si>
  <si>
    <t xml:space="preserve">Tires (Tire Supplier)</t>
  </si>
  <si>
    <t xml:space="preserve">Active (renewed)</t>
  </si>
  <si>
    <t xml:space="preserve">Sole tire supplier; quasi-sponsor</t>
  </si>
  <si>
    <t xml:space="preserve">Qatar Airways</t>
  </si>
  <si>
    <t xml:space="preserve">Travel / Airline</t>
  </si>
  <si>
    <t xml:space="preserve">Replaced Emirates as Official Airline Partner</t>
  </si>
  <si>
    <t xml:space="preserve">Rolex</t>
  </si>
  <si>
    <t xml:space="preserve">Luxury / Watches</t>
  </si>
  <si>
    <t xml:space="preserve">Official Timekeeper since 2013; ~$50M/yr per Bocconi</t>
  </si>
  <si>
    <t xml:space="preserve">Salesforce</t>
  </si>
  <si>
    <t xml:space="preserve">Technology / SaaS</t>
  </si>
  <si>
    <t xml:space="preserve">Extended/upgraded Q1 2026</t>
  </si>
  <si>
    <t xml:space="preserve">Multi-year extension to 2030 announced Q1 2026</t>
  </si>
  <si>
    <t xml:space="preserve">Global Partners Subtotal (numeric only)</t>
  </si>
  <si>
    <t xml:space="preserve">TIER 2: OFFICIAL PARTNERS (16+ active including new Q1 2026)</t>
  </si>
  <si>
    <t xml:space="preserve">Allwyn</t>
  </si>
  <si>
    <t xml:space="preserve">Official Partner</t>
  </si>
  <si>
    <t xml:space="preserve">Lottery / Gaming</t>
  </si>
  <si>
    <t xml:space="preserve">Active (NEW, extended Q1 2026)</t>
  </si>
  <si>
    <t xml:space="preserve">Lottery operator; extended Q1 2026</t>
  </si>
  <si>
    <t xml:space="preserve">American Express</t>
  </si>
  <si>
    <t xml:space="preserve">Financial Services</t>
  </si>
  <si>
    <t xml:space="preserve">Official Payments Partner; multi-year</t>
  </si>
  <si>
    <t xml:space="preserve">Barilla</t>
  </si>
  <si>
    <t xml:space="preserve">Consumer / Food</t>
  </si>
  <si>
    <t xml:space="preserve">Italian pasta brand; multi-year</t>
  </si>
  <si>
    <t xml:space="preserve">Globant</t>
  </si>
  <si>
    <t xml:space="preserve">Technology / IT Services</t>
  </si>
  <si>
    <t xml:space="preserve">Digital transformation partner</t>
  </si>
  <si>
    <t xml:space="preserve">Liqui Moly</t>
  </si>
  <si>
    <t xml:space="preserve">Automotive / Lubricants</t>
  </si>
  <si>
    <t xml:space="preserve">Renewal due end 2026</t>
  </si>
  <si>
    <t xml:space="preserve">Louis Vuitton</t>
  </si>
  <si>
    <t xml:space="preserve">Luxury (under LVMH)</t>
  </si>
  <si>
    <t xml:space="preserve">(part of LVMH)</t>
  </si>
  <si>
    <t xml:space="preserve">Active (under LVMH)</t>
  </si>
  <si>
    <t xml:space="preserve">Title sponsor of select GPs (Australian, Monaco)</t>
  </si>
  <si>
    <t xml:space="preserve">Marsh</t>
  </si>
  <si>
    <t xml:space="preserve">Financial Services / Insurance</t>
  </si>
  <si>
    <t xml:space="preserve">Active (NEW Q1 2026)</t>
  </si>
  <si>
    <t xml:space="preserve">Risk partner; new in Q1 2026</t>
  </si>
  <si>
    <t xml:space="preserve">Moet Hennessy</t>
  </si>
  <si>
    <t xml:space="preserve">Luxury / Beverage (under LVMH)</t>
  </si>
  <si>
    <t xml:space="preserve">Champagne/spirits</t>
  </si>
  <si>
    <t xml:space="preserve">Nestle</t>
  </si>
  <si>
    <t xml:space="preserve">Paramount+</t>
  </si>
  <si>
    <t xml:space="preserve">Media / Streaming</t>
  </si>
  <si>
    <t xml:space="preserve">Streaming partner — note tension with Apple TV from 2026</t>
  </si>
  <si>
    <t xml:space="preserve">PepsiCo</t>
  </si>
  <si>
    <t xml:space="preserve">Active (NEW)</t>
  </si>
  <si>
    <t xml:space="preserve">Sting/Gatorade/Doritos; through 2030</t>
  </si>
  <si>
    <t xml:space="preserve">PwC</t>
  </si>
  <si>
    <t xml:space="preserve">Professional Services</t>
  </si>
  <si>
    <t xml:space="preserve">Strategic consulting partner</t>
  </si>
  <si>
    <t xml:space="preserve">Santander</t>
  </si>
  <si>
    <t xml:space="preserve">Financial Services / Banking</t>
  </si>
  <si>
    <t xml:space="preserve">Spanish bank; multi-year</t>
  </si>
  <si>
    <t xml:space="preserve">Standard Chartered</t>
  </si>
  <si>
    <t xml:space="preserve">Wealth &amp; Corp Banking; new Q1 2026</t>
  </si>
  <si>
    <t xml:space="preserve">TAG Heuer</t>
  </si>
  <si>
    <t xml:space="preserve">Luxury / Watches (under LVMH)</t>
  </si>
  <si>
    <t xml:space="preserve">Official Timekeeper from 2025</t>
  </si>
  <si>
    <t xml:space="preserve">Visit Las Vegas</t>
  </si>
  <si>
    <t xml:space="preserve">Travel / Tourism</t>
  </si>
  <si>
    <t xml:space="preserve">Las Vegas tourism board</t>
  </si>
  <si>
    <t xml:space="preserve">FanDuel</t>
  </si>
  <si>
    <t xml:space="preserve">Betting / Gaming</t>
  </si>
  <si>
    <t xml:space="preserve">Multi-year; entered betting category</t>
  </si>
  <si>
    <t xml:space="preserve">Betway</t>
  </si>
  <si>
    <t xml:space="preserve">Official Partners Subtotal (numeric only)</t>
  </si>
  <si>
    <t xml:space="preserve">TOTAL DISCLOSED SPONSOR VALUE (Tier 1 + Tier 2)</t>
  </si>
  <si>
    <t xml:space="preserve">RECONCILIATION TO REPORTED SPONSORSHIP REVENUE</t>
  </si>
  <si>
    <t xml:space="preserve">Sum of disclosed Tier 1 + Tier 2 deals ($M)</t>
  </si>
  <si>
    <t xml:space="preserve">Bottom-up estimate from public reporting</t>
  </si>
  <si>
    <t xml:space="preserve">2025 reported F1 sponsorship revenue ($M)</t>
  </si>
  <si>
    <t xml:space="preserve">21.7% of $3.87B FY2025 F1 revenue per Liberty Media 10-K</t>
  </si>
  <si>
    <t xml:space="preserve">Implied Tier 1+2 share of total sponsorship revenue</t>
  </si>
  <si>
    <t xml:space="preserve">Remainder = regional partners, official providers, suppliers, race-specific deals</t>
  </si>
  <si>
    <t xml:space="preserve">Category Penetration Analysis — Where's the Whitespace?</t>
  </si>
  <si>
    <t xml:space="preserve">F1 sponsorship is overweight financial services and luxury; underweight high-tech/AI and consumer brands ex-LVMH</t>
  </si>
  <si>
    <t xml:space="preserve">Broad Category</t>
  </si>
  <si>
    <t xml:space="preserve"># Sponsors (T1+T2)</t>
  </si>
  <si>
    <t xml:space="preserve">% of Disclosed Sponsor Value</t>
  </si>
  <si>
    <t xml:space="preserve">Saturation View</t>
  </si>
  <si>
    <t xml:space="preserve">Whitespace Read</t>
  </si>
  <si>
    <t xml:space="preserve">Financial Services (banks/payments/lottery/crypto)</t>
  </si>
  <si>
    <t xml:space="preserve">SATURATED</t>
  </si>
  <si>
    <t xml:space="preserve">Amex, Santander, Standard Chartered, Marsh, Allwyn, Crypto.com, Salesforce-financial — minimal room for new logos, but renewal pricing is the lever</t>
  </si>
  <si>
    <t xml:space="preserve">Luxury (watches, fashion, spirits)</t>
  </si>
  <si>
    <t xml:space="preserve">SATURATED via LVMH lock-up</t>
  </si>
  <si>
    <t xml:space="preserve">LVMH 10-yr deal effectively closes this category until 2034 (LV, Moet Hennessy, TAG Heuer + Rolex still independent)</t>
  </si>
  <si>
    <t xml:space="preserve">Technology / Cloud / Software</t>
  </si>
  <si>
    <t xml:space="preserve">PARTIALLY OPEN</t>
  </si>
  <si>
    <t xml:space="preserve">AWS, Salesforce, Lenovo, Globant — Domenicali explicitly cited high-tech as next whitespace; expect AI/chip/cloud announcements</t>
  </si>
  <si>
    <t xml:space="preserve">Consumer Beverages &amp; Food</t>
  </si>
  <si>
    <t xml:space="preserve">MOSTLY FULL</t>
  </si>
  <si>
    <t xml:space="preserve">Heineken (Global), PepsiCo, Barilla, Nestle — limited room except in regional or emerging-market specific categories</t>
  </si>
  <si>
    <t xml:space="preserve">Travel / Airlines / Tourism</t>
  </si>
  <si>
    <t xml:space="preserve">Qatar Airways, MSC, Visit Las Vegas, race-specific tourism — fully covered</t>
  </si>
  <si>
    <t xml:space="preserve">Energy / Logistics / Industrial</t>
  </si>
  <si>
    <t xml:space="preserve">FULL</t>
  </si>
  <si>
    <t xml:space="preserve">Aramco, DHL, Pirelli — long-cycle anchors; Aramco renewal in 2030 is catalyst</t>
  </si>
  <si>
    <t xml:space="preserve">NEWLY OPENED</t>
  </si>
  <si>
    <t xml:space="preserve">FanDuel, Betway entered Q1 2026; potential for more regional betting partners</t>
  </si>
  <si>
    <t xml:space="preserve">TENSIONED</t>
  </si>
  <si>
    <t xml:space="preserve">Paramount+ — but Apple TV deal from 2026 creates structural tension; watch for restructuring</t>
  </si>
  <si>
    <t xml:space="preserve">Professional Services / Insurance</t>
  </si>
  <si>
    <t xml:space="preserve">PwC, Marsh — could add additional consulting or insurance sub-category</t>
  </si>
  <si>
    <t xml:space="preserve">Automotive (lubes/parts)</t>
  </si>
  <si>
    <t xml:space="preserve">OPEN</t>
  </si>
  <si>
    <t xml:space="preserve">Liqui Moly only — surprising whitespace; could add tire (separate from Pirelli supplier role), oil major adjacent to Aramco</t>
  </si>
  <si>
    <t xml:space="preserve">TOTAL</t>
  </si>
  <si>
    <t xml:space="preserve">KEY ANALYTICAL TAKEAWAYS</t>
  </si>
  <si>
    <t xml:space="preserve">1. LUXURY DOMINATES BY VALUE (~26%). LVMH's $150M/yr deal is so large it skews the mix. Without LVMH, the portfolio would look very different — and more diversified.</t>
  </si>
  <si>
    <t xml:space="preserve">2. FINANCIAL SERVICES IS THE MOST CONCENTRATED CATEGORY BY COUNT (7 sponsors). This is the saturation risk — limited new logos available, so growth must come from renewal pricing.</t>
  </si>
  <si>
    <t xml:space="preserve">3. HIGH-TECH IS THE STATED WHITESPACE. Domenicali called it out explicitly. Watch for AI/chip/major tech announcements; this is where the next 'land grab' will happen.</t>
  </si>
  <si>
    <t xml:space="preserve">4. AUTOMOTIVE IS A SURPRISE GAP. Only Liqui Moly (lubricants) is at the F1 Group level. Given F1 IS automotive, the absence of a major OEM/oil/parts sponsor is structural opportunity.</t>
  </si>
  <si>
    <t xml:space="preserve">5. BETTING JUST OPENED. FanDuel and Betway entered in Q1 2026. Could see 2-4 more regional betting partners over next 24 months as a near-term growth driver.</t>
  </si>
  <si>
    <t xml:space="preserve">Renewal Calendar — Forward Catalyst Map 2026-2034</t>
  </si>
  <si>
    <t xml:space="preserve">Each renewal is an earnings catalyst. Color-coded by year to show concentration of cycle pressure.</t>
  </si>
  <si>
    <t xml:space="preserve">Est. Value ($M)</t>
  </si>
  <si>
    <t xml:space="preserve">LVMH (incl. LV, Moet, TAG)</t>
  </si>
  <si>
    <t xml:space="preserve">Global</t>
  </si>
  <si>
    <t xml:space="preserve">★</t>
  </si>
  <si>
    <t xml:space="preserve">Official</t>
  </si>
  <si>
    <t xml:space="preserve">ANNUAL VALUE UP FOR RENEWAL ($M)</t>
  </si>
  <si>
    <t xml:space="preserve"># OF SPONSORS RENEWING</t>
  </si>
  <si>
    <t xml:space="preserve">★ = RENEWAL YEAR    Blue = Active under contract    Orange = Renewal due</t>
  </si>
  <si>
    <t xml:space="preserve">KEY RENEWAL CYCLE TAKEAWAYS</t>
  </si>
  <si>
    <t xml:space="preserve">1. 2030 IS THE BIG YEAR. ~$200M+ of annual sponsor value rolls over: Aramco, Heineken, Salesforce, Crypto.com, Qatar Airways, PepsiCo, Allwyn, FanDuel, Betway. This is the most leveraged renewal cycle.</t>
  </si>
  <si>
    <t xml:space="preserve">2. 2027 IS THE NEAR-TERM TEST. Rolex, Pirelli, MSC, Lenovo, Santander all due. ~$145M at stake. This is the first big batch of post-Apple deals — pricing here will be the leading indicator.</t>
  </si>
  <si>
    <t xml:space="preserve">3. 2028 BIG BATCH. DHL, Amex, Globant, Visit Vegas, Paramount+ — ~$80M. DHL has the deepest history (since 2004), so its renewal will be revealing on long-term partner pricing dynamics.</t>
  </si>
  <si>
    <t xml:space="preserve">4. AWS 2026 RENEWAL IS THE MOST INTERESTING. Apple-F1 partnership deepens at the same time AWS deal expires. Does Apple displace AWS? Or does F1 maintain both? Watch closely.</t>
  </si>
  <si>
    <t xml:space="preserve">5. LVMH LOCKED THROUGH 2034. ~$150M/yr of luxury revenue is contractually de-risked for next 9 years. Largest single derisking factor in the portfolio.</t>
  </si>
  <si>
    <t xml:space="preserve">6. CONCENTRATION RISK: 2030 represents ~30% of disclosed Tier 1+2 sponsorship at risk in a single renewal year. If F1 has bargaining power, this is a massive uplift opportunity. If not, downside risk is concentrated.</t>
  </si>
  <si>
    <t xml:space="preserve">Land Grab → Lock-In: New Logos vs. Renewals (2017-2026)</t>
  </si>
  <si>
    <t xml:space="preserve">The empirical test of Domenicali's Q1 thesis: are partners renewing earlier? Is the curve tilting from new adds to renewals?</t>
  </si>
  <si>
    <t xml:space="preserve">Year</t>
  </si>
  <si>
    <t xml:space="preserve">New Tier 1+2 Sponsors Added</t>
  </si>
  <si>
    <t xml:space="preserve">Major Renewals/Extensions Announced</t>
  </si>
  <si>
    <t xml:space="preserve">Total Activity</t>
  </si>
  <si>
    <t xml:space="preserve">Renewal Share (%)</t>
  </si>
  <si>
    <t xml:space="preserve">Notable Names</t>
  </si>
  <si>
    <t xml:space="preserve">Liberty era begins; Heineken expansion, others; few renewals (clean slate from Ecclestone era)</t>
  </si>
  <si>
    <t xml:space="preserve">AWS as Cloud Partner; rapid logo additions</t>
  </si>
  <si>
    <t xml:space="preserve">Aramco talks beginning; multiple new tier-2 brands</t>
  </si>
  <si>
    <t xml:space="preserve">Aramco Global Partner deal signed (10-yr); pandemic pause on activity</t>
  </si>
  <si>
    <t xml:space="preserve">Crypto.com as Global Partner; Cash App, others</t>
  </si>
  <si>
    <t xml:space="preserve">Salesforce, MSC, Lenovo, Santander, Globant — peak 'land grab' year</t>
  </si>
  <si>
    <t xml:space="preserve">Qatar Airways replaces Emirates; activity becomes more balanced</t>
  </si>
  <si>
    <t xml:space="preserve">Crypto.com extension to 2030; Allwyn signed; Barilla, Nestle, PwC; balance shifts</t>
  </si>
  <si>
    <t xml:space="preserve">PepsiCo NEW; LVMH activates 10-yr deal; renewals dominate by VALUE</t>
  </si>
  <si>
    <t xml:space="preserve">Standard Chartered, Marsh, FanDuel, Betway NEW; Salesforce/Allwyn extended; balanced split</t>
  </si>
  <si>
    <t xml:space="preserve">VERDICT: THE DATA SUPPORTS THE FRAMING</t>
  </si>
  <si>
    <t xml:space="preserve">1. RENEWAL SHARE TRENDING UP: From 20% in 2017 to ~43% in 2024-2025. The narrative shift is empirically visible.</t>
  </si>
  <si>
    <t xml:space="preserve">2. 2022 WAS PEAK 'LAND GRAB' (6 new logos). Since then, new-logo additions have plateaued at 3-4/year as categories saturate.</t>
  </si>
  <si>
    <t xml:space="preserve">3. 2024 INFLECTION: First year where RENEWALS &gt; NEW LOGOS. The maturation point.</t>
  </si>
  <si>
    <t xml:space="preserve">4. 2025 BY VALUE: Even more renewal-weighted. LVMH (10-yr) and PepsiCo (5-yr) renewals account for huge $$ relative to the new-logo pool.</t>
  </si>
  <si>
    <t xml:space="preserve">5. IMPLICATION: F1's sponsorship growth narrative is shifting. Sell-side estimates that assume continued logo-driven growth need to be re-anchored to renewal-pricing-driven growth.</t>
  </si>
  <si>
    <t xml:space="preserve">B2B-to-B2C Transition — Mix Shift Analysis</t>
  </si>
  <si>
    <t xml:space="preserve">Domenicali Q1: 'moved from normally what has been considered a B2B partner also to B2C'</t>
  </si>
  <si>
    <t xml:space="preserve">Type</t>
  </si>
  <si>
    <t xml:space="preserve"># Sponsors</t>
  </si>
  <si>
    <t xml:space="preserve">% of Disclosed Value</t>
  </si>
  <si>
    <t xml:space="preserve">Notes</t>
  </si>
  <si>
    <t xml:space="preserve">B2C — Consumer-facing</t>
  </si>
  <si>
    <t xml:space="preserve">LVMH, Heineken, PepsiCo, Rolex, Qatar Airways, Crypto.com, Amex, Santander, MSC, Allwyn, Barilla, Nestle, Paramount+, FanDuel, Betway, Visit Vegas, Liqui Moly</t>
  </si>
  <si>
    <t xml:space="preserve">B2B — Business-to-business</t>
  </si>
  <si>
    <t xml:space="preserve">AWS, DHL, Lenovo, Pirelli, Salesforce, Globant, PwC, Marsh, Standard Chartered</t>
  </si>
  <si>
    <t xml:space="preserve">Mixed / Both</t>
  </si>
  <si>
    <t xml:space="preserve">Aramco (corporate brand + national champion + retail fuels)</t>
  </si>
  <si>
    <t xml:space="preserve">WHY THE B2B/B2C MIX MATTERS FOR PRICING</t>
  </si>
  <si>
    <t xml:space="preserve">1. B2C SPONSORS PAY MORE PER SLOT. Consumer brands compete for limited inventory because their ROI is brand awareness × audience reach. B2B sponsors pay for hospitality access × executive networking. Different elasticities.</t>
  </si>
  <si>
    <t xml:space="preserve">2. F1 IS NOW ~70% B2C BY VALUE. The LVMH deal alone tilted the mix. PepsiCo, Heineken, Rolex, Qatar Airways add to B2C dominance. This is structurally higher-quality revenue.</t>
  </si>
  <si>
    <t xml:space="preserve">3. B2C BUYERS ARE MORE COMPETITIVE ON RENEWALS. Pepsi vs. Coca-Cola, Heineken vs. AB InBev, etc. — incumbents must defend slots aggressively. This is the source of Domenicali's 'preventing others from coming in' commentary.</t>
  </si>
  <si>
    <t xml:space="preserve">4. B2B IS THE STABILITY BACKBONE. Salesforce, AWS, DHL, Pirelli — these are 5-10+ year relationships with predictable renewal economics. Less upside but lower volatility.</t>
  </si>
  <si>
    <t xml:space="preserve">5. WATCH MIX SHIFT: If high-tech (Domenicali's whitespace) comes in as B2B (chip/cloud companies) vs. B2C (consumer tech), the implications for pricing are very different.</t>
  </si>
  <si>
    <t xml:space="preserve">F1 Sponsorship Revenue Trajectory — Historical &amp; Forecast</t>
  </si>
  <si>
    <t xml:space="preserve">Sponsorship has grown from ~$268M (2017) to ~$840M (2025) — +213%. What drives the next 5 years?</t>
  </si>
  <si>
    <t xml:space="preserve">F1 Total Revenue ($M)</t>
  </si>
  <si>
    <t xml:space="preserve">Sponsorship % of Revenue</t>
  </si>
  <si>
    <t xml:space="preserve">Implied Sponsorship Revenue ($M)</t>
  </si>
  <si>
    <t xml:space="preserve">YoY Growth %</t>
  </si>
  <si>
    <t xml:space="preserve">Key Drivers</t>
  </si>
  <si>
    <t xml:space="preserve">Hist</t>
  </si>
  <si>
    <t xml:space="preserve">Liberty acquisition baseline</t>
  </si>
  <si>
    <t xml:space="preserve">Heineken expansion; AWS Cloud deal</t>
  </si>
  <si>
    <t xml:space="preserve">Aramco talks beginning</t>
  </si>
  <si>
    <t xml:space="preserve">Pandemic year; Aramco deal signed</t>
  </si>
  <si>
    <t xml:space="preserve">Crypto.com Global Partner; recovery</t>
  </si>
  <si>
    <t xml:space="preserve">Salesforce, MSC, Lenovo — peak land grab</t>
  </si>
  <si>
    <t xml:space="preserve">Qatar Airways replaces Emirates</t>
  </si>
  <si>
    <t xml:space="preserve">Crypto extension to 2030; Allwyn</t>
  </si>
  <si>
    <t xml:space="preserve">LVMH activates; PepsiCo signed; sponsorship % steps up</t>
  </si>
  <si>
    <t xml:space="preserve">Fcst-Base</t>
  </si>
  <si>
    <t xml:space="preserve">Standard Chartered, Marsh, FanDuel, Betway full year</t>
  </si>
  <si>
    <t xml:space="preserve">Rolex, Pirelli, MSC renewals — pricing test year</t>
  </si>
  <si>
    <t xml:space="preserve">DHL, Amex renewals; high-tech additions expected</t>
  </si>
  <si>
    <t xml:space="preserve">PepsiCo run-rate; Apple flywheel maturing</t>
  </si>
  <si>
    <t xml:space="preserve">MEGA RENEWAL YEAR — Aramco, Heineken, Salesforce, Crypto</t>
  </si>
  <si>
    <t xml:space="preserve">2017-2025 Cumulative Growth</t>
  </si>
  <si>
    <t xml:space="preserve">2025-2030 Projected Cumulative Growth (Base)</t>
  </si>
  <si>
    <t xml:space="preserve">FORECAST RATIONALE &amp; SENSITIVITY</t>
  </si>
  <si>
    <t xml:space="preserve">1. SPONSORSHIP % OF REVENUE STEPS UP: From ~19-21% pre-LVMH to 23-25% post-LVMH. LVMH's $150M/yr alone adds ~3-4 percentage points to the mix.</t>
  </si>
  <si>
    <t xml:space="preserve">2. BASE CASE ASSUMES MID-SINGLE-DIGIT REAL GROWTH: Most categories saturated; growth comes from renewal pricing + tech additions + race-specific deals (Vegas, Miami).</t>
  </si>
  <si>
    <t xml:space="preserve">3. 2030 IS THE HINGE YEAR: ~$200M+ of value rolls over. If renewals come in at +20% pricing (Bull), adds ~$40M of incremental annual revenue. If flat (Bear), pressure on growth.</t>
  </si>
  <si>
    <t xml:space="preserve">4. UPSIDE FROM HIGH-TECH WHITESPACE: A new Global Partner-tier tech sponsor (AI/chips/cloud) at $50-75M/yr would add 1-1.5 ppts to growth.</t>
  </si>
  <si>
    <t xml:space="preserve">5. DOWNSIDE FROM CRYPTO.COM: Crypto.com is structurally vulnerable to industry retrenchment. If Crypto.com renewal at 2030 is reduced or replaced, ~$20M annual hole.</t>
  </si>
  <si>
    <t xml:space="preserve">6. APPLE TIE-IN: If US viewership growth holds, US-active sponsors (Salesforce, Amex, FanDuel, LVMH-LV) pay re-rated rates on next renewal — this is the bull driver.</t>
  </si>
  <si>
    <t xml:space="preserve">Sources &amp; Methodology Notes</t>
  </si>
  <si>
    <t xml:space="preserve">Data Point</t>
  </si>
  <si>
    <t xml:space="preserve">Value/Detail</t>
  </si>
  <si>
    <t xml:space="preserve">Source</t>
  </si>
  <si>
    <t xml:space="preserve">Date</t>
  </si>
  <si>
    <t xml:space="preserve">F1 2025 total revenue</t>
  </si>
  <si>
    <t xml:space="preserve">$3.87B (+14% YoY)</t>
  </si>
  <si>
    <t xml:space="preserve">Liberty Media FY2025 earnings release; FWON Q4 2025 10-K</t>
  </si>
  <si>
    <t xml:space="preserve">Feb 2026</t>
  </si>
  <si>
    <t xml:space="preserve">F1 sponsorship % of revenue</t>
  </si>
  <si>
    <t xml:space="preserve">21.7% in 2025 (up from 18.6% in 2024)</t>
  </si>
  <si>
    <t xml:space="preserve">Liberty Media FY2025 earnings release</t>
  </si>
  <si>
    <t xml:space="preserve">F1 sponsorship revenue 2025</t>
  </si>
  <si>
    <t xml:space="preserve">~$840M (calc: 21.7% × $3.87B)</t>
  </si>
  <si>
    <t xml:space="preserve">Bernstein calculation from Liberty disclosures</t>
  </si>
  <si>
    <t xml:space="preserve">LVMH 10-yr deal value</t>
  </si>
  <si>
    <t xml:space="preserve">~$150M/yr ($1.5B total)</t>
  </si>
  <si>
    <t xml:space="preserve">Bocconi Students for Trophy Assets deep-dive; F1 announcement</t>
  </si>
  <si>
    <t xml:space="preserve">Oct 2024 / Jan 2025</t>
  </si>
  <si>
    <t xml:space="preserve">Aramco deal value</t>
  </si>
  <si>
    <t xml:space="preserve">~$42-51M/yr (10-yr from 2020)</t>
  </si>
  <si>
    <t xml:space="preserve">MotorsportWeek; RTRSports</t>
  </si>
  <si>
    <t xml:space="preserve">April 2020 / 2025</t>
  </si>
  <si>
    <t xml:space="preserve">Heineken deal value</t>
  </si>
  <si>
    <t xml:space="preserve">~$50M/yr (~$250M / 5-yr original)</t>
  </si>
  <si>
    <t xml:space="preserve">Bocconi analysis; F1 extension Nov 2025</t>
  </si>
  <si>
    <t xml:space="preserve">Nov 2025</t>
  </si>
  <si>
    <t xml:space="preserve">DHL deal value</t>
  </si>
  <si>
    <t xml:space="preserve">~$40M/yr (extended 2024)</t>
  </si>
  <si>
    <t xml:space="preserve">BlackBook Motorsport</t>
  </si>
  <si>
    <t xml:space="preserve">Feb 2025</t>
  </si>
  <si>
    <t xml:space="preserve">Crypto.com extension</t>
  </si>
  <si>
    <t xml:space="preserve">~$20M/yr through 2030</t>
  </si>
  <si>
    <t xml:space="preserve">BlackBook Motorsport / Liberty Q4 2024</t>
  </si>
  <si>
    <t xml:space="preserve">Q4 2024</t>
  </si>
  <si>
    <t xml:space="preserve">Rolex deal value</t>
  </si>
  <si>
    <t xml:space="preserve">~$50M/yr (since 2013)</t>
  </si>
  <si>
    <t xml:space="preserve">Bocconi analysis</t>
  </si>
  <si>
    <t xml:space="preserve">2025</t>
  </si>
  <si>
    <t xml:space="preserve">Standard Chartered deal</t>
  </si>
  <si>
    <t xml:space="preserve">Multi-year from 2026; Tier 2 Official Partner</t>
  </si>
  <si>
    <t xml:space="preserve">Sportcal / Ministry of Sport</t>
  </si>
  <si>
    <t xml:space="preserve">Jan 2026</t>
  </si>
  <si>
    <t xml:space="preserve">PepsiCo deal</t>
  </si>
  <si>
    <t xml:space="preserve">Through 2030; Tier 2 Official Partner</t>
  </si>
  <si>
    <t xml:space="preserve">F1 / PepsiCo press release</t>
  </si>
  <si>
    <t xml:space="preserve">May 2025</t>
  </si>
  <si>
    <t xml:space="preserve">Allwyn extension</t>
  </si>
  <si>
    <t xml:space="preserve">Tier 2; extended Q1 2026</t>
  </si>
  <si>
    <t xml:space="preserve">FWON Q1 2026 earnings call</t>
  </si>
  <si>
    <t xml:space="preserve">May 2026</t>
  </si>
  <si>
    <t xml:space="preserve">Marsh / FanDuel / Betway</t>
  </si>
  <si>
    <t xml:space="preserve">Tier 2; new Q1 2026</t>
  </si>
  <si>
    <t xml:space="preserve">FWON Q1 2026 earnings press release</t>
  </si>
  <si>
    <t xml:space="preserve">Domenicali quote on early renewals</t>
  </si>
  <si>
    <t xml:space="preserve">'partners renewing earlier'; 'incumbents locking down to prevent others'</t>
  </si>
  <si>
    <t xml:space="preserve">FWON Q1 2026 earnings call transcript</t>
  </si>
  <si>
    <t xml:space="preserve">May 7, 2026</t>
  </si>
  <si>
    <t xml:space="preserve">Domenicali quote on high-tech whitespace</t>
  </si>
  <si>
    <t xml:space="preserve">'category of high tech is the category where we can find some other opportunity'</t>
  </si>
  <si>
    <t xml:space="preserve">F1 Global Partners list</t>
  </si>
  <si>
    <t xml:space="preserve">10 Global Partners (Aramco, AWS, Crypto.com, DHL, Heineken, Lenovo, LVMH, MSC, Pirelli, Qatar Airways, Rolex, Salesforce)</t>
  </si>
  <si>
    <t xml:space="preserve">Formula1.com partners page</t>
  </si>
  <si>
    <t xml:space="preserve">Current</t>
  </si>
  <si>
    <t xml:space="preserve">F1 Official Partners list</t>
  </si>
  <si>
    <t xml:space="preserve">16+ Official Partners; new in 2026: Standard Chartered, Marsh, FanDuel, Betway</t>
  </si>
  <si>
    <t xml:space="preserve">Formula1.com partners page; FWON Q1 2026</t>
  </si>
  <si>
    <t xml:space="preserve">METHODOLOGY NOTES</t>
  </si>
  <si>
    <t xml:space="preserve">Deal value disclosure caveats</t>
  </si>
  <si>
    <t xml:space="preserve">F1 does not disclose individual sponsor deal values. All figures are estimates from public reporting (sports business journals, F1 press releases, industry analysts). Margin of error is +/- 25% on individual deals.</t>
  </si>
  <si>
    <t xml:space="preserve">Tier 1 vs Tier 2 distinction</t>
  </si>
  <si>
    <t xml:space="preserve">F1 has multiple sponsorship tiers: Global Partners (Tier 1), Official Partners (Tier 2), Regional Partners (Tier 3), Official Suppliers (Tier 4), and race-specific deals. This analysis focuses on Tier 1+2 which represent the most commercial value and visibility.</t>
  </si>
  <si>
    <t xml:space="preserve">Reconciliation gap</t>
  </si>
  <si>
    <t xml:space="preserve">The bottom-up cap table (~$700-800M of disclosed deals) reconciles closely to reported sponsorship revenue (~$840M) with the difference attributed to lower-tier partners, regional deals, race-specific sponsorships, and digital/F1 TV advertising.</t>
  </si>
  <si>
    <t xml:space="preserve">LVMH treatment</t>
  </si>
  <si>
    <t xml:space="preserve">LVMH counts as ONE Global Partner for tier counting but includes Louis Vuitton, Moet Hennessy, and TAG Heuer as activating brands. We've avoided double-counting their values.</t>
  </si>
  <si>
    <t xml:space="preserve">B2B vs B2C classification</t>
  </si>
  <si>
    <t xml:space="preserve">Classification is judgmental. Some sponsors (Aramco) are genuinely both. Where unclear, we've used the dominant activation strategy (e.g. Salesforce = B2B despite Las Vegas activations).</t>
  </si>
  <si>
    <t xml:space="preserve">Forecast assumptions</t>
  </si>
  <si>
    <t xml:space="preserve">Revenue forecast uses a sponsorship-as-% of total revenue model. Total revenue growth assumes mid-single-digit organic growth + Apple US uplift. % step-up assumes LVMH activation maturity and modest renewal pricing gains. NOT a price target — illustrative only.</t>
  </si>
  <si>
    <t xml:space="preserve">Renewal year assumptions</t>
  </si>
  <si>
    <t xml:space="preserve">Where deal end years are not publicly disclosed, we've estimated based on typical multi-year sponsorship cycles (3-5 yrs for new entrants, 5-10 yrs for marquee deals). These estimates need verification against any future F1 disclosures.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</si>
</sst>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"/>
    <numFmt numFmtId="167" formatCode="0.0%"/>
    <numFmt numFmtId="168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672A8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B4C7E7"/>
        <bgColor rgb="FFBFBFBF"/>
      </patternFill>
    </fill>
    <fill>
      <patternFill patternType="solid">
        <fgColor rgb="FFF4B084"/>
        <bgColor rgb="FFD09493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B4C7E7"/>
      <rgbColor rgb="FF000080"/>
      <rgbColor rgb="FFFF00FF"/>
      <rgbColor rgb="FFD9E1F2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B8CD97"/>
      <rgbColor rgb="FFD09493"/>
      <rgbColor rgb="FFD9D9D9"/>
      <rgbColor rgb="FFF4B084"/>
      <rgbColor rgb="FF4472C4"/>
      <rgbColor rgb="FF33CCCC"/>
      <rgbColor rgb="FF9BBB59"/>
      <rgbColor rgb="FFFCE4D6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C0504D"/>
      <rgbColor rgb="FFBE4B48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F1 Sponsor Value by Category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Category_Mix!C4</c:f>
              <c:strCache>
                <c:ptCount val="1"/>
                <c:pt idx="0">
                  <c:v>Est. Annual Value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Category_Mix!$A$5:$A$14</c:f>
              <c:strCache>
                <c:ptCount val="10"/>
                <c:pt idx="0">
                  <c:v>Financial Services (banks/payments/lottery/crypto)</c:v>
                </c:pt>
                <c:pt idx="1">
                  <c:v>Luxury (watches, fashion, spirits)</c:v>
                </c:pt>
                <c:pt idx="2">
                  <c:v>Technology / Cloud / Software</c:v>
                </c:pt>
                <c:pt idx="3">
                  <c:v>Consumer Beverages &amp; Food</c:v>
                </c:pt>
                <c:pt idx="4">
                  <c:v>Travel / Airlines / Tourism</c:v>
                </c:pt>
                <c:pt idx="5">
                  <c:v>Energy / Logistics / Industrial</c:v>
                </c:pt>
                <c:pt idx="6">
                  <c:v>Betting / Gaming</c:v>
                </c:pt>
                <c:pt idx="7">
                  <c:v>Media / Streaming</c:v>
                </c:pt>
                <c:pt idx="8">
                  <c:v>Professional Services / Insurance</c:v>
                </c:pt>
                <c:pt idx="9">
                  <c:v>Automotive (lubes/parts)</c:v>
                </c:pt>
              </c:strCache>
            </c:strRef>
          </c:cat>
          <c:val>
            <c:numRef>
              <c:f>Category_Mix!$C$5:$C$14</c:f>
              <c:numCache>
                <c:formatCode>\$#,##0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107</c:v>
                </c:pt>
                <c:pt idx="3">
                  <c:v>99</c:v>
                </c:pt>
                <c:pt idx="4">
                  <c:v>80</c:v>
                </c:pt>
                <c:pt idx="5">
                  <c:v>115</c:v>
                </c:pt>
                <c:pt idx="6">
                  <c:v>25</c:v>
                </c:pt>
                <c:pt idx="7">
                  <c:v>10</c:v>
                </c:pt>
                <c:pt idx="8">
                  <c:v>22</c:v>
                </c:pt>
                <c:pt idx="9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Sponsor Value Up For Renewal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Renewal_Calendar!$D$33</c:f>
              <c:numCache>
                <c:formatCode>\$#,##0</c:formatCode>
                <c:ptCount val="1"/>
                <c:pt idx="0">
                  <c:v>38</c:v>
                </c:pt>
              </c:numCache>
            </c:numRef>
          </c:val>
        </c:ser>
        <c:ser>
          <c:idx val="1"/>
          <c:order val="1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Renewal_Calendar!$E$33</c:f>
              <c:numCache>
                <c:formatCode>\$#,##0</c:formatCode>
                <c:ptCount val="1"/>
                <c:pt idx="0">
                  <c:v>145</c:v>
                </c:pt>
              </c:numCache>
            </c:numRef>
          </c:val>
        </c:ser>
        <c:ser>
          <c:idx val="2"/>
          <c:order val="2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Renewal_Calendar!$F$33</c:f>
              <c:numCache>
                <c:formatCode>\$#,##0</c:formatCode>
                <c:ptCount val="1"/>
                <c:pt idx="0">
                  <c:v>92</c:v>
                </c:pt>
              </c:numCache>
            </c:numRef>
          </c:val>
        </c:ser>
        <c:ser>
          <c:idx val="3"/>
          <c:order val="3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Renewal_Calendar!$G$33</c:f>
              <c:numCache>
                <c:formatCode>\$#,##0</c:formatCode>
                <c:ptCount val="1"/>
                <c:pt idx="0">
                  <c:v>34</c:v>
                </c:pt>
              </c:numCache>
            </c:numRef>
          </c:val>
        </c:ser>
        <c:ser>
          <c:idx val="4"/>
          <c:order val="4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Renewal_Calendar!$H$33</c:f>
              <c:numCache>
                <c:formatCode>\$#,##0</c:formatCode>
                <c:ptCount val="1"/>
                <c:pt idx="0">
                  <c:v>255</c:v>
                </c:pt>
              </c:numCache>
            </c:numRef>
          </c:val>
        </c:ser>
        <c:ser>
          <c:idx val="5"/>
          <c:order val="5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Renewal_Calendar!$I$33</c:f>
              <c:numCache>
                <c:formatCode>\$#,##0</c:formatCode>
                <c:ptCount val="1"/>
                <c:pt idx="0">
                  <c:v>30</c:v>
                </c:pt>
              </c:numCache>
            </c:numRef>
          </c:val>
        </c:ser>
        <c:ser>
          <c:idx val="6"/>
          <c:order val="6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Renewal_Calendar!$J$33</c:f>
              <c:numCache>
                <c:formatCode>\$#,##0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Renewal_Calendar!$K$33</c:f>
              <c:numCache>
                <c:formatCode>\$#,##0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Renewal_Calendar!$D$4:$L$4</c:f>
              <c:strCache>
                <c:ptCount val="9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</c:strCache>
            </c:strRef>
          </c:cat>
          <c:val>
            <c:numRef>
              <c:f>Renewal_Calendar!$L$33</c:f>
              <c:numCache>
                <c:formatCode>\$#,##0</c:formatCode>
                <c:ptCount val="1"/>
                <c:pt idx="0">
                  <c:v>150</c:v>
                </c:pt>
              </c:numCache>
            </c:numRef>
          </c:val>
        </c:ser>
        <c:gapWidth val="150"/>
        <c:overlap val="0"/>
        <c:axId val="9683841"/>
        <c:axId val="69774931"/>
      </c:barChart>
      <c:catAx>
        <c:axId val="9683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Renewal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74931"/>
        <c:crosses val="autoZero"/>
        <c:auto val="1"/>
        <c:lblAlgn val="ctr"/>
        <c:lblOffset val="100"/>
        <c:noMultiLvlLbl val="0"/>
      </c:catAx>
      <c:valAx>
        <c:axId val="69774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 Annual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3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F1 Sponsorship Activity: New Logos vs. Renewals (2017-2026)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Land_to_Lock!B4</c:f>
              <c:strCache>
                <c:ptCount val="1"/>
                <c:pt idx="0">
                  <c:v>New Tier 1+2 Sponsors Added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Land_to_Lock!$A$5:$A$14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Land_to_Lock!$B$5:$B$14</c:f>
              <c:numCache>
                <c:formatCode>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Land_to_Lock!C4</c:f>
              <c:strCache>
                <c:ptCount val="1"/>
                <c:pt idx="0">
                  <c:v>Major Renewals/Extensions Announced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Land_to_Lock!$A$5:$A$14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Land_to_Lock!$C$5:$C$14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gapWidth val="150"/>
        <c:overlap val="100"/>
        <c:axId val="15304047"/>
        <c:axId val="19390647"/>
      </c:barChart>
      <c:catAx>
        <c:axId val="15304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90647"/>
        <c:crosses val="autoZero"/>
        <c:auto val="1"/>
        <c:lblAlgn val="ctr"/>
        <c:lblOffset val="100"/>
        <c:noMultiLvlLbl val="0"/>
      </c:catAx>
      <c:valAx>
        <c:axId val="19390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of Deals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04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Renewal Share of Total Sponsorship Activity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Land_to_Lock!E4</c:f>
              <c:strCache>
                <c:ptCount val="1"/>
                <c:pt idx="0">
                  <c:v>Renewal Share (%)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Land_to_Lock!$A$5:$A$14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Land_to_Lock!$E$5:$E$14</c:f>
              <c:numCache>
                <c:formatCode>0.0%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0.285714285714286</c:v>
                </c:pt>
                <c:pt idx="5">
                  <c:v>0.333333333333333</c:v>
                </c:pt>
                <c:pt idx="6">
                  <c:v>0.5</c:v>
                </c:pt>
                <c:pt idx="7">
                  <c:v>0.625</c:v>
                </c:pt>
                <c:pt idx="8">
                  <c:v>0.571428571428571</c:v>
                </c:pt>
                <c:pt idx="9">
                  <c:v>0.428571428571429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56227"/>
        <c:axId val="37879335"/>
      </c:lineChart>
      <c:catAx>
        <c:axId val="21562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79335"/>
        <c:crosses val="autoZero"/>
        <c:auto val="1"/>
        <c:lblAlgn val="ctr"/>
        <c:lblOffset val="100"/>
        <c:noMultiLvlLbl val="0"/>
      </c:catAx>
      <c:valAx>
        <c:axId val="37879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Renewal Share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6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B2B vs. B2C Sponsorship Mix by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B2B_to_B2C!C4</c:f>
              <c:strCache>
                <c:ptCount val="1"/>
                <c:pt idx="0">
                  <c:v>Est. Annual Value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B2B_to_B2C!$A$5:$A$7</c:f>
              <c:strCache>
                <c:ptCount val="3"/>
                <c:pt idx="0">
                  <c:v>B2C — Consumer-facing</c:v>
                </c:pt>
                <c:pt idx="1">
                  <c:v>B2B — Business-to-business</c:v>
                </c:pt>
                <c:pt idx="2">
                  <c:v>Mixed / Both</c:v>
                </c:pt>
              </c:strCache>
            </c:strRef>
          </c:cat>
          <c:val>
            <c:numRef>
              <c:f>B2B_to_B2C!$C$5:$C$7</c:f>
              <c:numCache>
                <c:formatCode>\$#,##0</c:formatCode>
                <c:ptCount val="3"/>
                <c:pt idx="0">
                  <c:v>482</c:v>
                </c:pt>
                <c:pt idx="1">
                  <c:v>217</c:v>
                </c:pt>
                <c:pt idx="2">
                  <c:v>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F1 Sponsorship Revenue Trajectory: 2017-2030E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Sponsor_Revenue!D4</c:f>
              <c:strCache>
                <c:ptCount val="1"/>
                <c:pt idx="0">
                  <c:v>Implied Sponsorship Revenue ($M)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Sponsor_Revenue!$A$5:$A$18</c:f>
              <c:strCache>
                <c:ptCount val="1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strCache>
            </c:strRef>
          </c:cat>
          <c:val>
            <c:numRef>
              <c:f>Sponsor_Revenue!$D$5:$D$18</c:f>
              <c:numCache>
                <c:formatCode>\$#,##0</c:formatCode>
                <c:ptCount val="14"/>
                <c:pt idx="0">
                  <c:v>384.3</c:v>
                </c:pt>
                <c:pt idx="1">
                  <c:v>383.67</c:v>
                </c:pt>
                <c:pt idx="2">
                  <c:v>404.4</c:v>
                </c:pt>
                <c:pt idx="3">
                  <c:v>240.45</c:v>
                </c:pt>
                <c:pt idx="4">
                  <c:v>427.2</c:v>
                </c:pt>
                <c:pt idx="5">
                  <c:v>514.6</c:v>
                </c:pt>
                <c:pt idx="6">
                  <c:v>612.18</c:v>
                </c:pt>
                <c:pt idx="7">
                  <c:v>679.458</c:v>
                </c:pt>
                <c:pt idx="8">
                  <c:v>839.79</c:v>
                </c:pt>
                <c:pt idx="9">
                  <c:v>977.5</c:v>
                </c:pt>
                <c:pt idx="10">
                  <c:v>1092.75</c:v>
                </c:pt>
                <c:pt idx="11">
                  <c:v>1212</c:v>
                </c:pt>
                <c:pt idx="12">
                  <c:v>1335.25</c:v>
                </c:pt>
                <c:pt idx="13">
                  <c:v>1504.5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058673"/>
        <c:axId val="5001718"/>
      </c:lineChart>
      <c:catAx>
        <c:axId val="73058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1718"/>
        <c:crosses val="autoZero"/>
        <c:auto val="1"/>
        <c:lblAlgn val="ctr"/>
        <c:lblOffset val="100"/>
        <c:noMultiLvlLbl val="0"/>
      </c:catAx>
      <c:valAx>
        <c:axId val="5001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Sponsorship 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58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4</xdr:col>
      <xdr:colOff>558720</xdr:colOff>
      <xdr:row>39</xdr:row>
      <xdr:rowOff>156960</xdr:rowOff>
    </xdr:to>
    <xdr:graphicFrame>
      <xdr:nvGraphicFramePr>
        <xdr:cNvPr id="0" name="Chart 1"/>
        <xdr:cNvGraphicFramePr/>
      </xdr:nvGraphicFramePr>
      <xdr:xfrm>
        <a:off x="0" y="6467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22</xdr:col>
      <xdr:colOff>256320</xdr:colOff>
      <xdr:row>19</xdr:row>
      <xdr:rowOff>29520</xdr:rowOff>
    </xdr:to>
    <xdr:graphicFrame>
      <xdr:nvGraphicFramePr>
        <xdr:cNvPr id="1" name="Chart 1"/>
        <xdr:cNvGraphicFramePr/>
      </xdr:nvGraphicFramePr>
      <xdr:xfrm>
        <a:off x="9351720" y="733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101160</xdr:rowOff>
    </xdr:from>
    <xdr:to>
      <xdr:col>5</xdr:col>
      <xdr:colOff>981720</xdr:colOff>
      <xdr:row>34</xdr:row>
      <xdr:rowOff>81360</xdr:rowOff>
    </xdr:to>
    <xdr:graphicFrame>
      <xdr:nvGraphicFramePr>
        <xdr:cNvPr id="2" name="Chart 1"/>
        <xdr:cNvGraphicFramePr/>
      </xdr:nvGraphicFramePr>
      <xdr:xfrm>
        <a:off x="0" y="36100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100800</xdr:rowOff>
    </xdr:from>
    <xdr:to>
      <xdr:col>5</xdr:col>
      <xdr:colOff>981720</xdr:colOff>
      <xdr:row>56</xdr:row>
      <xdr:rowOff>81000</xdr:rowOff>
    </xdr:to>
    <xdr:graphicFrame>
      <xdr:nvGraphicFramePr>
        <xdr:cNvPr id="3" name="Chart 2"/>
        <xdr:cNvGraphicFramePr/>
      </xdr:nvGraphicFramePr>
      <xdr:xfrm>
        <a:off x="0" y="7800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130680</xdr:rowOff>
    </xdr:from>
    <xdr:to>
      <xdr:col>3</xdr:col>
      <xdr:colOff>951480</xdr:colOff>
      <xdr:row>25</xdr:row>
      <xdr:rowOff>110880</xdr:rowOff>
    </xdr:to>
    <xdr:graphicFrame>
      <xdr:nvGraphicFramePr>
        <xdr:cNvPr id="4" name="Chart 1"/>
        <xdr:cNvGraphicFramePr/>
      </xdr:nvGraphicFramePr>
      <xdr:xfrm>
        <a:off x="0" y="2066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96840</xdr:rowOff>
    </xdr:from>
    <xdr:to>
      <xdr:col>6</xdr:col>
      <xdr:colOff>558720</xdr:colOff>
      <xdr:row>39</xdr:row>
      <xdr:rowOff>77040</xdr:rowOff>
    </xdr:to>
    <xdr:graphicFrame>
      <xdr:nvGraphicFramePr>
        <xdr:cNvPr id="5" name="Chart 1"/>
        <xdr:cNvGraphicFramePr/>
      </xdr:nvGraphicFramePr>
      <xdr:xfrm>
        <a:off x="0" y="4371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5" customFormat="false" ht="15" hidden="false" customHeight="false" outlineLevel="0" collapsed="false">
      <c r="A15" s="3" t="s">
        <v>19</v>
      </c>
      <c r="B15" s="3"/>
      <c r="C15" s="3"/>
      <c r="D15" s="3"/>
      <c r="E15" s="3"/>
      <c r="F15" s="3"/>
      <c r="G15" s="3"/>
    </row>
    <row r="16" customFormat="false" ht="31.5" hidden="false" customHeight="true" outlineLevel="0" collapsed="false">
      <c r="A16" s="6" t="s">
        <v>20</v>
      </c>
      <c r="B16" s="7" t="s">
        <v>21</v>
      </c>
      <c r="C16" s="7"/>
      <c r="D16" s="7"/>
      <c r="E16" s="7"/>
      <c r="F16" s="7"/>
      <c r="G16" s="7"/>
    </row>
    <row r="17" customFormat="false" ht="31.5" hidden="false" customHeight="true" outlineLevel="0" collapsed="false">
      <c r="A17" s="6" t="s">
        <v>22</v>
      </c>
      <c r="B17" s="7" t="s">
        <v>23</v>
      </c>
      <c r="C17" s="7"/>
      <c r="D17" s="7"/>
      <c r="E17" s="7"/>
      <c r="F17" s="7"/>
      <c r="G17" s="7"/>
    </row>
    <row r="18" customFormat="false" ht="31.5" hidden="false" customHeight="true" outlineLevel="0" collapsed="false">
      <c r="A18" s="6" t="s">
        <v>24</v>
      </c>
      <c r="B18" s="7" t="s">
        <v>25</v>
      </c>
      <c r="C18" s="7"/>
      <c r="D18" s="7"/>
      <c r="E18" s="7"/>
      <c r="F18" s="7"/>
      <c r="G18" s="7"/>
    </row>
    <row r="19" customFormat="false" ht="31.5" hidden="false" customHeight="true" outlineLevel="0" collapsed="false">
      <c r="A19" s="6" t="s">
        <v>26</v>
      </c>
      <c r="B19" s="7" t="s">
        <v>27</v>
      </c>
      <c r="C19" s="7"/>
      <c r="D19" s="7"/>
      <c r="E19" s="7"/>
      <c r="F19" s="7"/>
      <c r="G19" s="7"/>
    </row>
    <row r="20" customFormat="false" ht="31.5" hidden="false" customHeight="true" outlineLevel="0" collapsed="false">
      <c r="A20" s="6" t="s">
        <v>28</v>
      </c>
      <c r="B20" s="7" t="s">
        <v>29</v>
      </c>
      <c r="C20" s="7"/>
      <c r="D20" s="7"/>
      <c r="E20" s="7"/>
      <c r="F20" s="7"/>
      <c r="G20" s="7"/>
    </row>
    <row r="21" customFormat="false" ht="31.5" hidden="false" customHeight="true" outlineLevel="0" collapsed="false">
      <c r="A21" s="6" t="s">
        <v>30</v>
      </c>
      <c r="B21" s="7" t="s">
        <v>31</v>
      </c>
      <c r="C21" s="7"/>
      <c r="D21" s="7"/>
      <c r="E21" s="7"/>
      <c r="F21" s="7"/>
      <c r="G21" s="7"/>
    </row>
    <row r="22" customFormat="false" ht="31.5" hidden="false" customHeight="true" outlineLevel="0" collapsed="false">
      <c r="A22" s="6" t="s">
        <v>32</v>
      </c>
      <c r="B22" s="7" t="s">
        <v>33</v>
      </c>
      <c r="C22" s="7"/>
      <c r="D22" s="7"/>
      <c r="E22" s="7"/>
      <c r="F22" s="7"/>
      <c r="G22" s="7"/>
    </row>
    <row r="24" customFormat="false" ht="15" hidden="false" customHeight="false" outlineLevel="0" collapsed="false">
      <c r="A24" s="8" t="s">
        <v>34</v>
      </c>
      <c r="B24" s="8"/>
    </row>
    <row r="25" customFormat="false" ht="15" hidden="false" customHeight="false" outlineLevel="0" collapsed="false">
      <c r="A25" s="9" t="s">
        <v>35</v>
      </c>
      <c r="B25" s="10" t="s">
        <v>36</v>
      </c>
    </row>
    <row r="26" customFormat="false" ht="15" hidden="false" customHeight="false" outlineLevel="0" collapsed="false">
      <c r="A26" s="11" t="s">
        <v>37</v>
      </c>
      <c r="B26" s="10" t="s">
        <v>38</v>
      </c>
    </row>
    <row r="27" customFormat="false" ht="15" hidden="false" customHeight="false" outlineLevel="0" collapsed="false">
      <c r="A27" s="12" t="s">
        <v>39</v>
      </c>
      <c r="B27" s="10" t="s">
        <v>40</v>
      </c>
    </row>
    <row r="28" customFormat="false" ht="15" hidden="false" customHeight="false" outlineLevel="0" collapsed="false">
      <c r="A28" s="13" t="s">
        <v>41</v>
      </c>
      <c r="B28" s="10" t="s">
        <v>42</v>
      </c>
    </row>
  </sheetData>
  <mergeCells count="12">
    <mergeCell ref="A1:G1"/>
    <mergeCell ref="A2:G2"/>
    <mergeCell ref="A4:B4"/>
    <mergeCell ref="A15:G15"/>
    <mergeCell ref="B16:G16"/>
    <mergeCell ref="B17:G17"/>
    <mergeCell ref="B18:G18"/>
    <mergeCell ref="B19:G19"/>
    <mergeCell ref="B20:G20"/>
    <mergeCell ref="B21:G21"/>
    <mergeCell ref="B22:G22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4" t="s">
        <v>43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false" outlineLevel="0" collapsed="false">
      <c r="A2" s="15" t="s">
        <v>44</v>
      </c>
      <c r="B2" s="15"/>
      <c r="C2" s="15"/>
      <c r="D2" s="15"/>
      <c r="E2" s="15"/>
      <c r="F2" s="15"/>
      <c r="G2" s="15"/>
      <c r="H2" s="15"/>
      <c r="I2" s="15"/>
    </row>
    <row r="4" customFormat="false" ht="31.5" hidden="false" customHeight="true" outlineLevel="0" collapsed="false">
      <c r="A4" s="16" t="s">
        <v>45</v>
      </c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</row>
    <row r="5" customFormat="false" ht="15" hidden="false" customHeight="false" outlineLevel="0" collapsed="false">
      <c r="A5" s="3" t="s">
        <v>54</v>
      </c>
      <c r="B5" s="3"/>
      <c r="C5" s="3"/>
      <c r="D5" s="3"/>
      <c r="E5" s="3"/>
      <c r="F5" s="3"/>
      <c r="G5" s="3"/>
      <c r="H5" s="3"/>
      <c r="I5" s="3"/>
    </row>
    <row r="6" customFormat="false" ht="22.35" hidden="false" customHeight="false" outlineLevel="0" collapsed="false">
      <c r="A6" s="17" t="s">
        <v>55</v>
      </c>
      <c r="B6" s="18" t="s">
        <v>56</v>
      </c>
      <c r="C6" s="19" t="s">
        <v>57</v>
      </c>
      <c r="D6" s="18" t="s">
        <v>58</v>
      </c>
      <c r="E6" s="20" t="n">
        <v>45</v>
      </c>
      <c r="F6" s="21" t="n">
        <v>2020</v>
      </c>
      <c r="G6" s="21" t="n">
        <v>2030</v>
      </c>
      <c r="H6" s="19" t="s">
        <v>59</v>
      </c>
      <c r="I6" s="22" t="s">
        <v>60</v>
      </c>
    </row>
    <row r="7" customFormat="false" ht="22.35" hidden="false" customHeight="false" outlineLevel="0" collapsed="false">
      <c r="A7" s="17" t="s">
        <v>61</v>
      </c>
      <c r="B7" s="18" t="s">
        <v>56</v>
      </c>
      <c r="C7" s="19" t="s">
        <v>62</v>
      </c>
      <c r="D7" s="18" t="s">
        <v>63</v>
      </c>
      <c r="E7" s="20" t="n">
        <v>30</v>
      </c>
      <c r="F7" s="21" t="n">
        <v>2018</v>
      </c>
      <c r="G7" s="21" t="n">
        <v>2026</v>
      </c>
      <c r="H7" s="19" t="s">
        <v>64</v>
      </c>
      <c r="I7" s="22" t="s">
        <v>65</v>
      </c>
    </row>
    <row r="8" customFormat="false" ht="22.35" hidden="false" customHeight="false" outlineLevel="0" collapsed="false">
      <c r="A8" s="17" t="s">
        <v>66</v>
      </c>
      <c r="B8" s="18" t="s">
        <v>56</v>
      </c>
      <c r="C8" s="19" t="s">
        <v>67</v>
      </c>
      <c r="D8" s="18" t="s">
        <v>68</v>
      </c>
      <c r="E8" s="20" t="n">
        <v>20</v>
      </c>
      <c r="F8" s="21" t="n">
        <v>2021</v>
      </c>
      <c r="G8" s="21" t="n">
        <v>2030</v>
      </c>
      <c r="H8" s="19" t="s">
        <v>69</v>
      </c>
      <c r="I8" s="22" t="s">
        <v>70</v>
      </c>
    </row>
    <row r="9" customFormat="false" ht="22.35" hidden="false" customHeight="false" outlineLevel="0" collapsed="false">
      <c r="A9" s="17" t="s">
        <v>71</v>
      </c>
      <c r="B9" s="18" t="s">
        <v>56</v>
      </c>
      <c r="C9" s="19" t="s">
        <v>72</v>
      </c>
      <c r="D9" s="18" t="s">
        <v>63</v>
      </c>
      <c r="E9" s="20" t="n">
        <v>40</v>
      </c>
      <c r="F9" s="21" t="n">
        <v>2004</v>
      </c>
      <c r="G9" s="21" t="n">
        <v>2028</v>
      </c>
      <c r="H9" s="19" t="s">
        <v>73</v>
      </c>
      <c r="I9" s="22" t="s">
        <v>74</v>
      </c>
    </row>
    <row r="10" customFormat="false" ht="22.35" hidden="false" customHeight="false" outlineLevel="0" collapsed="false">
      <c r="A10" s="17" t="s">
        <v>75</v>
      </c>
      <c r="B10" s="18" t="s">
        <v>56</v>
      </c>
      <c r="C10" s="19" t="s">
        <v>76</v>
      </c>
      <c r="D10" s="18" t="s">
        <v>68</v>
      </c>
      <c r="E10" s="20" t="n">
        <v>50</v>
      </c>
      <c r="F10" s="21" t="n">
        <v>2016</v>
      </c>
      <c r="G10" s="21" t="n">
        <v>2030</v>
      </c>
      <c r="H10" s="19" t="s">
        <v>77</v>
      </c>
      <c r="I10" s="22" t="s">
        <v>78</v>
      </c>
    </row>
    <row r="11" customFormat="false" ht="15" hidden="false" customHeight="false" outlineLevel="0" collapsed="false">
      <c r="A11" s="17" t="s">
        <v>79</v>
      </c>
      <c r="B11" s="18" t="s">
        <v>56</v>
      </c>
      <c r="C11" s="19" t="s">
        <v>80</v>
      </c>
      <c r="D11" s="18" t="s">
        <v>63</v>
      </c>
      <c r="E11" s="20" t="n">
        <v>25</v>
      </c>
      <c r="F11" s="21" t="n">
        <v>2022</v>
      </c>
      <c r="G11" s="21" t="n">
        <v>2027</v>
      </c>
      <c r="H11" s="19" t="s">
        <v>81</v>
      </c>
      <c r="I11" s="22" t="s">
        <v>82</v>
      </c>
    </row>
    <row r="12" customFormat="false" ht="22.35" hidden="false" customHeight="false" outlineLevel="0" collapsed="false">
      <c r="A12" s="17" t="s">
        <v>83</v>
      </c>
      <c r="B12" s="18" t="s">
        <v>56</v>
      </c>
      <c r="C12" s="19" t="s">
        <v>84</v>
      </c>
      <c r="D12" s="18" t="s">
        <v>68</v>
      </c>
      <c r="E12" s="20" t="n">
        <v>150</v>
      </c>
      <c r="F12" s="21" t="n">
        <v>2025</v>
      </c>
      <c r="G12" s="21" t="n">
        <v>2034</v>
      </c>
      <c r="H12" s="19" t="s">
        <v>85</v>
      </c>
      <c r="I12" s="22" t="s">
        <v>86</v>
      </c>
    </row>
    <row r="13" customFormat="false" ht="15" hidden="false" customHeight="false" outlineLevel="0" collapsed="false">
      <c r="A13" s="17" t="s">
        <v>87</v>
      </c>
      <c r="B13" s="18" t="s">
        <v>56</v>
      </c>
      <c r="C13" s="19" t="s">
        <v>88</v>
      </c>
      <c r="D13" s="18" t="s">
        <v>68</v>
      </c>
      <c r="E13" s="20" t="n">
        <v>25</v>
      </c>
      <c r="F13" s="21" t="n">
        <v>2022</v>
      </c>
      <c r="G13" s="21" t="n">
        <v>2027</v>
      </c>
      <c r="H13" s="19" t="s">
        <v>81</v>
      </c>
      <c r="I13" s="22" t="s">
        <v>89</v>
      </c>
    </row>
    <row r="14" customFormat="false" ht="15" hidden="false" customHeight="false" outlineLevel="0" collapsed="false">
      <c r="A14" s="17" t="s">
        <v>90</v>
      </c>
      <c r="B14" s="18" t="s">
        <v>56</v>
      </c>
      <c r="C14" s="19" t="s">
        <v>91</v>
      </c>
      <c r="D14" s="18" t="s">
        <v>63</v>
      </c>
      <c r="E14" s="20" t="n">
        <v>30</v>
      </c>
      <c r="F14" s="21" t="n">
        <v>2011</v>
      </c>
      <c r="G14" s="21" t="n">
        <v>2027</v>
      </c>
      <c r="H14" s="19" t="s">
        <v>92</v>
      </c>
      <c r="I14" s="22" t="s">
        <v>93</v>
      </c>
    </row>
    <row r="15" customFormat="false" ht="15" hidden="false" customHeight="false" outlineLevel="0" collapsed="false">
      <c r="A15" s="17" t="s">
        <v>94</v>
      </c>
      <c r="B15" s="18" t="s">
        <v>56</v>
      </c>
      <c r="C15" s="19" t="s">
        <v>95</v>
      </c>
      <c r="D15" s="18" t="s">
        <v>68</v>
      </c>
      <c r="E15" s="20" t="n">
        <v>35</v>
      </c>
      <c r="F15" s="21" t="n">
        <v>2023</v>
      </c>
      <c r="G15" s="21" t="n">
        <v>2030</v>
      </c>
      <c r="H15" s="19" t="s">
        <v>81</v>
      </c>
      <c r="I15" s="22" t="s">
        <v>96</v>
      </c>
    </row>
    <row r="16" customFormat="false" ht="22.35" hidden="false" customHeight="false" outlineLevel="0" collapsed="false">
      <c r="A16" s="17" t="s">
        <v>97</v>
      </c>
      <c r="B16" s="18" t="s">
        <v>56</v>
      </c>
      <c r="C16" s="19" t="s">
        <v>98</v>
      </c>
      <c r="D16" s="18" t="s">
        <v>68</v>
      </c>
      <c r="E16" s="20" t="n">
        <v>50</v>
      </c>
      <c r="F16" s="21" t="n">
        <v>2013</v>
      </c>
      <c r="G16" s="21" t="n">
        <v>2027</v>
      </c>
      <c r="H16" s="19" t="s">
        <v>81</v>
      </c>
      <c r="I16" s="22" t="s">
        <v>99</v>
      </c>
    </row>
    <row r="17" customFormat="false" ht="22.35" hidden="false" customHeight="false" outlineLevel="0" collapsed="false">
      <c r="A17" s="17" t="s">
        <v>100</v>
      </c>
      <c r="B17" s="18" t="s">
        <v>56</v>
      </c>
      <c r="C17" s="19" t="s">
        <v>101</v>
      </c>
      <c r="D17" s="18" t="s">
        <v>63</v>
      </c>
      <c r="E17" s="20" t="n">
        <v>40</v>
      </c>
      <c r="F17" s="21" t="n">
        <v>2022</v>
      </c>
      <c r="G17" s="21" t="n">
        <v>2030</v>
      </c>
      <c r="H17" s="19" t="s">
        <v>102</v>
      </c>
      <c r="I17" s="22" t="s">
        <v>103</v>
      </c>
    </row>
    <row r="18" customFormat="false" ht="15" hidden="false" customHeight="false" outlineLevel="0" collapsed="false">
      <c r="A18" s="23" t="s">
        <v>104</v>
      </c>
      <c r="B18" s="23"/>
      <c r="C18" s="23"/>
      <c r="D18" s="23"/>
      <c r="E18" s="24" t="n">
        <f aca="false">SUM(E6:E17)</f>
        <v>540</v>
      </c>
      <c r="F18" s="25"/>
      <c r="G18" s="25"/>
      <c r="H18" s="25"/>
      <c r="I18" s="25"/>
    </row>
    <row r="20" customFormat="false" ht="15" hidden="false" customHeight="false" outlineLevel="0" collapsed="false">
      <c r="A20" s="3" t="s">
        <v>105</v>
      </c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26" t="s">
        <v>106</v>
      </c>
      <c r="B21" s="18" t="s">
        <v>107</v>
      </c>
      <c r="C21" s="19" t="s">
        <v>108</v>
      </c>
      <c r="D21" s="18" t="s">
        <v>68</v>
      </c>
      <c r="E21" s="20" t="n">
        <v>15</v>
      </c>
      <c r="F21" s="21" t="n">
        <v>2025</v>
      </c>
      <c r="G21" s="21" t="n">
        <v>2030</v>
      </c>
      <c r="H21" s="19" t="s">
        <v>109</v>
      </c>
      <c r="I21" s="22" t="s">
        <v>110</v>
      </c>
    </row>
    <row r="22" customFormat="false" ht="15" hidden="false" customHeight="false" outlineLevel="0" collapsed="false">
      <c r="A22" s="26" t="s">
        <v>111</v>
      </c>
      <c r="B22" s="18" t="s">
        <v>107</v>
      </c>
      <c r="C22" s="19" t="s">
        <v>112</v>
      </c>
      <c r="D22" s="18" t="s">
        <v>68</v>
      </c>
      <c r="E22" s="20" t="n">
        <v>20</v>
      </c>
      <c r="F22" s="21" t="n">
        <v>2023</v>
      </c>
      <c r="G22" s="21" t="n">
        <v>2028</v>
      </c>
      <c r="H22" s="19" t="s">
        <v>81</v>
      </c>
      <c r="I22" s="22" t="s">
        <v>113</v>
      </c>
    </row>
    <row r="23" customFormat="false" ht="15" hidden="false" customHeight="false" outlineLevel="0" collapsed="false">
      <c r="A23" s="26" t="s">
        <v>114</v>
      </c>
      <c r="B23" s="18" t="s">
        <v>107</v>
      </c>
      <c r="C23" s="19" t="s">
        <v>115</v>
      </c>
      <c r="D23" s="18" t="s">
        <v>68</v>
      </c>
      <c r="E23" s="20" t="n">
        <v>12</v>
      </c>
      <c r="F23" s="21" t="n">
        <v>2024</v>
      </c>
      <c r="G23" s="21" t="n">
        <v>2029</v>
      </c>
      <c r="H23" s="19" t="s">
        <v>81</v>
      </c>
      <c r="I23" s="22" t="s">
        <v>116</v>
      </c>
    </row>
    <row r="24" customFormat="false" ht="15" hidden="false" customHeight="false" outlineLevel="0" collapsed="false">
      <c r="A24" s="26" t="s">
        <v>117</v>
      </c>
      <c r="B24" s="18" t="s">
        <v>107</v>
      </c>
      <c r="C24" s="19" t="s">
        <v>118</v>
      </c>
      <c r="D24" s="18" t="s">
        <v>63</v>
      </c>
      <c r="E24" s="20" t="n">
        <v>12</v>
      </c>
      <c r="F24" s="21" t="n">
        <v>2023</v>
      </c>
      <c r="G24" s="21" t="n">
        <v>2028</v>
      </c>
      <c r="H24" s="19" t="s">
        <v>81</v>
      </c>
      <c r="I24" s="22" t="s">
        <v>119</v>
      </c>
    </row>
    <row r="25" customFormat="false" ht="15" hidden="false" customHeight="false" outlineLevel="0" collapsed="false">
      <c r="A25" s="26" t="s">
        <v>120</v>
      </c>
      <c r="B25" s="18" t="s">
        <v>107</v>
      </c>
      <c r="C25" s="19" t="s">
        <v>121</v>
      </c>
      <c r="D25" s="18" t="s">
        <v>68</v>
      </c>
      <c r="E25" s="20" t="n">
        <v>8</v>
      </c>
      <c r="F25" s="21" t="n">
        <v>2019</v>
      </c>
      <c r="G25" s="21" t="n">
        <v>2026</v>
      </c>
      <c r="H25" s="19" t="s">
        <v>64</v>
      </c>
      <c r="I25" s="22" t="s">
        <v>122</v>
      </c>
    </row>
    <row r="26" customFormat="false" ht="22.35" hidden="false" customHeight="false" outlineLevel="0" collapsed="false">
      <c r="A26" s="26" t="s">
        <v>123</v>
      </c>
      <c r="B26" s="18" t="s">
        <v>107</v>
      </c>
      <c r="C26" s="19" t="s">
        <v>124</v>
      </c>
      <c r="D26" s="18" t="s">
        <v>68</v>
      </c>
      <c r="E26" s="27" t="s">
        <v>125</v>
      </c>
      <c r="F26" s="21" t="n">
        <v>2025</v>
      </c>
      <c r="G26" s="21" t="n">
        <v>2034</v>
      </c>
      <c r="H26" s="19" t="s">
        <v>126</v>
      </c>
      <c r="I26" s="22" t="s">
        <v>127</v>
      </c>
    </row>
    <row r="27" customFormat="false" ht="15" hidden="false" customHeight="false" outlineLevel="0" collapsed="false">
      <c r="A27" s="26" t="s">
        <v>128</v>
      </c>
      <c r="B27" s="18" t="s">
        <v>107</v>
      </c>
      <c r="C27" s="19" t="s">
        <v>129</v>
      </c>
      <c r="D27" s="18" t="s">
        <v>63</v>
      </c>
      <c r="E27" s="20" t="n">
        <v>12</v>
      </c>
      <c r="F27" s="21" t="n">
        <v>2026</v>
      </c>
      <c r="G27" s="21" t="n">
        <v>2031</v>
      </c>
      <c r="H27" s="19" t="s">
        <v>130</v>
      </c>
      <c r="I27" s="22" t="s">
        <v>131</v>
      </c>
    </row>
    <row r="28" customFormat="false" ht="15" hidden="false" customHeight="false" outlineLevel="0" collapsed="false">
      <c r="A28" s="26" t="s">
        <v>132</v>
      </c>
      <c r="B28" s="18" t="s">
        <v>107</v>
      </c>
      <c r="C28" s="19" t="s">
        <v>133</v>
      </c>
      <c r="D28" s="18" t="s">
        <v>68</v>
      </c>
      <c r="E28" s="27" t="s">
        <v>125</v>
      </c>
      <c r="F28" s="21" t="n">
        <v>2025</v>
      </c>
      <c r="G28" s="21" t="n">
        <v>2034</v>
      </c>
      <c r="H28" s="19" t="s">
        <v>126</v>
      </c>
      <c r="I28" s="22" t="s">
        <v>134</v>
      </c>
    </row>
    <row r="29" customFormat="false" ht="15" hidden="false" customHeight="false" outlineLevel="0" collapsed="false">
      <c r="A29" s="26" t="s">
        <v>135</v>
      </c>
      <c r="B29" s="18" t="s">
        <v>107</v>
      </c>
      <c r="C29" s="19" t="s">
        <v>115</v>
      </c>
      <c r="D29" s="18" t="s">
        <v>68</v>
      </c>
      <c r="E29" s="20" t="n">
        <v>12</v>
      </c>
      <c r="F29" s="21" t="n">
        <v>2024</v>
      </c>
      <c r="G29" s="21" t="n">
        <v>2029</v>
      </c>
      <c r="H29" s="19" t="s">
        <v>81</v>
      </c>
      <c r="I29" s="22" t="s">
        <v>89</v>
      </c>
    </row>
    <row r="30" customFormat="false" ht="22.35" hidden="false" customHeight="false" outlineLevel="0" collapsed="false">
      <c r="A30" s="26" t="s">
        <v>136</v>
      </c>
      <c r="B30" s="18" t="s">
        <v>107</v>
      </c>
      <c r="C30" s="19" t="s">
        <v>137</v>
      </c>
      <c r="D30" s="18" t="s">
        <v>68</v>
      </c>
      <c r="E30" s="20" t="n">
        <v>10</v>
      </c>
      <c r="F30" s="21" t="n">
        <v>2023</v>
      </c>
      <c r="G30" s="21" t="n">
        <v>2028</v>
      </c>
      <c r="H30" s="19" t="s">
        <v>81</v>
      </c>
      <c r="I30" s="22" t="s">
        <v>138</v>
      </c>
    </row>
    <row r="31" customFormat="false" ht="15" hidden="false" customHeight="false" outlineLevel="0" collapsed="false">
      <c r="A31" s="26" t="s">
        <v>139</v>
      </c>
      <c r="B31" s="18" t="s">
        <v>107</v>
      </c>
      <c r="C31" s="19" t="s">
        <v>76</v>
      </c>
      <c r="D31" s="18" t="s">
        <v>68</v>
      </c>
      <c r="E31" s="20" t="n">
        <v>25</v>
      </c>
      <c r="F31" s="21" t="n">
        <v>2025</v>
      </c>
      <c r="G31" s="21" t="n">
        <v>2030</v>
      </c>
      <c r="H31" s="19" t="s">
        <v>140</v>
      </c>
      <c r="I31" s="22" t="s">
        <v>141</v>
      </c>
    </row>
    <row r="32" customFormat="false" ht="15" hidden="false" customHeight="false" outlineLevel="0" collapsed="false">
      <c r="A32" s="26" t="s">
        <v>142</v>
      </c>
      <c r="B32" s="18" t="s">
        <v>107</v>
      </c>
      <c r="C32" s="19" t="s">
        <v>143</v>
      </c>
      <c r="D32" s="18" t="s">
        <v>63</v>
      </c>
      <c r="E32" s="20" t="n">
        <v>10</v>
      </c>
      <c r="F32" s="21" t="n">
        <v>2024</v>
      </c>
      <c r="G32" s="21" t="n">
        <v>2029</v>
      </c>
      <c r="H32" s="19" t="s">
        <v>81</v>
      </c>
      <c r="I32" s="22" t="s">
        <v>144</v>
      </c>
    </row>
    <row r="33" customFormat="false" ht="15" hidden="false" customHeight="false" outlineLevel="0" collapsed="false">
      <c r="A33" s="26" t="s">
        <v>145</v>
      </c>
      <c r="B33" s="18" t="s">
        <v>107</v>
      </c>
      <c r="C33" s="19" t="s">
        <v>146</v>
      </c>
      <c r="D33" s="18" t="s">
        <v>68</v>
      </c>
      <c r="E33" s="20" t="n">
        <v>15</v>
      </c>
      <c r="F33" s="21" t="n">
        <v>2022</v>
      </c>
      <c r="G33" s="21" t="n">
        <v>2027</v>
      </c>
      <c r="H33" s="19" t="s">
        <v>81</v>
      </c>
      <c r="I33" s="22" t="s">
        <v>147</v>
      </c>
    </row>
    <row r="34" customFormat="false" ht="15" hidden="false" customHeight="false" outlineLevel="0" collapsed="false">
      <c r="A34" s="26" t="s">
        <v>148</v>
      </c>
      <c r="B34" s="18" t="s">
        <v>107</v>
      </c>
      <c r="C34" s="19" t="s">
        <v>146</v>
      </c>
      <c r="D34" s="18" t="s">
        <v>63</v>
      </c>
      <c r="E34" s="20" t="n">
        <v>18</v>
      </c>
      <c r="F34" s="21" t="n">
        <v>2026</v>
      </c>
      <c r="G34" s="21" t="n">
        <v>2031</v>
      </c>
      <c r="H34" s="19" t="s">
        <v>130</v>
      </c>
      <c r="I34" s="22" t="s">
        <v>149</v>
      </c>
    </row>
    <row r="35" customFormat="false" ht="15" hidden="false" customHeight="false" outlineLevel="0" collapsed="false">
      <c r="A35" s="26" t="s">
        <v>150</v>
      </c>
      <c r="B35" s="18" t="s">
        <v>107</v>
      </c>
      <c r="C35" s="19" t="s">
        <v>151</v>
      </c>
      <c r="D35" s="18" t="s">
        <v>68</v>
      </c>
      <c r="E35" s="27" t="s">
        <v>125</v>
      </c>
      <c r="F35" s="21" t="n">
        <v>2025</v>
      </c>
      <c r="G35" s="21" t="n">
        <v>2034</v>
      </c>
      <c r="H35" s="19" t="s">
        <v>126</v>
      </c>
      <c r="I35" s="22" t="s">
        <v>152</v>
      </c>
    </row>
    <row r="36" customFormat="false" ht="15" hidden="false" customHeight="false" outlineLevel="0" collapsed="false">
      <c r="A36" s="26" t="s">
        <v>153</v>
      </c>
      <c r="B36" s="18" t="s">
        <v>107</v>
      </c>
      <c r="C36" s="19" t="s">
        <v>154</v>
      </c>
      <c r="D36" s="18" t="s">
        <v>68</v>
      </c>
      <c r="E36" s="20" t="n">
        <v>10</v>
      </c>
      <c r="F36" s="21" t="n">
        <v>2023</v>
      </c>
      <c r="G36" s="21" t="n">
        <v>2028</v>
      </c>
      <c r="H36" s="19" t="s">
        <v>81</v>
      </c>
      <c r="I36" s="22" t="s">
        <v>155</v>
      </c>
    </row>
    <row r="37" customFormat="false" ht="15" hidden="false" customHeight="false" outlineLevel="0" collapsed="false">
      <c r="A37" s="26" t="s">
        <v>156</v>
      </c>
      <c r="B37" s="18" t="s">
        <v>107</v>
      </c>
      <c r="C37" s="19" t="s">
        <v>157</v>
      </c>
      <c r="D37" s="18" t="s">
        <v>68</v>
      </c>
      <c r="E37" s="20" t="n">
        <v>15</v>
      </c>
      <c r="F37" s="21" t="n">
        <v>2026</v>
      </c>
      <c r="G37" s="21" t="n">
        <v>2030</v>
      </c>
      <c r="H37" s="19" t="s">
        <v>130</v>
      </c>
      <c r="I37" s="22" t="s">
        <v>158</v>
      </c>
    </row>
    <row r="38" customFormat="false" ht="15" hidden="false" customHeight="false" outlineLevel="0" collapsed="false">
      <c r="A38" s="26" t="s">
        <v>159</v>
      </c>
      <c r="B38" s="18" t="s">
        <v>107</v>
      </c>
      <c r="C38" s="19" t="s">
        <v>157</v>
      </c>
      <c r="D38" s="18" t="s">
        <v>68</v>
      </c>
      <c r="E38" s="20" t="n">
        <v>10</v>
      </c>
      <c r="F38" s="21" t="n">
        <v>2026</v>
      </c>
      <c r="G38" s="21" t="n">
        <v>2030</v>
      </c>
      <c r="H38" s="19" t="s">
        <v>130</v>
      </c>
      <c r="I38" s="22" t="s">
        <v>158</v>
      </c>
    </row>
    <row r="39" customFormat="false" ht="15" hidden="false" customHeight="false" outlineLevel="0" collapsed="false">
      <c r="A39" s="23" t="s">
        <v>160</v>
      </c>
      <c r="B39" s="23"/>
      <c r="C39" s="23"/>
      <c r="D39" s="23"/>
      <c r="E39" s="24" t="n">
        <f aca="false">SUM(E21:E38)</f>
        <v>204</v>
      </c>
      <c r="F39" s="25"/>
      <c r="G39" s="25"/>
      <c r="H39" s="25"/>
      <c r="I39" s="25"/>
    </row>
    <row r="40" customFormat="false" ht="15" hidden="false" customHeight="false" outlineLevel="0" collapsed="false">
      <c r="A40" s="28" t="s">
        <v>161</v>
      </c>
      <c r="B40" s="28"/>
      <c r="C40" s="28"/>
      <c r="D40" s="28"/>
      <c r="E40" s="29" t="n">
        <f aca="false">E18+E39</f>
        <v>744</v>
      </c>
      <c r="F40" s="30"/>
      <c r="G40" s="30"/>
      <c r="H40" s="30"/>
      <c r="I40" s="30"/>
    </row>
    <row r="42" customFormat="false" ht="15" hidden="false" customHeight="false" outlineLevel="0" collapsed="false">
      <c r="A42" s="3" t="s">
        <v>162</v>
      </c>
      <c r="B42" s="3"/>
      <c r="C42" s="3"/>
      <c r="D42" s="3"/>
      <c r="E42" s="3"/>
      <c r="F42" s="3"/>
      <c r="G42" s="3"/>
      <c r="H42" s="3"/>
      <c r="I42" s="3"/>
    </row>
    <row r="43" customFormat="false" ht="23.85" hidden="false" customHeight="false" outlineLevel="0" collapsed="false">
      <c r="A43" s="31" t="s">
        <v>163</v>
      </c>
      <c r="E43" s="32" t="n">
        <f aca="false">E40</f>
        <v>744</v>
      </c>
      <c r="I43" s="33" t="s">
        <v>164</v>
      </c>
    </row>
    <row r="44" customFormat="false" ht="35.05" hidden="false" customHeight="false" outlineLevel="0" collapsed="false">
      <c r="A44" s="31" t="s">
        <v>165</v>
      </c>
      <c r="E44" s="20" t="n">
        <v>840</v>
      </c>
      <c r="I44" s="33" t="s">
        <v>166</v>
      </c>
    </row>
    <row r="45" customFormat="false" ht="35.05" hidden="false" customHeight="false" outlineLevel="0" collapsed="false">
      <c r="A45" s="31" t="s">
        <v>167</v>
      </c>
      <c r="E45" s="34" t="n">
        <f aca="false">E40/E44</f>
        <v>0.885714285714286</v>
      </c>
      <c r="I45" s="33" t="s">
        <v>168</v>
      </c>
    </row>
  </sheetData>
  <mergeCells count="8">
    <mergeCell ref="A1:I1"/>
    <mergeCell ref="A2:I2"/>
    <mergeCell ref="A5:I5"/>
    <mergeCell ref="A18:D18"/>
    <mergeCell ref="A20:I20"/>
    <mergeCell ref="A39:D39"/>
    <mergeCell ref="A40:D40"/>
    <mergeCell ref="A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14" t="s">
        <v>169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170</v>
      </c>
      <c r="B2" s="15"/>
      <c r="C2" s="15"/>
      <c r="D2" s="15"/>
      <c r="E2" s="15"/>
      <c r="F2" s="15"/>
    </row>
    <row r="4" customFormat="false" ht="31.5" hidden="false" customHeight="true" outlineLevel="0" collapsed="false">
      <c r="A4" s="16" t="s">
        <v>171</v>
      </c>
      <c r="B4" s="16" t="s">
        <v>172</v>
      </c>
      <c r="C4" s="16" t="s">
        <v>49</v>
      </c>
      <c r="D4" s="16" t="s">
        <v>173</v>
      </c>
      <c r="E4" s="16" t="s">
        <v>174</v>
      </c>
      <c r="F4" s="16" t="s">
        <v>175</v>
      </c>
    </row>
    <row r="5" customFormat="false" ht="36" hidden="false" customHeight="true" outlineLevel="0" collapsed="false">
      <c r="A5" s="31" t="s">
        <v>176</v>
      </c>
      <c r="B5" s="35" t="n">
        <v>7</v>
      </c>
      <c r="C5" s="20" t="n">
        <v>100</v>
      </c>
      <c r="D5" s="34" t="n">
        <f aca="false">C5/SUM($C$5:$C$14)</f>
        <v>0.130548302872063</v>
      </c>
      <c r="E5" s="36" t="s">
        <v>177</v>
      </c>
      <c r="F5" s="37" t="s">
        <v>178</v>
      </c>
    </row>
    <row r="6" customFormat="false" ht="36" hidden="false" customHeight="true" outlineLevel="0" collapsed="false">
      <c r="A6" s="31" t="s">
        <v>179</v>
      </c>
      <c r="B6" s="35" t="n">
        <v>3</v>
      </c>
      <c r="C6" s="20" t="n">
        <v>200</v>
      </c>
      <c r="D6" s="34" t="n">
        <f aca="false">C6/SUM($C$5:$C$14)</f>
        <v>0.261096605744125</v>
      </c>
      <c r="E6" s="36" t="s">
        <v>180</v>
      </c>
      <c r="F6" s="37" t="s">
        <v>181</v>
      </c>
    </row>
    <row r="7" customFormat="false" ht="36" hidden="false" customHeight="true" outlineLevel="0" collapsed="false">
      <c r="A7" s="31" t="s">
        <v>182</v>
      </c>
      <c r="B7" s="35" t="n">
        <v>4</v>
      </c>
      <c r="C7" s="20" t="n">
        <v>107</v>
      </c>
      <c r="D7" s="34" t="n">
        <f aca="false">C7/SUM($C$5:$C$14)</f>
        <v>0.139686684073107</v>
      </c>
      <c r="E7" s="38" t="s">
        <v>183</v>
      </c>
      <c r="F7" s="37" t="s">
        <v>184</v>
      </c>
    </row>
    <row r="8" customFormat="false" ht="36" hidden="false" customHeight="true" outlineLevel="0" collapsed="false">
      <c r="A8" s="31" t="s">
        <v>185</v>
      </c>
      <c r="B8" s="35" t="n">
        <v>4</v>
      </c>
      <c r="C8" s="20" t="n">
        <v>99</v>
      </c>
      <c r="D8" s="34" t="n">
        <f aca="false">C8/SUM($C$5:$C$14)</f>
        <v>0.129242819843342</v>
      </c>
      <c r="E8" s="36" t="s">
        <v>186</v>
      </c>
      <c r="F8" s="37" t="s">
        <v>187</v>
      </c>
    </row>
    <row r="9" customFormat="false" ht="36" hidden="false" customHeight="true" outlineLevel="0" collapsed="false">
      <c r="A9" s="31" t="s">
        <v>188</v>
      </c>
      <c r="B9" s="35" t="n">
        <v>4</v>
      </c>
      <c r="C9" s="20" t="n">
        <v>80</v>
      </c>
      <c r="D9" s="34" t="n">
        <f aca="false">C9/SUM($C$5:$C$14)</f>
        <v>0.10443864229765</v>
      </c>
      <c r="E9" s="36" t="s">
        <v>177</v>
      </c>
      <c r="F9" s="37" t="s">
        <v>189</v>
      </c>
    </row>
    <row r="10" customFormat="false" ht="36" hidden="false" customHeight="true" outlineLevel="0" collapsed="false">
      <c r="A10" s="31" t="s">
        <v>190</v>
      </c>
      <c r="B10" s="35" t="n">
        <v>3</v>
      </c>
      <c r="C10" s="20" t="n">
        <v>115</v>
      </c>
      <c r="D10" s="34" t="n">
        <f aca="false">C10/SUM($C$5:$C$14)</f>
        <v>0.150130548302872</v>
      </c>
      <c r="E10" s="36" t="s">
        <v>191</v>
      </c>
      <c r="F10" s="37" t="s">
        <v>192</v>
      </c>
    </row>
    <row r="11" customFormat="false" ht="36" hidden="false" customHeight="true" outlineLevel="0" collapsed="false">
      <c r="A11" s="31" t="s">
        <v>157</v>
      </c>
      <c r="B11" s="35" t="n">
        <v>2</v>
      </c>
      <c r="C11" s="20" t="n">
        <v>25</v>
      </c>
      <c r="D11" s="34" t="n">
        <f aca="false">C11/SUM($C$5:$C$14)</f>
        <v>0.0326370757180157</v>
      </c>
      <c r="E11" s="38" t="s">
        <v>193</v>
      </c>
      <c r="F11" s="37" t="s">
        <v>194</v>
      </c>
    </row>
    <row r="12" customFormat="false" ht="36" hidden="false" customHeight="true" outlineLevel="0" collapsed="false">
      <c r="A12" s="31" t="s">
        <v>137</v>
      </c>
      <c r="B12" s="35" t="n">
        <v>1</v>
      </c>
      <c r="C12" s="20" t="n">
        <v>10</v>
      </c>
      <c r="D12" s="34" t="n">
        <f aca="false">C12/SUM($C$5:$C$14)</f>
        <v>0.0130548302872063</v>
      </c>
      <c r="E12" s="39" t="s">
        <v>195</v>
      </c>
      <c r="F12" s="37" t="s">
        <v>196</v>
      </c>
    </row>
    <row r="13" customFormat="false" ht="36" hidden="false" customHeight="true" outlineLevel="0" collapsed="false">
      <c r="A13" s="31" t="s">
        <v>197</v>
      </c>
      <c r="B13" s="35" t="n">
        <v>2</v>
      </c>
      <c r="C13" s="20" t="n">
        <v>22</v>
      </c>
      <c r="D13" s="34" t="n">
        <f aca="false">C13/SUM($C$5:$C$14)</f>
        <v>0.0287206266318538</v>
      </c>
      <c r="E13" s="38" t="s">
        <v>183</v>
      </c>
      <c r="F13" s="37" t="s">
        <v>198</v>
      </c>
    </row>
    <row r="14" customFormat="false" ht="36" hidden="false" customHeight="true" outlineLevel="0" collapsed="false">
      <c r="A14" s="31" t="s">
        <v>199</v>
      </c>
      <c r="B14" s="35" t="n">
        <v>1</v>
      </c>
      <c r="C14" s="20" t="n">
        <v>8</v>
      </c>
      <c r="D14" s="34" t="n">
        <f aca="false">C14/SUM($C$5:$C$14)</f>
        <v>0.010443864229765</v>
      </c>
      <c r="E14" s="38" t="s">
        <v>200</v>
      </c>
      <c r="F14" s="37" t="s">
        <v>201</v>
      </c>
    </row>
    <row r="15" customFormat="false" ht="15" hidden="false" customHeight="false" outlineLevel="0" collapsed="false">
      <c r="A15" s="40" t="s">
        <v>202</v>
      </c>
      <c r="B15" s="41" t="n">
        <f aca="false">SUM(B5:B14)</f>
        <v>31</v>
      </c>
      <c r="C15" s="42" t="n">
        <f aca="false">SUM(C5:C14)</f>
        <v>766</v>
      </c>
      <c r="D15" s="43" t="n">
        <f aca="false">SUM(D5:D14)</f>
        <v>1</v>
      </c>
      <c r="E15" s="25"/>
      <c r="F15" s="25"/>
    </row>
    <row r="38" customFormat="false" ht="15" hidden="false" customHeight="false" outlineLevel="0" collapsed="false">
      <c r="A38" s="3" t="s">
        <v>203</v>
      </c>
      <c r="B38" s="3"/>
      <c r="C38" s="3"/>
      <c r="D38" s="3"/>
      <c r="E38" s="3"/>
      <c r="F38" s="3"/>
    </row>
    <row r="39" customFormat="false" ht="27.75" hidden="false" customHeight="true" outlineLevel="0" collapsed="false">
      <c r="A39" s="7" t="s">
        <v>204</v>
      </c>
      <c r="B39" s="7"/>
      <c r="C39" s="7"/>
      <c r="D39" s="7"/>
      <c r="E39" s="7"/>
      <c r="F39" s="7"/>
    </row>
    <row r="40" customFormat="false" ht="27.75" hidden="false" customHeight="true" outlineLevel="0" collapsed="false">
      <c r="A40" s="7" t="s">
        <v>205</v>
      </c>
      <c r="B40" s="7"/>
      <c r="C40" s="7"/>
      <c r="D40" s="7"/>
      <c r="E40" s="7"/>
      <c r="F40" s="7"/>
    </row>
    <row r="41" customFormat="false" ht="27.75" hidden="false" customHeight="true" outlineLevel="0" collapsed="false">
      <c r="A41" s="7" t="s">
        <v>206</v>
      </c>
      <c r="B41" s="7"/>
      <c r="C41" s="7"/>
      <c r="D41" s="7"/>
      <c r="E41" s="7"/>
      <c r="F41" s="7"/>
    </row>
    <row r="42" customFormat="false" ht="27.75" hidden="false" customHeight="true" outlineLevel="0" collapsed="false">
      <c r="A42" s="7" t="s">
        <v>207</v>
      </c>
      <c r="B42" s="7"/>
      <c r="C42" s="7"/>
      <c r="D42" s="7"/>
      <c r="E42" s="7"/>
      <c r="F42" s="7"/>
    </row>
    <row r="43" customFormat="false" ht="27.75" hidden="false" customHeight="true" outlineLevel="0" collapsed="false">
      <c r="A43" s="7" t="s">
        <v>208</v>
      </c>
      <c r="B43" s="7"/>
      <c r="C43" s="7"/>
      <c r="D43" s="7"/>
      <c r="E43" s="7"/>
      <c r="F43" s="7"/>
    </row>
  </sheetData>
  <mergeCells count="8">
    <mergeCell ref="A1:F1"/>
    <mergeCell ref="A2:F2"/>
    <mergeCell ref="A38:F38"/>
    <mergeCell ref="A39:F39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12" min="4" style="0" width="8"/>
  </cols>
  <sheetData>
    <row r="1" customFormat="false" ht="27.75" hidden="false" customHeight="true" outlineLevel="0" collapsed="false">
      <c r="A1" s="14" t="s">
        <v>209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false" outlineLevel="0" collapsed="false">
      <c r="A2" s="15" t="s">
        <v>210</v>
      </c>
      <c r="B2" s="15"/>
      <c r="C2" s="15"/>
      <c r="D2" s="15"/>
      <c r="E2" s="15"/>
      <c r="F2" s="15"/>
      <c r="G2" s="15"/>
      <c r="H2" s="15"/>
      <c r="I2" s="15"/>
    </row>
    <row r="4" customFormat="false" ht="27.75" hidden="false" customHeight="true" outlineLevel="0" collapsed="false">
      <c r="A4" s="16" t="s">
        <v>45</v>
      </c>
      <c r="B4" s="16" t="s">
        <v>46</v>
      </c>
      <c r="C4" s="16" t="s">
        <v>211</v>
      </c>
      <c r="D4" s="44" t="n">
        <v>2026</v>
      </c>
      <c r="E4" s="44" t="n">
        <v>2027</v>
      </c>
      <c r="F4" s="44" t="n">
        <v>2028</v>
      </c>
      <c r="G4" s="44" t="n">
        <v>2029</v>
      </c>
      <c r="H4" s="44" t="n">
        <v>2030</v>
      </c>
      <c r="I4" s="44" t="n">
        <v>2031</v>
      </c>
      <c r="J4" s="44" t="n">
        <v>2032</v>
      </c>
      <c r="K4" s="44" t="n">
        <v>2033</v>
      </c>
      <c r="L4" s="44" t="n">
        <v>2034</v>
      </c>
    </row>
    <row r="5" customFormat="false" ht="15" hidden="false" customHeight="false" outlineLevel="0" collapsed="false">
      <c r="A5" s="31" t="s">
        <v>212</v>
      </c>
      <c r="B5" s="18" t="s">
        <v>213</v>
      </c>
      <c r="C5" s="20" t="n">
        <v>150</v>
      </c>
      <c r="D5" s="45"/>
      <c r="E5" s="45"/>
      <c r="F5" s="45"/>
      <c r="G5" s="45"/>
      <c r="H5" s="45"/>
      <c r="I5" s="45"/>
      <c r="J5" s="45"/>
      <c r="K5" s="45"/>
      <c r="L5" s="46" t="s">
        <v>214</v>
      </c>
    </row>
    <row r="6" customFormat="false" ht="15" hidden="false" customHeight="false" outlineLevel="0" collapsed="false">
      <c r="A6" s="31" t="s">
        <v>55</v>
      </c>
      <c r="B6" s="18" t="s">
        <v>213</v>
      </c>
      <c r="C6" s="20" t="n">
        <v>45</v>
      </c>
      <c r="D6" s="45"/>
      <c r="E6" s="45"/>
      <c r="F6" s="45"/>
      <c r="G6" s="45"/>
      <c r="H6" s="46" t="s">
        <v>214</v>
      </c>
      <c r="I6" s="47"/>
      <c r="J6" s="47"/>
      <c r="K6" s="47"/>
      <c r="L6" s="47"/>
    </row>
    <row r="7" customFormat="false" ht="15" hidden="false" customHeight="false" outlineLevel="0" collapsed="false">
      <c r="A7" s="31" t="s">
        <v>75</v>
      </c>
      <c r="B7" s="18" t="s">
        <v>213</v>
      </c>
      <c r="C7" s="20" t="n">
        <v>50</v>
      </c>
      <c r="D7" s="45"/>
      <c r="E7" s="45"/>
      <c r="F7" s="45"/>
      <c r="G7" s="45"/>
      <c r="H7" s="46" t="s">
        <v>214</v>
      </c>
      <c r="I7" s="47"/>
      <c r="J7" s="47"/>
      <c r="K7" s="47"/>
      <c r="L7" s="47"/>
    </row>
    <row r="8" customFormat="false" ht="15" hidden="false" customHeight="false" outlineLevel="0" collapsed="false">
      <c r="A8" s="31" t="s">
        <v>97</v>
      </c>
      <c r="B8" s="18" t="s">
        <v>213</v>
      </c>
      <c r="C8" s="20" t="n">
        <v>50</v>
      </c>
      <c r="D8" s="45"/>
      <c r="E8" s="46" t="s">
        <v>214</v>
      </c>
      <c r="F8" s="47"/>
      <c r="G8" s="47"/>
      <c r="H8" s="47"/>
      <c r="I8" s="47"/>
      <c r="J8" s="47"/>
      <c r="K8" s="47"/>
      <c r="L8" s="47"/>
    </row>
    <row r="9" customFormat="false" ht="15" hidden="false" customHeight="false" outlineLevel="0" collapsed="false">
      <c r="A9" s="31" t="s">
        <v>100</v>
      </c>
      <c r="B9" s="18" t="s">
        <v>213</v>
      </c>
      <c r="C9" s="20" t="n">
        <v>40</v>
      </c>
      <c r="D9" s="45"/>
      <c r="E9" s="45"/>
      <c r="F9" s="45"/>
      <c r="G9" s="45"/>
      <c r="H9" s="46" t="s">
        <v>214</v>
      </c>
      <c r="I9" s="47"/>
      <c r="J9" s="47"/>
      <c r="K9" s="47"/>
      <c r="L9" s="47"/>
    </row>
    <row r="10" customFormat="false" ht="15" hidden="false" customHeight="false" outlineLevel="0" collapsed="false">
      <c r="A10" s="31" t="s">
        <v>71</v>
      </c>
      <c r="B10" s="18" t="s">
        <v>213</v>
      </c>
      <c r="C10" s="20" t="n">
        <v>40</v>
      </c>
      <c r="D10" s="45"/>
      <c r="E10" s="45"/>
      <c r="F10" s="46" t="s">
        <v>214</v>
      </c>
      <c r="G10" s="47"/>
      <c r="H10" s="47"/>
      <c r="I10" s="47"/>
      <c r="J10" s="47"/>
      <c r="K10" s="47"/>
      <c r="L10" s="47"/>
    </row>
    <row r="11" customFormat="false" ht="15" hidden="false" customHeight="false" outlineLevel="0" collapsed="false">
      <c r="A11" s="31" t="s">
        <v>94</v>
      </c>
      <c r="B11" s="18" t="s">
        <v>213</v>
      </c>
      <c r="C11" s="20" t="n">
        <v>35</v>
      </c>
      <c r="D11" s="45"/>
      <c r="E11" s="45"/>
      <c r="F11" s="45"/>
      <c r="G11" s="45"/>
      <c r="H11" s="46" t="s">
        <v>214</v>
      </c>
      <c r="I11" s="47"/>
      <c r="J11" s="47"/>
      <c r="K11" s="47"/>
      <c r="L11" s="47"/>
    </row>
    <row r="12" customFormat="false" ht="15" hidden="false" customHeight="false" outlineLevel="0" collapsed="false">
      <c r="A12" s="31" t="s">
        <v>90</v>
      </c>
      <c r="B12" s="18" t="s">
        <v>213</v>
      </c>
      <c r="C12" s="20" t="n">
        <v>30</v>
      </c>
      <c r="D12" s="45"/>
      <c r="E12" s="46" t="s">
        <v>214</v>
      </c>
      <c r="F12" s="47"/>
      <c r="G12" s="47"/>
      <c r="H12" s="47"/>
      <c r="I12" s="47"/>
      <c r="J12" s="47"/>
      <c r="K12" s="47"/>
      <c r="L12" s="47"/>
    </row>
    <row r="13" customFormat="false" ht="15" hidden="false" customHeight="false" outlineLevel="0" collapsed="false">
      <c r="A13" s="31" t="s">
        <v>61</v>
      </c>
      <c r="B13" s="18" t="s">
        <v>213</v>
      </c>
      <c r="C13" s="20" t="n">
        <v>30</v>
      </c>
      <c r="D13" s="46" t="s">
        <v>214</v>
      </c>
      <c r="E13" s="47"/>
      <c r="F13" s="47"/>
      <c r="G13" s="47"/>
      <c r="H13" s="47"/>
      <c r="I13" s="47"/>
      <c r="J13" s="47"/>
      <c r="K13" s="47"/>
      <c r="L13" s="47"/>
    </row>
    <row r="14" customFormat="false" ht="15" hidden="false" customHeight="false" outlineLevel="0" collapsed="false">
      <c r="A14" s="31" t="s">
        <v>87</v>
      </c>
      <c r="B14" s="18" t="s">
        <v>213</v>
      </c>
      <c r="C14" s="20" t="n">
        <v>25</v>
      </c>
      <c r="D14" s="45"/>
      <c r="E14" s="46" t="s">
        <v>214</v>
      </c>
      <c r="F14" s="47"/>
      <c r="G14" s="47"/>
      <c r="H14" s="47"/>
      <c r="I14" s="47"/>
      <c r="J14" s="47"/>
      <c r="K14" s="47"/>
      <c r="L14" s="47"/>
    </row>
    <row r="15" customFormat="false" ht="15" hidden="false" customHeight="false" outlineLevel="0" collapsed="false">
      <c r="A15" s="31" t="s">
        <v>79</v>
      </c>
      <c r="B15" s="18" t="s">
        <v>213</v>
      </c>
      <c r="C15" s="20" t="n">
        <v>25</v>
      </c>
      <c r="D15" s="45"/>
      <c r="E15" s="46" t="s">
        <v>214</v>
      </c>
      <c r="F15" s="47"/>
      <c r="G15" s="47"/>
      <c r="H15" s="47"/>
      <c r="I15" s="47"/>
      <c r="J15" s="47"/>
      <c r="K15" s="47"/>
      <c r="L15" s="47"/>
    </row>
    <row r="16" customFormat="false" ht="15" hidden="false" customHeight="false" outlineLevel="0" collapsed="false">
      <c r="A16" s="31" t="s">
        <v>66</v>
      </c>
      <c r="B16" s="18" t="s">
        <v>213</v>
      </c>
      <c r="C16" s="20" t="n">
        <v>20</v>
      </c>
      <c r="D16" s="45"/>
      <c r="E16" s="45"/>
      <c r="F16" s="45"/>
      <c r="G16" s="45"/>
      <c r="H16" s="46" t="s">
        <v>214</v>
      </c>
      <c r="I16" s="47"/>
      <c r="J16" s="47"/>
      <c r="K16" s="47"/>
      <c r="L16" s="47"/>
    </row>
    <row r="17" customFormat="false" ht="15" hidden="false" customHeight="false" outlineLevel="0" collapsed="false">
      <c r="A17" s="31" t="s">
        <v>139</v>
      </c>
      <c r="B17" s="18" t="s">
        <v>215</v>
      </c>
      <c r="C17" s="20" t="n">
        <v>25</v>
      </c>
      <c r="D17" s="45"/>
      <c r="E17" s="45"/>
      <c r="F17" s="45"/>
      <c r="G17" s="45"/>
      <c r="H17" s="46" t="s">
        <v>214</v>
      </c>
      <c r="I17" s="47"/>
      <c r="J17" s="47"/>
      <c r="K17" s="47"/>
      <c r="L17" s="47"/>
    </row>
    <row r="18" customFormat="false" ht="15" hidden="false" customHeight="false" outlineLevel="0" collapsed="false">
      <c r="A18" s="31" t="s">
        <v>111</v>
      </c>
      <c r="B18" s="18" t="s">
        <v>215</v>
      </c>
      <c r="C18" s="20" t="n">
        <v>20</v>
      </c>
      <c r="D18" s="45"/>
      <c r="E18" s="45"/>
      <c r="F18" s="46" t="s">
        <v>214</v>
      </c>
      <c r="G18" s="47"/>
      <c r="H18" s="47"/>
      <c r="I18" s="47"/>
      <c r="J18" s="47"/>
      <c r="K18" s="47"/>
      <c r="L18" s="47"/>
    </row>
    <row r="19" customFormat="false" ht="15" hidden="false" customHeight="false" outlineLevel="0" collapsed="false">
      <c r="A19" s="31" t="s">
        <v>148</v>
      </c>
      <c r="B19" s="18" t="s">
        <v>215</v>
      </c>
      <c r="C19" s="20" t="n">
        <v>18</v>
      </c>
      <c r="D19" s="45"/>
      <c r="E19" s="45"/>
      <c r="F19" s="45"/>
      <c r="G19" s="45"/>
      <c r="H19" s="45"/>
      <c r="I19" s="46" t="s">
        <v>214</v>
      </c>
      <c r="J19" s="47"/>
      <c r="K19" s="47"/>
      <c r="L19" s="47"/>
    </row>
    <row r="20" customFormat="false" ht="15" hidden="false" customHeight="false" outlineLevel="0" collapsed="false">
      <c r="A20" s="31" t="s">
        <v>106</v>
      </c>
      <c r="B20" s="18" t="s">
        <v>215</v>
      </c>
      <c r="C20" s="20" t="n">
        <v>15</v>
      </c>
      <c r="D20" s="45"/>
      <c r="E20" s="45"/>
      <c r="F20" s="45"/>
      <c r="G20" s="45"/>
      <c r="H20" s="46" t="s">
        <v>214</v>
      </c>
      <c r="I20" s="47"/>
      <c r="J20" s="47"/>
      <c r="K20" s="47"/>
      <c r="L20" s="47"/>
    </row>
    <row r="21" customFormat="false" ht="15" hidden="false" customHeight="false" outlineLevel="0" collapsed="false">
      <c r="A21" s="31" t="s">
        <v>145</v>
      </c>
      <c r="B21" s="18" t="s">
        <v>215</v>
      </c>
      <c r="C21" s="20" t="n">
        <v>15</v>
      </c>
      <c r="D21" s="45"/>
      <c r="E21" s="46" t="s">
        <v>214</v>
      </c>
      <c r="F21" s="47"/>
      <c r="G21" s="47"/>
      <c r="H21" s="47"/>
      <c r="I21" s="47"/>
      <c r="J21" s="47"/>
      <c r="K21" s="47"/>
      <c r="L21" s="47"/>
    </row>
    <row r="22" customFormat="false" ht="15" hidden="false" customHeight="false" outlineLevel="0" collapsed="false">
      <c r="A22" s="31" t="s">
        <v>156</v>
      </c>
      <c r="B22" s="18" t="s">
        <v>215</v>
      </c>
      <c r="C22" s="20" t="n">
        <v>15</v>
      </c>
      <c r="D22" s="45"/>
      <c r="E22" s="45"/>
      <c r="F22" s="45"/>
      <c r="G22" s="45"/>
      <c r="H22" s="46" t="s">
        <v>214</v>
      </c>
      <c r="I22" s="47"/>
      <c r="J22" s="47"/>
      <c r="K22" s="47"/>
      <c r="L22" s="47"/>
    </row>
    <row r="23" customFormat="false" ht="15" hidden="false" customHeight="false" outlineLevel="0" collapsed="false">
      <c r="A23" s="31" t="s">
        <v>128</v>
      </c>
      <c r="B23" s="18" t="s">
        <v>215</v>
      </c>
      <c r="C23" s="20" t="n">
        <v>12</v>
      </c>
      <c r="D23" s="45"/>
      <c r="E23" s="45"/>
      <c r="F23" s="45"/>
      <c r="G23" s="45"/>
      <c r="H23" s="45"/>
      <c r="I23" s="46" t="s">
        <v>214</v>
      </c>
      <c r="J23" s="47"/>
      <c r="K23" s="47"/>
      <c r="L23" s="47"/>
    </row>
    <row r="24" customFormat="false" ht="15" hidden="false" customHeight="false" outlineLevel="0" collapsed="false">
      <c r="A24" s="31" t="s">
        <v>117</v>
      </c>
      <c r="B24" s="18" t="s">
        <v>215</v>
      </c>
      <c r="C24" s="20" t="n">
        <v>12</v>
      </c>
      <c r="D24" s="45"/>
      <c r="E24" s="45"/>
      <c r="F24" s="46" t="s">
        <v>214</v>
      </c>
      <c r="G24" s="47"/>
      <c r="H24" s="47"/>
      <c r="I24" s="47"/>
      <c r="J24" s="47"/>
      <c r="K24" s="47"/>
      <c r="L24" s="47"/>
    </row>
    <row r="25" customFormat="false" ht="15" hidden="false" customHeight="false" outlineLevel="0" collapsed="false">
      <c r="A25" s="31" t="s">
        <v>114</v>
      </c>
      <c r="B25" s="18" t="s">
        <v>215</v>
      </c>
      <c r="C25" s="20" t="n">
        <v>12</v>
      </c>
      <c r="D25" s="45"/>
      <c r="E25" s="45"/>
      <c r="F25" s="45"/>
      <c r="G25" s="46" t="s">
        <v>214</v>
      </c>
      <c r="H25" s="47"/>
      <c r="I25" s="47"/>
      <c r="J25" s="47"/>
      <c r="K25" s="47"/>
      <c r="L25" s="47"/>
    </row>
    <row r="26" customFormat="false" ht="15" hidden="false" customHeight="false" outlineLevel="0" collapsed="false">
      <c r="A26" s="31" t="s">
        <v>135</v>
      </c>
      <c r="B26" s="18" t="s">
        <v>215</v>
      </c>
      <c r="C26" s="20" t="n">
        <v>12</v>
      </c>
      <c r="D26" s="45"/>
      <c r="E26" s="45"/>
      <c r="F26" s="45"/>
      <c r="G26" s="46" t="s">
        <v>214</v>
      </c>
      <c r="H26" s="47"/>
      <c r="I26" s="47"/>
      <c r="J26" s="47"/>
      <c r="K26" s="47"/>
      <c r="L26" s="47"/>
    </row>
    <row r="27" customFormat="false" ht="15" hidden="false" customHeight="false" outlineLevel="0" collapsed="false">
      <c r="A27" s="31" t="s">
        <v>142</v>
      </c>
      <c r="B27" s="18" t="s">
        <v>215</v>
      </c>
      <c r="C27" s="20" t="n">
        <v>10</v>
      </c>
      <c r="D27" s="45"/>
      <c r="E27" s="45"/>
      <c r="F27" s="45"/>
      <c r="G27" s="46" t="s">
        <v>214</v>
      </c>
      <c r="H27" s="47"/>
      <c r="I27" s="47"/>
      <c r="J27" s="47"/>
      <c r="K27" s="47"/>
      <c r="L27" s="47"/>
    </row>
    <row r="28" customFormat="false" ht="15" hidden="false" customHeight="false" outlineLevel="0" collapsed="false">
      <c r="A28" s="31" t="s">
        <v>153</v>
      </c>
      <c r="B28" s="18" t="s">
        <v>215</v>
      </c>
      <c r="C28" s="20" t="n">
        <v>10</v>
      </c>
      <c r="D28" s="45"/>
      <c r="E28" s="45"/>
      <c r="F28" s="46" t="s">
        <v>214</v>
      </c>
      <c r="G28" s="47"/>
      <c r="H28" s="47"/>
      <c r="I28" s="47"/>
      <c r="J28" s="47"/>
      <c r="K28" s="47"/>
      <c r="L28" s="47"/>
    </row>
    <row r="29" customFormat="false" ht="15" hidden="false" customHeight="false" outlineLevel="0" collapsed="false">
      <c r="A29" s="31" t="s">
        <v>136</v>
      </c>
      <c r="B29" s="18" t="s">
        <v>215</v>
      </c>
      <c r="C29" s="20" t="n">
        <v>10</v>
      </c>
      <c r="D29" s="45"/>
      <c r="E29" s="45"/>
      <c r="F29" s="46" t="s">
        <v>214</v>
      </c>
      <c r="G29" s="47"/>
      <c r="H29" s="47"/>
      <c r="I29" s="47"/>
      <c r="J29" s="47"/>
      <c r="K29" s="47"/>
      <c r="L29" s="47"/>
    </row>
    <row r="30" customFormat="false" ht="15" hidden="false" customHeight="false" outlineLevel="0" collapsed="false">
      <c r="A30" s="31" t="s">
        <v>159</v>
      </c>
      <c r="B30" s="18" t="s">
        <v>215</v>
      </c>
      <c r="C30" s="20" t="n">
        <v>10</v>
      </c>
      <c r="D30" s="45"/>
      <c r="E30" s="45"/>
      <c r="F30" s="45"/>
      <c r="G30" s="45"/>
      <c r="H30" s="46" t="s">
        <v>214</v>
      </c>
      <c r="I30" s="47"/>
      <c r="J30" s="47"/>
      <c r="K30" s="47"/>
      <c r="L30" s="47"/>
    </row>
    <row r="31" customFormat="false" ht="15" hidden="false" customHeight="false" outlineLevel="0" collapsed="false">
      <c r="A31" s="31" t="s">
        <v>120</v>
      </c>
      <c r="B31" s="18" t="s">
        <v>215</v>
      </c>
      <c r="C31" s="20" t="n">
        <v>8</v>
      </c>
      <c r="D31" s="46" t="s">
        <v>214</v>
      </c>
      <c r="E31" s="47"/>
      <c r="F31" s="47"/>
      <c r="G31" s="47"/>
      <c r="H31" s="47"/>
      <c r="I31" s="47"/>
      <c r="J31" s="47"/>
      <c r="K31" s="47"/>
      <c r="L31" s="47"/>
    </row>
    <row r="33" customFormat="false" ht="15" hidden="false" customHeight="false" outlineLevel="0" collapsed="false">
      <c r="A33" s="3" t="s">
        <v>216</v>
      </c>
      <c r="B33" s="3"/>
      <c r="C33" s="3"/>
      <c r="D33" s="48" t="n">
        <v>38</v>
      </c>
      <c r="E33" s="48" t="n">
        <v>145</v>
      </c>
      <c r="F33" s="48" t="n">
        <v>92</v>
      </c>
      <c r="G33" s="48" t="n">
        <v>34</v>
      </c>
      <c r="H33" s="48" t="n">
        <v>255</v>
      </c>
      <c r="I33" s="48" t="n">
        <v>30</v>
      </c>
      <c r="J33" s="48" t="n">
        <v>0</v>
      </c>
      <c r="K33" s="48" t="n">
        <v>0</v>
      </c>
      <c r="L33" s="48" t="n">
        <v>150</v>
      </c>
    </row>
    <row r="34" customFormat="false" ht="15" hidden="false" customHeight="false" outlineLevel="0" collapsed="false">
      <c r="A34" s="49" t="s">
        <v>217</v>
      </c>
      <c r="B34" s="49"/>
      <c r="C34" s="49"/>
      <c r="D34" s="50" t="n">
        <v>2</v>
      </c>
      <c r="E34" s="50" t="n">
        <v>5</v>
      </c>
      <c r="F34" s="50" t="n">
        <v>5</v>
      </c>
      <c r="G34" s="50" t="n">
        <v>3</v>
      </c>
      <c r="H34" s="50" t="n">
        <v>9</v>
      </c>
      <c r="I34" s="50" t="n">
        <v>2</v>
      </c>
      <c r="J34" s="50" t="n">
        <v>0</v>
      </c>
      <c r="K34" s="50" t="n">
        <v>0</v>
      </c>
      <c r="L34" s="50" t="n">
        <v>1</v>
      </c>
    </row>
    <row r="36" customFormat="false" ht="15" hidden="false" customHeight="false" outlineLevel="0" collapsed="false">
      <c r="A36" s="15" t="s">
        <v>218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8" customFormat="false" ht="15" hidden="false" customHeight="false" outlineLevel="0" collapsed="false">
      <c r="A38" s="3" t="s">
        <v>219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31.5" hidden="false" customHeight="true" outlineLevel="0" collapsed="false">
      <c r="A39" s="7" t="s">
        <v>220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31.5" hidden="false" customHeight="true" outlineLevel="0" collapsed="false">
      <c r="A40" s="7" t="s">
        <v>221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31.5" hidden="false" customHeight="true" outlineLevel="0" collapsed="false">
      <c r="A41" s="7" t="s">
        <v>222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customFormat="false" ht="31.5" hidden="false" customHeight="true" outlineLevel="0" collapsed="false">
      <c r="A42" s="7" t="s">
        <v>223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customFormat="false" ht="31.5" hidden="false" customHeight="true" outlineLevel="0" collapsed="false">
      <c r="A43" s="7" t="s">
        <v>224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customFormat="false" ht="31.5" hidden="false" customHeight="true" outlineLevel="0" collapsed="false">
      <c r="A44" s="7" t="s">
        <v>225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</sheetData>
  <mergeCells count="12">
    <mergeCell ref="A1:I1"/>
    <mergeCell ref="A2:I2"/>
    <mergeCell ref="A33:C33"/>
    <mergeCell ref="A34:C34"/>
    <mergeCell ref="A36:L36"/>
    <mergeCell ref="A38:L38"/>
    <mergeCell ref="A39:L39"/>
    <mergeCell ref="A40:L40"/>
    <mergeCell ref="A41:L41"/>
    <mergeCell ref="A42:L42"/>
    <mergeCell ref="A43:L43"/>
    <mergeCell ref="A44:L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4" t="s">
        <v>226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227</v>
      </c>
      <c r="B2" s="15"/>
      <c r="C2" s="15"/>
      <c r="D2" s="15"/>
      <c r="E2" s="15"/>
      <c r="F2" s="15"/>
    </row>
    <row r="4" customFormat="false" ht="31.5" hidden="false" customHeight="true" outlineLevel="0" collapsed="false">
      <c r="A4" s="16" t="s">
        <v>228</v>
      </c>
      <c r="B4" s="16" t="s">
        <v>229</v>
      </c>
      <c r="C4" s="16" t="s">
        <v>230</v>
      </c>
      <c r="D4" s="16" t="s">
        <v>231</v>
      </c>
      <c r="E4" s="16" t="s">
        <v>232</v>
      </c>
      <c r="F4" s="16" t="s">
        <v>233</v>
      </c>
    </row>
    <row r="5" customFormat="false" ht="22.35" hidden="false" customHeight="false" outlineLevel="0" collapsed="false">
      <c r="A5" s="21" t="n">
        <v>2017</v>
      </c>
      <c r="B5" s="21" t="n">
        <v>4</v>
      </c>
      <c r="C5" s="21" t="n">
        <v>1</v>
      </c>
      <c r="D5" s="51" t="n">
        <f aca="false">B5+C5</f>
        <v>5</v>
      </c>
      <c r="E5" s="34" t="n">
        <f aca="false">C5/D5</f>
        <v>0.2</v>
      </c>
      <c r="F5" s="37" t="s">
        <v>234</v>
      </c>
    </row>
    <row r="6" customFormat="false" ht="15" hidden="false" customHeight="false" outlineLevel="0" collapsed="false">
      <c r="A6" s="21" t="n">
        <v>2018</v>
      </c>
      <c r="B6" s="21" t="n">
        <v>3</v>
      </c>
      <c r="C6" s="21" t="n">
        <v>2</v>
      </c>
      <c r="D6" s="51" t="n">
        <f aca="false">B6+C6</f>
        <v>5</v>
      </c>
      <c r="E6" s="34" t="n">
        <f aca="false">C6/D6</f>
        <v>0.4</v>
      </c>
      <c r="F6" s="37" t="s">
        <v>235</v>
      </c>
    </row>
    <row r="7" customFormat="false" ht="15" hidden="false" customHeight="false" outlineLevel="0" collapsed="false">
      <c r="A7" s="21" t="n">
        <v>2019</v>
      </c>
      <c r="B7" s="21" t="n">
        <v>4</v>
      </c>
      <c r="C7" s="21" t="n">
        <v>1</v>
      </c>
      <c r="D7" s="51" t="n">
        <f aca="false">B7+C7</f>
        <v>5</v>
      </c>
      <c r="E7" s="34" t="n">
        <f aca="false">C7/D7</f>
        <v>0.2</v>
      </c>
      <c r="F7" s="37" t="s">
        <v>236</v>
      </c>
    </row>
    <row r="8" customFormat="false" ht="15" hidden="false" customHeight="false" outlineLevel="0" collapsed="false">
      <c r="A8" s="21" t="n">
        <v>2020</v>
      </c>
      <c r="B8" s="21" t="n">
        <v>3</v>
      </c>
      <c r="C8" s="21" t="n">
        <v>2</v>
      </c>
      <c r="D8" s="51" t="n">
        <f aca="false">B8+C8</f>
        <v>5</v>
      </c>
      <c r="E8" s="34" t="n">
        <f aca="false">C8/D8</f>
        <v>0.4</v>
      </c>
      <c r="F8" s="37" t="s">
        <v>237</v>
      </c>
    </row>
    <row r="9" customFormat="false" ht="15" hidden="false" customHeight="false" outlineLevel="0" collapsed="false">
      <c r="A9" s="21" t="n">
        <v>2021</v>
      </c>
      <c r="B9" s="21" t="n">
        <v>5</v>
      </c>
      <c r="C9" s="21" t="n">
        <v>2</v>
      </c>
      <c r="D9" s="51" t="n">
        <f aca="false">B9+C9</f>
        <v>7</v>
      </c>
      <c r="E9" s="34" t="n">
        <f aca="false">C9/D9</f>
        <v>0.285714285714286</v>
      </c>
      <c r="F9" s="37" t="s">
        <v>238</v>
      </c>
    </row>
    <row r="10" customFormat="false" ht="15" hidden="false" customHeight="false" outlineLevel="0" collapsed="false">
      <c r="A10" s="21" t="n">
        <v>2022</v>
      </c>
      <c r="B10" s="21" t="n">
        <v>6</v>
      </c>
      <c r="C10" s="21" t="n">
        <v>3</v>
      </c>
      <c r="D10" s="51" t="n">
        <f aca="false">B10+C10</f>
        <v>9</v>
      </c>
      <c r="E10" s="34" t="n">
        <f aca="false">C10/D10</f>
        <v>0.333333333333333</v>
      </c>
      <c r="F10" s="37" t="s">
        <v>239</v>
      </c>
    </row>
    <row r="11" customFormat="false" ht="15" hidden="false" customHeight="false" outlineLevel="0" collapsed="false">
      <c r="A11" s="21" t="n">
        <v>2023</v>
      </c>
      <c r="B11" s="21" t="n">
        <v>4</v>
      </c>
      <c r="C11" s="21" t="n">
        <v>4</v>
      </c>
      <c r="D11" s="51" t="n">
        <f aca="false">B11+C11</f>
        <v>8</v>
      </c>
      <c r="E11" s="34" t="n">
        <f aca="false">C11/D11</f>
        <v>0.5</v>
      </c>
      <c r="F11" s="37" t="s">
        <v>240</v>
      </c>
    </row>
    <row r="12" customFormat="false" ht="22.35" hidden="false" customHeight="false" outlineLevel="0" collapsed="false">
      <c r="A12" s="21" t="n">
        <v>2024</v>
      </c>
      <c r="B12" s="21" t="n">
        <v>3</v>
      </c>
      <c r="C12" s="21" t="n">
        <v>5</v>
      </c>
      <c r="D12" s="51" t="n">
        <f aca="false">B12+C12</f>
        <v>8</v>
      </c>
      <c r="E12" s="34" t="n">
        <f aca="false">C12/D12</f>
        <v>0.625</v>
      </c>
      <c r="F12" s="37" t="s">
        <v>241</v>
      </c>
    </row>
    <row r="13" customFormat="false" ht="15" hidden="false" customHeight="false" outlineLevel="0" collapsed="false">
      <c r="A13" s="21" t="n">
        <v>2025</v>
      </c>
      <c r="B13" s="21" t="n">
        <v>3</v>
      </c>
      <c r="C13" s="21" t="n">
        <v>4</v>
      </c>
      <c r="D13" s="51" t="n">
        <f aca="false">B13+C13</f>
        <v>7</v>
      </c>
      <c r="E13" s="34" t="n">
        <f aca="false">C13/D13</f>
        <v>0.571428571428571</v>
      </c>
      <c r="F13" s="37" t="s">
        <v>242</v>
      </c>
    </row>
    <row r="14" customFormat="false" ht="22.35" hidden="false" customHeight="false" outlineLevel="0" collapsed="false">
      <c r="A14" s="21" t="n">
        <v>2026</v>
      </c>
      <c r="B14" s="21" t="n">
        <v>4</v>
      </c>
      <c r="C14" s="21" t="n">
        <v>3</v>
      </c>
      <c r="D14" s="51" t="n">
        <f aca="false">B14+C14</f>
        <v>7</v>
      </c>
      <c r="E14" s="34" t="n">
        <f aca="false">C14/D14</f>
        <v>0.428571428571429</v>
      </c>
      <c r="F14" s="37" t="s">
        <v>243</v>
      </c>
    </row>
    <row r="62" customFormat="false" ht="15" hidden="false" customHeight="false" outlineLevel="0" collapsed="false">
      <c r="A62" s="3" t="s">
        <v>244</v>
      </c>
      <c r="B62" s="3"/>
      <c r="C62" s="3"/>
      <c r="D62" s="3"/>
      <c r="E62" s="3"/>
      <c r="F62" s="3"/>
    </row>
    <row r="63" customFormat="false" ht="27.75" hidden="false" customHeight="true" outlineLevel="0" collapsed="false">
      <c r="A63" s="7" t="s">
        <v>245</v>
      </c>
      <c r="B63" s="7"/>
      <c r="C63" s="7"/>
      <c r="D63" s="7"/>
      <c r="E63" s="7"/>
      <c r="F63" s="7"/>
    </row>
    <row r="64" customFormat="false" ht="27.75" hidden="false" customHeight="true" outlineLevel="0" collapsed="false">
      <c r="A64" s="7" t="s">
        <v>246</v>
      </c>
      <c r="B64" s="7"/>
      <c r="C64" s="7"/>
      <c r="D64" s="7"/>
      <c r="E64" s="7"/>
      <c r="F64" s="7"/>
    </row>
    <row r="65" customFormat="false" ht="27.75" hidden="false" customHeight="true" outlineLevel="0" collapsed="false">
      <c r="A65" s="7" t="s">
        <v>247</v>
      </c>
      <c r="B65" s="7"/>
      <c r="C65" s="7"/>
      <c r="D65" s="7"/>
      <c r="E65" s="7"/>
      <c r="F65" s="7"/>
    </row>
    <row r="66" customFormat="false" ht="27.75" hidden="false" customHeight="true" outlineLevel="0" collapsed="false">
      <c r="A66" s="7" t="s">
        <v>248</v>
      </c>
      <c r="B66" s="7"/>
      <c r="C66" s="7"/>
      <c r="D66" s="7"/>
      <c r="E66" s="7"/>
      <c r="F66" s="7"/>
    </row>
    <row r="67" customFormat="false" ht="27.75" hidden="false" customHeight="true" outlineLevel="0" collapsed="false">
      <c r="A67" s="7" t="s">
        <v>249</v>
      </c>
      <c r="B67" s="7"/>
      <c r="C67" s="7"/>
      <c r="D67" s="7"/>
      <c r="E67" s="7"/>
      <c r="F67" s="7"/>
    </row>
  </sheetData>
  <mergeCells count="8">
    <mergeCell ref="A1:F1"/>
    <mergeCell ref="A2:F2"/>
    <mergeCell ref="A62:F62"/>
    <mergeCell ref="A63:F63"/>
    <mergeCell ref="A64:F64"/>
    <mergeCell ref="A65:F65"/>
    <mergeCell ref="A66:F66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4" t="s">
        <v>250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251</v>
      </c>
      <c r="B2" s="15"/>
      <c r="C2" s="15"/>
      <c r="D2" s="15"/>
      <c r="E2" s="15"/>
    </row>
    <row r="4" customFormat="false" ht="39.55" hidden="false" customHeight="false" outlineLevel="0" collapsed="false">
      <c r="A4" s="16" t="s">
        <v>252</v>
      </c>
      <c r="B4" s="16" t="s">
        <v>253</v>
      </c>
      <c r="C4" s="16" t="s">
        <v>49</v>
      </c>
      <c r="D4" s="16" t="s">
        <v>254</v>
      </c>
      <c r="E4" s="16" t="s">
        <v>255</v>
      </c>
    </row>
    <row r="5" customFormat="false" ht="32.8" hidden="false" customHeight="false" outlineLevel="0" collapsed="false">
      <c r="A5" s="31" t="s">
        <v>256</v>
      </c>
      <c r="B5" s="21" t="n">
        <v>17</v>
      </c>
      <c r="C5" s="20" t="n">
        <v>482</v>
      </c>
      <c r="D5" s="34" t="n">
        <f aca="false">C5/SUM($C$5:$C$7)</f>
        <v>0.647849462365591</v>
      </c>
      <c r="E5" s="37" t="s">
        <v>257</v>
      </c>
    </row>
    <row r="6" customFormat="false" ht="22.35" hidden="false" customHeight="false" outlineLevel="0" collapsed="false">
      <c r="A6" s="31" t="s">
        <v>258</v>
      </c>
      <c r="B6" s="21" t="n">
        <v>9</v>
      </c>
      <c r="C6" s="20" t="n">
        <v>217</v>
      </c>
      <c r="D6" s="34" t="n">
        <f aca="false">C6/SUM($C$5:$C$7)</f>
        <v>0.291666666666667</v>
      </c>
      <c r="E6" s="37" t="s">
        <v>259</v>
      </c>
    </row>
    <row r="7" customFormat="false" ht="15" hidden="false" customHeight="false" outlineLevel="0" collapsed="false">
      <c r="A7" s="31" t="s">
        <v>260</v>
      </c>
      <c r="B7" s="21" t="n">
        <v>1</v>
      </c>
      <c r="C7" s="20" t="n">
        <v>45</v>
      </c>
      <c r="D7" s="34" t="n">
        <f aca="false">C7/SUM($C$5:$C$7)</f>
        <v>0.0604838709677419</v>
      </c>
      <c r="E7" s="37" t="s">
        <v>261</v>
      </c>
    </row>
    <row r="8" customFormat="false" ht="15" hidden="false" customHeight="false" outlineLevel="0" collapsed="false">
      <c r="A8" s="40" t="s">
        <v>202</v>
      </c>
      <c r="B8" s="52" t="n">
        <f aca="false">SUM(B5:B7)</f>
        <v>27</v>
      </c>
      <c r="C8" s="53" t="n">
        <f aca="false">SUM(C5:C7)</f>
        <v>744</v>
      </c>
      <c r="D8" s="54" t="n">
        <f aca="false">SUM(D5:D7)</f>
        <v>1</v>
      </c>
      <c r="E8" s="25"/>
    </row>
    <row r="27" customFormat="false" ht="15" hidden="false" customHeight="false" outlineLevel="0" collapsed="false">
      <c r="A27" s="3" t="s">
        <v>262</v>
      </c>
      <c r="B27" s="3"/>
      <c r="C27" s="3"/>
      <c r="D27" s="3"/>
      <c r="E27" s="3"/>
    </row>
    <row r="28" customFormat="false" ht="31.5" hidden="false" customHeight="true" outlineLevel="0" collapsed="false">
      <c r="A28" s="7" t="s">
        <v>263</v>
      </c>
      <c r="B28" s="7"/>
      <c r="C28" s="7"/>
      <c r="D28" s="7"/>
      <c r="E28" s="7"/>
    </row>
    <row r="29" customFormat="false" ht="31.5" hidden="false" customHeight="true" outlineLevel="0" collapsed="false">
      <c r="A29" s="7" t="s">
        <v>264</v>
      </c>
      <c r="B29" s="7"/>
      <c r="C29" s="7"/>
      <c r="D29" s="7"/>
      <c r="E29" s="7"/>
    </row>
    <row r="30" customFormat="false" ht="31.5" hidden="false" customHeight="true" outlineLevel="0" collapsed="false">
      <c r="A30" s="7" t="s">
        <v>265</v>
      </c>
      <c r="B30" s="7"/>
      <c r="C30" s="7"/>
      <c r="D30" s="7"/>
      <c r="E30" s="7"/>
    </row>
    <row r="31" customFormat="false" ht="31.5" hidden="false" customHeight="true" outlineLevel="0" collapsed="false">
      <c r="A31" s="7" t="s">
        <v>266</v>
      </c>
      <c r="B31" s="7"/>
      <c r="C31" s="7"/>
      <c r="D31" s="7"/>
      <c r="E31" s="7"/>
    </row>
    <row r="32" customFormat="false" ht="31.5" hidden="false" customHeight="true" outlineLevel="0" collapsed="false">
      <c r="A32" s="7" t="s">
        <v>267</v>
      </c>
      <c r="B32" s="7"/>
      <c r="C32" s="7"/>
      <c r="D32" s="7"/>
      <c r="E32" s="7"/>
    </row>
  </sheetData>
  <mergeCells count="8">
    <mergeCell ref="A1:E1"/>
    <mergeCell ref="A2:E2"/>
    <mergeCell ref="A27:E27"/>
    <mergeCell ref="A28:E28"/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27.75" hidden="false" customHeight="true" outlineLevel="0" collapsed="false">
      <c r="A1" s="14" t="s">
        <v>268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15" t="s">
        <v>269</v>
      </c>
      <c r="B2" s="15"/>
      <c r="C2" s="15"/>
      <c r="D2" s="15"/>
      <c r="E2" s="15"/>
      <c r="F2" s="15"/>
      <c r="G2" s="15"/>
      <c r="H2" s="15"/>
    </row>
    <row r="4" customFormat="false" ht="31.5" hidden="false" customHeight="true" outlineLevel="0" collapsed="false">
      <c r="A4" s="16" t="s">
        <v>228</v>
      </c>
      <c r="B4" s="16" t="s">
        <v>270</v>
      </c>
      <c r="C4" s="16" t="s">
        <v>271</v>
      </c>
      <c r="D4" s="16" t="s">
        <v>272</v>
      </c>
      <c r="E4" s="16" t="s">
        <v>273</v>
      </c>
      <c r="F4" s="16" t="s">
        <v>252</v>
      </c>
      <c r="G4" s="16" t="s">
        <v>274</v>
      </c>
    </row>
    <row r="5" customFormat="false" ht="15" hidden="false" customHeight="false" outlineLevel="0" collapsed="false">
      <c r="A5" s="21" t="n">
        <v>2017</v>
      </c>
      <c r="B5" s="20" t="n">
        <v>1830</v>
      </c>
      <c r="C5" s="55" t="n">
        <v>0.21</v>
      </c>
      <c r="D5" s="32" t="n">
        <f aca="false">B5*C5</f>
        <v>384.3</v>
      </c>
      <c r="E5" s="56"/>
      <c r="F5" s="57" t="s">
        <v>275</v>
      </c>
      <c r="G5" s="37" t="s">
        <v>276</v>
      </c>
    </row>
    <row r="6" customFormat="false" ht="15" hidden="false" customHeight="false" outlineLevel="0" collapsed="false">
      <c r="A6" s="21" t="n">
        <v>2018</v>
      </c>
      <c r="B6" s="20" t="n">
        <v>1827</v>
      </c>
      <c r="C6" s="55" t="n">
        <v>0.21</v>
      </c>
      <c r="D6" s="32" t="n">
        <f aca="false">B6*C6</f>
        <v>383.67</v>
      </c>
      <c r="E6" s="34" t="n">
        <f aca="false">(D6-D5)/D5</f>
        <v>-0.00163934426229522</v>
      </c>
      <c r="F6" s="57" t="s">
        <v>275</v>
      </c>
      <c r="G6" s="37" t="s">
        <v>277</v>
      </c>
    </row>
    <row r="7" customFormat="false" ht="15" hidden="false" customHeight="false" outlineLevel="0" collapsed="false">
      <c r="A7" s="21" t="n">
        <v>2019</v>
      </c>
      <c r="B7" s="20" t="n">
        <v>2022</v>
      </c>
      <c r="C7" s="55" t="n">
        <v>0.2</v>
      </c>
      <c r="D7" s="32" t="n">
        <f aca="false">B7*C7</f>
        <v>404.4</v>
      </c>
      <c r="E7" s="34" t="n">
        <f aca="false">(D7-D6)/D6</f>
        <v>0.0540308077253892</v>
      </c>
      <c r="F7" s="57" t="s">
        <v>275</v>
      </c>
      <c r="G7" s="37" t="s">
        <v>278</v>
      </c>
    </row>
    <row r="8" customFormat="false" ht="15" hidden="false" customHeight="false" outlineLevel="0" collapsed="false">
      <c r="A8" s="21" t="n">
        <v>2020</v>
      </c>
      <c r="B8" s="20" t="n">
        <v>1145</v>
      </c>
      <c r="C8" s="55" t="n">
        <v>0.21</v>
      </c>
      <c r="D8" s="32" t="n">
        <f aca="false">B8*C8</f>
        <v>240.45</v>
      </c>
      <c r="E8" s="34" t="n">
        <f aca="false">(D8-D7)/D7</f>
        <v>-0.405415430267062</v>
      </c>
      <c r="F8" s="57" t="s">
        <v>275</v>
      </c>
      <c r="G8" s="37" t="s">
        <v>279</v>
      </c>
    </row>
    <row r="9" customFormat="false" ht="15" hidden="false" customHeight="false" outlineLevel="0" collapsed="false">
      <c r="A9" s="21" t="n">
        <v>2021</v>
      </c>
      <c r="B9" s="20" t="n">
        <v>2136</v>
      </c>
      <c r="C9" s="55" t="n">
        <v>0.2</v>
      </c>
      <c r="D9" s="32" t="n">
        <f aca="false">B9*C9</f>
        <v>427.2</v>
      </c>
      <c r="E9" s="34" t="n">
        <f aca="false">(D9-D8)/D8</f>
        <v>0.776668746101061</v>
      </c>
      <c r="F9" s="57" t="s">
        <v>275</v>
      </c>
      <c r="G9" s="37" t="s">
        <v>280</v>
      </c>
    </row>
    <row r="10" customFormat="false" ht="15" hidden="false" customHeight="false" outlineLevel="0" collapsed="false">
      <c r="A10" s="21" t="n">
        <v>2022</v>
      </c>
      <c r="B10" s="20" t="n">
        <v>2573</v>
      </c>
      <c r="C10" s="55" t="n">
        <v>0.2</v>
      </c>
      <c r="D10" s="32" t="n">
        <f aca="false">B10*C10</f>
        <v>514.6</v>
      </c>
      <c r="E10" s="34" t="n">
        <f aca="false">(D10-D9)/D9</f>
        <v>0.204588014981273</v>
      </c>
      <c r="F10" s="57" t="s">
        <v>275</v>
      </c>
      <c r="G10" s="37" t="s">
        <v>281</v>
      </c>
    </row>
    <row r="11" customFormat="false" ht="15" hidden="false" customHeight="false" outlineLevel="0" collapsed="false">
      <c r="A11" s="21" t="n">
        <v>2023</v>
      </c>
      <c r="B11" s="20" t="n">
        <v>3222</v>
      </c>
      <c r="C11" s="55" t="n">
        <v>0.19</v>
      </c>
      <c r="D11" s="32" t="n">
        <f aca="false">B11*C11</f>
        <v>612.18</v>
      </c>
      <c r="E11" s="34" t="n">
        <f aca="false">(D11-D10)/D10</f>
        <v>0.189623008161679</v>
      </c>
      <c r="F11" s="57" t="s">
        <v>275</v>
      </c>
      <c r="G11" s="37" t="s">
        <v>282</v>
      </c>
    </row>
    <row r="12" customFormat="false" ht="15" hidden="false" customHeight="false" outlineLevel="0" collapsed="false">
      <c r="A12" s="21" t="n">
        <v>2024</v>
      </c>
      <c r="B12" s="20" t="n">
        <v>3653</v>
      </c>
      <c r="C12" s="55" t="n">
        <v>0.186</v>
      </c>
      <c r="D12" s="32" t="n">
        <f aca="false">B12*C12</f>
        <v>679.458</v>
      </c>
      <c r="E12" s="34" t="n">
        <f aca="false">(D12-D11)/D11</f>
        <v>0.109899049299226</v>
      </c>
      <c r="F12" s="57" t="s">
        <v>275</v>
      </c>
      <c r="G12" s="37" t="s">
        <v>283</v>
      </c>
    </row>
    <row r="13" customFormat="false" ht="15" hidden="false" customHeight="false" outlineLevel="0" collapsed="false">
      <c r="A13" s="21" t="n">
        <v>2025</v>
      </c>
      <c r="B13" s="20" t="n">
        <v>3870</v>
      </c>
      <c r="C13" s="55" t="n">
        <v>0.217</v>
      </c>
      <c r="D13" s="32" t="n">
        <f aca="false">B13*C13</f>
        <v>839.79</v>
      </c>
      <c r="E13" s="34" t="n">
        <f aca="false">(D13-D12)/D12</f>
        <v>0.235970435258692</v>
      </c>
      <c r="F13" s="57" t="s">
        <v>275</v>
      </c>
      <c r="G13" s="37" t="s">
        <v>284</v>
      </c>
    </row>
    <row r="14" customFormat="false" ht="15" hidden="false" customHeight="false" outlineLevel="0" collapsed="false">
      <c r="A14" s="21" t="n">
        <v>2026</v>
      </c>
      <c r="B14" s="20" t="n">
        <v>4250</v>
      </c>
      <c r="C14" s="55" t="n">
        <v>0.23</v>
      </c>
      <c r="D14" s="32" t="n">
        <f aca="false">B14*C14</f>
        <v>977.5</v>
      </c>
      <c r="E14" s="34" t="n">
        <f aca="false">(D14-D13)/D13</f>
        <v>0.163981471558366</v>
      </c>
      <c r="F14" s="39" t="s">
        <v>285</v>
      </c>
      <c r="G14" s="37" t="s">
        <v>286</v>
      </c>
    </row>
    <row r="15" customFormat="false" ht="15" hidden="false" customHeight="false" outlineLevel="0" collapsed="false">
      <c r="A15" s="21" t="n">
        <v>2027</v>
      </c>
      <c r="B15" s="20" t="n">
        <v>4650</v>
      </c>
      <c r="C15" s="55" t="n">
        <v>0.235</v>
      </c>
      <c r="D15" s="32" t="n">
        <f aca="false">B15*C15</f>
        <v>1092.75</v>
      </c>
      <c r="E15" s="34" t="n">
        <f aca="false">(D15-D14)/D14</f>
        <v>0.117902813299233</v>
      </c>
      <c r="F15" s="39" t="s">
        <v>285</v>
      </c>
      <c r="G15" s="37" t="s">
        <v>287</v>
      </c>
    </row>
    <row r="16" customFormat="false" ht="15" hidden="false" customHeight="false" outlineLevel="0" collapsed="false">
      <c r="A16" s="21" t="n">
        <v>2028</v>
      </c>
      <c r="B16" s="20" t="n">
        <v>5050</v>
      </c>
      <c r="C16" s="55" t="n">
        <v>0.24</v>
      </c>
      <c r="D16" s="32" t="n">
        <f aca="false">B16*C16</f>
        <v>1212</v>
      </c>
      <c r="E16" s="34" t="n">
        <f aca="false">(D16-D15)/D15</f>
        <v>0.109128345916266</v>
      </c>
      <c r="F16" s="39" t="s">
        <v>285</v>
      </c>
      <c r="G16" s="37" t="s">
        <v>288</v>
      </c>
    </row>
    <row r="17" customFormat="false" ht="15" hidden="false" customHeight="false" outlineLevel="0" collapsed="false">
      <c r="A17" s="21" t="n">
        <v>2029</v>
      </c>
      <c r="B17" s="20" t="n">
        <v>5450</v>
      </c>
      <c r="C17" s="55" t="n">
        <v>0.245</v>
      </c>
      <c r="D17" s="32" t="n">
        <f aca="false">B17*C17</f>
        <v>1335.25</v>
      </c>
      <c r="E17" s="34" t="n">
        <f aca="false">(D17-D16)/D16</f>
        <v>0.101691419141914</v>
      </c>
      <c r="F17" s="39" t="s">
        <v>285</v>
      </c>
      <c r="G17" s="37" t="s">
        <v>289</v>
      </c>
    </row>
    <row r="18" customFormat="false" ht="22.35" hidden="false" customHeight="false" outlineLevel="0" collapsed="false">
      <c r="A18" s="21" t="n">
        <v>2030</v>
      </c>
      <c r="B18" s="20" t="n">
        <v>5900</v>
      </c>
      <c r="C18" s="55" t="n">
        <v>0.255</v>
      </c>
      <c r="D18" s="32" t="n">
        <f aca="false">B18*C18</f>
        <v>1504.5</v>
      </c>
      <c r="E18" s="34" t="n">
        <f aca="false">(D18-D17)/D17</f>
        <v>0.126755289271672</v>
      </c>
      <c r="F18" s="39" t="s">
        <v>285</v>
      </c>
      <c r="G18" s="37" t="s">
        <v>290</v>
      </c>
    </row>
    <row r="20" customFormat="false" ht="15" hidden="false" customHeight="false" outlineLevel="0" collapsed="false">
      <c r="A20" s="23" t="s">
        <v>291</v>
      </c>
      <c r="B20" s="23"/>
      <c r="C20" s="23"/>
      <c r="D20" s="54" t="n">
        <f aca="false">(D13-D5)/D5</f>
        <v>1.18524590163934</v>
      </c>
      <c r="E20" s="25"/>
      <c r="F20" s="25"/>
      <c r="G20" s="25"/>
    </row>
    <row r="21" customFormat="false" ht="15" hidden="false" customHeight="false" outlineLevel="0" collapsed="false">
      <c r="A21" s="58" t="s">
        <v>292</v>
      </c>
      <c r="B21" s="58"/>
      <c r="C21" s="58"/>
      <c r="D21" s="59" t="n">
        <f aca="false">(D18-D13)/D13</f>
        <v>0.791519308398528</v>
      </c>
      <c r="E21" s="30"/>
      <c r="F21" s="30"/>
      <c r="G21" s="30"/>
    </row>
    <row r="44" customFormat="false" ht="15" hidden="false" customHeight="false" outlineLevel="0" collapsed="false">
      <c r="A44" s="3" t="s">
        <v>293</v>
      </c>
      <c r="B44" s="3"/>
      <c r="C44" s="3"/>
      <c r="D44" s="3"/>
      <c r="E44" s="3"/>
      <c r="F44" s="3"/>
      <c r="G44" s="3"/>
    </row>
    <row r="45" customFormat="false" ht="27.75" hidden="false" customHeight="true" outlineLevel="0" collapsed="false">
      <c r="A45" s="7" t="s">
        <v>294</v>
      </c>
      <c r="B45" s="7"/>
      <c r="C45" s="7"/>
      <c r="D45" s="7"/>
      <c r="E45" s="7"/>
      <c r="F45" s="7"/>
      <c r="G45" s="7"/>
    </row>
    <row r="46" customFormat="false" ht="27.75" hidden="false" customHeight="true" outlineLevel="0" collapsed="false">
      <c r="A46" s="7" t="s">
        <v>295</v>
      </c>
      <c r="B46" s="7"/>
      <c r="C46" s="7"/>
      <c r="D46" s="7"/>
      <c r="E46" s="7"/>
      <c r="F46" s="7"/>
      <c r="G46" s="7"/>
    </row>
    <row r="47" customFormat="false" ht="27.75" hidden="false" customHeight="true" outlineLevel="0" collapsed="false">
      <c r="A47" s="7" t="s">
        <v>296</v>
      </c>
      <c r="B47" s="7"/>
      <c r="C47" s="7"/>
      <c r="D47" s="7"/>
      <c r="E47" s="7"/>
      <c r="F47" s="7"/>
      <c r="G47" s="7"/>
    </row>
    <row r="48" customFormat="false" ht="27.75" hidden="false" customHeight="true" outlineLevel="0" collapsed="false">
      <c r="A48" s="7" t="s">
        <v>297</v>
      </c>
      <c r="B48" s="7"/>
      <c r="C48" s="7"/>
      <c r="D48" s="7"/>
      <c r="E48" s="7"/>
      <c r="F48" s="7"/>
      <c r="G48" s="7"/>
    </row>
    <row r="49" customFormat="false" ht="27.75" hidden="false" customHeight="true" outlineLevel="0" collapsed="false">
      <c r="A49" s="7" t="s">
        <v>298</v>
      </c>
      <c r="B49" s="7"/>
      <c r="C49" s="7"/>
      <c r="D49" s="7"/>
      <c r="E49" s="7"/>
      <c r="F49" s="7"/>
      <c r="G49" s="7"/>
    </row>
    <row r="50" customFormat="false" ht="27.75" hidden="false" customHeight="true" outlineLevel="0" collapsed="false">
      <c r="A50" s="7" t="s">
        <v>299</v>
      </c>
      <c r="B50" s="7"/>
      <c r="C50" s="7"/>
      <c r="D50" s="7"/>
      <c r="E50" s="7"/>
      <c r="F50" s="7"/>
      <c r="G50" s="7"/>
    </row>
  </sheetData>
  <mergeCells count="11">
    <mergeCell ref="A1:H1"/>
    <mergeCell ref="A2:H2"/>
    <mergeCell ref="A20:C20"/>
    <mergeCell ref="A21:C21"/>
    <mergeCell ref="A44:G44"/>
    <mergeCell ref="A45:G45"/>
    <mergeCell ref="A46:G46"/>
    <mergeCell ref="A47:G47"/>
    <mergeCell ref="A48:G48"/>
    <mergeCell ref="A49:G49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2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14" t="s">
        <v>300</v>
      </c>
      <c r="B1" s="14"/>
      <c r="C1" s="14"/>
      <c r="D1" s="14"/>
    </row>
    <row r="3" customFormat="false" ht="27.75" hidden="false" customHeight="true" outlineLevel="0" collapsed="false">
      <c r="A3" s="16" t="s">
        <v>301</v>
      </c>
      <c r="B3" s="16" t="s">
        <v>302</v>
      </c>
      <c r="C3" s="16" t="s">
        <v>303</v>
      </c>
      <c r="D3" s="16" t="s">
        <v>304</v>
      </c>
    </row>
    <row r="4" customFormat="false" ht="27.75" hidden="false" customHeight="true" outlineLevel="0" collapsed="false">
      <c r="A4" s="31" t="s">
        <v>305</v>
      </c>
      <c r="B4" s="60" t="s">
        <v>306</v>
      </c>
      <c r="C4" s="60" t="s">
        <v>307</v>
      </c>
      <c r="D4" s="37" t="s">
        <v>308</v>
      </c>
    </row>
    <row r="5" customFormat="false" ht="27.75" hidden="false" customHeight="true" outlineLevel="0" collapsed="false">
      <c r="A5" s="31" t="s">
        <v>309</v>
      </c>
      <c r="B5" s="60" t="s">
        <v>310</v>
      </c>
      <c r="C5" s="60" t="s">
        <v>311</v>
      </c>
      <c r="D5" s="37" t="s">
        <v>308</v>
      </c>
    </row>
    <row r="6" customFormat="false" ht="27.75" hidden="false" customHeight="true" outlineLevel="0" collapsed="false">
      <c r="A6" s="31" t="s">
        <v>312</v>
      </c>
      <c r="B6" s="60" t="s">
        <v>313</v>
      </c>
      <c r="C6" s="60" t="s">
        <v>314</v>
      </c>
      <c r="D6" s="37" t="s">
        <v>308</v>
      </c>
    </row>
    <row r="7" customFormat="false" ht="27.75" hidden="false" customHeight="true" outlineLevel="0" collapsed="false">
      <c r="A7" s="31" t="s">
        <v>315</v>
      </c>
      <c r="B7" s="60" t="s">
        <v>316</v>
      </c>
      <c r="C7" s="60" t="s">
        <v>317</v>
      </c>
      <c r="D7" s="37" t="s">
        <v>318</v>
      </c>
    </row>
    <row r="8" customFormat="false" ht="27.75" hidden="false" customHeight="true" outlineLevel="0" collapsed="false">
      <c r="A8" s="31" t="s">
        <v>319</v>
      </c>
      <c r="B8" s="60" t="s">
        <v>320</v>
      </c>
      <c r="C8" s="60" t="s">
        <v>321</v>
      </c>
      <c r="D8" s="37" t="s">
        <v>322</v>
      </c>
    </row>
    <row r="9" customFormat="false" ht="27.75" hidden="false" customHeight="true" outlineLevel="0" collapsed="false">
      <c r="A9" s="31" t="s">
        <v>323</v>
      </c>
      <c r="B9" s="60" t="s">
        <v>324</v>
      </c>
      <c r="C9" s="60" t="s">
        <v>325</v>
      </c>
      <c r="D9" s="37" t="s">
        <v>326</v>
      </c>
    </row>
    <row r="10" customFormat="false" ht="27.75" hidden="false" customHeight="true" outlineLevel="0" collapsed="false">
      <c r="A10" s="31" t="s">
        <v>327</v>
      </c>
      <c r="B10" s="60" t="s">
        <v>328</v>
      </c>
      <c r="C10" s="60" t="s">
        <v>329</v>
      </c>
      <c r="D10" s="37" t="s">
        <v>330</v>
      </c>
    </row>
    <row r="11" customFormat="false" ht="27.75" hidden="false" customHeight="true" outlineLevel="0" collapsed="false">
      <c r="A11" s="31" t="s">
        <v>331</v>
      </c>
      <c r="B11" s="60" t="s">
        <v>332</v>
      </c>
      <c r="C11" s="60" t="s">
        <v>333</v>
      </c>
      <c r="D11" s="37" t="s">
        <v>334</v>
      </c>
    </row>
    <row r="12" customFormat="false" ht="27.75" hidden="false" customHeight="true" outlineLevel="0" collapsed="false">
      <c r="A12" s="31" t="s">
        <v>335</v>
      </c>
      <c r="B12" s="60" t="s">
        <v>336</v>
      </c>
      <c r="C12" s="60" t="s">
        <v>337</v>
      </c>
      <c r="D12" s="37" t="s">
        <v>338</v>
      </c>
    </row>
    <row r="13" customFormat="false" ht="27.75" hidden="false" customHeight="true" outlineLevel="0" collapsed="false">
      <c r="A13" s="31" t="s">
        <v>339</v>
      </c>
      <c r="B13" s="60" t="s">
        <v>340</v>
      </c>
      <c r="C13" s="60" t="s">
        <v>341</v>
      </c>
      <c r="D13" s="37" t="s">
        <v>342</v>
      </c>
    </row>
    <row r="14" customFormat="false" ht="27.75" hidden="false" customHeight="true" outlineLevel="0" collapsed="false">
      <c r="A14" s="31" t="s">
        <v>343</v>
      </c>
      <c r="B14" s="60" t="s">
        <v>344</v>
      </c>
      <c r="C14" s="60" t="s">
        <v>345</v>
      </c>
      <c r="D14" s="37" t="s">
        <v>346</v>
      </c>
    </row>
    <row r="15" customFormat="false" ht="27.75" hidden="false" customHeight="true" outlineLevel="0" collapsed="false">
      <c r="A15" s="31" t="s">
        <v>347</v>
      </c>
      <c r="B15" s="60" t="s">
        <v>348</v>
      </c>
      <c r="C15" s="60" t="s">
        <v>349</v>
      </c>
      <c r="D15" s="37" t="s">
        <v>350</v>
      </c>
    </row>
    <row r="16" customFormat="false" ht="27.75" hidden="false" customHeight="true" outlineLevel="0" collapsed="false">
      <c r="A16" s="31" t="s">
        <v>351</v>
      </c>
      <c r="B16" s="60" t="s">
        <v>352</v>
      </c>
      <c r="C16" s="60" t="s">
        <v>353</v>
      </c>
      <c r="D16" s="37" t="s">
        <v>350</v>
      </c>
    </row>
    <row r="17" customFormat="false" ht="27.75" hidden="false" customHeight="true" outlineLevel="0" collapsed="false">
      <c r="A17" s="31" t="s">
        <v>354</v>
      </c>
      <c r="B17" s="60" t="s">
        <v>355</v>
      </c>
      <c r="C17" s="60" t="s">
        <v>356</v>
      </c>
      <c r="D17" s="37" t="s">
        <v>357</v>
      </c>
    </row>
    <row r="18" customFormat="false" ht="27.75" hidden="false" customHeight="true" outlineLevel="0" collapsed="false">
      <c r="A18" s="31" t="s">
        <v>358</v>
      </c>
      <c r="B18" s="60" t="s">
        <v>359</v>
      </c>
      <c r="C18" s="60" t="s">
        <v>356</v>
      </c>
      <c r="D18" s="37" t="s">
        <v>357</v>
      </c>
    </row>
    <row r="19" customFormat="false" ht="27.75" hidden="false" customHeight="true" outlineLevel="0" collapsed="false">
      <c r="A19" s="31" t="s">
        <v>360</v>
      </c>
      <c r="B19" s="60" t="s">
        <v>361</v>
      </c>
      <c r="C19" s="60" t="s">
        <v>362</v>
      </c>
      <c r="D19" s="37" t="s">
        <v>363</v>
      </c>
    </row>
    <row r="20" customFormat="false" ht="27.75" hidden="false" customHeight="true" outlineLevel="0" collapsed="false">
      <c r="A20" s="31" t="s">
        <v>364</v>
      </c>
      <c r="B20" s="60" t="s">
        <v>365</v>
      </c>
      <c r="C20" s="60" t="s">
        <v>366</v>
      </c>
      <c r="D20" s="37" t="s">
        <v>363</v>
      </c>
    </row>
    <row r="23" customFormat="false" ht="15" hidden="false" customHeight="false" outlineLevel="0" collapsed="false">
      <c r="A23" s="3" t="s">
        <v>367</v>
      </c>
      <c r="B23" s="3"/>
      <c r="C23" s="3"/>
      <c r="D23" s="3"/>
    </row>
    <row r="24" customFormat="false" ht="49.5" hidden="false" customHeight="true" outlineLevel="0" collapsed="false">
      <c r="A24" s="61" t="s">
        <v>368</v>
      </c>
      <c r="B24" s="62" t="s">
        <v>369</v>
      </c>
      <c r="C24" s="62"/>
      <c r="D24" s="62"/>
    </row>
    <row r="25" customFormat="false" ht="49.5" hidden="false" customHeight="true" outlineLevel="0" collapsed="false">
      <c r="A25" s="61" t="s">
        <v>370</v>
      </c>
      <c r="B25" s="62" t="s">
        <v>371</v>
      </c>
      <c r="C25" s="62"/>
      <c r="D25" s="62"/>
    </row>
    <row r="26" customFormat="false" ht="49.5" hidden="false" customHeight="true" outlineLevel="0" collapsed="false">
      <c r="A26" s="61" t="s">
        <v>372</v>
      </c>
      <c r="B26" s="62" t="s">
        <v>373</v>
      </c>
      <c r="C26" s="62"/>
      <c r="D26" s="62"/>
    </row>
    <row r="27" customFormat="false" ht="49.5" hidden="false" customHeight="true" outlineLevel="0" collapsed="false">
      <c r="A27" s="61" t="s">
        <v>374</v>
      </c>
      <c r="B27" s="62" t="s">
        <v>375</v>
      </c>
      <c r="C27" s="62"/>
      <c r="D27" s="62"/>
    </row>
    <row r="28" customFormat="false" ht="49.5" hidden="false" customHeight="true" outlineLevel="0" collapsed="false">
      <c r="A28" s="61" t="s">
        <v>376</v>
      </c>
      <c r="B28" s="62" t="s">
        <v>377</v>
      </c>
      <c r="C28" s="62"/>
      <c r="D28" s="62"/>
    </row>
    <row r="29" customFormat="false" ht="49.5" hidden="false" customHeight="true" outlineLevel="0" collapsed="false">
      <c r="A29" s="61" t="s">
        <v>378</v>
      </c>
      <c r="B29" s="62" t="s">
        <v>379</v>
      </c>
      <c r="C29" s="62"/>
      <c r="D29" s="62"/>
    </row>
    <row r="30" customFormat="false" ht="49.5" hidden="false" customHeight="true" outlineLevel="0" collapsed="false">
      <c r="A30" s="61" t="s">
        <v>380</v>
      </c>
      <c r="B30" s="62" t="s">
        <v>381</v>
      </c>
      <c r="C30" s="62"/>
      <c r="D30" s="62"/>
    </row>
  </sheetData>
  <mergeCells count="9">
    <mergeCell ref="A1:D1"/>
    <mergeCell ref="A23:D23"/>
    <mergeCell ref="B24:D24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2026-05-07T16:14:05Z</dcterms:created>
  <dc:creator>openpyxl</dc:creator>
  <dc:description/>
  <dc:language>en-US</dc:language>
  <cp:lastModifiedBy/>
  <dcterms:modified xsi:type="dcterms:W3CDTF">2026-05-07T16:14:12Z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