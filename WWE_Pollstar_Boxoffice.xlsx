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ual Summary" sheetId="1" state="visible" r:id="rId3"/>
    <sheet name="Quarterly Summary" sheetId="2" state="visible" r:id="rId4"/>
    <sheet name="Exhibit 4 - Like-for-Like" sheetId="3" state="visible" r:id="rId5"/>
    <sheet name="Raw Dat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<sst xmlns="http://schemas.openxmlformats.org/spreadsheetml/2006/main" count="1389" uniqueCount="408">
  <si>
    <t xml:space="preserve">WWE Live Event Box Office  |  Annual Summary</t>
  </si>
  <si>
    <t xml:space="preserve">Source: Pollstar Data Cloud, Boxoffice. Promoter: World Wrestling Entertainment. USD. Calendar years 2023 to 2026.</t>
  </si>
  <si>
    <t xml:space="preserve">Year</t>
  </si>
  <si>
    <t xml:space="preserve">Events</t>
  </si>
  <si>
    <t xml:space="preserve">Shows</t>
  </si>
  <si>
    <t xml:space="preserve">Total Gross (USD)</t>
  </si>
  <si>
    <t xml:space="preserve">Avg. Gross / Show (USD)</t>
  </si>
  <si>
    <t xml:space="preserve">Avg. Gross / Event (USD)</t>
  </si>
  <si>
    <t xml:space="preserve">Avg. Ticket (USD)</t>
  </si>
  <si>
    <t xml:space="preserve">Capacity Sold %</t>
  </si>
  <si>
    <t xml:space="preserve">Total Gross YoY %</t>
  </si>
  <si>
    <t xml:space="preserve">Avg. Gross/Show YoY %</t>
  </si>
  <si>
    <t xml:space="preserve">Avg. Ticket YoY %</t>
  </si>
  <si>
    <t xml:space="preserve">n/a</t>
  </si>
  <si>
    <t xml:space="preserve">Notes: 2023 YoY is not available because pre-2023 data is excluded per scope. 2026 covers Q1 to Q2 only, so its YoY figures compare a partial year against a full year and are not like-for-like.</t>
  </si>
  <si>
    <t xml:space="preserve">WWE Live Event Box Office  |  Quarterly Summary</t>
  </si>
  <si>
    <t xml:space="preserve">Source: Pollstar Data Cloud, Boxoffice. USD. YoY compares each quarter to the same quarter one year earlier.</t>
  </si>
  <si>
    <t xml:space="preserve">Year-Qtr</t>
  </si>
  <si>
    <t xml:space="preserve">2023 Q1</t>
  </si>
  <si>
    <t xml:space="preserve">2023 Q2</t>
  </si>
  <si>
    <t xml:space="preserve">2023 Q3</t>
  </si>
  <si>
    <t xml:space="preserve">2023 Q4</t>
  </si>
  <si>
    <t xml:space="preserve">2024 Q1</t>
  </si>
  <si>
    <t xml:space="preserve">2024 Q2</t>
  </si>
  <si>
    <t xml:space="preserve">2024 Q3</t>
  </si>
  <si>
    <t xml:space="preserve">2024 Q4</t>
  </si>
  <si>
    <t xml:space="preserve">2025 Q1</t>
  </si>
  <si>
    <t xml:space="preserve">2025 Q2</t>
  </si>
  <si>
    <t xml:space="preserve">2025 Q3</t>
  </si>
  <si>
    <t xml:space="preserve">2025 Q4</t>
  </si>
  <si>
    <t xml:space="preserve">2026 Q1</t>
  </si>
  <si>
    <t xml:space="preserve">2026 Q2</t>
  </si>
  <si>
    <t xml:space="preserve">Notes: YoY is blank for all 2023 quarters (no 2022 comparison in scope). Total Gross = Avg. Gross per Show multiplied by Number of Shows, summed across engagements.</t>
  </si>
  <si>
    <t xml:space="preserve">Exhibit 4  |  Like-for-Like Same-Venue Pricing, 2025 to 2026</t>
  </si>
  <si>
    <t xml:space="preserve">Latest year-over-year cut. Each venue is compared to itself in the same quarter (Q1 or Q2), 2025 vs 2026. Same venue, same quarter, one year apart, so the comparison is fully like-for-like.</t>
  </si>
  <si>
    <t xml:space="preserve">Venue</t>
  </si>
  <si>
    <t xml:space="preserve">City</t>
  </si>
  <si>
    <t xml:space="preserve">Qtr</t>
  </si>
  <si>
    <t xml:space="preserve">Window</t>
  </si>
  <si>
    <t xml:space="preserve">Gap</t>
  </si>
  <si>
    <t xml:space="preserve">First Avg Tkt</t>
  </si>
  <si>
    <t xml:space="preserve">Latest Avg Tkt</t>
  </si>
  <si>
    <t xml:space="preserve">Avg Tkt Δ</t>
  </si>
  <si>
    <t xml:space="preserve">First Top Tkt</t>
  </si>
  <si>
    <t xml:space="preserve">Latest Top Tkt</t>
  </si>
  <si>
    <t xml:space="preserve">Top Tkt Δ</t>
  </si>
  <si>
    <t xml:space="preserve">First Gross/Show</t>
  </si>
  <si>
    <t xml:space="preserve">Latest Gross/Show</t>
  </si>
  <si>
    <t xml:space="preserve">Gross/Show Δ</t>
  </si>
  <si>
    <t xml:space="preserve">KeyBank Center</t>
  </si>
  <si>
    <t xml:space="preserve">Buffalo</t>
  </si>
  <si>
    <t xml:space="preserve">Q1</t>
  </si>
  <si>
    <t xml:space="preserve">2025–2026</t>
  </si>
  <si>
    <t xml:space="preserve">1y</t>
  </si>
  <si>
    <t xml:space="preserve">CHI Health Center Omaha</t>
  </si>
  <si>
    <t xml:space="preserve">Omaha</t>
  </si>
  <si>
    <t xml:space="preserve">Q2</t>
  </si>
  <si>
    <t xml:space="preserve">Spectrum Center</t>
  </si>
  <si>
    <t xml:space="preserve">Charlotte</t>
  </si>
  <si>
    <t xml:space="preserve">Frost Bank Center</t>
  </si>
  <si>
    <t xml:space="preserve">San Antonio</t>
  </si>
  <si>
    <t xml:space="preserve">American Airlines Center</t>
  </si>
  <si>
    <t xml:space="preserve">Dallas</t>
  </si>
  <si>
    <t xml:space="preserve">Golden 1 Center</t>
  </si>
  <si>
    <t xml:space="preserve">Sacramento</t>
  </si>
  <si>
    <t xml:space="preserve">State Farm Arena</t>
  </si>
  <si>
    <t xml:space="preserve">Atlanta</t>
  </si>
  <si>
    <t xml:space="preserve">BOK Center</t>
  </si>
  <si>
    <t xml:space="preserve">Tulsa</t>
  </si>
  <si>
    <t xml:space="preserve">Dickies Arena</t>
  </si>
  <si>
    <t xml:space="preserve">Fort Worth</t>
  </si>
  <si>
    <t xml:space="preserve">T-Mobile Arena</t>
  </si>
  <si>
    <t xml:space="preserve">Las Vegas</t>
  </si>
  <si>
    <t xml:space="preserve">MEDIAN</t>
  </si>
  <si>
    <t xml:space="preserve">SHARE POSITIVE</t>
  </si>
  <si>
    <t xml:space="preserve">Takeaway: on the latest 2025 to 2026 like-for-like, ticket pricing held up. The median venue raised its average ticket and its top ticket, with most venues positive on both. Gross per show declined at most venues over the same window, driven by about a fifth fewer tickets sold per show (smaller configurations and event-type mix at several arenas, with some genuine capacity softening). Read this as price per seat staying firm into 2026, not as box-office growth.</t>
  </si>
  <si>
    <t xml:space="preserve">Method notes: blue cells are sourced Pollstar per-engagement averages. Source: Pollstar Data Cloud, Boxoffice, Promoter = World Wrestling Entertainment, accessed Jun 2026. Top Tkt = Ticket Price Max. Sample is 10 venue comparisons; each point is a single engagement, so individual rows are card and configuration dependent. The Frost Bank top-ticket figure reflects a premium tier added in 2026 and is an outlier; the median and share-positive lines, not any single row, carry the read. 2026 covers Q1 to Q2.</t>
  </si>
  <si>
    <t xml:space="preserve">Event Date</t>
  </si>
  <si>
    <t xml:space="preserve">Quarter</t>
  </si>
  <si>
    <t xml:space="preserve">Headliner</t>
  </si>
  <si>
    <t xml:space="preserve">Support</t>
  </si>
  <si>
    <t xml:space="preserve">State</t>
  </si>
  <si>
    <t xml:space="preserve">Country</t>
  </si>
  <si>
    <t xml:space="preserve">Avg. Tickets Sold</t>
  </si>
  <si>
    <t xml:space="preserve">Engagement Gross (USD)</t>
  </si>
  <si>
    <t xml:space="preserve">Avg. Capacity</t>
  </si>
  <si>
    <t xml:space="preserve">Min Ticket (USD)</t>
  </si>
  <si>
    <t xml:space="preserve">Max Ticket (USD)</t>
  </si>
  <si>
    <t xml:space="preserve">World Wrestling Entertainment</t>
  </si>
  <si>
    <t xml:space="preserve">Matt Riddle, Bobby Lashley, Seth Rollins, Bianca Belair</t>
  </si>
  <si>
    <t xml:space="preserve">Bridgestone Arena</t>
  </si>
  <si>
    <t xml:space="preserve">Nashville</t>
  </si>
  <si>
    <t xml:space="preserve">Tennessee</t>
  </si>
  <si>
    <t xml:space="preserve">United States</t>
  </si>
  <si>
    <t xml:space="preserve">Drew Mcintyre, The New Day, The Usos, Liv Morgan, Sami Zayn</t>
  </si>
  <si>
    <t xml:space="preserve">FedExForum</t>
  </si>
  <si>
    <t xml:space="preserve">Memphis</t>
  </si>
  <si>
    <t xml:space="preserve">Kevin Owens, Roman Reigns, Baron Corbin, Jey Uso</t>
  </si>
  <si>
    <t xml:space="preserve">Legacy Arena at the BJCC</t>
  </si>
  <si>
    <t xml:space="preserve">Birmingham</t>
  </si>
  <si>
    <t xml:space="preserve">Alabama</t>
  </si>
  <si>
    <t xml:space="preserve">Little Caesars Arena</t>
  </si>
  <si>
    <t xml:space="preserve">Detroit</t>
  </si>
  <si>
    <t xml:space="preserve">Michigan</t>
  </si>
  <si>
    <t xml:space="preserve">Wells Fargo Center</t>
  </si>
  <si>
    <t xml:space="preserve">Philadelphia</t>
  </si>
  <si>
    <t xml:space="preserve">Pennsylvania</t>
  </si>
  <si>
    <t xml:space="preserve">Oklahoma</t>
  </si>
  <si>
    <t xml:space="preserve">Bron Breakker, Grayson Waller</t>
  </si>
  <si>
    <t xml:space="preserve">North Carolina</t>
  </si>
  <si>
    <t xml:space="preserve">Seth Rollins, Austin Theory, Bianca Belair, Becky Lynch</t>
  </si>
  <si>
    <t xml:space="preserve">Amway Center</t>
  </si>
  <si>
    <t xml:space="preserve">Orlando</t>
  </si>
  <si>
    <t xml:space="preserve">Florida</t>
  </si>
  <si>
    <t xml:space="preserve">Mohegan Sun Arena</t>
  </si>
  <si>
    <t xml:space="preserve">Uncasville</t>
  </si>
  <si>
    <t xml:space="preserve">Connecticut</t>
  </si>
  <si>
    <t xml:space="preserve">Seth Rollins, Austin Theory, Bobby Lashley, Bianca Belair</t>
  </si>
  <si>
    <t xml:space="preserve">Barclays Center</t>
  </si>
  <si>
    <t xml:space="preserve">Brooklyn</t>
  </si>
  <si>
    <t xml:space="preserve">New York</t>
  </si>
  <si>
    <t xml:space="preserve">Asuka, Liv Morgan, Ronda Rousey, Sami Zayn</t>
  </si>
  <si>
    <t xml:space="preserve">Bell Centre</t>
  </si>
  <si>
    <t xml:space="preserve">Montreal</t>
  </si>
  <si>
    <t xml:space="preserve">Quebec</t>
  </si>
  <si>
    <t xml:space="preserve">Canada</t>
  </si>
  <si>
    <t xml:space="preserve">Asuka, Liv Morgan, Brock Lesnar, Bobby Lashley</t>
  </si>
  <si>
    <t xml:space="preserve">Canadian Tire Centre</t>
  </si>
  <si>
    <t xml:space="preserve">Ottawa</t>
  </si>
  <si>
    <t xml:space="preserve">Ontario</t>
  </si>
  <si>
    <t xml:space="preserve">Charlotte Flair, Rhea Ripley, Rey Mysterio, Karrion Kross, Braun Strowmann, Ricochet</t>
  </si>
  <si>
    <t xml:space="preserve">Ford Center</t>
  </si>
  <si>
    <t xml:space="preserve">Evansville</t>
  </si>
  <si>
    <t xml:space="preserve">Indiana</t>
  </si>
  <si>
    <t xml:space="preserve">BMO Harris Bank Center</t>
  </si>
  <si>
    <t xml:space="preserve">Rockford</t>
  </si>
  <si>
    <t xml:space="preserve">Illinois</t>
  </si>
  <si>
    <t xml:space="preserve">Braun Strowmann, Bray Wyatt, Gunther, Ronda Rousey</t>
  </si>
  <si>
    <t xml:space="preserve">Capital One Arena</t>
  </si>
  <si>
    <t xml:space="preserve">Washington</t>
  </si>
  <si>
    <t xml:space="preserve">District of Columbia</t>
  </si>
  <si>
    <t xml:space="preserve">Roman Reigns, Sami Zayn, Braun Strowmann, Drew Mcintyre</t>
  </si>
  <si>
    <t xml:space="preserve">Coca-Cola Coliseum</t>
  </si>
  <si>
    <t xml:space="preserve">Toronto</t>
  </si>
  <si>
    <t xml:space="preserve">John Cena, Kevin Owens, Dolph Ziggler, Austin Theory</t>
  </si>
  <si>
    <t xml:space="preserve">TD Garden</t>
  </si>
  <si>
    <t xml:space="preserve">Boston</t>
  </si>
  <si>
    <t xml:space="preserve">Massachusetts</t>
  </si>
  <si>
    <t xml:space="preserve">Alexa Bliss, The Usos</t>
  </si>
  <si>
    <t xml:space="preserve">PPG Paints Arena</t>
  </si>
  <si>
    <t xml:space="preserve">Pittsburgh</t>
  </si>
  <si>
    <t xml:space="preserve">Drew Mcintyre, Braun Strowmann, Charlotte Flair, Sami Zayn</t>
  </si>
  <si>
    <t xml:space="preserve">MGM Grand Garden Arena</t>
  </si>
  <si>
    <t xml:space="preserve">Nevada</t>
  </si>
  <si>
    <t xml:space="preserve">Madison Square Garden</t>
  </si>
  <si>
    <t xml:space="preserve">Fiserv Forum</t>
  </si>
  <si>
    <t xml:space="preserve">Milwaukee</t>
  </si>
  <si>
    <t xml:space="preserve">Wisconsin</t>
  </si>
  <si>
    <t xml:space="preserve">Cody Rhodes, Kevin Owens, Sami Zayn, Roman Reigns</t>
  </si>
  <si>
    <t xml:space="preserve">"Stone Cold" Steve Austin, Triple H, Chris Jericho, Randy Orton</t>
  </si>
  <si>
    <t xml:space="preserve">Footprint Center</t>
  </si>
  <si>
    <t xml:space="preserve">Phoenix</t>
  </si>
  <si>
    <t xml:space="preserve">Arizona</t>
  </si>
  <si>
    <t xml:space="preserve">Crypto.com Arena</t>
  </si>
  <si>
    <t xml:space="preserve">Los Angeles</t>
  </si>
  <si>
    <t xml:space="preserve">California</t>
  </si>
  <si>
    <t xml:space="preserve">Roman Reigns, Cody Rhodes, Asuka, Bianca Belair, Charlotte Flair, Rhea Ripley</t>
  </si>
  <si>
    <t xml:space="preserve">SoFi Stadium</t>
  </si>
  <si>
    <t xml:space="preserve">Inglewood</t>
  </si>
  <si>
    <t xml:space="preserve">Kevin Owens, Drew Mcintyre, Xavier Woods, Braun Strowmann, The Usos</t>
  </si>
  <si>
    <t xml:space="preserve">Moda Center</t>
  </si>
  <si>
    <t xml:space="preserve">Portland</t>
  </si>
  <si>
    <t xml:space="preserve">Oregon</t>
  </si>
  <si>
    <t xml:space="preserve">Becky Lynch, Seth Rollins, Bianca Belair, Bobby Lashley, Kevin Ownes</t>
  </si>
  <si>
    <t xml:space="preserve">Climate Pledge Arena</t>
  </si>
  <si>
    <t xml:space="preserve">Seattle</t>
  </si>
  <si>
    <t xml:space="preserve">Brock Lesnar, Bianca Belair, Cody Rhodes, Austin Theory</t>
  </si>
  <si>
    <t xml:space="preserve">Simmons Bank Arena</t>
  </si>
  <si>
    <t xml:space="preserve">North Little Rock</t>
  </si>
  <si>
    <t xml:space="preserve">Arkansas</t>
  </si>
  <si>
    <t xml:space="preserve">Damian Priest, Rey Mysterio, Cody Rhodes, Finn Balor</t>
  </si>
  <si>
    <t xml:space="preserve">Allstate Arena</t>
  </si>
  <si>
    <t xml:space="preserve">Rosemont</t>
  </si>
  <si>
    <t xml:space="preserve">Cody Rhodes, Brock Lesnar, Seth Rollins, Bianca Belair, Becky Lynch</t>
  </si>
  <si>
    <t xml:space="preserve">Texas</t>
  </si>
  <si>
    <t xml:space="preserve">Thompson-Boling Arena</t>
  </si>
  <si>
    <t xml:space="preserve">Knoxville</t>
  </si>
  <si>
    <t xml:space="preserve">Zelina Vega, Lacey Evans, Bianca Belair, The Usos</t>
  </si>
  <si>
    <t xml:space="preserve">Mohegan Sun Arena At Casey Plaza</t>
  </si>
  <si>
    <t xml:space="preserve">Wilkes-Barre</t>
  </si>
  <si>
    <t xml:space="preserve">SNHU Arena</t>
  </si>
  <si>
    <t xml:space="preserve">Manchester</t>
  </si>
  <si>
    <t xml:space="preserve">New Hampshire</t>
  </si>
  <si>
    <t xml:space="preserve">Bianca Belair, AJ Styles, The Usos, The Brawling Brutes</t>
  </si>
  <si>
    <t xml:space="preserve">Rupp Arena</t>
  </si>
  <si>
    <t xml:space="preserve">Lexington</t>
  </si>
  <si>
    <t xml:space="preserve">Kentucky</t>
  </si>
  <si>
    <t xml:space="preserve">Austin Theory, Sheamus, Kevin Owens, Sami Zayn</t>
  </si>
  <si>
    <t xml:space="preserve">Charleston Coliseum</t>
  </si>
  <si>
    <t xml:space="preserve">Charleston</t>
  </si>
  <si>
    <t xml:space="preserve">West Virginia</t>
  </si>
  <si>
    <t xml:space="preserve">Cody Rhodes, Bianca Belair, Seth Rollins, Kevin Owens</t>
  </si>
  <si>
    <t xml:space="preserve">Rocket Mortgage Fieldhouse</t>
  </si>
  <si>
    <t xml:space="preserve">Cleveland</t>
  </si>
  <si>
    <t xml:space="preserve">Ohio</t>
  </si>
  <si>
    <t xml:space="preserve">WWE Live</t>
  </si>
  <si>
    <t xml:space="preserve">Enmarket Arena</t>
  </si>
  <si>
    <t xml:space="preserve">Savannah</t>
  </si>
  <si>
    <t xml:space="preserve">Georgia</t>
  </si>
  <si>
    <t xml:space="preserve">Brock Lesnar, Cody Rhodes, Becky Lynch, Rhea Ripley</t>
  </si>
  <si>
    <t xml:space="preserve">CFG Bank Arena</t>
  </si>
  <si>
    <t xml:space="preserve">Baltimore</t>
  </si>
  <si>
    <t xml:space="preserve">Maryland</t>
  </si>
  <si>
    <t xml:space="preserve">Bianca Belair, The Usos, AJ Styles, Rey Mysterio</t>
  </si>
  <si>
    <t xml:space="preserve">Seth Rollins, Finn Balor, Natalya, Rhea Ripley</t>
  </si>
  <si>
    <t xml:space="preserve">EagleBank Arena</t>
  </si>
  <si>
    <t xml:space="preserve">Fairfax</t>
  </si>
  <si>
    <t xml:space="preserve">Virginia</t>
  </si>
  <si>
    <t xml:space="preserve">Brock Lesnar, Cody Rhodes, Seth Rollins, Becky Lynch</t>
  </si>
  <si>
    <t xml:space="preserve">Roman Reigns, Jey Uso, Charlotte Flair, Iyo Sky</t>
  </si>
  <si>
    <t xml:space="preserve">Hertz Arena</t>
  </si>
  <si>
    <t xml:space="preserve">Estero</t>
  </si>
  <si>
    <t xml:space="preserve">Wes Lee, Dominik Mysterio, Tiffany Stratton</t>
  </si>
  <si>
    <t xml:space="preserve">H-E-B Center At Cedar Park</t>
  </si>
  <si>
    <t xml:space="preserve">Cedar Park</t>
  </si>
  <si>
    <t xml:space="preserve">Seth Rollins, Cody Rhodes, Rhea Ripley, Kevin Owens</t>
  </si>
  <si>
    <t xml:space="preserve">Canada Life Centre</t>
  </si>
  <si>
    <t xml:space="preserve">Winnipeg</t>
  </si>
  <si>
    <t xml:space="preserve">Manitoba</t>
  </si>
  <si>
    <t xml:space="preserve">Cody Rhodes, Bianca Belair, Rhea Ripley, Seth Rollins, Sami Zayn, Kevin Owens</t>
  </si>
  <si>
    <t xml:space="preserve">Place Bell</t>
  </si>
  <si>
    <t xml:space="preserve">Laval</t>
  </si>
  <si>
    <t xml:space="preserve">Finn Balor, Damian Priest, Cody Rhodes, Sami Zayn</t>
  </si>
  <si>
    <t xml:space="preserve">Centre Vidéotron</t>
  </si>
  <si>
    <t xml:space="preserve">Quebec City</t>
  </si>
  <si>
    <t xml:space="preserve">Becky Lynch, Seth Rollins</t>
  </si>
  <si>
    <t xml:space="preserve">Charlotte Flair, Austin Theory, AJ Styles</t>
  </si>
  <si>
    <t xml:space="preserve">Norfolk Scope Arena</t>
  </si>
  <si>
    <t xml:space="preserve">Norfolk</t>
  </si>
  <si>
    <t xml:space="preserve">Seth Rollins, The Miz, Iyo Sky, Charlotte Flair</t>
  </si>
  <si>
    <t xml:space="preserve">Save Mart Center</t>
  </si>
  <si>
    <t xml:space="preserve">Fresno</t>
  </si>
  <si>
    <t xml:space="preserve">Toyota Arena</t>
  </si>
  <si>
    <t xml:space="preserve">Mechanics Bank Arena</t>
  </si>
  <si>
    <t xml:space="preserve">Bakersfield</t>
  </si>
  <si>
    <t xml:space="preserve">Gunther, Damian Priest, Jey Uso</t>
  </si>
  <si>
    <t xml:space="preserve">SAP Center At San Jose</t>
  </si>
  <si>
    <t xml:space="preserve">San Jose</t>
  </si>
  <si>
    <t xml:space="preserve">John Cena, LA Knight, Jimmy USO, Solo Sikoa</t>
  </si>
  <si>
    <t xml:space="preserve">Gainbridge Fieldhouse</t>
  </si>
  <si>
    <t xml:space="preserve">Indianapolis</t>
  </si>
  <si>
    <t xml:space="preserve">John Cena, Roman Reigns, LA Knight, Solo Sikoa</t>
  </si>
  <si>
    <t xml:space="preserve">WWE Live, WWE Live</t>
  </si>
  <si>
    <t xml:space="preserve">Paycom Center</t>
  </si>
  <si>
    <t xml:space="preserve">Oklahoma City</t>
  </si>
  <si>
    <t xml:space="preserve">John Cena, Charlotte Flair, Iyo Sky, Santos Escobar</t>
  </si>
  <si>
    <t xml:space="preserve">John Cena, Roman Reigns, Rey Mysterio, LA Knight</t>
  </si>
  <si>
    <t xml:space="preserve">Rey Mysterio, Charlotte Flair, LA Knight, Austin Theory</t>
  </si>
  <si>
    <t xml:space="preserve">Damian Priest, Finn Balor, Becky Lynch, Charlotte Flair</t>
  </si>
  <si>
    <t xml:space="preserve">Bianca Belair, Charlotte Flair, Shotzi Blackheart, Becky Lynch, The Miz, Cody Rhodes</t>
  </si>
  <si>
    <t xml:space="preserve">Peoria Civic Center Arena</t>
  </si>
  <si>
    <t xml:space="preserve">Peoria</t>
  </si>
  <si>
    <t xml:space="preserve">Rey Mysterio, Bobby Lashley, Charlotte Flair, Iyo Sky, Bianca Belair, Jimmy USO</t>
  </si>
  <si>
    <t xml:space="preserve">PPL Center</t>
  </si>
  <si>
    <t xml:space="preserve">Allentown</t>
  </si>
  <si>
    <t xml:space="preserve">MVP Arena</t>
  </si>
  <si>
    <t xml:space="preserve">Albany</t>
  </si>
  <si>
    <t xml:space="preserve">Resch Center</t>
  </si>
  <si>
    <t xml:space="preserve">Green Bay</t>
  </si>
  <si>
    <t xml:space="preserve">Vibrant Arena at The Mark</t>
  </si>
  <si>
    <t xml:space="preserve">Moline</t>
  </si>
  <si>
    <t xml:space="preserve">Wells Fargo Arena</t>
  </si>
  <si>
    <t xml:space="preserve">Des Moines</t>
  </si>
  <si>
    <t xml:space="preserve">Iowa</t>
  </si>
  <si>
    <t xml:space="preserve">Becky Lynch, Zoey Stark, Kofi Kingston, Ludwig Kaiser, Ricochet, Bronson Reed, Cody Rhodes</t>
  </si>
  <si>
    <t xml:space="preserve">LA Knight, Jimmy USO, Kevin Owens, Solo Sikoa</t>
  </si>
  <si>
    <t xml:space="preserve">Pechanga Arena San Diego</t>
  </si>
  <si>
    <t xml:space="preserve">San Diego</t>
  </si>
  <si>
    <t xml:space="preserve">Cody Rhodes, Seth Rollins, LA Knight, Bobby Lashley</t>
  </si>
  <si>
    <t xml:space="preserve">Spokane Arena</t>
  </si>
  <si>
    <t xml:space="preserve">Spokane</t>
  </si>
  <si>
    <t xml:space="preserve">CM Punk, Cody Rhodes, Shinsuke Nakamura, Drew Mcintyre</t>
  </si>
  <si>
    <t xml:space="preserve">Kaseya Center</t>
  </si>
  <si>
    <t xml:space="preserve">Miami</t>
  </si>
  <si>
    <t xml:space="preserve">Amalie Arena</t>
  </si>
  <si>
    <t xml:space="preserve">Tampa</t>
  </si>
  <si>
    <t xml:space="preserve">NXT Vengeance Day</t>
  </si>
  <si>
    <t xml:space="preserve">F&amp;M Bank Arena</t>
  </si>
  <si>
    <t xml:space="preserve">Clarksville</t>
  </si>
  <si>
    <t xml:space="preserve">Cody Rhodes, Rhea Ripley, Jey Uso, Sami Zayn, Drew Mcintyre, Kofi Kingston</t>
  </si>
  <si>
    <t xml:space="preserve">Oakland Arena</t>
  </si>
  <si>
    <t xml:space="preserve">Oakland</t>
  </si>
  <si>
    <t xml:space="preserve">Honda Center</t>
  </si>
  <si>
    <t xml:space="preserve">Anaheim</t>
  </si>
  <si>
    <t xml:space="preserve">Desert Diamond Arena</t>
  </si>
  <si>
    <t xml:space="preserve">Glendale</t>
  </si>
  <si>
    <t xml:space="preserve">Acrisure Arena in Greater Palm Springs</t>
  </si>
  <si>
    <t xml:space="preserve">Palm Desert</t>
  </si>
  <si>
    <t xml:space="preserve">Randy Orton, Kevin Owens, Kit Wilson, Elton Prince</t>
  </si>
  <si>
    <t xml:space="preserve">Cody Rhodes, Drew Mcintyre, Jey Uso, Dominik Mysterio</t>
  </si>
  <si>
    <t xml:space="preserve">Dwayne "The Rock" Johnson, Roman Reigns, Seth Rollins, Cody Rhodes, Cody Rhodes</t>
  </si>
  <si>
    <t xml:space="preserve">Roman Reigns, Kevin Owens, Randy Orton, Jey Uso</t>
  </si>
  <si>
    <t xml:space="preserve">Sheamus, Ivar, The New Day, Maxxine Dupri</t>
  </si>
  <si>
    <t xml:space="preserve">Damian Priest, Becky Lynch, Drew Mcintyre, Liv Morgan</t>
  </si>
  <si>
    <t xml:space="preserve">Bon Secours Wellness Arena</t>
  </si>
  <si>
    <t xml:space="preserve">Greenville</t>
  </si>
  <si>
    <t xml:space="preserve">South Carolina</t>
  </si>
  <si>
    <t xml:space="preserve">Greensboro Coliseum</t>
  </si>
  <si>
    <t xml:space="preserve">Greensboro</t>
  </si>
  <si>
    <t xml:space="preserve">Cody Rhodes, Seth Rollins, LA Knight, Bianca Belair, Becky Lynch</t>
  </si>
  <si>
    <t xml:space="preserve">Westchester County Center</t>
  </si>
  <si>
    <t xml:space="preserve">White Plains</t>
  </si>
  <si>
    <t xml:space="preserve">Sami Zayn, Otis, Bron Breakker, Pete Dunne</t>
  </si>
  <si>
    <t xml:space="preserve">Huntington Center</t>
  </si>
  <si>
    <t xml:space="preserve">Toledo</t>
  </si>
  <si>
    <t xml:space="preserve">The OVO Hydro</t>
  </si>
  <si>
    <t xml:space="preserve">Glasgow</t>
  </si>
  <si>
    <t xml:space="preserve">United Kingdom</t>
  </si>
  <si>
    <t xml:space="preserve">Randy Orton, Carmelo Hayes, Kevin Owens, Grayson Waller</t>
  </si>
  <si>
    <t xml:space="preserve">Drew Mcintyre, Sheamus, Dakota Kai, Zoey Stark, Liv Morgan, Chad Gable, Seth Rollins</t>
  </si>
  <si>
    <t xml:space="preserve">Rey Mysterio, Zelina Vega, Dominik Mysterio, Liv Morgan</t>
  </si>
  <si>
    <t xml:space="preserve">Monday Night RAW</t>
  </si>
  <si>
    <t xml:space="preserve">Xcel Energy Center</t>
  </si>
  <si>
    <t xml:space="preserve">Saint Paul</t>
  </si>
  <si>
    <t xml:space="preserve">Minnesota</t>
  </si>
  <si>
    <t xml:space="preserve">Randy Orton, Seth Rollins, Ludwig Kaiser, Sheamus</t>
  </si>
  <si>
    <t xml:space="preserve">Roman Reigns, Kevin Owens, Cody Rhodes, Santos Escobar</t>
  </si>
  <si>
    <t xml:space="preserve">Randy Orton, Gunther, Damian Priest, Dominik Mysterio</t>
  </si>
  <si>
    <t xml:space="preserve">Moody Center</t>
  </si>
  <si>
    <t xml:space="preserve">Austin</t>
  </si>
  <si>
    <t xml:space="preserve">Roman Reigns, Cody Rhodes, Bianca Belair, Jade Cargill</t>
  </si>
  <si>
    <t xml:space="preserve">Kia Center</t>
  </si>
  <si>
    <t xml:space="preserve">Amerant Bank Arena</t>
  </si>
  <si>
    <t xml:space="preserve">Sunrise</t>
  </si>
  <si>
    <t xml:space="preserve">Main Event Wrestling</t>
  </si>
  <si>
    <t xml:space="preserve">Le Studio TD</t>
  </si>
  <si>
    <t xml:space="preserve">Cody Rhodes, LA Knight, Bianca Belair, Jade Cargill, Bayley, Solo Sikoa</t>
  </si>
  <si>
    <t xml:space="preserve">Cody Rhodes, LA Knight, Bianca Belair, Jade Cargill</t>
  </si>
  <si>
    <t xml:space="preserve">Ethan Page, Trick Williams, Wes Lee</t>
  </si>
  <si>
    <t xml:space="preserve">Cody Rhodes, Roman Reigns, LA Knight, Bianca Belair, Jade Cargill</t>
  </si>
  <si>
    <t xml:space="preserve">International Wrestling Syndicate</t>
  </si>
  <si>
    <t xml:space="preserve">Colonial Life Arena</t>
  </si>
  <si>
    <t xml:space="preserve">Columbia</t>
  </si>
  <si>
    <t xml:space="preserve">Roman Reigns, Cody Rhodes, Seth Rollins, LA Knight, Bianca Belair, Jade Cargill</t>
  </si>
  <si>
    <t xml:space="preserve">Cody Rhodes, Solo Sikoa, Nia Jax, Naomi</t>
  </si>
  <si>
    <t xml:space="preserve">Angel of the Winds Arena</t>
  </si>
  <si>
    <t xml:space="preserve">Everett</t>
  </si>
  <si>
    <t xml:space="preserve">Gunther, Seth Rollins, Damian Priest, Drew Mcintyre, Jey Uso, Sami Zayn, The New Day, Liv Morgan</t>
  </si>
  <si>
    <t xml:space="preserve">INTRUST Bank Arena</t>
  </si>
  <si>
    <t xml:space="preserve">Wichita</t>
  </si>
  <si>
    <t xml:space="preserve">Kansas</t>
  </si>
  <si>
    <t xml:space="preserve">CM Punk, Seth Rollins, Bron Breakker, Ludwig Kaiser</t>
  </si>
  <si>
    <t xml:space="preserve">Damian Priest, Gunther, Sami Zayn, Bron Breakker</t>
  </si>
  <si>
    <t xml:space="preserve">Cody Rhodes, LA Knight, The Street Profits, Bianca Belair, Nia Jax, Solo Sikoa</t>
  </si>
  <si>
    <t xml:space="preserve">Intuit Dome</t>
  </si>
  <si>
    <t xml:space="preserve">Cody Rhodes, Cody Rhodes, LA Knight, LA Knight, The Street Profits, The Street Profits, Bianca Belair, Bianca Belair, Tiffany Stratton, Tiffany Stratton, Nia Jax, Solo Sikoa</t>
  </si>
  <si>
    <t xml:space="preserve">SAP Center at San Jose</t>
  </si>
  <si>
    <t xml:space="preserve">Rey Mysterio, Xavier Woods, Bianca Belair, Naomi, Liv Morgan, Raquel Rodrigez</t>
  </si>
  <si>
    <t xml:space="preserve">Cody Rhodes, Kevin Owens, Liv Morgan, Iyo Sky</t>
  </si>
  <si>
    <t xml:space="preserve">CM Punk, Paul Heyman, LA Knight, Charlotte Flair</t>
  </si>
  <si>
    <t xml:space="preserve">Gunther, Roman Reigns, Logan Paul, Jey Uso</t>
  </si>
  <si>
    <t xml:space="preserve">Shinsuke Nakamura, R-Truth, Carlito, Ludwig Kaiser</t>
  </si>
  <si>
    <t xml:space="preserve">Trick Williams, Oba Femi, Je'Von Evans, Liv Morgan</t>
  </si>
  <si>
    <t xml:space="preserve">Seth Rollins, Bron Breakker, Paul Heyman, Roman Reigns, CM Punk</t>
  </si>
  <si>
    <t xml:space="preserve">Seth Rollins, Gunther, Rhea Ripley, Liv Morgan</t>
  </si>
  <si>
    <t xml:space="preserve">Nebraska</t>
  </si>
  <si>
    <t xml:space="preserve">WWE Friday Night Smackdown</t>
  </si>
  <si>
    <t xml:space="preserve">Kia Forum</t>
  </si>
  <si>
    <t xml:space="preserve">John Cena, Jey Uso, Liv Morgan, Rhea Ripley</t>
  </si>
  <si>
    <t xml:space="preserve">PHX Arena</t>
  </si>
  <si>
    <t xml:space="preserve">LA Knight, Bron Breakker, Solo Sikoa, Paul Heyman</t>
  </si>
  <si>
    <t xml:space="preserve">Rhea Ripley, Iyo Sky, Trish Stratus, Tiffany Stratton, Nikki Bella, Jade Cargill</t>
  </si>
  <si>
    <t xml:space="preserve">Gunther, Jey Uso, The New Day, Becky Lynch, Dominik Mysterio</t>
  </si>
  <si>
    <t xml:space="preserve">John Cena, Cody Rhodes, Solo Sikoa, Sami Zayn</t>
  </si>
  <si>
    <t xml:space="preserve">AJ Styles, Dominik Mysterio, Sami Zayn, Rusev</t>
  </si>
  <si>
    <t xml:space="preserve">Sami Zayn, Jimmy USO, Jacob Fatu</t>
  </si>
  <si>
    <t xml:space="preserve">Xfinity Mobile Arena</t>
  </si>
  <si>
    <t xml:space="preserve">John Cena, Brock Lesnar, Cody Rhodes, Drew Mcintyre</t>
  </si>
  <si>
    <t xml:space="preserve">Roman Reigns, Seth Rollins, CM Punk, Rhea Ripley</t>
  </si>
  <si>
    <t xml:space="preserve">Cody Rhodes, Seth Rollins, Solo Sikoa, Jacob Fatu</t>
  </si>
  <si>
    <t xml:space="preserve">John Cena, Dominik Mysterio, Rusev, Damien Priest, Stephanie Vaquer, Raquel Rodriguez, Sheamus, Shinsuke Nakamura</t>
  </si>
  <si>
    <t xml:space="preserve">CM Punk, LA Knight, Jey Uso, Penta</t>
  </si>
  <si>
    <t xml:space="preserve">World Wrestling Entertainment", "World Wrestling Entertainment</t>
  </si>
  <si>
    <t xml:space="preserve">CM Punk, Bronson Reed, Becky Lynch, Jey Uso</t>
  </si>
  <si>
    <t xml:space="preserve">T-Mobile Center</t>
  </si>
  <si>
    <t xml:space="preserve">Kansas City</t>
  </si>
  <si>
    <t xml:space="preserve">Missouri</t>
  </si>
  <si>
    <t xml:space="preserve">Cody Rhodes, Jey Uso, Jade Cargill</t>
  </si>
  <si>
    <t xml:space="preserve">Total Mortgage Arena</t>
  </si>
  <si>
    <t xml:space="preserve">Bridgeport</t>
  </si>
  <si>
    <t xml:space="preserve">CM Punk, Bron Breakker, Paul Heyman, Logan Paul</t>
  </si>
  <si>
    <t xml:space="preserve">CM Punk, Bron Breakker, Bronson Reed, The Usos</t>
  </si>
  <si>
    <t xml:space="preserve">Rocket Arena</t>
  </si>
  <si>
    <t xml:space="preserve">Jey Uso, Bronson Reed, Je'Von Evans, Kofi Kingston</t>
  </si>
  <si>
    <t xml:space="preserve">Drew Mcintyre, Cody Rhodes, Jade Cargill, Carmelo Hayes</t>
  </si>
  <si>
    <t xml:space="preserve">KFC Yum! Center</t>
  </si>
  <si>
    <t xml:space="preserve">Louisville</t>
  </si>
  <si>
    <t xml:space="preserve">Cody Rhodes, Drew Mcintyre, Jade Cargill, Carmelo Hayes</t>
  </si>
  <si>
    <t xml:space="preserve">Mortgage Matchup Center</t>
  </si>
  <si>
    <t xml:space="preserve">Roman Reigns, CM Punk, Oba Femi, Brock Lesnar, Logan Paul, Austin Theory, The Usos, Penta, Dominik Mysterio</t>
  </si>
  <si>
    <t xml:space="preserve">CM Punk, Roman Reigns, Brock Lesnar, Oba Femi, Gunther, Seth Rollins</t>
  </si>
  <si>
    <t xml:space="preserve">Dolby Live at Park MGM Las Vegas</t>
  </si>
  <si>
    <t xml:space="preserve">WWE Monday Night Raw</t>
  </si>
  <si>
    <t xml:space="preserve">Cody Rhodes, Randy Orton, Charlotte Flair, Jacob Fatu, Solo Sikoa, Jade Cargill, Tiffany Stratton, Sami Zayn</t>
  </si>
  <si>
    <t xml:space="preserve">Cody Rhodes, Roman Reigns, Jacob Fatu, Gunther</t>
  </si>
  <si>
    <t xml:space="preserve">Roman Reigns, Jacob Fatu, Bron Breakker, Seth Rollins</t>
  </si>
  <si>
    <t xml:space="preserve">Seth Rollins, Bron Breakker, Logan Paul, Austin Theory</t>
  </si>
  <si>
    <t xml:space="preserve">Benchmark International Arena</t>
  </si>
</sst>
</file>

<file path=xl/styles.xml><?xml version="1.0" encoding="utf-8"?>
<styleSheet xmlns="http://schemas.openxmlformats.org/spreadsheetml/2006/main">
  <numFmts count="11">
    <numFmt numFmtId="164" formatCode="General"/>
    <numFmt numFmtId="165" formatCode="0"/>
    <numFmt numFmtId="166" formatCode="#,##0"/>
    <numFmt numFmtId="167" formatCode="\$#,##0"/>
    <numFmt numFmtId="168" formatCode="\$#,##0.00"/>
    <numFmt numFmtId="169" formatCode="0.0%"/>
    <numFmt numFmtId="170" formatCode="0.0%;\(0.0%\)"/>
    <numFmt numFmtId="171" formatCode="\$#,##0"/>
    <numFmt numFmtId="172" formatCode="\+0%;\(0%\)"/>
    <numFmt numFmtId="173" formatCode="0%"/>
    <numFmt numFmtId="174" formatCode="m/d/yyyy"/>
  </numFmts>
  <fonts count="13">
    <font>
      <sz val="11"/>
      <color theme="1"/>
      <name val="Calibri"/>
      <family val="2"/>
      <charset val="1"/>
    </font>
    <font>
      <sz val="10"/>
      <name val="Arial"/>
      <family val="0"/>
    </font>
    <font>
      <sz val="10"/>
      <name val="Arial"/>
      <family val="0"/>
    </font>
    <font>
      <sz val="10"/>
      <name val="Arial"/>
      <family val="0"/>
    </font>
    <font>
      <b val="true"/>
      <sz val="15"/>
      <color rgb="FF1A1A1A"/>
      <name val="Arial"/>
      <family val="0"/>
      <charset val="1"/>
    </font>
    <font>
      <i val="true"/>
      <sz val="9"/>
      <color rgb="FF6B6258"/>
      <name val="Arial"/>
      <family val="0"/>
      <charset val="1"/>
    </font>
    <font>
      <b val="true"/>
      <sz val="10"/>
      <color rgb="FFFFFFFF"/>
      <name val="Arial"/>
      <family val="0"/>
      <charset val="1"/>
    </font>
    <font>
      <b val="true"/>
      <sz val="11"/>
      <color rgb="FF1A1A1A"/>
      <name val="Arial"/>
      <family val="0"/>
      <charset val="1"/>
    </font>
    <font>
      <sz val="10"/>
      <color rgb="FF1A1A1A"/>
      <name val="Arial"/>
      <family val="0"/>
      <charset val="1"/>
    </font>
    <font>
      <i val="true"/>
      <sz val="8.5"/>
      <color rgb="FF6B6258"/>
      <name val="Arial"/>
      <family val="0"/>
      <charset val="1"/>
    </font>
    <font>
      <b val="true"/>
      <sz val="10"/>
      <color rgb="FF1A1A1A"/>
      <name val="Arial"/>
      <family val="0"/>
      <charset val="1"/>
    </font>
    <font>
      <sz val="10"/>
      <color rgb="FF0000FF"/>
      <name val="Arial"/>
      <family val="0"/>
      <charset val="1"/>
    </font>
    <font>
      <i val="true"/>
      <sz val="9"/>
      <color rgb="FF1A1A1A"/>
      <name val="Arial"/>
      <family val="0"/>
      <charset val="1"/>
    </font>
  </fonts>
  <fills count="5">
    <fill>
      <patternFill patternType="none"/>
    </fill>
    <fill>
      <patternFill patternType="gray125"/>
    </fill>
    <fill>
      <patternFill patternType="solid">
        <fgColor rgb="FF1F2A44"/>
        <bgColor rgb="FF1A1A1A"/>
      </patternFill>
    </fill>
    <fill>
      <patternFill patternType="solid">
        <fgColor rgb="FFFBF9F4"/>
        <bgColor rgb="FFFFFFFF"/>
      </patternFill>
    </fill>
    <fill>
      <patternFill patternType="solid">
        <fgColor rgb="FFE8E4DC"/>
        <bgColor rgb="FFD8D2C7"/>
      </patternFill>
    </fill>
  </fills>
  <borders count="3">
    <border diagonalUp="false" diagonalDown="false">
      <left/>
      <right/>
      <top/>
      <bottom/>
      <diagonal/>
    </border>
    <border diagonalUp="false" diagonalDown="false">
      <left/>
      <right style="thin">
        <color rgb="FFD8D2C7"/>
      </right>
      <top/>
      <bottom style="thin">
        <color rgb="FFD8D2C7"/>
      </bottom>
      <diagonal/>
    </border>
    <border diagonalUp="false" diagonalDown="false">
      <left/>
      <right/>
      <top/>
      <bottom style="thin">
        <color rgb="FFD8D2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general" vertical="bottom" textRotation="0" wrapText="false" indent="0" shrinkToFit="false"/>
      <protection locked="true" hidden="false"/>
    </xf>
    <xf numFmtId="168" fontId="8" fillId="3" borderId="1" xfId="0" applyFont="true" applyBorder="true" applyAlignment="true" applyProtection="false">
      <alignment horizontal="general" vertical="bottom" textRotation="0" wrapText="false" indent="0" shrinkToFit="false"/>
      <protection locked="true" hidden="false"/>
    </xf>
    <xf numFmtId="169" fontId="8" fillId="3" borderId="1" xfId="0" applyFont="true" applyBorder="true" applyAlignment="true" applyProtection="false">
      <alignment horizontal="general" vertical="bottom" textRotation="0" wrapText="false" indent="0" shrinkToFit="false"/>
      <protection locked="true" hidden="false"/>
    </xf>
    <xf numFmtId="170" fontId="8" fillId="3"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71" fontId="11" fillId="3" borderId="1" xfId="0" applyFont="true" applyBorder="true" applyAlignment="false" applyProtection="false">
      <alignment horizontal="general" vertical="bottom" textRotation="0" wrapText="false" indent="0" shrinkToFit="false"/>
      <protection locked="true" hidden="false"/>
    </xf>
    <xf numFmtId="172" fontId="8" fillId="3" borderId="1"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72" fontId="7" fillId="4" borderId="1" xfId="0" applyFont="true" applyBorder="true" applyAlignment="false" applyProtection="false">
      <alignment horizontal="general" vertical="bottom" textRotation="0" wrapText="false" indent="0" shrinkToFit="false"/>
      <protection locked="true" hidden="false"/>
    </xf>
    <xf numFmtId="173" fontId="7"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74" fontId="8" fillId="3" borderId="0" xfId="0" applyFont="true" applyBorder="false" applyAlignment="tru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8" fontId="8" fillId="3" borderId="0" xfId="0" applyFont="true" applyBorder="fals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2C7"/>
      <rgbColor rgb="FF808080"/>
      <rgbColor rgb="FF9999FF"/>
      <rgbColor rgb="FF993366"/>
      <rgbColor rgb="FFFBF9F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8E4DC"/>
      <rgbColor rgb="FFFFFF99"/>
      <rgbColor rgb="FF99CCFF"/>
      <rgbColor rgb="FFFF99CC"/>
      <rgbColor rgb="FFCC99FF"/>
      <rgbColor rgb="FFFFCC99"/>
      <rgbColor rgb="FF3366FF"/>
      <rgbColor rgb="FF33CCCC"/>
      <rgbColor rgb="FF99CC00"/>
      <rgbColor rgb="FFFFCC00"/>
      <rgbColor rgb="FFFF9900"/>
      <rgbColor rgb="FFFF6600"/>
      <rgbColor rgb="FF6B6258"/>
      <rgbColor rgb="FF969696"/>
      <rgbColor rgb="FF003366"/>
      <rgbColor rgb="FF339966"/>
      <rgbColor rgb="FF003300"/>
      <rgbColor rgb="FF1A1A1A"/>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8"/>
    <col collapsed="false" customWidth="true" hidden="false" outlineLevel="0" max="4" min="4" style="1" width="17"/>
    <col collapsed="false" customWidth="true" hidden="false" outlineLevel="0" max="6" min="5" style="1" width="18"/>
    <col collapsed="false" customWidth="true" hidden="false" outlineLevel="0" max="7" min="7" style="1" width="14"/>
    <col collapsed="false" customWidth="true" hidden="false" outlineLevel="0" max="8" min="8" style="1" width="13"/>
    <col collapsed="false" customWidth="true" hidden="false" outlineLevel="0" max="9" min="9" style="1" width="14"/>
    <col collapsed="false" customWidth="true" hidden="false" outlineLevel="0" max="10" min="10" style="1" width="16"/>
    <col collapsed="false" customWidth="true" hidden="false" outlineLevel="0" max="11" min="11" style="1" width="14"/>
  </cols>
  <sheetData>
    <row r="1" customFormat="false" ht="21.75" hidden="false" customHeight="true" outlineLevel="0" collapsed="false">
      <c r="A1" s="2" t="s">
        <v>0</v>
      </c>
      <c r="B1" s="2"/>
      <c r="C1" s="2"/>
      <c r="D1" s="2"/>
      <c r="E1" s="2"/>
      <c r="F1" s="2"/>
      <c r="G1" s="2"/>
      <c r="H1" s="2"/>
      <c r="I1" s="2"/>
      <c r="J1" s="2"/>
      <c r="K1" s="2"/>
    </row>
    <row r="2" customFormat="false" ht="15" hidden="false" customHeight="true" outlineLevel="0" collapsed="false">
      <c r="A2" s="3" t="s">
        <v>1</v>
      </c>
      <c r="B2" s="3"/>
      <c r="C2" s="3"/>
      <c r="D2" s="3"/>
      <c r="E2" s="3"/>
      <c r="F2" s="3"/>
      <c r="G2" s="3"/>
      <c r="H2" s="3"/>
      <c r="I2" s="3"/>
      <c r="J2" s="3"/>
      <c r="K2" s="3"/>
    </row>
    <row r="4" customFormat="false" ht="30" hidden="false" customHeight="true" outlineLevel="0" collapsed="false">
      <c r="A4" s="4" t="s">
        <v>2</v>
      </c>
      <c r="B4" s="4" t="s">
        <v>3</v>
      </c>
      <c r="C4" s="4" t="s">
        <v>4</v>
      </c>
      <c r="D4" s="4" t="s">
        <v>5</v>
      </c>
      <c r="E4" s="4" t="s">
        <v>6</v>
      </c>
      <c r="F4" s="4" t="s">
        <v>7</v>
      </c>
      <c r="G4" s="4" t="s">
        <v>8</v>
      </c>
      <c r="H4" s="4" t="s">
        <v>9</v>
      </c>
      <c r="I4" s="4" t="s">
        <v>10</v>
      </c>
      <c r="J4" s="4" t="s">
        <v>11</v>
      </c>
      <c r="K4" s="4" t="s">
        <v>12</v>
      </c>
    </row>
    <row r="5" customFormat="false" ht="15" hidden="false" customHeight="true" outlineLevel="0" collapsed="false">
      <c r="A5" s="5" t="n">
        <v>2023</v>
      </c>
      <c r="B5" s="6" t="n">
        <f aca="false">COUNTIFS('Raw Data'!$B:$B,$A5)</f>
        <v>84</v>
      </c>
      <c r="C5" s="6" t="n">
        <f aca="false">SUMIFS('Raw Data'!$E:$E,'Raw Data'!$B:$B,$A5)</f>
        <v>85</v>
      </c>
      <c r="D5" s="7" t="n">
        <f aca="false">SUMIFS('Raw Data'!$N:$N,'Raw Data'!$B:$B,$A5)</f>
        <v>64315186.81</v>
      </c>
      <c r="E5" s="7" t="n">
        <f aca="false">IF(C5=0,"",D5/C5)</f>
        <v>756649.256588235</v>
      </c>
      <c r="F5" s="7" t="n">
        <f aca="false">IF(B5=0,"",D5/B5)</f>
        <v>765656.985833333</v>
      </c>
      <c r="G5" s="8" t="n">
        <f aca="false">AVERAGEIFS('Raw Data'!$S:$S,'Raw Data'!$B:$B,$A5)</f>
        <v>58.8270238095238</v>
      </c>
      <c r="H5" s="9" t="n">
        <f aca="false">AVERAGEIFS('Raw Data'!$P:$P,'Raw Data'!$B:$B,$A5)</f>
        <v>0.865952380952381</v>
      </c>
      <c r="I5" s="10" t="s">
        <v>13</v>
      </c>
      <c r="J5" s="10" t="s">
        <v>13</v>
      </c>
      <c r="K5" s="10" t="s">
        <v>13</v>
      </c>
    </row>
    <row r="6" customFormat="false" ht="15" hidden="false" customHeight="true" outlineLevel="0" collapsed="false">
      <c r="A6" s="11" t="n">
        <v>2024</v>
      </c>
      <c r="B6" s="12" t="n">
        <f aca="false">COUNTIFS('Raw Data'!$B:$B,$A6)</f>
        <v>70</v>
      </c>
      <c r="C6" s="12" t="n">
        <f aca="false">SUMIFS('Raw Data'!$E:$E,'Raw Data'!$B:$B,$A6)</f>
        <v>74</v>
      </c>
      <c r="D6" s="13" t="n">
        <f aca="false">SUMIFS('Raw Data'!$N:$N,'Raw Data'!$B:$B,$A6)</f>
        <v>60018064.71</v>
      </c>
      <c r="E6" s="13" t="n">
        <f aca="false">IF(C6=0,"",D6/C6)</f>
        <v>811054.928513514</v>
      </c>
      <c r="F6" s="13" t="n">
        <f aca="false">IF(B6=0,"",D6/B6)</f>
        <v>857400.924428572</v>
      </c>
      <c r="G6" s="14" t="n">
        <f aca="false">AVERAGEIFS('Raw Data'!$S:$S,'Raw Data'!$B:$B,$A6)</f>
        <v>74.9695714285714</v>
      </c>
      <c r="H6" s="15" t="n">
        <f aca="false">AVERAGEIFS('Raw Data'!$P:$P,'Raw Data'!$B:$B,$A6)</f>
        <v>0.885142857142857</v>
      </c>
      <c r="I6" s="16" t="n">
        <f aca="false">D6/D5-1</f>
        <v>-0.0668134901433866</v>
      </c>
      <c r="J6" s="16" t="n">
        <f aca="false">E6/E5-1</f>
        <v>0.071903423483948</v>
      </c>
      <c r="K6" s="16" t="n">
        <f aca="false">G6/G5-1</f>
        <v>0.274407008440808</v>
      </c>
    </row>
    <row r="7" customFormat="false" ht="15" hidden="false" customHeight="true" outlineLevel="0" collapsed="false">
      <c r="A7" s="5" t="n">
        <v>2025</v>
      </c>
      <c r="B7" s="6" t="n">
        <f aca="false">COUNTIFS('Raw Data'!$B:$B,$A7)</f>
        <v>51</v>
      </c>
      <c r="C7" s="6" t="n">
        <f aca="false">SUMIFS('Raw Data'!$E:$E,'Raw Data'!$B:$B,$A7)</f>
        <v>52</v>
      </c>
      <c r="D7" s="7" t="n">
        <f aca="false">SUMIFS('Raw Data'!$N:$N,'Raw Data'!$B:$B,$A7)</f>
        <v>87276180.99</v>
      </c>
      <c r="E7" s="7" t="n">
        <f aca="false">IF(C7=0,"",D7/C7)</f>
        <v>1678388.09596154</v>
      </c>
      <c r="F7" s="7" t="n">
        <f aca="false">IF(B7=0,"",D7/B7)</f>
        <v>1711297.66647059</v>
      </c>
      <c r="G7" s="8" t="n">
        <f aca="false">AVERAGEIFS('Raw Data'!$S:$S,'Raw Data'!$B:$B,$A7)</f>
        <v>131.388823529412</v>
      </c>
      <c r="H7" s="9" t="n">
        <f aca="false">AVERAGEIFS('Raw Data'!$P:$P,'Raw Data'!$B:$B,$A7)</f>
        <v>0.921176470588235</v>
      </c>
      <c r="I7" s="17" t="n">
        <f aca="false">D7/D6-1</f>
        <v>0.454165198623246</v>
      </c>
      <c r="J7" s="17" t="n">
        <f aca="false">E7/E6-1</f>
        <v>1.06938893650231</v>
      </c>
      <c r="K7" s="17" t="n">
        <f aca="false">G7/G6-1</f>
        <v>0.752562019840206</v>
      </c>
    </row>
    <row r="8" customFormat="false" ht="15" hidden="false" customHeight="true" outlineLevel="0" collapsed="false">
      <c r="A8" s="11" t="n">
        <v>2026</v>
      </c>
      <c r="B8" s="12" t="n">
        <f aca="false">COUNTIFS('Raw Data'!$B:$B,$A8)</f>
        <v>22</v>
      </c>
      <c r="C8" s="12" t="n">
        <f aca="false">SUMIFS('Raw Data'!$E:$E,'Raw Data'!$B:$B,$A8)</f>
        <v>22</v>
      </c>
      <c r="D8" s="13" t="n">
        <f aca="false">SUMIFS('Raw Data'!$N:$N,'Raw Data'!$B:$B,$A8)</f>
        <v>24423182.06</v>
      </c>
      <c r="E8" s="13" t="n">
        <f aca="false">IF(C8=0,"",D8/C8)</f>
        <v>1110144.63909091</v>
      </c>
      <c r="F8" s="13" t="n">
        <f aca="false">IF(B8=0,"",D8/B8)</f>
        <v>1110144.63909091</v>
      </c>
      <c r="G8" s="14" t="n">
        <f aca="false">AVERAGEIFS('Raw Data'!$S:$S,'Raw Data'!$B:$B,$A8)</f>
        <v>112.54</v>
      </c>
      <c r="H8" s="15" t="n">
        <f aca="false">AVERAGEIFS('Raw Data'!$P:$P,'Raw Data'!$B:$B,$A8)</f>
        <v>0.896363636363636</v>
      </c>
      <c r="I8" s="16" t="n">
        <f aca="false">D8/D7-1</f>
        <v>-0.720162113156643</v>
      </c>
      <c r="J8" s="16" t="n">
        <f aca="false">E8/E7-1</f>
        <v>-0.338564994733883</v>
      </c>
      <c r="K8" s="16" t="n">
        <f aca="false">G8/G7-1</f>
        <v>-0.143458347697225</v>
      </c>
    </row>
    <row r="10" customFormat="false" ht="15" hidden="false" customHeight="true" outlineLevel="0" collapsed="false">
      <c r="A10" s="18" t="s">
        <v>14</v>
      </c>
      <c r="B10" s="18"/>
      <c r="C10" s="18"/>
      <c r="D10" s="18"/>
      <c r="E10" s="18"/>
      <c r="F10" s="18"/>
      <c r="G10" s="18"/>
      <c r="H10" s="18"/>
      <c r="I10" s="18"/>
      <c r="J10" s="18"/>
      <c r="K10" s="18"/>
    </row>
  </sheetData>
  <mergeCells count="3">
    <mergeCell ref="A1:K1"/>
    <mergeCell ref="A2:K2"/>
    <mergeCell ref="A10:K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8"/>
    <col collapsed="false" customWidth="true" hidden="false" outlineLevel="0" max="4" min="4" style="1" width="17"/>
    <col collapsed="false" customWidth="true" hidden="false" outlineLevel="0" max="5" min="5" style="1" width="18"/>
    <col collapsed="false" customWidth="true" hidden="false" outlineLevel="0" max="6" min="6" style="1" width="14"/>
    <col collapsed="false" customWidth="true" hidden="false" outlineLevel="0" max="7" min="7" style="1" width="13"/>
    <col collapsed="false" customWidth="true" hidden="false" outlineLevel="0" max="8" min="8" style="1" width="14"/>
    <col collapsed="false" customWidth="true" hidden="false" outlineLevel="0" max="9" min="9" style="1" width="16"/>
  </cols>
  <sheetData>
    <row r="1" customFormat="false" ht="21.75" hidden="false" customHeight="true" outlineLevel="0" collapsed="false">
      <c r="A1" s="2" t="s">
        <v>15</v>
      </c>
      <c r="B1" s="2"/>
      <c r="C1" s="2"/>
      <c r="D1" s="2"/>
      <c r="E1" s="2"/>
      <c r="F1" s="2"/>
      <c r="G1" s="2"/>
      <c r="H1" s="2"/>
      <c r="I1" s="2"/>
    </row>
    <row r="2" customFormat="false" ht="15" hidden="false" customHeight="true" outlineLevel="0" collapsed="false">
      <c r="A2" s="3" t="s">
        <v>16</v>
      </c>
      <c r="B2" s="3"/>
      <c r="C2" s="3"/>
      <c r="D2" s="3"/>
      <c r="E2" s="3"/>
      <c r="F2" s="3"/>
      <c r="G2" s="3"/>
      <c r="H2" s="3"/>
      <c r="I2" s="3"/>
    </row>
    <row r="4" customFormat="false" ht="30" hidden="false" customHeight="true" outlineLevel="0" collapsed="false">
      <c r="A4" s="4" t="s">
        <v>17</v>
      </c>
      <c r="B4" s="4" t="s">
        <v>3</v>
      </c>
      <c r="C4" s="4" t="s">
        <v>4</v>
      </c>
      <c r="D4" s="4" t="s">
        <v>5</v>
      </c>
      <c r="E4" s="4" t="s">
        <v>6</v>
      </c>
      <c r="F4" s="4" t="s">
        <v>8</v>
      </c>
      <c r="G4" s="4" t="s">
        <v>9</v>
      </c>
      <c r="H4" s="4" t="s">
        <v>10</v>
      </c>
      <c r="I4" s="4" t="s">
        <v>11</v>
      </c>
    </row>
    <row r="5" customFormat="false" ht="15" hidden="false" customHeight="true" outlineLevel="0" collapsed="false">
      <c r="A5" s="19" t="s">
        <v>18</v>
      </c>
      <c r="B5" s="12" t="n">
        <f aca="false">COUNTIFS('Raw Data'!$D:$D,$A5)</f>
        <v>26</v>
      </c>
      <c r="C5" s="12" t="n">
        <f aca="false">SUMIFS('Raw Data'!$E:$E,'Raw Data'!$D:$D,$A5)</f>
        <v>26</v>
      </c>
      <c r="D5" s="13" t="n">
        <f aca="false">SUMIFS('Raw Data'!$N:$N,'Raw Data'!$D:$D,$A5)</f>
        <v>13643658.58</v>
      </c>
      <c r="E5" s="13" t="n">
        <f aca="false">IF(C5=0,"",D5/C5)</f>
        <v>524756.099230769</v>
      </c>
      <c r="F5" s="14" t="n">
        <f aca="false">AVERAGEIFS('Raw Data'!$S:$S,'Raw Data'!$D:$D,$A5)</f>
        <v>54.3288461538462</v>
      </c>
      <c r="G5" s="15" t="n">
        <f aca="false">AVERAGEIFS('Raw Data'!$P:$P,'Raw Data'!$D:$D,$A5)</f>
        <v>0.855</v>
      </c>
      <c r="H5" s="20" t="s">
        <v>13</v>
      </c>
      <c r="I5" s="20" t="s">
        <v>13</v>
      </c>
    </row>
    <row r="6" customFormat="false" ht="15" hidden="false" customHeight="true" outlineLevel="0" collapsed="false">
      <c r="A6" s="21" t="s">
        <v>19</v>
      </c>
      <c r="B6" s="6" t="n">
        <f aca="false">COUNTIFS('Raw Data'!$D:$D,$A6)</f>
        <v>16</v>
      </c>
      <c r="C6" s="6" t="n">
        <f aca="false">SUMIFS('Raw Data'!$E:$E,'Raw Data'!$D:$D,$A6)</f>
        <v>17</v>
      </c>
      <c r="D6" s="7" t="n">
        <f aca="false">SUMIFS('Raw Data'!$N:$N,'Raw Data'!$D:$D,$A6)</f>
        <v>26762178.5</v>
      </c>
      <c r="E6" s="7" t="n">
        <f aca="false">IF(C6=0,"",D6/C6)</f>
        <v>1574245.79411765</v>
      </c>
      <c r="F6" s="8" t="n">
        <f aca="false">AVERAGEIFS('Raw Data'!$S:$S,'Raw Data'!$D:$D,$A6)</f>
        <v>58.7575</v>
      </c>
      <c r="G6" s="9" t="n">
        <f aca="false">AVERAGEIFS('Raw Data'!$P:$P,'Raw Data'!$D:$D,$A6)</f>
        <v>0.87625</v>
      </c>
      <c r="H6" s="10" t="s">
        <v>13</v>
      </c>
      <c r="I6" s="10" t="s">
        <v>13</v>
      </c>
    </row>
    <row r="7" customFormat="false" ht="15" hidden="false" customHeight="true" outlineLevel="0" collapsed="false">
      <c r="A7" s="19" t="s">
        <v>20</v>
      </c>
      <c r="B7" s="12" t="n">
        <f aca="false">COUNTIFS('Raw Data'!$D:$D,$A7)</f>
        <v>16</v>
      </c>
      <c r="C7" s="12" t="n">
        <f aca="false">SUMIFS('Raw Data'!$E:$E,'Raw Data'!$D:$D,$A7)</f>
        <v>16</v>
      </c>
      <c r="D7" s="13" t="n">
        <f aca="false">SUMIFS('Raw Data'!$N:$N,'Raw Data'!$D:$D,$A7)</f>
        <v>7888629.48</v>
      </c>
      <c r="E7" s="13" t="n">
        <f aca="false">IF(C7=0,"",D7/C7)</f>
        <v>493039.3425</v>
      </c>
      <c r="F7" s="14" t="n">
        <f aca="false">AVERAGEIFS('Raw Data'!$S:$S,'Raw Data'!$D:$D,$A7)</f>
        <v>56.060625</v>
      </c>
      <c r="G7" s="15" t="n">
        <f aca="false">AVERAGEIFS('Raw Data'!$P:$P,'Raw Data'!$D:$D,$A7)</f>
        <v>0.9</v>
      </c>
      <c r="H7" s="20" t="s">
        <v>13</v>
      </c>
      <c r="I7" s="20" t="s">
        <v>13</v>
      </c>
    </row>
    <row r="8" customFormat="false" ht="15" hidden="false" customHeight="true" outlineLevel="0" collapsed="false">
      <c r="A8" s="21" t="s">
        <v>21</v>
      </c>
      <c r="B8" s="6" t="n">
        <f aca="false">COUNTIFS('Raw Data'!$D:$D,$A8)</f>
        <v>26</v>
      </c>
      <c r="C8" s="6" t="n">
        <f aca="false">SUMIFS('Raw Data'!$E:$E,'Raw Data'!$D:$D,$A8)</f>
        <v>26</v>
      </c>
      <c r="D8" s="7" t="n">
        <f aca="false">SUMIFS('Raw Data'!$N:$N,'Raw Data'!$D:$D,$A8)</f>
        <v>16020720.25</v>
      </c>
      <c r="E8" s="7" t="n">
        <f aca="false">IF(C8=0,"",D8/C8)</f>
        <v>616181.548076923</v>
      </c>
      <c r="F8" s="8" t="n">
        <f aca="false">AVERAGEIFS('Raw Data'!$S:$S,'Raw Data'!$D:$D,$A8)</f>
        <v>65.0703846153846</v>
      </c>
      <c r="G8" s="9" t="n">
        <f aca="false">AVERAGEIFS('Raw Data'!$P:$P,'Raw Data'!$D:$D,$A8)</f>
        <v>0.849615384615385</v>
      </c>
      <c r="H8" s="10" t="s">
        <v>13</v>
      </c>
      <c r="I8" s="10" t="s">
        <v>13</v>
      </c>
    </row>
    <row r="9" customFormat="false" ht="15" hidden="false" customHeight="true" outlineLevel="0" collapsed="false">
      <c r="A9" s="19" t="s">
        <v>22</v>
      </c>
      <c r="B9" s="12" t="n">
        <f aca="false">COUNTIFS('Raw Data'!$D:$D,$A9)</f>
        <v>20</v>
      </c>
      <c r="C9" s="12" t="n">
        <f aca="false">SUMIFS('Raw Data'!$E:$E,'Raw Data'!$D:$D,$A9)</f>
        <v>20</v>
      </c>
      <c r="D9" s="13" t="n">
        <f aca="false">SUMIFS('Raw Data'!$N:$N,'Raw Data'!$D:$D,$A9)</f>
        <v>10721668.39</v>
      </c>
      <c r="E9" s="13" t="n">
        <f aca="false">IF(C9=0,"",D9/C9)</f>
        <v>536083.4195</v>
      </c>
      <c r="F9" s="14" t="n">
        <f aca="false">AVERAGEIFS('Raw Data'!$S:$S,'Raw Data'!$D:$D,$A9)</f>
        <v>58.95</v>
      </c>
      <c r="G9" s="15" t="n">
        <f aca="false">AVERAGEIFS('Raw Data'!$P:$P,'Raw Data'!$D:$D,$A9)</f>
        <v>0.889</v>
      </c>
      <c r="H9" s="16" t="n">
        <f aca="false">D9/D5-1</f>
        <v>-0.214164710503918</v>
      </c>
      <c r="I9" s="16" t="n">
        <f aca="false">E9/E5-1</f>
        <v>0.0215858763449066</v>
      </c>
    </row>
    <row r="10" customFormat="false" ht="15" hidden="false" customHeight="true" outlineLevel="0" collapsed="false">
      <c r="A10" s="21" t="s">
        <v>23</v>
      </c>
      <c r="B10" s="6" t="n">
        <f aca="false">COUNTIFS('Raw Data'!$D:$D,$A10)</f>
        <v>14</v>
      </c>
      <c r="C10" s="6" t="n">
        <f aca="false">SUMIFS('Raw Data'!$E:$E,'Raw Data'!$D:$D,$A10)</f>
        <v>18</v>
      </c>
      <c r="D10" s="7" t="n">
        <f aca="false">SUMIFS('Raw Data'!$N:$N,'Raw Data'!$D:$D,$A10)</f>
        <v>21894394.2</v>
      </c>
      <c r="E10" s="7" t="n">
        <f aca="false">IF(C10=0,"",D10/C10)</f>
        <v>1216355.23333333</v>
      </c>
      <c r="F10" s="8" t="n">
        <f aca="false">AVERAGEIFS('Raw Data'!$S:$S,'Raw Data'!$D:$D,$A10)</f>
        <v>96.1392857142857</v>
      </c>
      <c r="G10" s="9" t="n">
        <f aca="false">AVERAGEIFS('Raw Data'!$P:$P,'Raw Data'!$D:$D,$A10)</f>
        <v>0.939285714285714</v>
      </c>
      <c r="H10" s="17" t="n">
        <f aca="false">D10/D6-1</f>
        <v>-0.181890435414292</v>
      </c>
      <c r="I10" s="17" t="n">
        <f aca="false">E10/E6-1</f>
        <v>-0.227340966780164</v>
      </c>
    </row>
    <row r="11" customFormat="false" ht="15" hidden="false" customHeight="true" outlineLevel="0" collapsed="false">
      <c r="A11" s="19" t="s">
        <v>24</v>
      </c>
      <c r="B11" s="12" t="n">
        <f aca="false">COUNTIFS('Raw Data'!$D:$D,$A11)</f>
        <v>16</v>
      </c>
      <c r="C11" s="12" t="n">
        <f aca="false">SUMIFS('Raw Data'!$E:$E,'Raw Data'!$D:$D,$A11)</f>
        <v>16</v>
      </c>
      <c r="D11" s="13" t="n">
        <f aca="false">SUMIFS('Raw Data'!$N:$N,'Raw Data'!$D:$D,$A11)</f>
        <v>11138943.99</v>
      </c>
      <c r="E11" s="13" t="n">
        <f aca="false">IF(C11=0,"",D11/C11)</f>
        <v>696183.999375</v>
      </c>
      <c r="F11" s="14" t="n">
        <f aca="false">AVERAGEIFS('Raw Data'!$S:$S,'Raw Data'!$D:$D,$A11)</f>
        <v>70.989375</v>
      </c>
      <c r="G11" s="15" t="n">
        <f aca="false">AVERAGEIFS('Raw Data'!$P:$P,'Raw Data'!$D:$D,$A11)</f>
        <v>0.863125</v>
      </c>
      <c r="H11" s="16" t="n">
        <f aca="false">D11/D7-1</f>
        <v>0.41202524700146</v>
      </c>
      <c r="I11" s="16" t="n">
        <f aca="false">E11/E7-1</f>
        <v>0.41202524700146</v>
      </c>
    </row>
    <row r="12" customFormat="false" ht="15" hidden="false" customHeight="true" outlineLevel="0" collapsed="false">
      <c r="A12" s="21" t="s">
        <v>25</v>
      </c>
      <c r="B12" s="6" t="n">
        <f aca="false">COUNTIFS('Raw Data'!$D:$D,$A12)</f>
        <v>20</v>
      </c>
      <c r="C12" s="6" t="n">
        <f aca="false">SUMIFS('Raw Data'!$E:$E,'Raw Data'!$D:$D,$A12)</f>
        <v>20</v>
      </c>
      <c r="D12" s="7" t="n">
        <f aca="false">SUMIFS('Raw Data'!$N:$N,'Raw Data'!$D:$D,$A12)</f>
        <v>16263058.13</v>
      </c>
      <c r="E12" s="7" t="n">
        <f aca="false">IF(C12=0,"",D12/C12)</f>
        <v>813152.9065</v>
      </c>
      <c r="F12" s="8" t="n">
        <f aca="false">AVERAGEIFS('Raw Data'!$S:$S,'Raw Data'!$D:$D,$A12)</f>
        <v>79.3545</v>
      </c>
      <c r="G12" s="9" t="n">
        <f aca="false">AVERAGEIFS('Raw Data'!$P:$P,'Raw Data'!$D:$D,$A12)</f>
        <v>0.861</v>
      </c>
      <c r="H12" s="17" t="n">
        <f aca="false">D12/D8-1</f>
        <v>0.015126528409358</v>
      </c>
      <c r="I12" s="17" t="n">
        <f aca="false">E12/E8-1</f>
        <v>0.319664486932165</v>
      </c>
    </row>
    <row r="13" customFormat="false" ht="15" hidden="false" customHeight="true" outlineLevel="0" collapsed="false">
      <c r="A13" s="19" t="s">
        <v>26</v>
      </c>
      <c r="B13" s="12" t="n">
        <f aca="false">COUNTIFS('Raw Data'!$D:$D,$A13)</f>
        <v>14</v>
      </c>
      <c r="C13" s="12" t="n">
        <f aca="false">SUMIFS('Raw Data'!$E:$E,'Raw Data'!$D:$D,$A13)</f>
        <v>14</v>
      </c>
      <c r="D13" s="13" t="n">
        <f aca="false">SUMIFS('Raw Data'!$N:$N,'Raw Data'!$D:$D,$A13)</f>
        <v>20953480.5</v>
      </c>
      <c r="E13" s="13" t="n">
        <f aca="false">IF(C13=0,"",D13/C13)</f>
        <v>1496677.17857143</v>
      </c>
      <c r="F13" s="14" t="n">
        <f aca="false">AVERAGEIFS('Raw Data'!$S:$S,'Raw Data'!$D:$D,$A13)</f>
        <v>112.832857142857</v>
      </c>
      <c r="G13" s="15" t="n">
        <f aca="false">AVERAGEIFS('Raw Data'!$P:$P,'Raw Data'!$D:$D,$A13)</f>
        <v>0.960714285714286</v>
      </c>
      <c r="H13" s="16" t="n">
        <f aca="false">D13/D9-1</f>
        <v>0.954311562139258</v>
      </c>
      <c r="I13" s="16" t="n">
        <f aca="false">E13/E9-1</f>
        <v>1.79187366019894</v>
      </c>
    </row>
    <row r="14" customFormat="false" ht="15" hidden="false" customHeight="true" outlineLevel="0" collapsed="false">
      <c r="A14" s="21" t="s">
        <v>27</v>
      </c>
      <c r="B14" s="6" t="n">
        <f aca="false">COUNTIFS('Raw Data'!$D:$D,$A14)</f>
        <v>13</v>
      </c>
      <c r="C14" s="6" t="n">
        <f aca="false">SUMIFS('Raw Data'!$E:$E,'Raw Data'!$D:$D,$A14)</f>
        <v>13</v>
      </c>
      <c r="D14" s="7" t="n">
        <f aca="false">SUMIFS('Raw Data'!$N:$N,'Raw Data'!$D:$D,$A14)</f>
        <v>23617201.5</v>
      </c>
      <c r="E14" s="7" t="n">
        <f aca="false">IF(C14=0,"",D14/C14)</f>
        <v>1816707.80769231</v>
      </c>
      <c r="F14" s="8" t="n">
        <f aca="false">AVERAGEIFS('Raw Data'!$S:$S,'Raw Data'!$D:$D,$A14)</f>
        <v>138.636923076923</v>
      </c>
      <c r="G14" s="9" t="n">
        <f aca="false">AVERAGEIFS('Raw Data'!$P:$P,'Raw Data'!$D:$D,$A14)</f>
        <v>0.909230769230769</v>
      </c>
      <c r="H14" s="17" t="n">
        <f aca="false">D14/D10-1</f>
        <v>0.0786871417524766</v>
      </c>
      <c r="I14" s="17" t="n">
        <f aca="false">E14/E10-1</f>
        <v>0.493566811657275</v>
      </c>
    </row>
    <row r="15" customFormat="false" ht="15" hidden="false" customHeight="true" outlineLevel="0" collapsed="false">
      <c r="A15" s="19" t="s">
        <v>28</v>
      </c>
      <c r="B15" s="12" t="n">
        <f aca="false">COUNTIFS('Raw Data'!$D:$D,$A15)</f>
        <v>15</v>
      </c>
      <c r="C15" s="12" t="n">
        <f aca="false">SUMIFS('Raw Data'!$E:$E,'Raw Data'!$D:$D,$A15)</f>
        <v>16</v>
      </c>
      <c r="D15" s="13" t="n">
        <f aca="false">SUMIFS('Raw Data'!$N:$N,'Raw Data'!$D:$D,$A15)</f>
        <v>23319937.9</v>
      </c>
      <c r="E15" s="13" t="n">
        <f aca="false">IF(C15=0,"",D15/C15)</f>
        <v>1457496.11875</v>
      </c>
      <c r="F15" s="14" t="n">
        <f aca="false">AVERAGEIFS('Raw Data'!$S:$S,'Raw Data'!$D:$D,$A15)</f>
        <v>126.415333333333</v>
      </c>
      <c r="G15" s="15" t="n">
        <f aca="false">AVERAGEIFS('Raw Data'!$P:$P,'Raw Data'!$D:$D,$A15)</f>
        <v>0.918</v>
      </c>
      <c r="H15" s="16" t="n">
        <f aca="false">D15/D11-1</f>
        <v>1.0935501534917</v>
      </c>
      <c r="I15" s="16" t="n">
        <f aca="false">E15/E11-1</f>
        <v>1.0935501534917</v>
      </c>
    </row>
    <row r="16" customFormat="false" ht="15" hidden="false" customHeight="true" outlineLevel="0" collapsed="false">
      <c r="A16" s="21" t="s">
        <v>29</v>
      </c>
      <c r="B16" s="6" t="n">
        <f aca="false">COUNTIFS('Raw Data'!$D:$D,$A16)</f>
        <v>9</v>
      </c>
      <c r="C16" s="6" t="n">
        <f aca="false">SUMIFS('Raw Data'!$E:$E,'Raw Data'!$D:$D,$A16)</f>
        <v>9</v>
      </c>
      <c r="D16" s="7" t="n">
        <f aca="false">SUMIFS('Raw Data'!$N:$N,'Raw Data'!$D:$D,$A16)</f>
        <v>19385561.09</v>
      </c>
      <c r="E16" s="7" t="n">
        <f aca="false">IF(C16=0,"",D16/C16)</f>
        <v>2153951.23222222</v>
      </c>
      <c r="F16" s="8" t="n">
        <f aca="false">AVERAGEIFS('Raw Data'!$S:$S,'Raw Data'!$D:$D,$A16)</f>
        <v>158.073333333333</v>
      </c>
      <c r="G16" s="9" t="n">
        <f aca="false">AVERAGEIFS('Raw Data'!$P:$P,'Raw Data'!$D:$D,$A16)</f>
        <v>0.882222222222222</v>
      </c>
      <c r="H16" s="17" t="n">
        <f aca="false">D16/D12-1</f>
        <v>0.191999741686959</v>
      </c>
      <c r="I16" s="17" t="n">
        <f aca="false">E16/E12-1</f>
        <v>1.64888831485991</v>
      </c>
    </row>
    <row r="17" customFormat="false" ht="15" hidden="false" customHeight="true" outlineLevel="0" collapsed="false">
      <c r="A17" s="19" t="s">
        <v>30</v>
      </c>
      <c r="B17" s="12" t="n">
        <f aca="false">COUNTIFS('Raw Data'!$D:$D,$A17)</f>
        <v>13</v>
      </c>
      <c r="C17" s="12" t="n">
        <f aca="false">SUMIFS('Raw Data'!$E:$E,'Raw Data'!$D:$D,$A17)</f>
        <v>13</v>
      </c>
      <c r="D17" s="13" t="n">
        <f aca="false">SUMIFS('Raw Data'!$N:$N,'Raw Data'!$D:$D,$A17)</f>
        <v>14032827.59</v>
      </c>
      <c r="E17" s="13" t="n">
        <f aca="false">IF(C17=0,"",D17/C17)</f>
        <v>1079448.27615385</v>
      </c>
      <c r="F17" s="14" t="n">
        <f aca="false">AVERAGEIFS('Raw Data'!$S:$S,'Raw Data'!$D:$D,$A17)</f>
        <v>104.370769230769</v>
      </c>
      <c r="G17" s="15" t="n">
        <f aca="false">AVERAGEIFS('Raw Data'!$P:$P,'Raw Data'!$D:$D,$A17)</f>
        <v>0.906923076923077</v>
      </c>
      <c r="H17" s="16" t="n">
        <f aca="false">D17/D13-1</f>
        <v>-0.330286555973362</v>
      </c>
      <c r="I17" s="16" t="n">
        <f aca="false">E17/E13-1</f>
        <v>-0.278770137202082</v>
      </c>
    </row>
    <row r="18" customFormat="false" ht="15" hidden="false" customHeight="true" outlineLevel="0" collapsed="false">
      <c r="A18" s="21" t="s">
        <v>31</v>
      </c>
      <c r="B18" s="6" t="n">
        <f aca="false">COUNTIFS('Raw Data'!$D:$D,$A18)</f>
        <v>9</v>
      </c>
      <c r="C18" s="6" t="n">
        <f aca="false">SUMIFS('Raw Data'!$E:$E,'Raw Data'!$D:$D,$A18)</f>
        <v>9</v>
      </c>
      <c r="D18" s="7" t="n">
        <f aca="false">SUMIFS('Raw Data'!$N:$N,'Raw Data'!$D:$D,$A18)</f>
        <v>10390354.47</v>
      </c>
      <c r="E18" s="7" t="n">
        <f aca="false">IF(C18=0,"",D18/C18)</f>
        <v>1154483.83</v>
      </c>
      <c r="F18" s="8" t="n">
        <f aca="false">AVERAGEIFS('Raw Data'!$S:$S,'Raw Data'!$D:$D,$A18)</f>
        <v>124.34</v>
      </c>
      <c r="G18" s="9" t="n">
        <f aca="false">AVERAGEIFS('Raw Data'!$P:$P,'Raw Data'!$D:$D,$A18)</f>
        <v>0.881111111111111</v>
      </c>
      <c r="H18" s="17" t="n">
        <f aca="false">D18/D14-1</f>
        <v>-0.560051411256325</v>
      </c>
      <c r="I18" s="17" t="n">
        <f aca="false">E18/E14-1</f>
        <v>-0.364518705148025</v>
      </c>
    </row>
    <row r="20" customFormat="false" ht="15" hidden="false" customHeight="true" outlineLevel="0" collapsed="false">
      <c r="A20" s="18" t="s">
        <v>32</v>
      </c>
      <c r="B20" s="18"/>
      <c r="C20" s="18"/>
      <c r="D20" s="18"/>
      <c r="E20" s="18"/>
      <c r="F20" s="18"/>
      <c r="G20" s="18"/>
      <c r="H20" s="18"/>
      <c r="I20" s="18"/>
    </row>
  </sheetData>
  <mergeCells count="3">
    <mergeCell ref="A1:I1"/>
    <mergeCell ref="A2:I2"/>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5"/>
    <col collapsed="false" customWidth="true" hidden="false" outlineLevel="0" max="4" min="4" style="0" width="11"/>
    <col collapsed="false" customWidth="true" hidden="false" outlineLevel="0" max="5" min="5" style="0" width="5"/>
    <col collapsed="false" customWidth="true" hidden="false" outlineLevel="0" max="6" min="6" style="0" width="12"/>
    <col collapsed="false" customWidth="true" hidden="false" outlineLevel="0" max="7" min="7" style="0" width="13"/>
    <col collapsed="false" customWidth="true" hidden="false" outlineLevel="0" max="8" min="8" style="0" width="9"/>
    <col collapsed="false" customWidth="true" hidden="false" outlineLevel="0" max="9" min="9" style="0" width="12"/>
    <col collapsed="false" customWidth="true" hidden="false" outlineLevel="0" max="10" min="10" style="0" width="13"/>
    <col collapsed="false" customWidth="true" hidden="false" outlineLevel="0" max="11" min="11" style="0" width="9"/>
    <col collapsed="false" customWidth="true" hidden="false" outlineLevel="0" max="12" min="12" style="0" width="14"/>
    <col collapsed="false" customWidth="true" hidden="false" outlineLevel="0" max="13" min="13" style="0" width="15"/>
    <col collapsed="false" customWidth="true" hidden="false" outlineLevel="0" max="14" min="14" style="0" width="11"/>
  </cols>
  <sheetData>
    <row r="1" customFormat="false" ht="18.55" hidden="false" customHeight="false" outlineLevel="0" collapsed="false">
      <c r="A1" s="22" t="s">
        <v>33</v>
      </c>
      <c r="B1" s="22"/>
      <c r="C1" s="22"/>
      <c r="D1" s="22"/>
      <c r="E1" s="22"/>
      <c r="F1" s="22"/>
      <c r="G1" s="22"/>
      <c r="H1" s="22"/>
      <c r="I1" s="22"/>
      <c r="J1" s="22"/>
      <c r="K1" s="22"/>
      <c r="L1" s="22"/>
      <c r="M1" s="22"/>
      <c r="N1" s="22"/>
    </row>
    <row r="2" customFormat="false" ht="15" hidden="false" customHeight="false" outlineLevel="0" collapsed="false">
      <c r="A2" s="23" t="s">
        <v>34</v>
      </c>
      <c r="B2" s="23"/>
      <c r="C2" s="23"/>
      <c r="D2" s="23"/>
      <c r="E2" s="23"/>
      <c r="F2" s="23"/>
      <c r="G2" s="23"/>
      <c r="H2" s="23"/>
      <c r="I2" s="23"/>
      <c r="J2" s="23"/>
      <c r="K2" s="23"/>
      <c r="L2" s="23"/>
      <c r="M2" s="23"/>
      <c r="N2" s="23"/>
    </row>
    <row r="4" customFormat="false" ht="30" hidden="false" customHeight="true" outlineLevel="0" collapsed="false">
      <c r="A4" s="4" t="s">
        <v>35</v>
      </c>
      <c r="B4" s="4" t="s">
        <v>36</v>
      </c>
      <c r="C4" s="4" t="s">
        <v>37</v>
      </c>
      <c r="D4" s="4" t="s">
        <v>38</v>
      </c>
      <c r="E4" s="4" t="s">
        <v>39</v>
      </c>
      <c r="F4" s="4" t="s">
        <v>40</v>
      </c>
      <c r="G4" s="4" t="s">
        <v>41</v>
      </c>
      <c r="H4" s="4" t="s">
        <v>42</v>
      </c>
      <c r="I4" s="4" t="s">
        <v>43</v>
      </c>
      <c r="J4" s="4" t="s">
        <v>44</v>
      </c>
      <c r="K4" s="4" t="s">
        <v>45</v>
      </c>
      <c r="L4" s="4" t="s">
        <v>46</v>
      </c>
      <c r="M4" s="4" t="s">
        <v>47</v>
      </c>
      <c r="N4" s="4" t="s">
        <v>48</v>
      </c>
    </row>
    <row r="5" customFormat="false" ht="15" hidden="false" customHeight="false" outlineLevel="0" collapsed="false">
      <c r="A5" s="24" t="s">
        <v>49</v>
      </c>
      <c r="B5" s="25" t="s">
        <v>50</v>
      </c>
      <c r="C5" s="26" t="s">
        <v>51</v>
      </c>
      <c r="D5" s="26" t="s">
        <v>52</v>
      </c>
      <c r="E5" s="26" t="s">
        <v>53</v>
      </c>
      <c r="F5" s="27" t="n">
        <v>90.91</v>
      </c>
      <c r="G5" s="27" t="n">
        <v>120.93</v>
      </c>
      <c r="H5" s="28" t="n">
        <f aca="false">G5/F5-1</f>
        <v>0.330216697833022</v>
      </c>
      <c r="I5" s="27" t="n">
        <v>400</v>
      </c>
      <c r="J5" s="27" t="n">
        <v>400</v>
      </c>
      <c r="K5" s="28" t="n">
        <f aca="false">J5/I5-1</f>
        <v>0</v>
      </c>
      <c r="L5" s="27" t="n">
        <v>1170770</v>
      </c>
      <c r="M5" s="27" t="n">
        <v>902970</v>
      </c>
      <c r="N5" s="28" t="n">
        <f aca="false">M5/L5-1</f>
        <v>-0.22873835168308</v>
      </c>
    </row>
    <row r="6" customFormat="false" ht="15" hidden="false" customHeight="false" outlineLevel="0" collapsed="false">
      <c r="A6" s="29" t="s">
        <v>54</v>
      </c>
      <c r="B6" s="30" t="s">
        <v>55</v>
      </c>
      <c r="C6" s="31" t="s">
        <v>56</v>
      </c>
      <c r="D6" s="31" t="s">
        <v>52</v>
      </c>
      <c r="E6" s="31" t="s">
        <v>53</v>
      </c>
      <c r="F6" s="32" t="n">
        <v>81.04</v>
      </c>
      <c r="G6" s="32" t="n">
        <v>100.23</v>
      </c>
      <c r="H6" s="33" t="n">
        <f aca="false">G6/F6-1</f>
        <v>0.236796643632774</v>
      </c>
      <c r="I6" s="32" t="n">
        <v>250</v>
      </c>
      <c r="J6" s="32" t="n">
        <v>400</v>
      </c>
      <c r="K6" s="33" t="n">
        <f aca="false">J6/I6-1</f>
        <v>0.6</v>
      </c>
      <c r="L6" s="32" t="n">
        <v>881850</v>
      </c>
      <c r="M6" s="32" t="n">
        <v>846384.17</v>
      </c>
      <c r="N6" s="33" t="n">
        <f aca="false">M6/L6-1</f>
        <v>-0.0402175313261892</v>
      </c>
    </row>
    <row r="7" customFormat="false" ht="15" hidden="false" customHeight="false" outlineLevel="0" collapsed="false">
      <c r="A7" s="24" t="s">
        <v>57</v>
      </c>
      <c r="B7" s="25" t="s">
        <v>58</v>
      </c>
      <c r="C7" s="26" t="s">
        <v>51</v>
      </c>
      <c r="D7" s="26" t="s">
        <v>52</v>
      </c>
      <c r="E7" s="26" t="s">
        <v>53</v>
      </c>
      <c r="F7" s="27" t="n">
        <v>88.45</v>
      </c>
      <c r="G7" s="27" t="n">
        <v>100.77</v>
      </c>
      <c r="H7" s="28" t="n">
        <f aca="false">G7/F7-1</f>
        <v>0.139287733182589</v>
      </c>
      <c r="I7" s="27" t="n">
        <v>303.5</v>
      </c>
      <c r="J7" s="27" t="n">
        <v>100.77</v>
      </c>
      <c r="K7" s="28" t="n">
        <f aca="false">J7/I7-1</f>
        <v>-0.667973640856672</v>
      </c>
      <c r="L7" s="27" t="n">
        <v>1213566</v>
      </c>
      <c r="M7" s="27" t="n">
        <v>893495.6</v>
      </c>
      <c r="N7" s="28" t="n">
        <f aca="false">M7/L7-1</f>
        <v>-0.26374371068405</v>
      </c>
    </row>
    <row r="8" customFormat="false" ht="15" hidden="false" customHeight="false" outlineLevel="0" collapsed="false">
      <c r="A8" s="29" t="s">
        <v>59</v>
      </c>
      <c r="B8" s="30" t="s">
        <v>60</v>
      </c>
      <c r="C8" s="31" t="s">
        <v>51</v>
      </c>
      <c r="D8" s="31" t="s">
        <v>52</v>
      </c>
      <c r="E8" s="31" t="s">
        <v>53</v>
      </c>
      <c r="F8" s="32" t="n">
        <v>105.4</v>
      </c>
      <c r="G8" s="32" t="n">
        <v>117.83</v>
      </c>
      <c r="H8" s="33" t="n">
        <f aca="false">G8/F8-1</f>
        <v>0.117931688804554</v>
      </c>
      <c r="I8" s="32" t="n">
        <v>35</v>
      </c>
      <c r="J8" s="32" t="n">
        <v>500</v>
      </c>
      <c r="K8" s="33" t="n">
        <f aca="false">J8/I8-1</f>
        <v>13.2857142857143</v>
      </c>
      <c r="L8" s="32" t="n">
        <v>1615820</v>
      </c>
      <c r="M8" s="32" t="n">
        <v>1665318</v>
      </c>
      <c r="N8" s="33" t="n">
        <f aca="false">M8/L8-1</f>
        <v>0.0306333626270252</v>
      </c>
    </row>
    <row r="9" customFormat="false" ht="15" hidden="false" customHeight="false" outlineLevel="0" collapsed="false">
      <c r="A9" s="24" t="s">
        <v>61</v>
      </c>
      <c r="B9" s="25" t="s">
        <v>62</v>
      </c>
      <c r="C9" s="26" t="s">
        <v>51</v>
      </c>
      <c r="D9" s="26" t="s">
        <v>52</v>
      </c>
      <c r="E9" s="26" t="s">
        <v>53</v>
      </c>
      <c r="F9" s="27" t="n">
        <v>109.7</v>
      </c>
      <c r="G9" s="27" t="n">
        <v>117.43</v>
      </c>
      <c r="H9" s="28" t="n">
        <f aca="false">G9/F9-1</f>
        <v>0.0704649042844121</v>
      </c>
      <c r="I9" s="27" t="n">
        <v>400</v>
      </c>
      <c r="J9" s="27" t="n">
        <v>800</v>
      </c>
      <c r="K9" s="28" t="n">
        <f aca="false">J9/I9-1</f>
        <v>1</v>
      </c>
      <c r="L9" s="27" t="n">
        <v>1440685</v>
      </c>
      <c r="M9" s="27" t="n">
        <v>1190420</v>
      </c>
      <c r="N9" s="28" t="n">
        <f aca="false">M9/L9-1</f>
        <v>-0.173712504815418</v>
      </c>
    </row>
    <row r="10" customFormat="false" ht="15" hidden="false" customHeight="false" outlineLevel="0" collapsed="false">
      <c r="A10" s="29" t="s">
        <v>63</v>
      </c>
      <c r="B10" s="30" t="s">
        <v>64</v>
      </c>
      <c r="C10" s="31" t="s">
        <v>56</v>
      </c>
      <c r="D10" s="31" t="s">
        <v>52</v>
      </c>
      <c r="E10" s="31" t="s">
        <v>53</v>
      </c>
      <c r="F10" s="32" t="n">
        <v>126.32</v>
      </c>
      <c r="G10" s="32" t="n">
        <v>135.07</v>
      </c>
      <c r="H10" s="33" t="n">
        <f aca="false">G10/F10-1</f>
        <v>0.0692685243825206</v>
      </c>
      <c r="I10" s="32" t="n">
        <v>500</v>
      </c>
      <c r="J10" s="32" t="n">
        <v>800</v>
      </c>
      <c r="K10" s="33" t="n">
        <f aca="false">J10/I10-1</f>
        <v>0.6</v>
      </c>
      <c r="L10" s="32" t="n">
        <v>1697100</v>
      </c>
      <c r="M10" s="32" t="n">
        <v>1484719.02</v>
      </c>
      <c r="N10" s="33" t="n">
        <f aca="false">M10/L10-1</f>
        <v>-0.125143468269401</v>
      </c>
    </row>
    <row r="11" customFormat="false" ht="15" hidden="false" customHeight="false" outlineLevel="0" collapsed="false">
      <c r="A11" s="24" t="s">
        <v>65</v>
      </c>
      <c r="B11" s="25" t="s">
        <v>66</v>
      </c>
      <c r="C11" s="26" t="s">
        <v>51</v>
      </c>
      <c r="D11" s="26" t="s">
        <v>52</v>
      </c>
      <c r="E11" s="26" t="s">
        <v>53</v>
      </c>
      <c r="F11" s="27" t="n">
        <v>101.23</v>
      </c>
      <c r="G11" s="27" t="n">
        <v>105.42</v>
      </c>
      <c r="H11" s="28" t="n">
        <f aca="false">G11/F11-1</f>
        <v>0.0413908920280548</v>
      </c>
      <c r="I11" s="27" t="n">
        <v>250</v>
      </c>
      <c r="J11" s="27" t="n">
        <v>750</v>
      </c>
      <c r="K11" s="28" t="n">
        <f aca="false">J11/I11-1</f>
        <v>2</v>
      </c>
      <c r="L11" s="27" t="n">
        <v>1299337.5</v>
      </c>
      <c r="M11" s="27" t="n">
        <v>1280370</v>
      </c>
      <c r="N11" s="28" t="n">
        <f aca="false">M11/L11-1</f>
        <v>-0.0145978238910214</v>
      </c>
    </row>
    <row r="12" customFormat="false" ht="15" hidden="false" customHeight="false" outlineLevel="0" collapsed="false">
      <c r="A12" s="29" t="s">
        <v>67</v>
      </c>
      <c r="B12" s="30" t="s">
        <v>68</v>
      </c>
      <c r="C12" s="31" t="s">
        <v>56</v>
      </c>
      <c r="D12" s="31" t="s">
        <v>52</v>
      </c>
      <c r="E12" s="31" t="s">
        <v>53</v>
      </c>
      <c r="F12" s="32" t="n">
        <v>94.5</v>
      </c>
      <c r="G12" s="32" t="n">
        <v>92.15</v>
      </c>
      <c r="H12" s="33" t="n">
        <f aca="false">G12/F12-1</f>
        <v>-0.0248677248677248</v>
      </c>
      <c r="I12" s="32" t="n">
        <v>300</v>
      </c>
      <c r="J12" s="32" t="n">
        <v>400</v>
      </c>
      <c r="K12" s="33" t="n">
        <f aca="false">J12/I12-1</f>
        <v>0.333333333333333</v>
      </c>
      <c r="L12" s="32" t="n">
        <v>780180</v>
      </c>
      <c r="M12" s="32" t="n">
        <v>518620.98</v>
      </c>
      <c r="N12" s="33" t="n">
        <f aca="false">M12/L12-1</f>
        <v>-0.335254710451434</v>
      </c>
    </row>
    <row r="13" customFormat="false" ht="15" hidden="false" customHeight="false" outlineLevel="0" collapsed="false">
      <c r="A13" s="24" t="s">
        <v>69</v>
      </c>
      <c r="B13" s="25" t="s">
        <v>70</v>
      </c>
      <c r="C13" s="26" t="s">
        <v>56</v>
      </c>
      <c r="D13" s="26" t="s">
        <v>52</v>
      </c>
      <c r="E13" s="26" t="s">
        <v>53</v>
      </c>
      <c r="F13" s="27" t="n">
        <v>130.31</v>
      </c>
      <c r="G13" s="27" t="n">
        <v>107.98</v>
      </c>
      <c r="H13" s="28" t="n">
        <f aca="false">G13/F13-1</f>
        <v>-0.171360601642238</v>
      </c>
      <c r="I13" s="27" t="n">
        <v>554</v>
      </c>
      <c r="J13" s="27" t="n">
        <v>619</v>
      </c>
      <c r="K13" s="28" t="n">
        <f aca="false">J13/I13-1</f>
        <v>0.117328519855596</v>
      </c>
      <c r="L13" s="27" t="n">
        <v>1493662</v>
      </c>
      <c r="M13" s="27" t="n">
        <v>1069191</v>
      </c>
      <c r="N13" s="28" t="n">
        <f aca="false">M13/L13-1</f>
        <v>-0.2841814279268</v>
      </c>
    </row>
    <row r="14" customFormat="false" ht="15" hidden="false" customHeight="false" outlineLevel="0" collapsed="false">
      <c r="A14" s="29" t="s">
        <v>71</v>
      </c>
      <c r="B14" s="30" t="s">
        <v>72</v>
      </c>
      <c r="C14" s="31" t="s">
        <v>56</v>
      </c>
      <c r="D14" s="31" t="s">
        <v>52</v>
      </c>
      <c r="E14" s="31" t="s">
        <v>53</v>
      </c>
      <c r="F14" s="32" t="n">
        <v>207.92</v>
      </c>
      <c r="G14" s="32" t="n">
        <v>140.35</v>
      </c>
      <c r="H14" s="33" t="n">
        <f aca="false">G14/F14-1</f>
        <v>-0.324980761831474</v>
      </c>
      <c r="I14" s="32" t="n">
        <v>1368.5</v>
      </c>
      <c r="J14" s="32" t="n">
        <v>1641</v>
      </c>
      <c r="K14" s="33" t="n">
        <f aca="false">J14/I14-1</f>
        <v>0.199123127511874</v>
      </c>
      <c r="L14" s="32" t="n">
        <v>3480131</v>
      </c>
      <c r="M14" s="32" t="n">
        <v>1963923</v>
      </c>
      <c r="N14" s="33" t="n">
        <f aca="false">M14/L14-1</f>
        <v>-0.435675553592667</v>
      </c>
    </row>
    <row r="15" customFormat="false" ht="15" hidden="false" customHeight="false" outlineLevel="0" collapsed="false">
      <c r="A15" s="34" t="s">
        <v>73</v>
      </c>
      <c r="B15" s="34"/>
      <c r="C15" s="34"/>
      <c r="D15" s="34"/>
      <c r="E15" s="34"/>
      <c r="F15" s="35"/>
      <c r="G15" s="35"/>
      <c r="H15" s="36" t="n">
        <f aca="false">MEDIAN(H5:H14)</f>
        <v>0.0698667143334664</v>
      </c>
      <c r="I15" s="35"/>
      <c r="J15" s="35"/>
      <c r="K15" s="36" t="n">
        <f aca="false">MEDIAN(K5:K14)</f>
        <v>0.466666666666667</v>
      </c>
      <c r="L15" s="35"/>
      <c r="M15" s="35"/>
      <c r="N15" s="36" t="n">
        <f aca="false">MEDIAN(N5:N14)</f>
        <v>-0.201225428249249</v>
      </c>
    </row>
    <row r="16" customFormat="false" ht="15" hidden="false" customHeight="false" outlineLevel="0" collapsed="false">
      <c r="A16" s="34" t="s">
        <v>74</v>
      </c>
      <c r="B16" s="34"/>
      <c r="C16" s="34"/>
      <c r="D16" s="34"/>
      <c r="E16" s="34"/>
      <c r="F16" s="35"/>
      <c r="G16" s="35"/>
      <c r="H16" s="37" t="n">
        <f aca="false">COUNTIF(H5:H14,"&gt;0")/COUNT(H5:H14)</f>
        <v>0.7</v>
      </c>
      <c r="I16" s="35"/>
      <c r="J16" s="35"/>
      <c r="K16" s="37" t="n">
        <f aca="false">COUNTIF(K5:K14,"&gt;0")/COUNT(K5:K14)</f>
        <v>0.8</v>
      </c>
      <c r="L16" s="35"/>
      <c r="M16" s="35"/>
      <c r="N16" s="37" t="n">
        <f aca="false">COUNTIF(N5:N14,"&gt;0")/COUNT(N5:N14)</f>
        <v>0.1</v>
      </c>
    </row>
    <row r="18" customFormat="false" ht="15" hidden="false" customHeight="true" outlineLevel="0" collapsed="false">
      <c r="A18" s="38" t="s">
        <v>75</v>
      </c>
      <c r="B18" s="38"/>
      <c r="C18" s="38"/>
      <c r="D18" s="38"/>
      <c r="E18" s="38"/>
      <c r="F18" s="38"/>
      <c r="G18" s="38"/>
      <c r="H18" s="38"/>
      <c r="I18" s="38"/>
      <c r="J18" s="38"/>
      <c r="K18" s="38"/>
      <c r="L18" s="38"/>
      <c r="M18" s="38"/>
      <c r="N18" s="38"/>
    </row>
    <row r="19" customFormat="false" ht="15" hidden="false" customHeight="false" outlineLevel="0" collapsed="false">
      <c r="A19" s="38"/>
      <c r="B19" s="38"/>
      <c r="C19" s="38"/>
      <c r="D19" s="38"/>
      <c r="E19" s="38"/>
      <c r="F19" s="38"/>
      <c r="G19" s="38"/>
      <c r="H19" s="38"/>
      <c r="I19" s="38"/>
      <c r="J19" s="38"/>
      <c r="K19" s="38"/>
      <c r="L19" s="38"/>
      <c r="M19" s="38"/>
      <c r="N19" s="38"/>
    </row>
    <row r="20" customFormat="false" ht="15" hidden="false" customHeight="false" outlineLevel="0" collapsed="false">
      <c r="A20" s="38"/>
      <c r="B20" s="38"/>
      <c r="C20" s="38"/>
      <c r="D20" s="38"/>
      <c r="E20" s="38"/>
      <c r="F20" s="38"/>
      <c r="G20" s="38"/>
      <c r="H20" s="38"/>
      <c r="I20" s="38"/>
      <c r="J20" s="38"/>
      <c r="K20" s="38"/>
      <c r="L20" s="38"/>
      <c r="M20" s="38"/>
      <c r="N20" s="38"/>
    </row>
    <row r="21" customFormat="false" ht="15" hidden="false" customHeight="true" outlineLevel="0" collapsed="false">
      <c r="A21" s="39" t="s">
        <v>76</v>
      </c>
      <c r="B21" s="39"/>
      <c r="C21" s="39"/>
      <c r="D21" s="39"/>
      <c r="E21" s="39"/>
      <c r="F21" s="39"/>
      <c r="G21" s="39"/>
      <c r="H21" s="39"/>
      <c r="I21" s="39"/>
      <c r="J21" s="39"/>
      <c r="K21" s="39"/>
      <c r="L21" s="39"/>
      <c r="M21" s="39"/>
      <c r="N21" s="39"/>
    </row>
    <row r="22" customFormat="false" ht="15" hidden="false" customHeight="false" outlineLevel="0" collapsed="false">
      <c r="A22" s="39"/>
      <c r="B22" s="39"/>
      <c r="C22" s="39"/>
      <c r="D22" s="39"/>
      <c r="E22" s="39"/>
      <c r="F22" s="39"/>
      <c r="G22" s="39"/>
      <c r="H22" s="39"/>
      <c r="I22" s="39"/>
      <c r="J22" s="39"/>
      <c r="K22" s="39"/>
      <c r="L22" s="39"/>
      <c r="M22" s="39"/>
      <c r="N22" s="39"/>
    </row>
    <row r="23" customFormat="false" ht="15" hidden="false" customHeight="false" outlineLevel="0" collapsed="false">
      <c r="A23" s="39"/>
      <c r="B23" s="39"/>
      <c r="C23" s="39"/>
      <c r="D23" s="39"/>
      <c r="E23" s="39"/>
      <c r="F23" s="39"/>
      <c r="G23" s="39"/>
      <c r="H23" s="39"/>
      <c r="I23" s="39"/>
      <c r="J23" s="39"/>
      <c r="K23" s="39"/>
      <c r="L23" s="39"/>
      <c r="M23" s="39"/>
      <c r="N23" s="39"/>
    </row>
  </sheetData>
  <mergeCells count="6">
    <mergeCell ref="A1:N1"/>
    <mergeCell ref="A2:N2"/>
    <mergeCell ref="A15:E15"/>
    <mergeCell ref="A16:E16"/>
    <mergeCell ref="A18:N20"/>
    <mergeCell ref="A21:N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6"/>
    <col collapsed="false" customWidth="true" hidden="false" outlineLevel="0" max="3" min="3" style="1" width="8"/>
    <col collapsed="false" customWidth="true" hidden="false" outlineLevel="0" max="4" min="4" style="1" width="10"/>
    <col collapsed="false" customWidth="true" hidden="false" outlineLevel="0" max="5" min="5" style="1" width="6"/>
    <col collapsed="false" customWidth="true" hidden="false" outlineLevel="0" max="6" min="6" style="1" width="30"/>
    <col collapsed="false" customWidth="true" hidden="false" outlineLevel="0" max="7" min="7" style="1" width="34"/>
    <col collapsed="false" customWidth="true" hidden="false" outlineLevel="0" max="8" min="8" style="1" width="26"/>
    <col collapsed="false" customWidth="true" hidden="false" outlineLevel="0" max="9" min="9" style="1" width="16"/>
    <col collapsed="false" customWidth="true" hidden="false" outlineLevel="0" max="10" min="10" style="1" width="13"/>
    <col collapsed="false" customWidth="true" hidden="false" outlineLevel="0" max="11" min="11" style="1" width="14"/>
    <col collapsed="false" customWidth="true" hidden="false" outlineLevel="0" max="12" min="12" style="1" width="12"/>
    <col collapsed="false" customWidth="true" hidden="false" outlineLevel="0" max="14" min="13" style="1" width="14"/>
    <col collapsed="false" customWidth="true" hidden="false" outlineLevel="0" max="19" min="15" style="1" width="11"/>
  </cols>
  <sheetData>
    <row r="1" customFormat="false" ht="30" hidden="false" customHeight="true" outlineLevel="0" collapsed="false">
      <c r="A1" s="4" t="s">
        <v>77</v>
      </c>
      <c r="B1" s="4" t="s">
        <v>2</v>
      </c>
      <c r="C1" s="4" t="s">
        <v>78</v>
      </c>
      <c r="D1" s="4" t="s">
        <v>17</v>
      </c>
      <c r="E1" s="4" t="s">
        <v>4</v>
      </c>
      <c r="F1" s="4" t="s">
        <v>79</v>
      </c>
      <c r="G1" s="4" t="s">
        <v>80</v>
      </c>
      <c r="H1" s="4" t="s">
        <v>35</v>
      </c>
      <c r="I1" s="4" t="s">
        <v>36</v>
      </c>
      <c r="J1" s="4" t="s">
        <v>81</v>
      </c>
      <c r="K1" s="4" t="s">
        <v>82</v>
      </c>
      <c r="L1" s="4" t="s">
        <v>83</v>
      </c>
      <c r="M1" s="4" t="s">
        <v>6</v>
      </c>
      <c r="N1" s="4" t="s">
        <v>84</v>
      </c>
      <c r="O1" s="4" t="s">
        <v>85</v>
      </c>
      <c r="P1" s="4" t="s">
        <v>9</v>
      </c>
      <c r="Q1" s="4" t="s">
        <v>86</v>
      </c>
      <c r="R1" s="4" t="s">
        <v>87</v>
      </c>
      <c r="S1" s="4" t="s">
        <v>8</v>
      </c>
    </row>
    <row r="2" customFormat="false" ht="15" hidden="false" customHeight="true" outlineLevel="0" collapsed="false">
      <c r="A2" s="40" t="n">
        <v>44928</v>
      </c>
      <c r="B2" s="41" t="n">
        <f aca="false">YEAR(A2)</f>
        <v>2023</v>
      </c>
      <c r="C2" s="42" t="str">
        <f aca="false">"Q"&amp;ROUNDUP(MONTH(A2)/3,0)</f>
        <v>Q1</v>
      </c>
      <c r="D2" s="42" t="str">
        <f aca="false">B2&amp;" Q"&amp;ROUNDUP(MONTH(A2)/3,0)</f>
        <v>2023 Q1</v>
      </c>
      <c r="E2" s="42" t="n">
        <v>1</v>
      </c>
      <c r="F2" s="42" t="s">
        <v>88</v>
      </c>
      <c r="G2" s="42" t="s">
        <v>89</v>
      </c>
      <c r="H2" s="42" t="s">
        <v>90</v>
      </c>
      <c r="I2" s="42" t="s">
        <v>91</v>
      </c>
      <c r="J2" s="42" t="s">
        <v>92</v>
      </c>
      <c r="K2" s="42" t="s">
        <v>93</v>
      </c>
      <c r="L2" s="43" t="n">
        <v>9762</v>
      </c>
      <c r="M2" s="44" t="n">
        <v>448873.15</v>
      </c>
      <c r="N2" s="44" t="n">
        <f aca="false">E2*M2</f>
        <v>448873.15</v>
      </c>
      <c r="O2" s="43" t="n">
        <v>10452</v>
      </c>
      <c r="P2" s="45" t="n">
        <v>0.93</v>
      </c>
      <c r="Q2" s="46" t="n">
        <v>24.7</v>
      </c>
      <c r="R2" s="46" t="n">
        <v>137</v>
      </c>
      <c r="S2" s="46" t="n">
        <v>45.98</v>
      </c>
    </row>
    <row r="3" customFormat="false" ht="15" hidden="false" customHeight="true" outlineLevel="0" collapsed="false">
      <c r="A3" s="47" t="n">
        <v>44932</v>
      </c>
      <c r="B3" s="48" t="n">
        <f aca="false">YEAR(A3)</f>
        <v>2023</v>
      </c>
      <c r="C3" s="49" t="str">
        <f aca="false">"Q"&amp;ROUNDUP(MONTH(A3)/3,0)</f>
        <v>Q1</v>
      </c>
      <c r="D3" s="49" t="str">
        <f aca="false">B3&amp;" Q"&amp;ROUNDUP(MONTH(A3)/3,0)</f>
        <v>2023 Q1</v>
      </c>
      <c r="E3" s="49" t="n">
        <v>1</v>
      </c>
      <c r="F3" s="49" t="s">
        <v>88</v>
      </c>
      <c r="G3" s="49" t="s">
        <v>94</v>
      </c>
      <c r="H3" s="49" t="s">
        <v>95</v>
      </c>
      <c r="I3" s="49" t="s">
        <v>96</v>
      </c>
      <c r="J3" s="49" t="s">
        <v>92</v>
      </c>
      <c r="K3" s="49" t="s">
        <v>93</v>
      </c>
      <c r="L3" s="50" t="n">
        <v>9083</v>
      </c>
      <c r="M3" s="51" t="n">
        <v>437038.5</v>
      </c>
      <c r="N3" s="51" t="n">
        <f aca="false">E3*M3</f>
        <v>437038.5</v>
      </c>
      <c r="O3" s="50" t="n">
        <v>12619</v>
      </c>
      <c r="P3" s="52" t="n">
        <v>0.71</v>
      </c>
      <c r="Q3" s="53" t="n">
        <v>20</v>
      </c>
      <c r="R3" s="53" t="n">
        <v>115</v>
      </c>
      <c r="S3" s="53" t="n">
        <v>48.12</v>
      </c>
    </row>
    <row r="4" customFormat="false" ht="15" hidden="false" customHeight="true" outlineLevel="0" collapsed="false">
      <c r="A4" s="40" t="n">
        <v>44935</v>
      </c>
      <c r="B4" s="41" t="n">
        <f aca="false">YEAR(A4)</f>
        <v>2023</v>
      </c>
      <c r="C4" s="42" t="str">
        <f aca="false">"Q"&amp;ROUNDUP(MONTH(A4)/3,0)</f>
        <v>Q1</v>
      </c>
      <c r="D4" s="42" t="str">
        <f aca="false">B4&amp;" Q"&amp;ROUNDUP(MONTH(A4)/3,0)</f>
        <v>2023 Q1</v>
      </c>
      <c r="E4" s="42" t="n">
        <v>1</v>
      </c>
      <c r="F4" s="42" t="s">
        <v>88</v>
      </c>
      <c r="G4" s="42" t="s">
        <v>97</v>
      </c>
      <c r="H4" s="42" t="s">
        <v>98</v>
      </c>
      <c r="I4" s="42" t="s">
        <v>99</v>
      </c>
      <c r="J4" s="42" t="s">
        <v>100</v>
      </c>
      <c r="K4" s="42" t="s">
        <v>93</v>
      </c>
      <c r="L4" s="43" t="n">
        <v>7094</v>
      </c>
      <c r="M4" s="44" t="n">
        <v>310592</v>
      </c>
      <c r="N4" s="44" t="n">
        <f aca="false">E4*M4</f>
        <v>310592</v>
      </c>
      <c r="O4" s="43" t="n">
        <v>7136</v>
      </c>
      <c r="P4" s="45" t="n">
        <v>0.99</v>
      </c>
      <c r="Q4" s="46" t="n">
        <v>20</v>
      </c>
      <c r="R4" s="46" t="n">
        <v>110</v>
      </c>
      <c r="S4" s="46" t="n">
        <v>43.78</v>
      </c>
    </row>
    <row r="5" customFormat="false" ht="15" hidden="false" customHeight="true" outlineLevel="0" collapsed="false">
      <c r="A5" s="47" t="n">
        <v>44946</v>
      </c>
      <c r="B5" s="48" t="n">
        <f aca="false">YEAR(A5)</f>
        <v>2023</v>
      </c>
      <c r="C5" s="49" t="str">
        <f aca="false">"Q"&amp;ROUNDUP(MONTH(A5)/3,0)</f>
        <v>Q1</v>
      </c>
      <c r="D5" s="49" t="str">
        <f aca="false">B5&amp;" Q"&amp;ROUNDUP(MONTH(A5)/3,0)</f>
        <v>2023 Q1</v>
      </c>
      <c r="E5" s="49" t="n">
        <v>1</v>
      </c>
      <c r="F5" s="49" t="s">
        <v>88</v>
      </c>
      <c r="G5" s="49"/>
      <c r="H5" s="49" t="s">
        <v>101</v>
      </c>
      <c r="I5" s="49" t="s">
        <v>102</v>
      </c>
      <c r="J5" s="49" t="s">
        <v>103</v>
      </c>
      <c r="K5" s="49" t="s">
        <v>93</v>
      </c>
      <c r="L5" s="50" t="n">
        <v>13466</v>
      </c>
      <c r="M5" s="51" t="n">
        <v>625642</v>
      </c>
      <c r="N5" s="51" t="n">
        <f aca="false">E5*M5</f>
        <v>625642</v>
      </c>
      <c r="O5" s="50" t="n">
        <v>14000</v>
      </c>
      <c r="P5" s="52" t="n">
        <v>0.96</v>
      </c>
      <c r="Q5" s="53" t="n">
        <v>25</v>
      </c>
      <c r="R5" s="53" t="n">
        <v>120</v>
      </c>
      <c r="S5" s="53" t="n">
        <v>46.46</v>
      </c>
    </row>
    <row r="6" customFormat="false" ht="15" hidden="false" customHeight="true" outlineLevel="0" collapsed="false">
      <c r="A6" s="40" t="n">
        <v>44949</v>
      </c>
      <c r="B6" s="41" t="n">
        <f aca="false">YEAR(A6)</f>
        <v>2023</v>
      </c>
      <c r="C6" s="42" t="str">
        <f aca="false">"Q"&amp;ROUNDUP(MONTH(A6)/3,0)</f>
        <v>Q1</v>
      </c>
      <c r="D6" s="42" t="str">
        <f aca="false">B6&amp;" Q"&amp;ROUNDUP(MONTH(A6)/3,0)</f>
        <v>2023 Q1</v>
      </c>
      <c r="E6" s="42" t="n">
        <v>1</v>
      </c>
      <c r="F6" s="42" t="s">
        <v>88</v>
      </c>
      <c r="G6" s="42"/>
      <c r="H6" s="42" t="s">
        <v>104</v>
      </c>
      <c r="I6" s="42" t="s">
        <v>105</v>
      </c>
      <c r="J6" s="42" t="s">
        <v>106</v>
      </c>
      <c r="K6" s="42" t="s">
        <v>93</v>
      </c>
      <c r="L6" s="43" t="n">
        <v>13528</v>
      </c>
      <c r="M6" s="44" t="n">
        <v>1181835</v>
      </c>
      <c r="N6" s="44" t="n">
        <f aca="false">E6*M6</f>
        <v>1181835</v>
      </c>
      <c r="O6" s="43" t="n">
        <v>13528</v>
      </c>
      <c r="P6" s="45" t="n">
        <v>1</v>
      </c>
      <c r="Q6" s="46" t="n">
        <v>20</v>
      </c>
      <c r="R6" s="46" t="n">
        <v>500</v>
      </c>
      <c r="S6" s="46" t="n">
        <v>87.36</v>
      </c>
    </row>
    <row r="7" customFormat="false" ht="15" hidden="false" customHeight="true" outlineLevel="0" collapsed="false">
      <c r="A7" s="47" t="n">
        <v>44956</v>
      </c>
      <c r="B7" s="48" t="n">
        <f aca="false">YEAR(A7)</f>
        <v>2023</v>
      </c>
      <c r="C7" s="49" t="str">
        <f aca="false">"Q"&amp;ROUNDUP(MONTH(A7)/3,0)</f>
        <v>Q1</v>
      </c>
      <c r="D7" s="49" t="str">
        <f aca="false">B7&amp;" Q"&amp;ROUNDUP(MONTH(A7)/3,0)</f>
        <v>2023 Q1</v>
      </c>
      <c r="E7" s="49" t="n">
        <v>1</v>
      </c>
      <c r="F7" s="49" t="s">
        <v>88</v>
      </c>
      <c r="G7" s="49" t="s">
        <v>89</v>
      </c>
      <c r="H7" s="49" t="s">
        <v>67</v>
      </c>
      <c r="I7" s="49" t="s">
        <v>68</v>
      </c>
      <c r="J7" s="49" t="s">
        <v>107</v>
      </c>
      <c r="K7" s="49" t="s">
        <v>93</v>
      </c>
      <c r="L7" s="50" t="n">
        <v>5734</v>
      </c>
      <c r="M7" s="51" t="n">
        <v>289938.5</v>
      </c>
      <c r="N7" s="51" t="n">
        <f aca="false">E7*M7</f>
        <v>289938.5</v>
      </c>
      <c r="O7" s="50" t="n">
        <v>11992</v>
      </c>
      <c r="P7" s="52" t="n">
        <v>0.47</v>
      </c>
      <c r="Q7" s="53" t="n">
        <v>24</v>
      </c>
      <c r="R7" s="53" t="n">
        <v>114</v>
      </c>
      <c r="S7" s="53" t="n">
        <v>50.56</v>
      </c>
    </row>
    <row r="8" customFormat="false" ht="15" hidden="false" customHeight="true" outlineLevel="0" collapsed="false">
      <c r="A8" s="40" t="n">
        <v>44961</v>
      </c>
      <c r="B8" s="41" t="n">
        <f aca="false">YEAR(A8)</f>
        <v>2023</v>
      </c>
      <c r="C8" s="42" t="str">
        <f aca="false">"Q"&amp;ROUNDUP(MONTH(A8)/3,0)</f>
        <v>Q1</v>
      </c>
      <c r="D8" s="42" t="str">
        <f aca="false">B8&amp;" Q"&amp;ROUNDUP(MONTH(A8)/3,0)</f>
        <v>2023 Q1</v>
      </c>
      <c r="E8" s="42" t="n">
        <v>1</v>
      </c>
      <c r="F8" s="42" t="s">
        <v>88</v>
      </c>
      <c r="G8" s="42" t="s">
        <v>108</v>
      </c>
      <c r="H8" s="42" t="s">
        <v>57</v>
      </c>
      <c r="I8" s="42" t="s">
        <v>58</v>
      </c>
      <c r="J8" s="42" t="s">
        <v>109</v>
      </c>
      <c r="K8" s="42" t="s">
        <v>93</v>
      </c>
      <c r="L8" s="43" t="n">
        <v>5462</v>
      </c>
      <c r="M8" s="44" t="n">
        <v>245698.98</v>
      </c>
      <c r="N8" s="44" t="n">
        <f aca="false">E8*M8</f>
        <v>245698.98</v>
      </c>
      <c r="O8" s="43" t="n">
        <v>6008</v>
      </c>
      <c r="P8" s="45" t="n">
        <v>0.9</v>
      </c>
      <c r="Q8" s="46" t="n">
        <v>20</v>
      </c>
      <c r="R8" s="46" t="n">
        <v>150</v>
      </c>
      <c r="S8" s="46" t="n">
        <v>44.98</v>
      </c>
    </row>
    <row r="9" customFormat="false" ht="15" hidden="false" customHeight="true" outlineLevel="0" collapsed="false">
      <c r="A9" s="47" t="n">
        <v>44963</v>
      </c>
      <c r="B9" s="48" t="n">
        <f aca="false">YEAR(A9)</f>
        <v>2023</v>
      </c>
      <c r="C9" s="49" t="str">
        <f aca="false">"Q"&amp;ROUNDUP(MONTH(A9)/3,0)</f>
        <v>Q1</v>
      </c>
      <c r="D9" s="49" t="str">
        <f aca="false">B9&amp;" Q"&amp;ROUNDUP(MONTH(A9)/3,0)</f>
        <v>2023 Q1</v>
      </c>
      <c r="E9" s="49" t="n">
        <v>1</v>
      </c>
      <c r="F9" s="49" t="s">
        <v>88</v>
      </c>
      <c r="G9" s="49" t="s">
        <v>110</v>
      </c>
      <c r="H9" s="49" t="s">
        <v>111</v>
      </c>
      <c r="I9" s="49" t="s">
        <v>112</v>
      </c>
      <c r="J9" s="49" t="s">
        <v>113</v>
      </c>
      <c r="K9" s="49" t="s">
        <v>93</v>
      </c>
      <c r="L9" s="50" t="n">
        <v>9453</v>
      </c>
      <c r="M9" s="51" t="n">
        <v>414498.5</v>
      </c>
      <c r="N9" s="51" t="n">
        <f aca="false">E9*M9</f>
        <v>414498.5</v>
      </c>
      <c r="O9" s="50" t="n">
        <v>11411</v>
      </c>
      <c r="P9" s="52" t="n">
        <v>0.82</v>
      </c>
      <c r="Q9" s="53" t="n">
        <v>20</v>
      </c>
      <c r="R9" s="53" t="n">
        <v>120</v>
      </c>
      <c r="S9" s="53" t="n">
        <v>43.85</v>
      </c>
    </row>
    <row r="10" customFormat="false" ht="15" hidden="false" customHeight="true" outlineLevel="0" collapsed="false">
      <c r="A10" s="40" t="n">
        <v>44967</v>
      </c>
      <c r="B10" s="41" t="n">
        <f aca="false">YEAR(A10)</f>
        <v>2023</v>
      </c>
      <c r="C10" s="42" t="str">
        <f aca="false">"Q"&amp;ROUNDUP(MONTH(A10)/3,0)</f>
        <v>Q1</v>
      </c>
      <c r="D10" s="42" t="str">
        <f aca="false">B10&amp;" Q"&amp;ROUNDUP(MONTH(A10)/3,0)</f>
        <v>2023 Q1</v>
      </c>
      <c r="E10" s="42" t="n">
        <v>1</v>
      </c>
      <c r="F10" s="42" t="s">
        <v>88</v>
      </c>
      <c r="G10" s="42"/>
      <c r="H10" s="42" t="s">
        <v>114</v>
      </c>
      <c r="I10" s="42" t="s">
        <v>115</v>
      </c>
      <c r="J10" s="42" t="s">
        <v>116</v>
      </c>
      <c r="K10" s="42" t="s">
        <v>93</v>
      </c>
      <c r="L10" s="43" t="n">
        <v>5752</v>
      </c>
      <c r="M10" s="44" t="n">
        <v>311110</v>
      </c>
      <c r="N10" s="44" t="n">
        <f aca="false">E10*M10</f>
        <v>311110</v>
      </c>
      <c r="O10" s="43" t="n">
        <v>5752</v>
      </c>
      <c r="P10" s="45" t="n">
        <v>1</v>
      </c>
      <c r="Q10" s="46" t="n">
        <v>20</v>
      </c>
      <c r="R10" s="46" t="n">
        <v>130</v>
      </c>
      <c r="S10" s="46" t="n">
        <v>54.09</v>
      </c>
    </row>
    <row r="11" customFormat="false" ht="15" hidden="false" customHeight="true" outlineLevel="0" collapsed="false">
      <c r="A11" s="47" t="n">
        <v>44970</v>
      </c>
      <c r="B11" s="48" t="n">
        <f aca="false">YEAR(A11)</f>
        <v>2023</v>
      </c>
      <c r="C11" s="49" t="str">
        <f aca="false">"Q"&amp;ROUNDUP(MONTH(A11)/3,0)</f>
        <v>Q1</v>
      </c>
      <c r="D11" s="49" t="str">
        <f aca="false">B11&amp;" Q"&amp;ROUNDUP(MONTH(A11)/3,0)</f>
        <v>2023 Q1</v>
      </c>
      <c r="E11" s="49" t="n">
        <v>1</v>
      </c>
      <c r="F11" s="49" t="s">
        <v>88</v>
      </c>
      <c r="G11" s="49" t="s">
        <v>117</v>
      </c>
      <c r="H11" s="49" t="s">
        <v>118</v>
      </c>
      <c r="I11" s="49" t="s">
        <v>119</v>
      </c>
      <c r="J11" s="49" t="s">
        <v>120</v>
      </c>
      <c r="K11" s="49" t="s">
        <v>93</v>
      </c>
      <c r="L11" s="50" t="n">
        <v>11739</v>
      </c>
      <c r="M11" s="51" t="n">
        <v>664282.5</v>
      </c>
      <c r="N11" s="51" t="n">
        <f aca="false">E11*M11</f>
        <v>664282.5</v>
      </c>
      <c r="O11" s="50" t="n">
        <v>13215</v>
      </c>
      <c r="P11" s="52" t="n">
        <v>0.88</v>
      </c>
      <c r="Q11" s="53" t="n">
        <v>20</v>
      </c>
      <c r="R11" s="53" t="n">
        <v>150</v>
      </c>
      <c r="S11" s="53" t="n">
        <v>56.59</v>
      </c>
    </row>
    <row r="12" customFormat="false" ht="15" hidden="false" customHeight="true" outlineLevel="0" collapsed="false">
      <c r="A12" s="40" t="n">
        <v>44974</v>
      </c>
      <c r="B12" s="41" t="n">
        <f aca="false">YEAR(A12)</f>
        <v>2023</v>
      </c>
      <c r="C12" s="42" t="str">
        <f aca="false">"Q"&amp;ROUNDUP(MONTH(A12)/3,0)</f>
        <v>Q1</v>
      </c>
      <c r="D12" s="42" t="str">
        <f aca="false">B12&amp;" Q"&amp;ROUNDUP(MONTH(A12)/3,0)</f>
        <v>2023 Q1</v>
      </c>
      <c r="E12" s="42" t="n">
        <v>1</v>
      </c>
      <c r="F12" s="42" t="s">
        <v>88</v>
      </c>
      <c r="G12" s="42" t="s">
        <v>121</v>
      </c>
      <c r="H12" s="42" t="s">
        <v>122</v>
      </c>
      <c r="I12" s="42" t="s">
        <v>123</v>
      </c>
      <c r="J12" s="42" t="s">
        <v>124</v>
      </c>
      <c r="K12" s="42" t="s">
        <v>125</v>
      </c>
      <c r="L12" s="43" t="n">
        <v>11744</v>
      </c>
      <c r="M12" s="44" t="n">
        <v>649680.63</v>
      </c>
      <c r="N12" s="44" t="n">
        <f aca="false">E12*M12</f>
        <v>649680.63</v>
      </c>
      <c r="O12" s="43" t="n">
        <v>11746</v>
      </c>
      <c r="P12" s="45" t="n">
        <v>0.99</v>
      </c>
      <c r="Q12" s="46" t="n">
        <v>55.32</v>
      </c>
      <c r="R12" s="46" t="n">
        <v>55.32</v>
      </c>
      <c r="S12" s="46" t="n">
        <v>55.32</v>
      </c>
    </row>
    <row r="13" customFormat="false" ht="15" hidden="false" customHeight="true" outlineLevel="0" collapsed="false">
      <c r="A13" s="47" t="n">
        <v>44975</v>
      </c>
      <c r="B13" s="48" t="n">
        <f aca="false">YEAR(A13)</f>
        <v>2023</v>
      </c>
      <c r="C13" s="49" t="str">
        <f aca="false">"Q"&amp;ROUNDUP(MONTH(A13)/3,0)</f>
        <v>Q1</v>
      </c>
      <c r="D13" s="49" t="str">
        <f aca="false">B13&amp;" Q"&amp;ROUNDUP(MONTH(A13)/3,0)</f>
        <v>2023 Q1</v>
      </c>
      <c r="E13" s="49" t="n">
        <v>1</v>
      </c>
      <c r="F13" s="49" t="s">
        <v>88</v>
      </c>
      <c r="G13" s="49" t="s">
        <v>126</v>
      </c>
      <c r="H13" s="49" t="s">
        <v>122</v>
      </c>
      <c r="I13" s="49" t="s">
        <v>123</v>
      </c>
      <c r="J13" s="49" t="s">
        <v>124</v>
      </c>
      <c r="K13" s="49" t="s">
        <v>125</v>
      </c>
      <c r="L13" s="50" t="n">
        <v>13807</v>
      </c>
      <c r="M13" s="51" t="n">
        <v>997636.68</v>
      </c>
      <c r="N13" s="51" t="n">
        <f aca="false">E13*M13</f>
        <v>997636.68</v>
      </c>
      <c r="O13" s="50" t="n">
        <v>13809</v>
      </c>
      <c r="P13" s="52" t="n">
        <v>0.99</v>
      </c>
      <c r="Q13" s="53" t="n">
        <v>72.25</v>
      </c>
      <c r="R13" s="53" t="n">
        <v>72.25</v>
      </c>
      <c r="S13" s="53" t="n">
        <v>72.26</v>
      </c>
    </row>
    <row r="14" customFormat="false" ht="15" hidden="false" customHeight="true" outlineLevel="0" collapsed="false">
      <c r="A14" s="40" t="n">
        <v>44977</v>
      </c>
      <c r="B14" s="41" t="n">
        <f aca="false">YEAR(A14)</f>
        <v>2023</v>
      </c>
      <c r="C14" s="42" t="str">
        <f aca="false">"Q"&amp;ROUNDUP(MONTH(A14)/3,0)</f>
        <v>Q1</v>
      </c>
      <c r="D14" s="42" t="str">
        <f aca="false">B14&amp;" Q"&amp;ROUNDUP(MONTH(A14)/3,0)</f>
        <v>2023 Q1</v>
      </c>
      <c r="E14" s="42" t="n">
        <v>1</v>
      </c>
      <c r="F14" s="42" t="s">
        <v>88</v>
      </c>
      <c r="G14" s="42"/>
      <c r="H14" s="42" t="s">
        <v>127</v>
      </c>
      <c r="I14" s="42" t="s">
        <v>128</v>
      </c>
      <c r="J14" s="42" t="s">
        <v>129</v>
      </c>
      <c r="K14" s="42" t="s">
        <v>125</v>
      </c>
      <c r="L14" s="43" t="n">
        <v>7663</v>
      </c>
      <c r="M14" s="44" t="n">
        <v>312662.09</v>
      </c>
      <c r="N14" s="44" t="n">
        <f aca="false">E14*M14</f>
        <v>312662.09</v>
      </c>
      <c r="O14" s="43" t="n">
        <v>8604</v>
      </c>
      <c r="P14" s="45" t="n">
        <v>0.89</v>
      </c>
      <c r="Q14" s="46" t="n">
        <v>18.55</v>
      </c>
      <c r="R14" s="46" t="n">
        <v>92.74</v>
      </c>
      <c r="S14" s="46" t="n">
        <v>40.8</v>
      </c>
    </row>
    <row r="15" customFormat="false" ht="15" hidden="false" customHeight="true" outlineLevel="0" collapsed="false">
      <c r="A15" s="47" t="n">
        <v>44981</v>
      </c>
      <c r="B15" s="48" t="n">
        <f aca="false">YEAR(A15)</f>
        <v>2023</v>
      </c>
      <c r="C15" s="49" t="str">
        <f aca="false">"Q"&amp;ROUNDUP(MONTH(A15)/3,0)</f>
        <v>Q1</v>
      </c>
      <c r="D15" s="49" t="str">
        <f aca="false">B15&amp;" Q"&amp;ROUNDUP(MONTH(A15)/3,0)</f>
        <v>2023 Q1</v>
      </c>
      <c r="E15" s="49" t="n">
        <v>1</v>
      </c>
      <c r="F15" s="49" t="s">
        <v>88</v>
      </c>
      <c r="G15" s="49" t="s">
        <v>130</v>
      </c>
      <c r="H15" s="49" t="s">
        <v>131</v>
      </c>
      <c r="I15" s="49" t="s">
        <v>132</v>
      </c>
      <c r="J15" s="49" t="s">
        <v>133</v>
      </c>
      <c r="K15" s="49" t="s">
        <v>93</v>
      </c>
      <c r="L15" s="50" t="n">
        <v>7530</v>
      </c>
      <c r="M15" s="51" t="n">
        <v>334188</v>
      </c>
      <c r="N15" s="51" t="n">
        <f aca="false">E15*M15</f>
        <v>334188</v>
      </c>
      <c r="O15" s="50" t="n">
        <v>7530</v>
      </c>
      <c r="P15" s="52" t="n">
        <v>1</v>
      </c>
      <c r="Q15" s="53" t="n">
        <v>25</v>
      </c>
      <c r="R15" s="53" t="n">
        <v>115</v>
      </c>
      <c r="S15" s="53" t="n">
        <v>44.38</v>
      </c>
    </row>
    <row r="16" customFormat="false" ht="15" hidden="false" customHeight="true" outlineLevel="0" collapsed="false">
      <c r="A16" s="40" t="n">
        <v>44983</v>
      </c>
      <c r="B16" s="41" t="n">
        <f aca="false">YEAR(A16)</f>
        <v>2023</v>
      </c>
      <c r="C16" s="42" t="str">
        <f aca="false">"Q"&amp;ROUNDUP(MONTH(A16)/3,0)</f>
        <v>Q1</v>
      </c>
      <c r="D16" s="42" t="str">
        <f aca="false">B16&amp;" Q"&amp;ROUNDUP(MONTH(A16)/3,0)</f>
        <v>2023 Q1</v>
      </c>
      <c r="E16" s="42" t="n">
        <v>1</v>
      </c>
      <c r="F16" s="42" t="s">
        <v>88</v>
      </c>
      <c r="G16" s="42"/>
      <c r="H16" s="42" t="s">
        <v>134</v>
      </c>
      <c r="I16" s="42" t="s">
        <v>135</v>
      </c>
      <c r="J16" s="42" t="s">
        <v>136</v>
      </c>
      <c r="K16" s="42" t="s">
        <v>93</v>
      </c>
      <c r="L16" s="43" t="n">
        <v>4431</v>
      </c>
      <c r="M16" s="44" t="n">
        <v>231642.45</v>
      </c>
      <c r="N16" s="44" t="n">
        <f aca="false">E16*M16</f>
        <v>231642.45</v>
      </c>
      <c r="O16" s="43" t="n">
        <v>7307</v>
      </c>
      <c r="P16" s="45" t="n">
        <v>0.6</v>
      </c>
      <c r="Q16" s="46" t="n">
        <v>20</v>
      </c>
      <c r="R16" s="46" t="n">
        <v>110</v>
      </c>
      <c r="S16" s="46" t="n">
        <v>52.28</v>
      </c>
    </row>
    <row r="17" customFormat="false" ht="15" hidden="false" customHeight="true" outlineLevel="0" collapsed="false">
      <c r="A17" s="47" t="n">
        <v>44988</v>
      </c>
      <c r="B17" s="48" t="n">
        <f aca="false">YEAR(A17)</f>
        <v>2023</v>
      </c>
      <c r="C17" s="49" t="str">
        <f aca="false">"Q"&amp;ROUNDUP(MONTH(A17)/3,0)</f>
        <v>Q1</v>
      </c>
      <c r="D17" s="49" t="str">
        <f aca="false">B17&amp;" Q"&amp;ROUNDUP(MONTH(A17)/3,0)</f>
        <v>2023 Q1</v>
      </c>
      <c r="E17" s="49" t="n">
        <v>1</v>
      </c>
      <c r="F17" s="49" t="s">
        <v>88</v>
      </c>
      <c r="G17" s="49" t="s">
        <v>137</v>
      </c>
      <c r="H17" s="49" t="s">
        <v>138</v>
      </c>
      <c r="I17" s="49" t="s">
        <v>139</v>
      </c>
      <c r="J17" s="49" t="s">
        <v>140</v>
      </c>
      <c r="K17" s="49" t="s">
        <v>93</v>
      </c>
      <c r="L17" s="50" t="n">
        <v>11998</v>
      </c>
      <c r="M17" s="51" t="n">
        <v>727358.25</v>
      </c>
      <c r="N17" s="51" t="n">
        <f aca="false">E17*M17</f>
        <v>727358.25</v>
      </c>
      <c r="O17" s="50" t="n">
        <v>12676</v>
      </c>
      <c r="P17" s="52" t="n">
        <v>0.94</v>
      </c>
      <c r="Q17" s="53" t="n">
        <v>20</v>
      </c>
      <c r="R17" s="53" t="n">
        <v>125</v>
      </c>
      <c r="S17" s="53" t="n">
        <v>60.62</v>
      </c>
    </row>
    <row r="18" customFormat="false" ht="15" hidden="false" customHeight="true" outlineLevel="0" collapsed="false">
      <c r="A18" s="40" t="n">
        <v>44989</v>
      </c>
      <c r="B18" s="41" t="n">
        <f aca="false">YEAR(A18)</f>
        <v>2023</v>
      </c>
      <c r="C18" s="42" t="str">
        <f aca="false">"Q"&amp;ROUNDUP(MONTH(A18)/3,0)</f>
        <v>Q1</v>
      </c>
      <c r="D18" s="42" t="str">
        <f aca="false">B18&amp;" Q"&amp;ROUNDUP(MONTH(A18)/3,0)</f>
        <v>2023 Q1</v>
      </c>
      <c r="E18" s="42" t="n">
        <v>1</v>
      </c>
      <c r="F18" s="42" t="s">
        <v>88</v>
      </c>
      <c r="G18" s="42" t="s">
        <v>141</v>
      </c>
      <c r="H18" s="42" t="s">
        <v>142</v>
      </c>
      <c r="I18" s="42" t="s">
        <v>143</v>
      </c>
      <c r="J18" s="42" t="s">
        <v>129</v>
      </c>
      <c r="K18" s="42" t="s">
        <v>125</v>
      </c>
      <c r="L18" s="43" t="n">
        <v>7294</v>
      </c>
      <c r="M18" s="44" t="n">
        <v>349709.25</v>
      </c>
      <c r="N18" s="44" t="n">
        <f aca="false">E18*M18</f>
        <v>349709.25</v>
      </c>
      <c r="O18" s="43" t="n">
        <v>7294</v>
      </c>
      <c r="P18" s="45" t="n">
        <v>1</v>
      </c>
      <c r="Q18" s="46" t="n">
        <v>18.36</v>
      </c>
      <c r="R18" s="46" t="n">
        <v>117.5</v>
      </c>
      <c r="S18" s="46" t="n">
        <v>47.94</v>
      </c>
    </row>
    <row r="19" customFormat="false" ht="15" hidden="false" customHeight="true" outlineLevel="0" collapsed="false">
      <c r="A19" s="47" t="n">
        <v>44991</v>
      </c>
      <c r="B19" s="48" t="n">
        <f aca="false">YEAR(A19)</f>
        <v>2023</v>
      </c>
      <c r="C19" s="49" t="str">
        <f aca="false">"Q"&amp;ROUNDUP(MONTH(A19)/3,0)</f>
        <v>Q1</v>
      </c>
      <c r="D19" s="49" t="str">
        <f aca="false">B19&amp;" Q"&amp;ROUNDUP(MONTH(A19)/3,0)</f>
        <v>2023 Q1</v>
      </c>
      <c r="E19" s="49" t="n">
        <v>1</v>
      </c>
      <c r="F19" s="49" t="s">
        <v>88</v>
      </c>
      <c r="G19" s="49" t="s">
        <v>144</v>
      </c>
      <c r="H19" s="49" t="s">
        <v>145</v>
      </c>
      <c r="I19" s="49" t="s">
        <v>146</v>
      </c>
      <c r="J19" s="49" t="s">
        <v>147</v>
      </c>
      <c r="K19" s="49" t="s">
        <v>93</v>
      </c>
      <c r="L19" s="50" t="n">
        <v>12239</v>
      </c>
      <c r="M19" s="51" t="n">
        <v>884269</v>
      </c>
      <c r="N19" s="51" t="n">
        <f aca="false">E19*M19</f>
        <v>884269</v>
      </c>
      <c r="O19" s="50" t="n">
        <v>13169</v>
      </c>
      <c r="P19" s="52" t="n">
        <v>0.92</v>
      </c>
      <c r="Q19" s="53" t="n">
        <v>20</v>
      </c>
      <c r="R19" s="53" t="n">
        <v>150</v>
      </c>
      <c r="S19" s="53" t="n">
        <v>72.25</v>
      </c>
    </row>
    <row r="20" customFormat="false" ht="15" hidden="false" customHeight="true" outlineLevel="0" collapsed="false">
      <c r="A20" s="40" t="n">
        <v>44995</v>
      </c>
      <c r="B20" s="41" t="n">
        <f aca="false">YEAR(A20)</f>
        <v>2023</v>
      </c>
      <c r="C20" s="42" t="str">
        <f aca="false">"Q"&amp;ROUNDUP(MONTH(A20)/3,0)</f>
        <v>Q1</v>
      </c>
      <c r="D20" s="42" t="str">
        <f aca="false">B20&amp;" Q"&amp;ROUNDUP(MONTH(A20)/3,0)</f>
        <v>2023 Q1</v>
      </c>
      <c r="E20" s="42" t="n">
        <v>1</v>
      </c>
      <c r="F20" s="42" t="s">
        <v>88</v>
      </c>
      <c r="G20" s="42" t="s">
        <v>148</v>
      </c>
      <c r="H20" s="42" t="s">
        <v>149</v>
      </c>
      <c r="I20" s="42" t="s">
        <v>150</v>
      </c>
      <c r="J20" s="42" t="s">
        <v>106</v>
      </c>
      <c r="K20" s="42" t="s">
        <v>93</v>
      </c>
      <c r="L20" s="43" t="n">
        <v>9019</v>
      </c>
      <c r="M20" s="44" t="n">
        <v>457689.1</v>
      </c>
      <c r="N20" s="44" t="n">
        <f aca="false">E20*M20</f>
        <v>457689.1</v>
      </c>
      <c r="O20" s="43" t="n">
        <v>13143</v>
      </c>
      <c r="P20" s="45" t="n">
        <v>0.68</v>
      </c>
      <c r="Q20" s="46" t="n">
        <v>20</v>
      </c>
      <c r="R20" s="46" t="n">
        <v>125</v>
      </c>
      <c r="S20" s="46" t="n">
        <v>50.75</v>
      </c>
    </row>
    <row r="21" customFormat="false" ht="15" hidden="false" customHeight="true" outlineLevel="0" collapsed="false">
      <c r="A21" s="47" t="n">
        <v>44997</v>
      </c>
      <c r="B21" s="48" t="n">
        <f aca="false">YEAR(A21)</f>
        <v>2023</v>
      </c>
      <c r="C21" s="49" t="str">
        <f aca="false">"Q"&amp;ROUNDUP(MONTH(A21)/3,0)</f>
        <v>Q1</v>
      </c>
      <c r="D21" s="49" t="str">
        <f aca="false">B21&amp;" Q"&amp;ROUNDUP(MONTH(A21)/3,0)</f>
        <v>2023 Q1</v>
      </c>
      <c r="E21" s="49" t="n">
        <v>1</v>
      </c>
      <c r="F21" s="49" t="s">
        <v>88</v>
      </c>
      <c r="G21" s="49" t="s">
        <v>151</v>
      </c>
      <c r="H21" s="49" t="s">
        <v>152</v>
      </c>
      <c r="I21" s="49" t="s">
        <v>72</v>
      </c>
      <c r="J21" s="49" t="s">
        <v>153</v>
      </c>
      <c r="K21" s="49" t="s">
        <v>93</v>
      </c>
      <c r="L21" s="50" t="n">
        <v>10529</v>
      </c>
      <c r="M21" s="51" t="n">
        <v>685715</v>
      </c>
      <c r="N21" s="51" t="n">
        <f aca="false">E21*M21</f>
        <v>685715</v>
      </c>
      <c r="O21" s="50" t="n">
        <v>13718</v>
      </c>
      <c r="P21" s="52" t="n">
        <v>0.76</v>
      </c>
      <c r="Q21" s="53" t="n">
        <v>26</v>
      </c>
      <c r="R21" s="53" t="n">
        <v>206</v>
      </c>
      <c r="S21" s="53" t="n">
        <v>65.13</v>
      </c>
    </row>
    <row r="22" customFormat="false" ht="15" hidden="false" customHeight="true" outlineLevel="0" collapsed="false">
      <c r="A22" s="40" t="n">
        <v>44997</v>
      </c>
      <c r="B22" s="41" t="n">
        <f aca="false">YEAR(A22)</f>
        <v>2023</v>
      </c>
      <c r="C22" s="42" t="str">
        <f aca="false">"Q"&amp;ROUNDUP(MONTH(A22)/3,0)</f>
        <v>Q1</v>
      </c>
      <c r="D22" s="42" t="str">
        <f aca="false">B22&amp;" Q"&amp;ROUNDUP(MONTH(A22)/3,0)</f>
        <v>2023 Q1</v>
      </c>
      <c r="E22" s="42" t="n">
        <v>1</v>
      </c>
      <c r="F22" s="42" t="s">
        <v>88</v>
      </c>
      <c r="G22" s="42"/>
      <c r="H22" s="42" t="s">
        <v>154</v>
      </c>
      <c r="I22" s="42" t="s">
        <v>120</v>
      </c>
      <c r="J22" s="42" t="s">
        <v>120</v>
      </c>
      <c r="K22" s="42" t="s">
        <v>93</v>
      </c>
      <c r="L22" s="43" t="n">
        <v>10529</v>
      </c>
      <c r="M22" s="44" t="n">
        <v>685715</v>
      </c>
      <c r="N22" s="44" t="n">
        <f aca="false">E22*M22</f>
        <v>685715</v>
      </c>
      <c r="O22" s="43" t="n">
        <v>13718</v>
      </c>
      <c r="P22" s="45" t="n">
        <v>0.76</v>
      </c>
      <c r="Q22" s="46" t="n">
        <v>26</v>
      </c>
      <c r="R22" s="46" t="n">
        <v>206</v>
      </c>
      <c r="S22" s="46" t="n">
        <v>65.13</v>
      </c>
    </row>
    <row r="23" customFormat="false" ht="15" hidden="false" customHeight="true" outlineLevel="0" collapsed="false">
      <c r="A23" s="47" t="n">
        <v>45003</v>
      </c>
      <c r="B23" s="48" t="n">
        <f aca="false">YEAR(A23)</f>
        <v>2023</v>
      </c>
      <c r="C23" s="49" t="str">
        <f aca="false">"Q"&amp;ROUNDUP(MONTH(A23)/3,0)</f>
        <v>Q1</v>
      </c>
      <c r="D23" s="49" t="str">
        <f aca="false">B23&amp;" Q"&amp;ROUNDUP(MONTH(A23)/3,0)</f>
        <v>2023 Q1</v>
      </c>
      <c r="E23" s="49" t="n">
        <v>1</v>
      </c>
      <c r="F23" s="49" t="s">
        <v>88</v>
      </c>
      <c r="G23" s="49"/>
      <c r="H23" s="49" t="s">
        <v>155</v>
      </c>
      <c r="I23" s="49" t="s">
        <v>156</v>
      </c>
      <c r="J23" s="49" t="s">
        <v>157</v>
      </c>
      <c r="K23" s="49" t="s">
        <v>93</v>
      </c>
      <c r="L23" s="50" t="n">
        <v>5953</v>
      </c>
      <c r="M23" s="51" t="n">
        <v>276757</v>
      </c>
      <c r="N23" s="51" t="n">
        <f aca="false">E23*M23</f>
        <v>276757</v>
      </c>
      <c r="O23" s="50" t="n">
        <v>11546</v>
      </c>
      <c r="P23" s="52" t="n">
        <v>0.51</v>
      </c>
      <c r="Q23" s="53" t="n">
        <v>30</v>
      </c>
      <c r="R23" s="53" t="n">
        <v>115</v>
      </c>
      <c r="S23" s="53" t="n">
        <v>46.49</v>
      </c>
    </row>
    <row r="24" customFormat="false" ht="15" hidden="false" customHeight="true" outlineLevel="0" collapsed="false">
      <c r="A24" s="40" t="n">
        <v>45009</v>
      </c>
      <c r="B24" s="41" t="n">
        <f aca="false">YEAR(A24)</f>
        <v>2023</v>
      </c>
      <c r="C24" s="42" t="str">
        <f aca="false">"Q"&amp;ROUNDUP(MONTH(A24)/3,0)</f>
        <v>Q1</v>
      </c>
      <c r="D24" s="42" t="str">
        <f aca="false">B24&amp;" Q"&amp;ROUNDUP(MONTH(A24)/3,0)</f>
        <v>2023 Q1</v>
      </c>
      <c r="E24" s="42" t="n">
        <v>1</v>
      </c>
      <c r="F24" s="42" t="s">
        <v>88</v>
      </c>
      <c r="G24" s="42" t="s">
        <v>158</v>
      </c>
      <c r="H24" s="42" t="s">
        <v>152</v>
      </c>
      <c r="I24" s="42" t="s">
        <v>72</v>
      </c>
      <c r="J24" s="42" t="s">
        <v>153</v>
      </c>
      <c r="K24" s="42" t="s">
        <v>93</v>
      </c>
      <c r="L24" s="43" t="n">
        <v>9409</v>
      </c>
      <c r="M24" s="44" t="n">
        <v>439268</v>
      </c>
      <c r="N24" s="44" t="n">
        <f aca="false">E24*M24</f>
        <v>439268</v>
      </c>
      <c r="O24" s="43" t="n">
        <v>11088</v>
      </c>
      <c r="P24" s="45" t="n">
        <v>0.84</v>
      </c>
      <c r="Q24" s="46" t="n">
        <v>25.8</v>
      </c>
      <c r="R24" s="46" t="n">
        <v>140.25</v>
      </c>
      <c r="S24" s="46" t="n">
        <v>46.69</v>
      </c>
    </row>
    <row r="25" customFormat="false" ht="15" hidden="false" customHeight="true" outlineLevel="0" collapsed="false">
      <c r="A25" s="47" t="n">
        <v>45009</v>
      </c>
      <c r="B25" s="48" t="n">
        <f aca="false">YEAR(A25)</f>
        <v>2023</v>
      </c>
      <c r="C25" s="49" t="str">
        <f aca="false">"Q"&amp;ROUNDUP(MONTH(A25)/3,0)</f>
        <v>Q1</v>
      </c>
      <c r="D25" s="49" t="str">
        <f aca="false">B25&amp;" Q"&amp;ROUNDUP(MONTH(A25)/3,0)</f>
        <v>2023 Q1</v>
      </c>
      <c r="E25" s="49" t="n">
        <v>1</v>
      </c>
      <c r="F25" s="49" t="s">
        <v>88</v>
      </c>
      <c r="G25" s="49"/>
      <c r="H25" s="49" t="s">
        <v>134</v>
      </c>
      <c r="I25" s="49" t="s">
        <v>135</v>
      </c>
      <c r="J25" s="49" t="s">
        <v>136</v>
      </c>
      <c r="K25" s="49" t="s">
        <v>93</v>
      </c>
      <c r="L25" s="50" t="n">
        <v>5206</v>
      </c>
      <c r="M25" s="51" t="n">
        <v>285881</v>
      </c>
      <c r="N25" s="51" t="n">
        <f aca="false">E25*M25</f>
        <v>285881</v>
      </c>
      <c r="O25" s="50" t="n">
        <v>7306</v>
      </c>
      <c r="P25" s="52" t="n">
        <v>0.71</v>
      </c>
      <c r="Q25" s="53" t="n">
        <v>20</v>
      </c>
      <c r="R25" s="53" t="n">
        <v>115</v>
      </c>
      <c r="S25" s="53" t="n">
        <v>54.91</v>
      </c>
    </row>
    <row r="26" customFormat="false" ht="15" hidden="false" customHeight="true" outlineLevel="0" collapsed="false">
      <c r="A26" s="40" t="n">
        <v>45012</v>
      </c>
      <c r="B26" s="41" t="n">
        <f aca="false">YEAR(A26)</f>
        <v>2023</v>
      </c>
      <c r="C26" s="42" t="str">
        <f aca="false">"Q"&amp;ROUNDUP(MONTH(A26)/3,0)</f>
        <v>Q1</v>
      </c>
      <c r="D26" s="42" t="str">
        <f aca="false">B26&amp;" Q"&amp;ROUNDUP(MONTH(A26)/3,0)</f>
        <v>2023 Q1</v>
      </c>
      <c r="E26" s="42" t="n">
        <v>1</v>
      </c>
      <c r="F26" s="42" t="s">
        <v>88</v>
      </c>
      <c r="G26" s="42" t="s">
        <v>159</v>
      </c>
      <c r="H26" s="42" t="s">
        <v>160</v>
      </c>
      <c r="I26" s="42" t="s">
        <v>161</v>
      </c>
      <c r="J26" s="42" t="s">
        <v>162</v>
      </c>
      <c r="K26" s="42" t="s">
        <v>93</v>
      </c>
      <c r="L26" s="43" t="n">
        <v>10857</v>
      </c>
      <c r="M26" s="44" t="n">
        <v>572538</v>
      </c>
      <c r="N26" s="44" t="n">
        <f aca="false">E26*M26</f>
        <v>572538</v>
      </c>
      <c r="O26" s="43" t="n">
        <v>11001</v>
      </c>
      <c r="P26" s="45" t="n">
        <v>0.98</v>
      </c>
      <c r="Q26" s="46" t="n">
        <v>20</v>
      </c>
      <c r="R26" s="46" t="n">
        <v>500</v>
      </c>
      <c r="S26" s="46" t="n">
        <v>52.73</v>
      </c>
    </row>
    <row r="27" customFormat="false" ht="15" hidden="false" customHeight="true" outlineLevel="0" collapsed="false">
      <c r="A27" s="47" t="n">
        <v>45016</v>
      </c>
      <c r="B27" s="48" t="n">
        <f aca="false">YEAR(A27)</f>
        <v>2023</v>
      </c>
      <c r="C27" s="49" t="str">
        <f aca="false">"Q"&amp;ROUNDUP(MONTH(A27)/3,0)</f>
        <v>Q1</v>
      </c>
      <c r="D27" s="49" t="str">
        <f aca="false">B27&amp;" Q"&amp;ROUNDUP(MONTH(A27)/3,0)</f>
        <v>2023 Q1</v>
      </c>
      <c r="E27" s="49" t="n">
        <v>1</v>
      </c>
      <c r="F27" s="49" t="s">
        <v>88</v>
      </c>
      <c r="G27" s="49"/>
      <c r="H27" s="49" t="s">
        <v>163</v>
      </c>
      <c r="I27" s="49" t="s">
        <v>164</v>
      </c>
      <c r="J27" s="49" t="s">
        <v>165</v>
      </c>
      <c r="K27" s="49" t="s">
        <v>93</v>
      </c>
      <c r="L27" s="50" t="n">
        <v>13050</v>
      </c>
      <c r="M27" s="51" t="n">
        <v>823440</v>
      </c>
      <c r="N27" s="51" t="n">
        <f aca="false">E27*M27</f>
        <v>823440</v>
      </c>
      <c r="O27" s="50" t="n">
        <v>13050</v>
      </c>
      <c r="P27" s="52" t="n">
        <v>1</v>
      </c>
      <c r="Q27" s="53" t="n">
        <v>25.9</v>
      </c>
      <c r="R27" s="53" t="n">
        <v>310.5</v>
      </c>
      <c r="S27" s="53" t="n">
        <v>63.1</v>
      </c>
    </row>
    <row r="28" customFormat="false" ht="15" hidden="false" customHeight="true" outlineLevel="0" collapsed="false">
      <c r="A28" s="40" t="n">
        <v>45017</v>
      </c>
      <c r="B28" s="41" t="n">
        <f aca="false">YEAR(A28)</f>
        <v>2023</v>
      </c>
      <c r="C28" s="42" t="str">
        <f aca="false">"Q"&amp;ROUNDUP(MONTH(A28)/3,0)</f>
        <v>Q2</v>
      </c>
      <c r="D28" s="42" t="str">
        <f aca="false">B28&amp;" Q"&amp;ROUNDUP(MONTH(A28)/3,0)</f>
        <v>2023 Q2</v>
      </c>
      <c r="E28" s="42" t="n">
        <v>1</v>
      </c>
      <c r="F28" s="42" t="s">
        <v>88</v>
      </c>
      <c r="G28" s="42"/>
      <c r="H28" s="42" t="s">
        <v>163</v>
      </c>
      <c r="I28" s="42" t="s">
        <v>164</v>
      </c>
      <c r="J28" s="42" t="s">
        <v>165</v>
      </c>
      <c r="K28" s="42" t="s">
        <v>93</v>
      </c>
      <c r="L28" s="43" t="n">
        <v>7816</v>
      </c>
      <c r="M28" s="44" t="n">
        <v>307923</v>
      </c>
      <c r="N28" s="44" t="n">
        <f aca="false">E28*M28</f>
        <v>307923</v>
      </c>
      <c r="O28" s="43" t="n">
        <v>8989</v>
      </c>
      <c r="P28" s="45" t="n">
        <v>0.86</v>
      </c>
      <c r="Q28" s="46" t="n">
        <v>20.7</v>
      </c>
      <c r="R28" s="46" t="n">
        <v>103.5</v>
      </c>
      <c r="S28" s="46" t="n">
        <v>39.4</v>
      </c>
    </row>
    <row r="29" customFormat="false" ht="15" hidden="false" customHeight="true" outlineLevel="0" collapsed="false">
      <c r="A29" s="47" t="n">
        <v>45017</v>
      </c>
      <c r="B29" s="48" t="n">
        <f aca="false">YEAR(A29)</f>
        <v>2023</v>
      </c>
      <c r="C29" s="49" t="str">
        <f aca="false">"Q"&amp;ROUNDUP(MONTH(A29)/3,0)</f>
        <v>Q2</v>
      </c>
      <c r="D29" s="49" t="str">
        <f aca="false">B29&amp;" Q"&amp;ROUNDUP(MONTH(A29)/3,0)</f>
        <v>2023 Q2</v>
      </c>
      <c r="E29" s="49" t="n">
        <v>2</v>
      </c>
      <c r="F29" s="49" t="s">
        <v>88</v>
      </c>
      <c r="G29" s="49" t="s">
        <v>166</v>
      </c>
      <c r="H29" s="49" t="s">
        <v>167</v>
      </c>
      <c r="I29" s="49" t="s">
        <v>168</v>
      </c>
      <c r="J29" s="49" t="s">
        <v>165</v>
      </c>
      <c r="K29" s="49" t="s">
        <v>93</v>
      </c>
      <c r="L29" s="50" t="n">
        <v>68397</v>
      </c>
      <c r="M29" s="51" t="n">
        <v>9874535.5</v>
      </c>
      <c r="N29" s="51" t="n">
        <f aca="false">E29*M29</f>
        <v>19749071</v>
      </c>
      <c r="O29" s="50" t="n">
        <v>73252</v>
      </c>
      <c r="P29" s="52" t="n">
        <v>0.93</v>
      </c>
      <c r="Q29" s="53" t="n">
        <v>25</v>
      </c>
      <c r="R29" s="53" t="n">
        <v>5000</v>
      </c>
      <c r="S29" s="53" t="n">
        <v>144.37</v>
      </c>
    </row>
    <row r="30" customFormat="false" ht="15" hidden="false" customHeight="true" outlineLevel="0" collapsed="false">
      <c r="A30" s="40" t="n">
        <v>45019</v>
      </c>
      <c r="B30" s="41" t="n">
        <f aca="false">YEAR(A30)</f>
        <v>2023</v>
      </c>
      <c r="C30" s="42" t="str">
        <f aca="false">"Q"&amp;ROUNDUP(MONTH(A30)/3,0)</f>
        <v>Q2</v>
      </c>
      <c r="D30" s="42" t="str">
        <f aca="false">B30&amp;" Q"&amp;ROUNDUP(MONTH(A30)/3,0)</f>
        <v>2023 Q2</v>
      </c>
      <c r="E30" s="42" t="n">
        <v>1</v>
      </c>
      <c r="F30" s="42" t="s">
        <v>88</v>
      </c>
      <c r="G30" s="42"/>
      <c r="H30" s="42" t="s">
        <v>163</v>
      </c>
      <c r="I30" s="42" t="s">
        <v>164</v>
      </c>
      <c r="J30" s="42" t="s">
        <v>165</v>
      </c>
      <c r="K30" s="42" t="s">
        <v>93</v>
      </c>
      <c r="L30" s="43" t="n">
        <v>13616</v>
      </c>
      <c r="M30" s="44" t="n">
        <v>920190</v>
      </c>
      <c r="N30" s="44" t="n">
        <f aca="false">E30*M30</f>
        <v>920190</v>
      </c>
      <c r="O30" s="43" t="n">
        <v>13616</v>
      </c>
      <c r="P30" s="45" t="n">
        <v>1</v>
      </c>
      <c r="Q30" s="46" t="n">
        <v>25.9</v>
      </c>
      <c r="R30" s="46" t="n">
        <v>310.5</v>
      </c>
      <c r="S30" s="46" t="n">
        <v>67.58</v>
      </c>
    </row>
    <row r="31" customFormat="false" ht="15" hidden="false" customHeight="true" outlineLevel="0" collapsed="false">
      <c r="A31" s="47" t="n">
        <v>45023</v>
      </c>
      <c r="B31" s="48" t="n">
        <f aca="false">YEAR(A31)</f>
        <v>2023</v>
      </c>
      <c r="C31" s="49" t="str">
        <f aca="false">"Q"&amp;ROUNDUP(MONTH(A31)/3,0)</f>
        <v>Q2</v>
      </c>
      <c r="D31" s="49" t="str">
        <f aca="false">B31&amp;" Q"&amp;ROUNDUP(MONTH(A31)/3,0)</f>
        <v>2023 Q2</v>
      </c>
      <c r="E31" s="49" t="n">
        <v>1</v>
      </c>
      <c r="F31" s="49" t="s">
        <v>88</v>
      </c>
      <c r="G31" s="49" t="s">
        <v>169</v>
      </c>
      <c r="H31" s="49" t="s">
        <v>170</v>
      </c>
      <c r="I31" s="49" t="s">
        <v>171</v>
      </c>
      <c r="J31" s="49" t="s">
        <v>172</v>
      </c>
      <c r="K31" s="49" t="s">
        <v>93</v>
      </c>
      <c r="L31" s="50" t="n">
        <v>9314</v>
      </c>
      <c r="M31" s="51" t="n">
        <v>482774</v>
      </c>
      <c r="N31" s="51" t="n">
        <f aca="false">E31*M31</f>
        <v>482774</v>
      </c>
      <c r="O31" s="50" t="n">
        <v>12071</v>
      </c>
      <c r="P31" s="52" t="n">
        <v>0.77</v>
      </c>
      <c r="Q31" s="53" t="n">
        <v>20</v>
      </c>
      <c r="R31" s="53" t="n">
        <v>110</v>
      </c>
      <c r="S31" s="53" t="n">
        <v>51.83</v>
      </c>
    </row>
    <row r="32" customFormat="false" ht="15" hidden="false" customHeight="true" outlineLevel="0" collapsed="false">
      <c r="A32" s="40" t="n">
        <v>45026</v>
      </c>
      <c r="B32" s="41" t="n">
        <f aca="false">YEAR(A32)</f>
        <v>2023</v>
      </c>
      <c r="C32" s="42" t="str">
        <f aca="false">"Q"&amp;ROUNDUP(MONTH(A32)/3,0)</f>
        <v>Q2</v>
      </c>
      <c r="D32" s="42" t="str">
        <f aca="false">B32&amp;" Q"&amp;ROUNDUP(MONTH(A32)/3,0)</f>
        <v>2023 Q2</v>
      </c>
      <c r="E32" s="42" t="n">
        <v>1</v>
      </c>
      <c r="F32" s="42" t="s">
        <v>88</v>
      </c>
      <c r="G32" s="42" t="s">
        <v>173</v>
      </c>
      <c r="H32" s="42" t="s">
        <v>174</v>
      </c>
      <c r="I32" s="42" t="s">
        <v>175</v>
      </c>
      <c r="J32" s="42" t="s">
        <v>139</v>
      </c>
      <c r="K32" s="42" t="s">
        <v>93</v>
      </c>
      <c r="L32" s="43" t="n">
        <v>9906</v>
      </c>
      <c r="M32" s="44" t="n">
        <v>579150.5</v>
      </c>
      <c r="N32" s="44" t="n">
        <f aca="false">E32*M32</f>
        <v>579150.5</v>
      </c>
      <c r="O32" s="43" t="n">
        <v>10074</v>
      </c>
      <c r="P32" s="45" t="n">
        <v>0.98</v>
      </c>
      <c r="Q32" s="46" t="n">
        <v>25.5</v>
      </c>
      <c r="R32" s="46" t="n">
        <v>130.5</v>
      </c>
      <c r="S32" s="46" t="n">
        <v>58.46</v>
      </c>
    </row>
    <row r="33" customFormat="false" ht="15" hidden="false" customHeight="true" outlineLevel="0" collapsed="false">
      <c r="A33" s="47" t="n">
        <v>45033</v>
      </c>
      <c r="B33" s="48" t="n">
        <f aca="false">YEAR(A33)</f>
        <v>2023</v>
      </c>
      <c r="C33" s="49" t="str">
        <f aca="false">"Q"&amp;ROUNDUP(MONTH(A33)/3,0)</f>
        <v>Q2</v>
      </c>
      <c r="D33" s="49" t="str">
        <f aca="false">B33&amp;" Q"&amp;ROUNDUP(MONTH(A33)/3,0)</f>
        <v>2023 Q2</v>
      </c>
      <c r="E33" s="49" t="n">
        <v>1</v>
      </c>
      <c r="F33" s="49" t="s">
        <v>88</v>
      </c>
      <c r="G33" s="49" t="s">
        <v>176</v>
      </c>
      <c r="H33" s="49" t="s">
        <v>177</v>
      </c>
      <c r="I33" s="49" t="s">
        <v>178</v>
      </c>
      <c r="J33" s="49" t="s">
        <v>179</v>
      </c>
      <c r="K33" s="49" t="s">
        <v>93</v>
      </c>
      <c r="L33" s="50" t="n">
        <v>7640</v>
      </c>
      <c r="M33" s="51" t="n">
        <v>384749</v>
      </c>
      <c r="N33" s="51" t="n">
        <f aca="false">E33*M33</f>
        <v>384749</v>
      </c>
      <c r="O33" s="50" t="n">
        <v>12000</v>
      </c>
      <c r="P33" s="52" t="n">
        <v>0.63</v>
      </c>
      <c r="Q33" s="53" t="n">
        <v>24</v>
      </c>
      <c r="R33" s="53" t="n">
        <v>124</v>
      </c>
      <c r="S33" s="53" t="n">
        <v>50.36</v>
      </c>
    </row>
    <row r="34" customFormat="false" ht="15" hidden="false" customHeight="true" outlineLevel="0" collapsed="false">
      <c r="A34" s="40" t="n">
        <v>45040</v>
      </c>
      <c r="B34" s="41" t="n">
        <f aca="false">YEAR(A34)</f>
        <v>2023</v>
      </c>
      <c r="C34" s="42" t="str">
        <f aca="false">"Q"&amp;ROUNDUP(MONTH(A34)/3,0)</f>
        <v>Q2</v>
      </c>
      <c r="D34" s="42" t="str">
        <f aca="false">B34&amp;" Q"&amp;ROUNDUP(MONTH(A34)/3,0)</f>
        <v>2023 Q2</v>
      </c>
      <c r="E34" s="42" t="n">
        <v>1</v>
      </c>
      <c r="F34" s="42" t="s">
        <v>88</v>
      </c>
      <c r="G34" s="42" t="s">
        <v>180</v>
      </c>
      <c r="H34" s="42" t="s">
        <v>181</v>
      </c>
      <c r="I34" s="42" t="s">
        <v>182</v>
      </c>
      <c r="J34" s="42" t="s">
        <v>136</v>
      </c>
      <c r="K34" s="42" t="s">
        <v>93</v>
      </c>
      <c r="L34" s="43" t="n">
        <v>12446</v>
      </c>
      <c r="M34" s="44" t="n">
        <v>619116.5</v>
      </c>
      <c r="N34" s="44" t="n">
        <f aca="false">E34*M34</f>
        <v>619116.5</v>
      </c>
      <c r="O34" s="43" t="n">
        <v>12446</v>
      </c>
      <c r="P34" s="45" t="n">
        <v>1</v>
      </c>
      <c r="Q34" s="46" t="n">
        <v>20</v>
      </c>
      <c r="R34" s="46" t="n">
        <v>150</v>
      </c>
      <c r="S34" s="46" t="n">
        <v>49.74</v>
      </c>
    </row>
    <row r="35" customFormat="false" ht="15" hidden="false" customHeight="true" outlineLevel="0" collapsed="false">
      <c r="A35" s="47" t="n">
        <v>45047</v>
      </c>
      <c r="B35" s="48" t="n">
        <f aca="false">YEAR(A35)</f>
        <v>2023</v>
      </c>
      <c r="C35" s="49" t="str">
        <f aca="false">"Q"&amp;ROUNDUP(MONTH(A35)/3,0)</f>
        <v>Q2</v>
      </c>
      <c r="D35" s="49" t="str">
        <f aca="false">B35&amp;" Q"&amp;ROUNDUP(MONTH(A35)/3,0)</f>
        <v>2023 Q2</v>
      </c>
      <c r="E35" s="49" t="n">
        <v>1</v>
      </c>
      <c r="F35" s="49" t="s">
        <v>88</v>
      </c>
      <c r="G35" s="49" t="s">
        <v>183</v>
      </c>
      <c r="H35" s="49" t="s">
        <v>69</v>
      </c>
      <c r="I35" s="49" t="s">
        <v>70</v>
      </c>
      <c r="J35" s="49" t="s">
        <v>184</v>
      </c>
      <c r="K35" s="49" t="s">
        <v>93</v>
      </c>
      <c r="L35" s="50" t="n">
        <v>11199</v>
      </c>
      <c r="M35" s="51" t="n">
        <v>506369</v>
      </c>
      <c r="N35" s="51" t="n">
        <f aca="false">E35*M35</f>
        <v>506369</v>
      </c>
      <c r="O35" s="50" t="n">
        <v>11457</v>
      </c>
      <c r="P35" s="52" t="n">
        <v>0.97</v>
      </c>
      <c r="Q35" s="53" t="n">
        <v>24</v>
      </c>
      <c r="R35" s="53" t="n">
        <v>129</v>
      </c>
      <c r="S35" s="53" t="n">
        <v>45.22</v>
      </c>
    </row>
    <row r="36" customFormat="false" ht="15" hidden="false" customHeight="true" outlineLevel="0" collapsed="false">
      <c r="A36" s="40" t="n">
        <v>45057</v>
      </c>
      <c r="B36" s="41" t="n">
        <f aca="false">YEAR(A36)</f>
        <v>2023</v>
      </c>
      <c r="C36" s="42" t="str">
        <f aca="false">"Q"&amp;ROUNDUP(MONTH(A36)/3,0)</f>
        <v>Q2</v>
      </c>
      <c r="D36" s="42" t="str">
        <f aca="false">B36&amp;" Q"&amp;ROUNDUP(MONTH(A36)/3,0)</f>
        <v>2023 Q2</v>
      </c>
      <c r="E36" s="42" t="n">
        <v>1</v>
      </c>
      <c r="F36" s="42" t="s">
        <v>88</v>
      </c>
      <c r="G36" s="42"/>
      <c r="H36" s="42" t="s">
        <v>185</v>
      </c>
      <c r="I36" s="42" t="s">
        <v>186</v>
      </c>
      <c r="J36" s="42" t="s">
        <v>92</v>
      </c>
      <c r="K36" s="42" t="s">
        <v>93</v>
      </c>
      <c r="L36" s="43" t="n">
        <v>9379</v>
      </c>
      <c r="M36" s="44" t="n">
        <v>495462.5</v>
      </c>
      <c r="N36" s="44" t="n">
        <f aca="false">E36*M36</f>
        <v>495462.5</v>
      </c>
      <c r="O36" s="43" t="n">
        <v>9885</v>
      </c>
      <c r="P36" s="45" t="n">
        <v>0.94</v>
      </c>
      <c r="Q36" s="46" t="n">
        <v>20</v>
      </c>
      <c r="R36" s="46" t="n">
        <v>130</v>
      </c>
      <c r="S36" s="46" t="n">
        <v>52.83</v>
      </c>
    </row>
    <row r="37" customFormat="false" ht="15" hidden="false" customHeight="true" outlineLevel="0" collapsed="false">
      <c r="A37" s="47" t="n">
        <v>45058</v>
      </c>
      <c r="B37" s="48" t="n">
        <f aca="false">YEAR(A37)</f>
        <v>2023</v>
      </c>
      <c r="C37" s="49" t="str">
        <f aca="false">"Q"&amp;ROUNDUP(MONTH(A37)/3,0)</f>
        <v>Q2</v>
      </c>
      <c r="D37" s="49" t="str">
        <f aca="false">B37&amp;" Q"&amp;ROUNDUP(MONTH(A37)/3,0)</f>
        <v>2023 Q2</v>
      </c>
      <c r="E37" s="49" t="n">
        <v>1</v>
      </c>
      <c r="F37" s="49" t="s">
        <v>88</v>
      </c>
      <c r="G37" s="49"/>
      <c r="H37" s="49" t="s">
        <v>185</v>
      </c>
      <c r="I37" s="49" t="s">
        <v>186</v>
      </c>
      <c r="J37" s="49" t="s">
        <v>92</v>
      </c>
      <c r="K37" s="49" t="s">
        <v>93</v>
      </c>
      <c r="L37" s="50" t="n">
        <v>9379</v>
      </c>
      <c r="M37" s="51" t="n">
        <v>528902.5</v>
      </c>
      <c r="N37" s="51" t="n">
        <f aca="false">E37*M37</f>
        <v>528902.5</v>
      </c>
      <c r="O37" s="50" t="n">
        <v>9885</v>
      </c>
      <c r="P37" s="52" t="n">
        <v>0.94</v>
      </c>
      <c r="Q37" s="53" t="n">
        <v>20</v>
      </c>
      <c r="R37" s="53" t="n">
        <v>130</v>
      </c>
      <c r="S37" s="53" t="n">
        <v>56.39</v>
      </c>
    </row>
    <row r="38" customFormat="false" ht="15" hidden="false" customHeight="true" outlineLevel="0" collapsed="false">
      <c r="A38" s="40" t="n">
        <v>45079</v>
      </c>
      <c r="B38" s="41" t="n">
        <f aca="false">YEAR(A38)</f>
        <v>2023</v>
      </c>
      <c r="C38" s="42" t="str">
        <f aca="false">"Q"&amp;ROUNDUP(MONTH(A38)/3,0)</f>
        <v>Q2</v>
      </c>
      <c r="D38" s="42" t="str">
        <f aca="false">B38&amp;" Q"&amp;ROUNDUP(MONTH(A38)/3,0)</f>
        <v>2023 Q2</v>
      </c>
      <c r="E38" s="42" t="n">
        <v>1</v>
      </c>
      <c r="F38" s="42" t="s">
        <v>88</v>
      </c>
      <c r="G38" s="42" t="s">
        <v>187</v>
      </c>
      <c r="H38" s="42" t="s">
        <v>188</v>
      </c>
      <c r="I38" s="42" t="s">
        <v>189</v>
      </c>
      <c r="J38" s="42" t="s">
        <v>106</v>
      </c>
      <c r="K38" s="42" t="s">
        <v>93</v>
      </c>
      <c r="L38" s="43" t="n">
        <v>6828</v>
      </c>
      <c r="M38" s="44" t="n">
        <v>372623</v>
      </c>
      <c r="N38" s="44" t="n">
        <f aca="false">E38*M38</f>
        <v>372623</v>
      </c>
      <c r="O38" s="43" t="n">
        <v>6828</v>
      </c>
      <c r="P38" s="45" t="n">
        <v>1</v>
      </c>
      <c r="Q38" s="46" t="n">
        <v>24.5</v>
      </c>
      <c r="R38" s="46" t="n">
        <v>139.5</v>
      </c>
      <c r="S38" s="46" t="n">
        <v>54.57</v>
      </c>
    </row>
    <row r="39" customFormat="false" ht="15" hidden="false" customHeight="true" outlineLevel="0" collapsed="false">
      <c r="A39" s="47" t="n">
        <v>45081</v>
      </c>
      <c r="B39" s="48" t="n">
        <f aca="false">YEAR(A39)</f>
        <v>2023</v>
      </c>
      <c r="C39" s="49" t="str">
        <f aca="false">"Q"&amp;ROUNDUP(MONTH(A39)/3,0)</f>
        <v>Q2</v>
      </c>
      <c r="D39" s="49" t="str">
        <f aca="false">B39&amp;" Q"&amp;ROUNDUP(MONTH(A39)/3,0)</f>
        <v>2023 Q2</v>
      </c>
      <c r="E39" s="49" t="n">
        <v>1</v>
      </c>
      <c r="F39" s="49" t="s">
        <v>88</v>
      </c>
      <c r="G39" s="49"/>
      <c r="H39" s="49" t="s">
        <v>190</v>
      </c>
      <c r="I39" s="49" t="s">
        <v>191</v>
      </c>
      <c r="J39" s="49" t="s">
        <v>192</v>
      </c>
      <c r="K39" s="49" t="s">
        <v>93</v>
      </c>
      <c r="L39" s="50" t="n">
        <v>4861</v>
      </c>
      <c r="M39" s="51" t="n">
        <v>278707</v>
      </c>
      <c r="N39" s="51" t="n">
        <f aca="false">E39*M39</f>
        <v>278707</v>
      </c>
      <c r="O39" s="50" t="n">
        <v>5000</v>
      </c>
      <c r="P39" s="52" t="n">
        <v>0.97</v>
      </c>
      <c r="Q39" s="53" t="n">
        <v>25</v>
      </c>
      <c r="R39" s="53" t="n">
        <v>115</v>
      </c>
      <c r="S39" s="53" t="n">
        <v>57.34</v>
      </c>
    </row>
    <row r="40" customFormat="false" ht="15" hidden="false" customHeight="true" outlineLevel="0" collapsed="false">
      <c r="A40" s="40" t="n">
        <v>45093</v>
      </c>
      <c r="B40" s="41" t="n">
        <f aca="false">YEAR(A40)</f>
        <v>2023</v>
      </c>
      <c r="C40" s="42" t="str">
        <f aca="false">"Q"&amp;ROUNDUP(MONTH(A40)/3,0)</f>
        <v>Q2</v>
      </c>
      <c r="D40" s="42" t="str">
        <f aca="false">B40&amp;" Q"&amp;ROUNDUP(MONTH(A40)/3,0)</f>
        <v>2023 Q2</v>
      </c>
      <c r="E40" s="42" t="n">
        <v>1</v>
      </c>
      <c r="F40" s="42" t="s">
        <v>88</v>
      </c>
      <c r="G40" s="42" t="s">
        <v>193</v>
      </c>
      <c r="H40" s="42" t="s">
        <v>194</v>
      </c>
      <c r="I40" s="42" t="s">
        <v>195</v>
      </c>
      <c r="J40" s="42" t="s">
        <v>196</v>
      </c>
      <c r="K40" s="42" t="s">
        <v>93</v>
      </c>
      <c r="L40" s="43" t="n">
        <v>9084</v>
      </c>
      <c r="M40" s="44" t="n">
        <v>438042.5</v>
      </c>
      <c r="N40" s="44" t="n">
        <f aca="false">E40*M40</f>
        <v>438042.5</v>
      </c>
      <c r="O40" s="43" t="n">
        <v>9084</v>
      </c>
      <c r="P40" s="45" t="n">
        <v>1</v>
      </c>
      <c r="Q40" s="46" t="n">
        <v>20</v>
      </c>
      <c r="R40" s="46" t="n">
        <v>120</v>
      </c>
      <c r="S40" s="46" t="n">
        <v>48.22</v>
      </c>
    </row>
    <row r="41" customFormat="false" ht="15" hidden="false" customHeight="true" outlineLevel="0" collapsed="false">
      <c r="A41" s="47" t="n">
        <v>45095</v>
      </c>
      <c r="B41" s="48" t="n">
        <f aca="false">YEAR(A41)</f>
        <v>2023</v>
      </c>
      <c r="C41" s="49" t="str">
        <f aca="false">"Q"&amp;ROUNDUP(MONTH(A41)/3,0)</f>
        <v>Q2</v>
      </c>
      <c r="D41" s="49" t="str">
        <f aca="false">B41&amp;" Q"&amp;ROUNDUP(MONTH(A41)/3,0)</f>
        <v>2023 Q2</v>
      </c>
      <c r="E41" s="49" t="n">
        <v>1</v>
      </c>
      <c r="F41" s="49" t="s">
        <v>88</v>
      </c>
      <c r="G41" s="49" t="s">
        <v>197</v>
      </c>
      <c r="H41" s="49" t="s">
        <v>198</v>
      </c>
      <c r="I41" s="49" t="s">
        <v>199</v>
      </c>
      <c r="J41" s="49" t="s">
        <v>200</v>
      </c>
      <c r="K41" s="49" t="s">
        <v>93</v>
      </c>
      <c r="L41" s="50" t="n">
        <v>4280</v>
      </c>
      <c r="M41" s="51" t="n">
        <v>216540</v>
      </c>
      <c r="N41" s="51" t="n">
        <f aca="false">E41*M41</f>
        <v>216540</v>
      </c>
      <c r="O41" s="50" t="n">
        <v>9153</v>
      </c>
      <c r="P41" s="52" t="n">
        <v>0.46</v>
      </c>
      <c r="Q41" s="53" t="n">
        <v>20</v>
      </c>
      <c r="R41" s="53" t="n">
        <v>110</v>
      </c>
      <c r="S41" s="53" t="n">
        <v>50.59</v>
      </c>
    </row>
    <row r="42" customFormat="false" ht="15" hidden="false" customHeight="true" outlineLevel="0" collapsed="false">
      <c r="A42" s="40" t="n">
        <v>45096</v>
      </c>
      <c r="B42" s="41" t="n">
        <f aca="false">YEAR(A42)</f>
        <v>2023</v>
      </c>
      <c r="C42" s="42" t="str">
        <f aca="false">"Q"&amp;ROUNDUP(MONTH(A42)/3,0)</f>
        <v>Q2</v>
      </c>
      <c r="D42" s="42" t="str">
        <f aca="false">B42&amp;" Q"&amp;ROUNDUP(MONTH(A42)/3,0)</f>
        <v>2023 Q2</v>
      </c>
      <c r="E42" s="42" t="n">
        <v>1</v>
      </c>
      <c r="F42" s="42" t="s">
        <v>88</v>
      </c>
      <c r="G42" s="42" t="s">
        <v>201</v>
      </c>
      <c r="H42" s="42" t="s">
        <v>202</v>
      </c>
      <c r="I42" s="42" t="s">
        <v>203</v>
      </c>
      <c r="J42" s="42" t="s">
        <v>204</v>
      </c>
      <c r="K42" s="42" t="s">
        <v>93</v>
      </c>
      <c r="L42" s="43" t="n">
        <v>9432</v>
      </c>
      <c r="M42" s="44" t="n">
        <v>561928</v>
      </c>
      <c r="N42" s="44" t="n">
        <f aca="false">E42*M42</f>
        <v>561928</v>
      </c>
      <c r="O42" s="43" t="n">
        <v>14278</v>
      </c>
      <c r="P42" s="45" t="n">
        <v>0.66</v>
      </c>
      <c r="Q42" s="46" t="n">
        <v>20</v>
      </c>
      <c r="R42" s="46" t="n">
        <v>125</v>
      </c>
      <c r="S42" s="46" t="n">
        <v>59.58</v>
      </c>
    </row>
    <row r="43" customFormat="false" ht="15" hidden="false" customHeight="true" outlineLevel="0" collapsed="false">
      <c r="A43" s="47" t="n">
        <v>45103</v>
      </c>
      <c r="B43" s="48" t="n">
        <f aca="false">YEAR(A43)</f>
        <v>2023</v>
      </c>
      <c r="C43" s="49" t="str">
        <f aca="false">"Q"&amp;ROUNDUP(MONTH(A43)/3,0)</f>
        <v>Q2</v>
      </c>
      <c r="D43" s="49" t="str">
        <f aca="false">B43&amp;" Q"&amp;ROUNDUP(MONTH(A43)/3,0)</f>
        <v>2023 Q2</v>
      </c>
      <c r="E43" s="49" t="n">
        <v>1</v>
      </c>
      <c r="F43" s="49" t="s">
        <v>205</v>
      </c>
      <c r="G43" s="49"/>
      <c r="H43" s="49" t="s">
        <v>206</v>
      </c>
      <c r="I43" s="49" t="s">
        <v>207</v>
      </c>
      <c r="J43" s="49" t="s">
        <v>208</v>
      </c>
      <c r="K43" s="49" t="s">
        <v>93</v>
      </c>
      <c r="L43" s="50" t="n">
        <v>5977</v>
      </c>
      <c r="M43" s="51" t="n">
        <v>320630</v>
      </c>
      <c r="N43" s="51" t="n">
        <f aca="false">E43*M43</f>
        <v>320630</v>
      </c>
      <c r="O43" s="50" t="n">
        <v>6500</v>
      </c>
      <c r="P43" s="52" t="n">
        <v>0.91</v>
      </c>
      <c r="Q43" s="53" t="n">
        <v>53</v>
      </c>
      <c r="R43" s="53" t="n">
        <v>53</v>
      </c>
      <c r="S43" s="53" t="n">
        <v>53.64</v>
      </c>
    </row>
    <row r="44" customFormat="false" ht="15" hidden="false" customHeight="true" outlineLevel="0" collapsed="false">
      <c r="A44" s="40" t="n">
        <v>45110</v>
      </c>
      <c r="B44" s="41" t="n">
        <f aca="false">YEAR(A44)</f>
        <v>2023</v>
      </c>
      <c r="C44" s="42" t="str">
        <f aca="false">"Q"&amp;ROUNDUP(MONTH(A44)/3,0)</f>
        <v>Q3</v>
      </c>
      <c r="D44" s="42" t="str">
        <f aca="false">B44&amp;" Q"&amp;ROUNDUP(MONTH(A44)/3,0)</f>
        <v>2023 Q3</v>
      </c>
      <c r="E44" s="42" t="n">
        <v>1</v>
      </c>
      <c r="F44" s="42" t="s">
        <v>88</v>
      </c>
      <c r="G44" s="42" t="s">
        <v>209</v>
      </c>
      <c r="H44" s="42" t="s">
        <v>210</v>
      </c>
      <c r="I44" s="42" t="s">
        <v>211</v>
      </c>
      <c r="J44" s="42" t="s">
        <v>212</v>
      </c>
      <c r="K44" s="42" t="s">
        <v>93</v>
      </c>
      <c r="L44" s="43" t="n">
        <v>8808</v>
      </c>
      <c r="M44" s="44" t="n">
        <v>589549</v>
      </c>
      <c r="N44" s="44" t="n">
        <f aca="false">E44*M44</f>
        <v>589549</v>
      </c>
      <c r="O44" s="43" t="n">
        <v>9226</v>
      </c>
      <c r="P44" s="45" t="n">
        <v>0.95</v>
      </c>
      <c r="Q44" s="46" t="n">
        <v>20</v>
      </c>
      <c r="R44" s="46" t="n">
        <v>135</v>
      </c>
      <c r="S44" s="46" t="n">
        <v>66.93</v>
      </c>
    </row>
    <row r="45" customFormat="false" ht="15" hidden="false" customHeight="true" outlineLevel="0" collapsed="false">
      <c r="A45" s="47" t="n">
        <v>45114</v>
      </c>
      <c r="B45" s="48" t="n">
        <f aca="false">YEAR(A45)</f>
        <v>2023</v>
      </c>
      <c r="C45" s="49" t="str">
        <f aca="false">"Q"&amp;ROUNDUP(MONTH(A45)/3,0)</f>
        <v>Q3</v>
      </c>
      <c r="D45" s="49" t="str">
        <f aca="false">B45&amp;" Q"&amp;ROUNDUP(MONTH(A45)/3,0)</f>
        <v>2023 Q3</v>
      </c>
      <c r="E45" s="49" t="n">
        <v>1</v>
      </c>
      <c r="F45" s="49" t="s">
        <v>88</v>
      </c>
      <c r="G45" s="49" t="s">
        <v>213</v>
      </c>
      <c r="H45" s="49" t="s">
        <v>154</v>
      </c>
      <c r="I45" s="49" t="s">
        <v>120</v>
      </c>
      <c r="J45" s="49" t="s">
        <v>120</v>
      </c>
      <c r="K45" s="49" t="s">
        <v>93</v>
      </c>
      <c r="L45" s="50" t="n">
        <v>13393</v>
      </c>
      <c r="M45" s="51" t="n">
        <v>1243276</v>
      </c>
      <c r="N45" s="51" t="n">
        <f aca="false">E45*M45</f>
        <v>1243276</v>
      </c>
      <c r="O45" s="50" t="n">
        <v>13393</v>
      </c>
      <c r="P45" s="52" t="n">
        <v>1</v>
      </c>
      <c r="Q45" s="53" t="n">
        <v>31</v>
      </c>
      <c r="R45" s="53" t="n">
        <v>406</v>
      </c>
      <c r="S45" s="53" t="n">
        <v>92.83</v>
      </c>
    </row>
    <row r="46" customFormat="false" ht="15" hidden="false" customHeight="true" outlineLevel="0" collapsed="false">
      <c r="A46" s="40" t="n">
        <v>45122</v>
      </c>
      <c r="B46" s="41" t="n">
        <f aca="false">YEAR(A46)</f>
        <v>2023</v>
      </c>
      <c r="C46" s="42" t="str">
        <f aca="false">"Q"&amp;ROUNDUP(MONTH(A46)/3,0)</f>
        <v>Q3</v>
      </c>
      <c r="D46" s="42" t="str">
        <f aca="false">B46&amp;" Q"&amp;ROUNDUP(MONTH(A46)/3,0)</f>
        <v>2023 Q3</v>
      </c>
      <c r="E46" s="42" t="n">
        <v>1</v>
      </c>
      <c r="F46" s="42" t="s">
        <v>88</v>
      </c>
      <c r="G46" s="42" t="s">
        <v>214</v>
      </c>
      <c r="H46" s="42" t="s">
        <v>215</v>
      </c>
      <c r="I46" s="42" t="s">
        <v>216</v>
      </c>
      <c r="J46" s="42" t="s">
        <v>217</v>
      </c>
      <c r="K46" s="42" t="s">
        <v>93</v>
      </c>
      <c r="L46" s="43" t="n">
        <v>6492</v>
      </c>
      <c r="M46" s="44" t="n">
        <v>328914</v>
      </c>
      <c r="N46" s="44" t="n">
        <f aca="false">E46*M46</f>
        <v>328914</v>
      </c>
      <c r="O46" s="43" t="n">
        <v>7789</v>
      </c>
      <c r="P46" s="45" t="n">
        <v>0.83</v>
      </c>
      <c r="Q46" s="46" t="n">
        <v>20</v>
      </c>
      <c r="R46" s="46" t="n">
        <v>120</v>
      </c>
      <c r="S46" s="46" t="n">
        <v>50.66</v>
      </c>
    </row>
    <row r="47" customFormat="false" ht="15" hidden="false" customHeight="true" outlineLevel="0" collapsed="false">
      <c r="A47" s="47" t="n">
        <v>45124</v>
      </c>
      <c r="B47" s="48" t="n">
        <f aca="false">YEAR(A47)</f>
        <v>2023</v>
      </c>
      <c r="C47" s="49" t="str">
        <f aca="false">"Q"&amp;ROUNDUP(MONTH(A47)/3,0)</f>
        <v>Q3</v>
      </c>
      <c r="D47" s="49" t="str">
        <f aca="false">B47&amp;" Q"&amp;ROUNDUP(MONTH(A47)/3,0)</f>
        <v>2023 Q3</v>
      </c>
      <c r="E47" s="49" t="n">
        <v>1</v>
      </c>
      <c r="F47" s="49" t="s">
        <v>88</v>
      </c>
      <c r="G47" s="49" t="s">
        <v>218</v>
      </c>
      <c r="H47" s="49" t="s">
        <v>65</v>
      </c>
      <c r="I47" s="49" t="s">
        <v>66</v>
      </c>
      <c r="J47" s="49" t="s">
        <v>208</v>
      </c>
      <c r="K47" s="49" t="s">
        <v>93</v>
      </c>
      <c r="L47" s="50" t="n">
        <v>11082</v>
      </c>
      <c r="M47" s="51" t="n">
        <v>513206</v>
      </c>
      <c r="N47" s="51" t="n">
        <f aca="false">E47*M47</f>
        <v>513206</v>
      </c>
      <c r="O47" s="50" t="n">
        <v>11082</v>
      </c>
      <c r="P47" s="52" t="n">
        <v>1</v>
      </c>
      <c r="Q47" s="53" t="n">
        <v>20</v>
      </c>
      <c r="R47" s="53" t="n">
        <v>125</v>
      </c>
      <c r="S47" s="53" t="n">
        <v>46.31</v>
      </c>
    </row>
    <row r="48" customFormat="false" ht="15" hidden="false" customHeight="true" outlineLevel="0" collapsed="false">
      <c r="A48" s="40" t="n">
        <v>45128</v>
      </c>
      <c r="B48" s="41" t="n">
        <f aca="false">YEAR(A48)</f>
        <v>2023</v>
      </c>
      <c r="C48" s="42" t="str">
        <f aca="false">"Q"&amp;ROUNDUP(MONTH(A48)/3,0)</f>
        <v>Q3</v>
      </c>
      <c r="D48" s="42" t="str">
        <f aca="false">B48&amp;" Q"&amp;ROUNDUP(MONTH(A48)/3,0)</f>
        <v>2023 Q3</v>
      </c>
      <c r="E48" s="42" t="n">
        <v>1</v>
      </c>
      <c r="F48" s="42" t="s">
        <v>88</v>
      </c>
      <c r="G48" s="42" t="s">
        <v>219</v>
      </c>
      <c r="H48" s="42" t="s">
        <v>111</v>
      </c>
      <c r="I48" s="42" t="s">
        <v>112</v>
      </c>
      <c r="J48" s="42" t="s">
        <v>113</v>
      </c>
      <c r="K48" s="42" t="s">
        <v>93</v>
      </c>
      <c r="L48" s="43" t="n">
        <v>11458</v>
      </c>
      <c r="M48" s="44" t="n">
        <v>494954.93</v>
      </c>
      <c r="N48" s="44" t="n">
        <f aca="false">E48*M48</f>
        <v>494954.93</v>
      </c>
      <c r="O48" s="43" t="n">
        <v>12172</v>
      </c>
      <c r="P48" s="45" t="n">
        <v>0.94</v>
      </c>
      <c r="Q48" s="46" t="n">
        <v>20</v>
      </c>
      <c r="R48" s="46" t="n">
        <v>120</v>
      </c>
      <c r="S48" s="46" t="n">
        <v>43.2</v>
      </c>
    </row>
    <row r="49" customFormat="false" ht="15" hidden="false" customHeight="true" outlineLevel="0" collapsed="false">
      <c r="A49" s="47" t="n">
        <v>45136</v>
      </c>
      <c r="B49" s="48" t="n">
        <f aca="false">YEAR(A49)</f>
        <v>2023</v>
      </c>
      <c r="C49" s="49" t="str">
        <f aca="false">"Q"&amp;ROUNDUP(MONTH(A49)/3,0)</f>
        <v>Q3</v>
      </c>
      <c r="D49" s="49" t="str">
        <f aca="false">B49&amp;" Q"&amp;ROUNDUP(MONTH(A49)/3,0)</f>
        <v>2023 Q3</v>
      </c>
      <c r="E49" s="49" t="n">
        <v>1</v>
      </c>
      <c r="F49" s="49" t="s">
        <v>88</v>
      </c>
      <c r="G49" s="49"/>
      <c r="H49" s="49" t="s">
        <v>220</v>
      </c>
      <c r="I49" s="49" t="s">
        <v>221</v>
      </c>
      <c r="J49" s="49" t="s">
        <v>113</v>
      </c>
      <c r="K49" s="49" t="s">
        <v>93</v>
      </c>
      <c r="L49" s="50" t="n">
        <v>4606</v>
      </c>
      <c r="M49" s="51" t="n">
        <v>226217.25</v>
      </c>
      <c r="N49" s="51" t="n">
        <f aca="false">E49*M49</f>
        <v>226217.25</v>
      </c>
      <c r="O49" s="50" t="n">
        <v>6108</v>
      </c>
      <c r="P49" s="52" t="n">
        <v>0.75</v>
      </c>
      <c r="Q49" s="53" t="n">
        <v>18.78</v>
      </c>
      <c r="R49" s="53" t="n">
        <v>125</v>
      </c>
      <c r="S49" s="53" t="n">
        <v>49.11</v>
      </c>
    </row>
    <row r="50" customFormat="false" ht="15" hidden="false" customHeight="true" outlineLevel="0" collapsed="false">
      <c r="A50" s="40" t="n">
        <v>45137</v>
      </c>
      <c r="B50" s="41" t="n">
        <f aca="false">YEAR(A50)</f>
        <v>2023</v>
      </c>
      <c r="C50" s="42" t="str">
        <f aca="false">"Q"&amp;ROUNDUP(MONTH(A50)/3,0)</f>
        <v>Q3</v>
      </c>
      <c r="D50" s="42" t="str">
        <f aca="false">B50&amp;" Q"&amp;ROUNDUP(MONTH(A50)/3,0)</f>
        <v>2023 Q3</v>
      </c>
      <c r="E50" s="42" t="n">
        <v>1</v>
      </c>
      <c r="F50" s="42" t="s">
        <v>88</v>
      </c>
      <c r="G50" s="42" t="s">
        <v>222</v>
      </c>
      <c r="H50" s="42" t="s">
        <v>223</v>
      </c>
      <c r="I50" s="42" t="s">
        <v>224</v>
      </c>
      <c r="J50" s="42" t="s">
        <v>184</v>
      </c>
      <c r="K50" s="42" t="s">
        <v>93</v>
      </c>
      <c r="L50" s="43" t="n">
        <v>3812</v>
      </c>
      <c r="M50" s="44" t="n">
        <v>209199</v>
      </c>
      <c r="N50" s="44" t="n">
        <f aca="false">E50*M50</f>
        <v>209199</v>
      </c>
      <c r="O50" s="43" t="n">
        <v>4560</v>
      </c>
      <c r="P50" s="45" t="n">
        <v>0.83</v>
      </c>
      <c r="Q50" s="46" t="n">
        <v>20</v>
      </c>
      <c r="R50" s="46" t="n">
        <v>160</v>
      </c>
      <c r="S50" s="46" t="n">
        <v>54.88</v>
      </c>
    </row>
    <row r="51" customFormat="false" ht="15" hidden="false" customHeight="true" outlineLevel="0" collapsed="false">
      <c r="A51" s="47" t="n">
        <v>45151</v>
      </c>
      <c r="B51" s="48" t="n">
        <f aca="false">YEAR(A51)</f>
        <v>2023</v>
      </c>
      <c r="C51" s="49" t="str">
        <f aca="false">"Q"&amp;ROUNDUP(MONTH(A51)/3,0)</f>
        <v>Q3</v>
      </c>
      <c r="D51" s="49" t="str">
        <f aca="false">B51&amp;" Q"&amp;ROUNDUP(MONTH(A51)/3,0)</f>
        <v>2023 Q3</v>
      </c>
      <c r="E51" s="49" t="n">
        <v>1</v>
      </c>
      <c r="F51" s="49" t="s">
        <v>88</v>
      </c>
      <c r="G51" s="49" t="s">
        <v>225</v>
      </c>
      <c r="H51" s="49" t="s">
        <v>226</v>
      </c>
      <c r="I51" s="49" t="s">
        <v>227</v>
      </c>
      <c r="J51" s="49" t="s">
        <v>228</v>
      </c>
      <c r="K51" s="49" t="s">
        <v>125</v>
      </c>
      <c r="L51" s="50" t="n">
        <v>9716</v>
      </c>
      <c r="M51" s="51" t="n">
        <v>310376.58</v>
      </c>
      <c r="N51" s="51" t="n">
        <f aca="false">E51*M51</f>
        <v>310376.58</v>
      </c>
      <c r="O51" s="50" t="n">
        <v>10716</v>
      </c>
      <c r="P51" s="52" t="n">
        <v>0.9</v>
      </c>
      <c r="Q51" s="53" t="n">
        <v>18.98</v>
      </c>
      <c r="R51" s="53" t="n">
        <v>94.9</v>
      </c>
      <c r="S51" s="53" t="n">
        <v>31.94</v>
      </c>
    </row>
    <row r="52" customFormat="false" ht="15" hidden="false" customHeight="true" outlineLevel="0" collapsed="false">
      <c r="A52" s="40" t="n">
        <v>45158</v>
      </c>
      <c r="B52" s="41" t="n">
        <f aca="false">YEAR(A52)</f>
        <v>2023</v>
      </c>
      <c r="C52" s="42" t="str">
        <f aca="false">"Q"&amp;ROUNDUP(MONTH(A52)/3,0)</f>
        <v>Q3</v>
      </c>
      <c r="D52" s="42" t="str">
        <f aca="false">B52&amp;" Q"&amp;ROUNDUP(MONTH(A52)/3,0)</f>
        <v>2023 Q3</v>
      </c>
      <c r="E52" s="42" t="n">
        <v>1</v>
      </c>
      <c r="F52" s="42" t="s">
        <v>88</v>
      </c>
      <c r="G52" s="42" t="s">
        <v>229</v>
      </c>
      <c r="H52" s="42" t="s">
        <v>230</v>
      </c>
      <c r="I52" s="42" t="s">
        <v>231</v>
      </c>
      <c r="J52" s="42" t="s">
        <v>124</v>
      </c>
      <c r="K52" s="42" t="s">
        <v>125</v>
      </c>
      <c r="L52" s="43" t="n">
        <v>6506</v>
      </c>
      <c r="M52" s="44" t="n">
        <v>288932.22</v>
      </c>
      <c r="N52" s="44" t="n">
        <f aca="false">E52*M52</f>
        <v>288932.22</v>
      </c>
      <c r="O52" s="43" t="n">
        <v>6512</v>
      </c>
      <c r="P52" s="45" t="n">
        <v>0.99</v>
      </c>
      <c r="Q52" s="46" t="n">
        <v>15.18</v>
      </c>
      <c r="R52" s="46" t="n">
        <v>113.88</v>
      </c>
      <c r="S52" s="46" t="n">
        <v>44.41</v>
      </c>
    </row>
    <row r="53" customFormat="false" ht="15" hidden="false" customHeight="true" outlineLevel="0" collapsed="false">
      <c r="A53" s="47" t="n">
        <v>45159</v>
      </c>
      <c r="B53" s="48" t="n">
        <f aca="false">YEAR(A53)</f>
        <v>2023</v>
      </c>
      <c r="C53" s="49" t="str">
        <f aca="false">"Q"&amp;ROUNDUP(MONTH(A53)/3,0)</f>
        <v>Q3</v>
      </c>
      <c r="D53" s="49" t="str">
        <f aca="false">B53&amp;" Q"&amp;ROUNDUP(MONTH(A53)/3,0)</f>
        <v>2023 Q3</v>
      </c>
      <c r="E53" s="49" t="n">
        <v>1</v>
      </c>
      <c r="F53" s="49" t="s">
        <v>88</v>
      </c>
      <c r="G53" s="49" t="s">
        <v>232</v>
      </c>
      <c r="H53" s="49" t="s">
        <v>233</v>
      </c>
      <c r="I53" s="49" t="s">
        <v>234</v>
      </c>
      <c r="J53" s="49" t="s">
        <v>124</v>
      </c>
      <c r="K53" s="49" t="s">
        <v>125</v>
      </c>
      <c r="L53" s="50" t="n">
        <v>10147</v>
      </c>
      <c r="M53" s="51" t="n">
        <v>368510.5</v>
      </c>
      <c r="N53" s="51" t="n">
        <f aca="false">E53*M53</f>
        <v>368510.5</v>
      </c>
      <c r="O53" s="50" t="n">
        <v>12269</v>
      </c>
      <c r="P53" s="52" t="n">
        <v>0.82</v>
      </c>
      <c r="Q53" s="53" t="n">
        <v>15.18</v>
      </c>
      <c r="R53" s="53" t="n">
        <v>87.31</v>
      </c>
      <c r="S53" s="53" t="n">
        <v>36.32</v>
      </c>
    </row>
    <row r="54" customFormat="false" ht="15" hidden="false" customHeight="true" outlineLevel="0" collapsed="false">
      <c r="A54" s="40" t="n">
        <v>45171</v>
      </c>
      <c r="B54" s="41" t="n">
        <f aca="false">YEAR(A54)</f>
        <v>2023</v>
      </c>
      <c r="C54" s="42" t="str">
        <f aca="false">"Q"&amp;ROUNDUP(MONTH(A54)/3,0)</f>
        <v>Q3</v>
      </c>
      <c r="D54" s="42" t="str">
        <f aca="false">B54&amp;" Q"&amp;ROUNDUP(MONTH(A54)/3,0)</f>
        <v>2023 Q3</v>
      </c>
      <c r="E54" s="42" t="n">
        <v>1</v>
      </c>
      <c r="F54" s="42" t="s">
        <v>88</v>
      </c>
      <c r="G54" s="42" t="s">
        <v>235</v>
      </c>
      <c r="H54" s="42" t="s">
        <v>149</v>
      </c>
      <c r="I54" s="42" t="s">
        <v>150</v>
      </c>
      <c r="J54" s="42" t="s">
        <v>106</v>
      </c>
      <c r="K54" s="42" t="s">
        <v>93</v>
      </c>
      <c r="L54" s="43" t="n">
        <v>11680</v>
      </c>
      <c r="M54" s="44" t="n">
        <v>1161555</v>
      </c>
      <c r="N54" s="44" t="n">
        <f aca="false">E54*M54</f>
        <v>1161555</v>
      </c>
      <c r="O54" s="43" t="n">
        <v>12468</v>
      </c>
      <c r="P54" s="45" t="n">
        <v>0.93</v>
      </c>
      <c r="Q54" s="46" t="n">
        <v>25</v>
      </c>
      <c r="R54" s="46" t="n">
        <v>600</v>
      </c>
      <c r="S54" s="46" t="n">
        <v>99.45</v>
      </c>
    </row>
    <row r="55" customFormat="false" ht="15" hidden="false" customHeight="true" outlineLevel="0" collapsed="false">
      <c r="A55" s="47" t="n">
        <v>45177</v>
      </c>
      <c r="B55" s="48" t="n">
        <f aca="false">YEAR(A55)</f>
        <v>2023</v>
      </c>
      <c r="C55" s="49" t="str">
        <f aca="false">"Q"&amp;ROUNDUP(MONTH(A55)/3,0)</f>
        <v>Q3</v>
      </c>
      <c r="D55" s="49" t="str">
        <f aca="false">B55&amp;" Q"&amp;ROUNDUP(MONTH(A55)/3,0)</f>
        <v>2023 Q3</v>
      </c>
      <c r="E55" s="49" t="n">
        <v>1</v>
      </c>
      <c r="F55" s="49" t="s">
        <v>88</v>
      </c>
      <c r="G55" s="49" t="s">
        <v>236</v>
      </c>
      <c r="H55" s="49" t="s">
        <v>145</v>
      </c>
      <c r="I55" s="49" t="s">
        <v>146</v>
      </c>
      <c r="J55" s="49" t="s">
        <v>147</v>
      </c>
      <c r="K55" s="49" t="s">
        <v>93</v>
      </c>
      <c r="L55" s="50" t="n">
        <v>11048</v>
      </c>
      <c r="M55" s="51" t="n">
        <v>805489</v>
      </c>
      <c r="N55" s="51" t="n">
        <f aca="false">E55*M55</f>
        <v>805489</v>
      </c>
      <c r="O55" s="50" t="n">
        <v>13229</v>
      </c>
      <c r="P55" s="52" t="n">
        <v>0.83</v>
      </c>
      <c r="Q55" s="53" t="n">
        <v>20</v>
      </c>
      <c r="R55" s="53" t="n">
        <v>160</v>
      </c>
      <c r="S55" s="53" t="n">
        <v>72.91</v>
      </c>
    </row>
    <row r="56" customFormat="false" ht="15" hidden="false" customHeight="true" outlineLevel="0" collapsed="false">
      <c r="A56" s="40" t="n">
        <v>45180</v>
      </c>
      <c r="B56" s="41" t="n">
        <f aca="false">YEAR(A56)</f>
        <v>2023</v>
      </c>
      <c r="C56" s="42" t="str">
        <f aca="false">"Q"&amp;ROUNDUP(MONTH(A56)/3,0)</f>
        <v>Q3</v>
      </c>
      <c r="D56" s="42" t="str">
        <f aca="false">B56&amp;" Q"&amp;ROUNDUP(MONTH(A56)/3,0)</f>
        <v>2023 Q3</v>
      </c>
      <c r="E56" s="42" t="n">
        <v>1</v>
      </c>
      <c r="F56" s="42" t="s">
        <v>88</v>
      </c>
      <c r="G56" s="42"/>
      <c r="H56" s="42" t="s">
        <v>237</v>
      </c>
      <c r="I56" s="42" t="s">
        <v>238</v>
      </c>
      <c r="J56" s="42" t="s">
        <v>217</v>
      </c>
      <c r="K56" s="42" t="s">
        <v>93</v>
      </c>
      <c r="L56" s="43" t="n">
        <v>6798</v>
      </c>
      <c r="M56" s="44" t="n">
        <v>328873</v>
      </c>
      <c r="N56" s="44" t="n">
        <f aca="false">E56*M56</f>
        <v>328873</v>
      </c>
      <c r="O56" s="43" t="n">
        <v>6798</v>
      </c>
      <c r="P56" s="45" t="n">
        <v>1</v>
      </c>
      <c r="Q56" s="46" t="n">
        <v>20</v>
      </c>
      <c r="R56" s="46" t="n">
        <v>120</v>
      </c>
      <c r="S56" s="46" t="n">
        <v>48.38</v>
      </c>
    </row>
    <row r="57" customFormat="false" ht="15" hidden="false" customHeight="true" outlineLevel="0" collapsed="false">
      <c r="A57" s="47" t="n">
        <v>45193</v>
      </c>
      <c r="B57" s="48" t="n">
        <f aca="false">YEAR(A57)</f>
        <v>2023</v>
      </c>
      <c r="C57" s="49" t="str">
        <f aca="false">"Q"&amp;ROUNDUP(MONTH(A57)/3,0)</f>
        <v>Q3</v>
      </c>
      <c r="D57" s="49" t="str">
        <f aca="false">B57&amp;" Q"&amp;ROUNDUP(MONTH(A57)/3,0)</f>
        <v>2023 Q3</v>
      </c>
      <c r="E57" s="49" t="n">
        <v>1</v>
      </c>
      <c r="F57" s="49" t="s">
        <v>88</v>
      </c>
      <c r="G57" s="49" t="s">
        <v>239</v>
      </c>
      <c r="H57" s="49" t="s">
        <v>240</v>
      </c>
      <c r="I57" s="49" t="s">
        <v>241</v>
      </c>
      <c r="J57" s="49" t="s">
        <v>165</v>
      </c>
      <c r="K57" s="49" t="s">
        <v>93</v>
      </c>
      <c r="L57" s="50" t="n">
        <v>7744</v>
      </c>
      <c r="M57" s="51" t="n">
        <v>356780</v>
      </c>
      <c r="N57" s="51" t="n">
        <f aca="false">E57*M57</f>
        <v>356780</v>
      </c>
      <c r="O57" s="50" t="n">
        <v>10513</v>
      </c>
      <c r="P57" s="52" t="n">
        <v>0.73</v>
      </c>
      <c r="Q57" s="53" t="n">
        <v>15</v>
      </c>
      <c r="R57" s="53" t="n">
        <v>100</v>
      </c>
      <c r="S57" s="53" t="n">
        <v>46.07</v>
      </c>
    </row>
    <row r="58" customFormat="false" ht="15" hidden="false" customHeight="true" outlineLevel="0" collapsed="false">
      <c r="A58" s="40" t="n">
        <v>45194</v>
      </c>
      <c r="B58" s="41" t="n">
        <f aca="false">YEAR(A58)</f>
        <v>2023</v>
      </c>
      <c r="C58" s="42" t="str">
        <f aca="false">"Q"&amp;ROUNDUP(MONTH(A58)/3,0)</f>
        <v>Q3</v>
      </c>
      <c r="D58" s="42" t="str">
        <f aca="false">B58&amp;" Q"&amp;ROUNDUP(MONTH(A58)/3,0)</f>
        <v>2023 Q3</v>
      </c>
      <c r="E58" s="42" t="n">
        <v>1</v>
      </c>
      <c r="F58" s="42" t="s">
        <v>88</v>
      </c>
      <c r="G58" s="42"/>
      <c r="H58" s="42" t="s">
        <v>242</v>
      </c>
      <c r="I58" s="42" t="s">
        <v>129</v>
      </c>
      <c r="J58" s="42" t="s">
        <v>165</v>
      </c>
      <c r="K58" s="42" t="s">
        <v>93</v>
      </c>
      <c r="L58" s="43" t="n">
        <v>7602</v>
      </c>
      <c r="M58" s="44" t="n">
        <v>400535</v>
      </c>
      <c r="N58" s="44" t="n">
        <f aca="false">E58*M58</f>
        <v>400535</v>
      </c>
      <c r="O58" s="43" t="n">
        <v>7602</v>
      </c>
      <c r="P58" s="45" t="n">
        <v>1</v>
      </c>
      <c r="Q58" s="46" t="n">
        <v>20</v>
      </c>
      <c r="R58" s="46" t="n">
        <v>125</v>
      </c>
      <c r="S58" s="46" t="n">
        <v>52.69</v>
      </c>
    </row>
    <row r="59" customFormat="false" ht="15" hidden="false" customHeight="true" outlineLevel="0" collapsed="false">
      <c r="A59" s="47" t="n">
        <v>45199</v>
      </c>
      <c r="B59" s="48" t="n">
        <f aca="false">YEAR(A59)</f>
        <v>2023</v>
      </c>
      <c r="C59" s="49" t="str">
        <f aca="false">"Q"&amp;ROUNDUP(MONTH(A59)/3,0)</f>
        <v>Q3</v>
      </c>
      <c r="D59" s="49" t="str">
        <f aca="false">B59&amp;" Q"&amp;ROUNDUP(MONTH(A59)/3,0)</f>
        <v>2023 Q3</v>
      </c>
      <c r="E59" s="49" t="n">
        <v>1</v>
      </c>
      <c r="F59" s="49" t="s">
        <v>88</v>
      </c>
      <c r="G59" s="49"/>
      <c r="H59" s="49" t="s">
        <v>243</v>
      </c>
      <c r="I59" s="49" t="s">
        <v>244</v>
      </c>
      <c r="J59" s="49" t="s">
        <v>165</v>
      </c>
      <c r="K59" s="49" t="s">
        <v>93</v>
      </c>
      <c r="L59" s="50" t="n">
        <v>4308</v>
      </c>
      <c r="M59" s="51" t="n">
        <v>262262</v>
      </c>
      <c r="N59" s="51" t="n">
        <f aca="false">E59*M59</f>
        <v>262262</v>
      </c>
      <c r="O59" s="50" t="n">
        <v>4767</v>
      </c>
      <c r="P59" s="52" t="n">
        <v>0.9</v>
      </c>
      <c r="Q59" s="53" t="n">
        <v>20</v>
      </c>
      <c r="R59" s="53" t="n">
        <v>150</v>
      </c>
      <c r="S59" s="53" t="n">
        <v>60.88</v>
      </c>
    </row>
    <row r="60" customFormat="false" ht="15" hidden="false" customHeight="true" outlineLevel="0" collapsed="false">
      <c r="A60" s="40" t="n">
        <v>45201</v>
      </c>
      <c r="B60" s="41" t="n">
        <f aca="false">YEAR(A60)</f>
        <v>2023</v>
      </c>
      <c r="C60" s="42" t="str">
        <f aca="false">"Q"&amp;ROUNDUP(MONTH(A60)/3,0)</f>
        <v>Q4</v>
      </c>
      <c r="D60" s="42" t="str">
        <f aca="false">B60&amp;" Q"&amp;ROUNDUP(MONTH(A60)/3,0)</f>
        <v>2023 Q4</v>
      </c>
      <c r="E60" s="42" t="n">
        <v>1</v>
      </c>
      <c r="F60" s="42" t="s">
        <v>88</v>
      </c>
      <c r="G60" s="42" t="s">
        <v>245</v>
      </c>
      <c r="H60" s="42" t="s">
        <v>246</v>
      </c>
      <c r="I60" s="42" t="s">
        <v>247</v>
      </c>
      <c r="J60" s="42" t="s">
        <v>165</v>
      </c>
      <c r="K60" s="42" t="s">
        <v>93</v>
      </c>
      <c r="L60" s="43" t="n">
        <v>9624</v>
      </c>
      <c r="M60" s="44" t="n">
        <v>531394</v>
      </c>
      <c r="N60" s="44" t="n">
        <f aca="false">E60*M60</f>
        <v>531394</v>
      </c>
      <c r="O60" s="43" t="n">
        <v>11974</v>
      </c>
      <c r="P60" s="45" t="n">
        <v>0.8</v>
      </c>
      <c r="Q60" s="46" t="n">
        <v>24</v>
      </c>
      <c r="R60" s="46" t="n">
        <v>129</v>
      </c>
      <c r="S60" s="46" t="n">
        <v>55.22</v>
      </c>
    </row>
    <row r="61" customFormat="false" ht="15" hidden="false" customHeight="true" outlineLevel="0" collapsed="false">
      <c r="A61" s="47" t="n">
        <v>45206</v>
      </c>
      <c r="B61" s="48" t="n">
        <f aca="false">YEAR(A61)</f>
        <v>2023</v>
      </c>
      <c r="C61" s="49" t="str">
        <f aca="false">"Q"&amp;ROUNDUP(MONTH(A61)/3,0)</f>
        <v>Q4</v>
      </c>
      <c r="D61" s="49" t="str">
        <f aca="false">B61&amp;" Q"&amp;ROUNDUP(MONTH(A61)/3,0)</f>
        <v>2023 Q4</v>
      </c>
      <c r="E61" s="49" t="n">
        <v>1</v>
      </c>
      <c r="F61" s="49" t="s">
        <v>88</v>
      </c>
      <c r="G61" s="49" t="s">
        <v>248</v>
      </c>
      <c r="H61" s="49" t="s">
        <v>249</v>
      </c>
      <c r="I61" s="49" t="s">
        <v>250</v>
      </c>
      <c r="J61" s="49" t="s">
        <v>133</v>
      </c>
      <c r="K61" s="49" t="s">
        <v>93</v>
      </c>
      <c r="L61" s="50" t="n">
        <v>12046</v>
      </c>
      <c r="M61" s="51" t="n">
        <v>1181229</v>
      </c>
      <c r="N61" s="51" t="n">
        <f aca="false">E61*M61</f>
        <v>1181229</v>
      </c>
      <c r="O61" s="50" t="n">
        <v>12046</v>
      </c>
      <c r="P61" s="52" t="n">
        <v>1</v>
      </c>
      <c r="Q61" s="53" t="n">
        <v>29</v>
      </c>
      <c r="R61" s="53" t="n">
        <v>554</v>
      </c>
      <c r="S61" s="53" t="n">
        <v>98.06</v>
      </c>
    </row>
    <row r="62" customFormat="false" ht="15" hidden="false" customHeight="true" outlineLevel="0" collapsed="false">
      <c r="A62" s="40" t="n">
        <v>45212</v>
      </c>
      <c r="B62" s="41" t="n">
        <f aca="false">YEAR(A62)</f>
        <v>2023</v>
      </c>
      <c r="C62" s="42" t="str">
        <f aca="false">"Q"&amp;ROUNDUP(MONTH(A62)/3,0)</f>
        <v>Q4</v>
      </c>
      <c r="D62" s="42" t="str">
        <f aca="false">B62&amp;" Q"&amp;ROUNDUP(MONTH(A62)/3,0)</f>
        <v>2023 Q4</v>
      </c>
      <c r="E62" s="42" t="n">
        <v>1</v>
      </c>
      <c r="F62" s="42" t="s">
        <v>88</v>
      </c>
      <c r="G62" s="42" t="s">
        <v>251</v>
      </c>
      <c r="H62" s="42" t="s">
        <v>67</v>
      </c>
      <c r="I62" s="42" t="s">
        <v>68</v>
      </c>
      <c r="J62" s="42" t="s">
        <v>107</v>
      </c>
      <c r="K62" s="42" t="s">
        <v>93</v>
      </c>
      <c r="L62" s="43" t="n">
        <v>9759</v>
      </c>
      <c r="M62" s="44" t="n">
        <v>413102.3</v>
      </c>
      <c r="N62" s="44" t="n">
        <f aca="false">E62*M62</f>
        <v>413102.3</v>
      </c>
      <c r="O62" s="43" t="n">
        <v>11874</v>
      </c>
      <c r="P62" s="45" t="n">
        <v>0.82</v>
      </c>
      <c r="Q62" s="46" t="n">
        <v>19</v>
      </c>
      <c r="R62" s="46" t="n">
        <v>114</v>
      </c>
      <c r="S62" s="46" t="n">
        <v>42.33</v>
      </c>
    </row>
    <row r="63" customFormat="false" ht="15" hidden="false" customHeight="true" outlineLevel="0" collapsed="false">
      <c r="A63" s="47" t="n">
        <v>45215</v>
      </c>
      <c r="B63" s="48" t="n">
        <f aca="false">YEAR(A63)</f>
        <v>2023</v>
      </c>
      <c r="C63" s="49" t="str">
        <f aca="false">"Q"&amp;ROUNDUP(MONTH(A63)/3,0)</f>
        <v>Q4</v>
      </c>
      <c r="D63" s="49" t="str">
        <f aca="false">B63&amp;" Q"&amp;ROUNDUP(MONTH(A63)/3,0)</f>
        <v>2023 Q4</v>
      </c>
      <c r="E63" s="49" t="n">
        <v>1</v>
      </c>
      <c r="F63" s="49" t="s">
        <v>252</v>
      </c>
      <c r="G63" s="49"/>
      <c r="H63" s="49" t="s">
        <v>253</v>
      </c>
      <c r="I63" s="49" t="s">
        <v>254</v>
      </c>
      <c r="J63" s="49" t="s">
        <v>107</v>
      </c>
      <c r="K63" s="49" t="s">
        <v>93</v>
      </c>
      <c r="L63" s="50" t="n">
        <v>7412</v>
      </c>
      <c r="M63" s="51" t="n">
        <v>321928.75</v>
      </c>
      <c r="N63" s="51" t="n">
        <f aca="false">E63*M63</f>
        <v>321928.75</v>
      </c>
      <c r="O63" s="50" t="n">
        <v>11114</v>
      </c>
      <c r="P63" s="52" t="n">
        <v>0.66</v>
      </c>
      <c r="Q63" s="53" t="n">
        <v>20</v>
      </c>
      <c r="R63" s="53" t="n">
        <v>105</v>
      </c>
      <c r="S63" s="53" t="n">
        <v>43.43</v>
      </c>
    </row>
    <row r="64" customFormat="false" ht="15" hidden="false" customHeight="true" outlineLevel="0" collapsed="false">
      <c r="A64" s="40" t="n">
        <v>45219</v>
      </c>
      <c r="B64" s="41" t="n">
        <f aca="false">YEAR(A64)</f>
        <v>2023</v>
      </c>
      <c r="C64" s="42" t="str">
        <f aca="false">"Q"&amp;ROUNDUP(MONTH(A64)/3,0)</f>
        <v>Q4</v>
      </c>
      <c r="D64" s="42" t="str">
        <f aca="false">B64&amp;" Q"&amp;ROUNDUP(MONTH(A64)/3,0)</f>
        <v>2023 Q4</v>
      </c>
      <c r="E64" s="42" t="n">
        <v>1</v>
      </c>
      <c r="F64" s="42" t="s">
        <v>88</v>
      </c>
      <c r="G64" s="42" t="s">
        <v>255</v>
      </c>
      <c r="H64" s="42" t="s">
        <v>59</v>
      </c>
      <c r="I64" s="42" t="s">
        <v>60</v>
      </c>
      <c r="J64" s="42" t="s">
        <v>184</v>
      </c>
      <c r="K64" s="42" t="s">
        <v>93</v>
      </c>
      <c r="L64" s="43" t="n">
        <v>13452</v>
      </c>
      <c r="M64" s="44" t="n">
        <v>593480</v>
      </c>
      <c r="N64" s="44" t="n">
        <f aca="false">E64*M64</f>
        <v>593480</v>
      </c>
      <c r="O64" s="43" t="n">
        <v>14043</v>
      </c>
      <c r="P64" s="45" t="n">
        <v>0.95</v>
      </c>
      <c r="Q64" s="46" t="n">
        <v>20</v>
      </c>
      <c r="R64" s="46" t="n">
        <v>115</v>
      </c>
      <c r="S64" s="46" t="n">
        <v>44.12</v>
      </c>
    </row>
    <row r="65" customFormat="false" ht="15" hidden="false" customHeight="true" outlineLevel="0" collapsed="false">
      <c r="A65" s="47" t="n">
        <v>45222</v>
      </c>
      <c r="B65" s="48" t="n">
        <f aca="false">YEAR(A65)</f>
        <v>2023</v>
      </c>
      <c r="C65" s="49" t="str">
        <f aca="false">"Q"&amp;ROUNDUP(MONTH(A65)/3,0)</f>
        <v>Q4</v>
      </c>
      <c r="D65" s="49" t="str">
        <f aca="false">B65&amp;" Q"&amp;ROUNDUP(MONTH(A65)/3,0)</f>
        <v>2023 Q4</v>
      </c>
      <c r="E65" s="49" t="n">
        <v>1</v>
      </c>
      <c r="F65" s="49" t="s">
        <v>88</v>
      </c>
      <c r="G65" s="49"/>
      <c r="H65" s="49" t="s">
        <v>61</v>
      </c>
      <c r="I65" s="49" t="s">
        <v>62</v>
      </c>
      <c r="J65" s="49" t="s">
        <v>184</v>
      </c>
      <c r="K65" s="49" t="s">
        <v>93</v>
      </c>
      <c r="L65" s="50" t="n">
        <v>10839</v>
      </c>
      <c r="M65" s="51" t="n">
        <v>661292.91</v>
      </c>
      <c r="N65" s="51" t="n">
        <f aca="false">E65*M65</f>
        <v>661292.91</v>
      </c>
      <c r="O65" s="50" t="n">
        <v>12088</v>
      </c>
      <c r="P65" s="52" t="n">
        <v>0.89</v>
      </c>
      <c r="Q65" s="53" t="n">
        <v>30</v>
      </c>
      <c r="R65" s="53" t="n">
        <v>135</v>
      </c>
      <c r="S65" s="53" t="n">
        <v>61.01</v>
      </c>
    </row>
    <row r="66" customFormat="false" ht="15" hidden="false" customHeight="true" outlineLevel="0" collapsed="false">
      <c r="A66" s="40" t="n">
        <v>45226</v>
      </c>
      <c r="B66" s="41" t="n">
        <f aca="false">YEAR(A66)</f>
        <v>2023</v>
      </c>
      <c r="C66" s="42" t="str">
        <f aca="false">"Q"&amp;ROUNDUP(MONTH(A66)/3,0)</f>
        <v>Q4</v>
      </c>
      <c r="D66" s="42" t="str">
        <f aca="false">B66&amp;" Q"&amp;ROUNDUP(MONTH(A66)/3,0)</f>
        <v>2023 Q4</v>
      </c>
      <c r="E66" s="42" t="n">
        <v>1</v>
      </c>
      <c r="F66" s="42" t="s">
        <v>88</v>
      </c>
      <c r="G66" s="42" t="s">
        <v>256</v>
      </c>
      <c r="H66" s="42" t="s">
        <v>155</v>
      </c>
      <c r="I66" s="42" t="s">
        <v>156</v>
      </c>
      <c r="J66" s="42" t="s">
        <v>157</v>
      </c>
      <c r="K66" s="42" t="s">
        <v>93</v>
      </c>
      <c r="L66" s="43" t="n">
        <v>10857</v>
      </c>
      <c r="M66" s="44" t="n">
        <v>508035</v>
      </c>
      <c r="N66" s="44" t="n">
        <f aca="false">E66*M66</f>
        <v>508035</v>
      </c>
      <c r="O66" s="43" t="n">
        <v>10857</v>
      </c>
      <c r="P66" s="45" t="n">
        <v>1</v>
      </c>
      <c r="Q66" s="46" t="n">
        <v>30</v>
      </c>
      <c r="R66" s="46" t="n">
        <v>115</v>
      </c>
      <c r="S66" s="46" t="n">
        <v>46.79</v>
      </c>
    </row>
    <row r="67" customFormat="false" ht="15" hidden="false" customHeight="true" outlineLevel="0" collapsed="false">
      <c r="A67" s="47" t="n">
        <v>45236</v>
      </c>
      <c r="B67" s="48" t="n">
        <f aca="false">YEAR(A67)</f>
        <v>2023</v>
      </c>
      <c r="C67" s="49" t="str">
        <f aca="false">"Q"&amp;ROUNDUP(MONTH(A67)/3,0)</f>
        <v>Q4</v>
      </c>
      <c r="D67" s="49" t="str">
        <f aca="false">B67&amp;" Q"&amp;ROUNDUP(MONTH(A67)/3,0)</f>
        <v>2023 Q4</v>
      </c>
      <c r="E67" s="49" t="n">
        <v>1</v>
      </c>
      <c r="F67" s="49" t="s">
        <v>88</v>
      </c>
      <c r="G67" s="49"/>
      <c r="H67" s="49" t="s">
        <v>188</v>
      </c>
      <c r="I67" s="49" t="s">
        <v>189</v>
      </c>
      <c r="J67" s="49" t="s">
        <v>106</v>
      </c>
      <c r="K67" s="49" t="s">
        <v>93</v>
      </c>
      <c r="L67" s="50" t="n">
        <v>6461</v>
      </c>
      <c r="M67" s="51" t="n">
        <v>399125</v>
      </c>
      <c r="N67" s="51" t="n">
        <f aca="false">E67*M67</f>
        <v>399125</v>
      </c>
      <c r="O67" s="50" t="n">
        <v>6461</v>
      </c>
      <c r="P67" s="52" t="n">
        <v>1</v>
      </c>
      <c r="Q67" s="53" t="n">
        <v>24.5</v>
      </c>
      <c r="R67" s="53" t="n">
        <v>139.5</v>
      </c>
      <c r="S67" s="53" t="n">
        <v>61.77</v>
      </c>
    </row>
    <row r="68" customFormat="false" ht="15" hidden="false" customHeight="true" outlineLevel="0" collapsed="false">
      <c r="A68" s="40" t="n">
        <v>45243</v>
      </c>
      <c r="B68" s="41" t="n">
        <f aca="false">YEAR(A68)</f>
        <v>2023</v>
      </c>
      <c r="C68" s="42" t="str">
        <f aca="false">"Q"&amp;ROUNDUP(MONTH(A68)/3,0)</f>
        <v>Q4</v>
      </c>
      <c r="D68" s="42" t="str">
        <f aca="false">B68&amp;" Q"&amp;ROUNDUP(MONTH(A68)/3,0)</f>
        <v>2023 Q4</v>
      </c>
      <c r="E68" s="42" t="n">
        <v>1</v>
      </c>
      <c r="F68" s="42" t="s">
        <v>88</v>
      </c>
      <c r="G68" s="42"/>
      <c r="H68" s="42" t="s">
        <v>138</v>
      </c>
      <c r="I68" s="42" t="s">
        <v>139</v>
      </c>
      <c r="J68" s="42" t="s">
        <v>140</v>
      </c>
      <c r="K68" s="42" t="s">
        <v>93</v>
      </c>
      <c r="L68" s="43" t="n">
        <v>8756</v>
      </c>
      <c r="M68" s="44" t="n">
        <v>604277.74</v>
      </c>
      <c r="N68" s="44" t="n">
        <f aca="false">E68*M68</f>
        <v>604277.74</v>
      </c>
      <c r="O68" s="43" t="n">
        <v>12760</v>
      </c>
      <c r="P68" s="45" t="n">
        <v>0.68</v>
      </c>
      <c r="Q68" s="46" t="n">
        <v>25</v>
      </c>
      <c r="R68" s="46" t="n">
        <v>145</v>
      </c>
      <c r="S68" s="46" t="n">
        <v>69.01</v>
      </c>
    </row>
    <row r="69" customFormat="false" ht="15" hidden="false" customHeight="true" outlineLevel="0" collapsed="false">
      <c r="A69" s="47" t="n">
        <v>45247</v>
      </c>
      <c r="B69" s="48" t="n">
        <f aca="false">YEAR(A69)</f>
        <v>2023</v>
      </c>
      <c r="C69" s="49" t="str">
        <f aca="false">"Q"&amp;ROUNDUP(MONTH(A69)/3,0)</f>
        <v>Q4</v>
      </c>
      <c r="D69" s="49" t="str">
        <f aca="false">B69&amp;" Q"&amp;ROUNDUP(MONTH(A69)/3,0)</f>
        <v>2023 Q4</v>
      </c>
      <c r="E69" s="49" t="n">
        <v>1</v>
      </c>
      <c r="F69" s="49" t="s">
        <v>88</v>
      </c>
      <c r="G69" s="49" t="s">
        <v>257</v>
      </c>
      <c r="H69" s="49" t="s">
        <v>131</v>
      </c>
      <c r="I69" s="49" t="s">
        <v>132</v>
      </c>
      <c r="J69" s="49" t="s">
        <v>133</v>
      </c>
      <c r="K69" s="49" t="s">
        <v>93</v>
      </c>
      <c r="L69" s="50" t="n">
        <v>5149</v>
      </c>
      <c r="M69" s="51" t="n">
        <v>351420</v>
      </c>
      <c r="N69" s="51" t="n">
        <f aca="false">E69*M69</f>
        <v>351420</v>
      </c>
      <c r="O69" s="50" t="n">
        <v>7643</v>
      </c>
      <c r="P69" s="52" t="n">
        <v>0.67</v>
      </c>
      <c r="Q69" s="53" t="n">
        <v>20</v>
      </c>
      <c r="R69" s="53" t="n">
        <v>120</v>
      </c>
      <c r="S69" s="53" t="n">
        <v>68.25</v>
      </c>
    </row>
    <row r="70" customFormat="false" ht="15" hidden="false" customHeight="true" outlineLevel="0" collapsed="false">
      <c r="A70" s="40" t="n">
        <v>45254</v>
      </c>
      <c r="B70" s="41" t="n">
        <f aca="false">YEAR(A70)</f>
        <v>2023</v>
      </c>
      <c r="C70" s="42" t="str">
        <f aca="false">"Q"&amp;ROUNDUP(MONTH(A70)/3,0)</f>
        <v>Q4</v>
      </c>
      <c r="D70" s="42" t="str">
        <f aca="false">B70&amp;" Q"&amp;ROUNDUP(MONTH(A70)/3,0)</f>
        <v>2023 Q4</v>
      </c>
      <c r="E70" s="42" t="n">
        <v>1</v>
      </c>
      <c r="F70" s="42" t="s">
        <v>88</v>
      </c>
      <c r="G70" s="42" t="s">
        <v>258</v>
      </c>
      <c r="H70" s="42" t="s">
        <v>181</v>
      </c>
      <c r="I70" s="42" t="s">
        <v>182</v>
      </c>
      <c r="J70" s="42" t="s">
        <v>136</v>
      </c>
      <c r="K70" s="42" t="s">
        <v>93</v>
      </c>
      <c r="L70" s="43" t="n">
        <v>15777</v>
      </c>
      <c r="M70" s="44" t="n">
        <v>982372</v>
      </c>
      <c r="N70" s="44" t="n">
        <f aca="false">E70*M70</f>
        <v>982372</v>
      </c>
      <c r="O70" s="43" t="n">
        <v>17570</v>
      </c>
      <c r="P70" s="45" t="n">
        <v>0.89</v>
      </c>
      <c r="Q70" s="46" t="n">
        <v>20</v>
      </c>
      <c r="R70" s="46" t="n">
        <v>200</v>
      </c>
      <c r="S70" s="46" t="n">
        <v>62.27</v>
      </c>
    </row>
    <row r="71" customFormat="false" ht="15" hidden="false" customHeight="true" outlineLevel="0" collapsed="false">
      <c r="A71" s="47" t="n">
        <v>45255</v>
      </c>
      <c r="B71" s="48" t="n">
        <f aca="false">YEAR(A71)</f>
        <v>2023</v>
      </c>
      <c r="C71" s="49" t="str">
        <f aca="false">"Q"&amp;ROUNDUP(MONTH(A71)/3,0)</f>
        <v>Q4</v>
      </c>
      <c r="D71" s="49" t="str">
        <f aca="false">B71&amp;" Q"&amp;ROUNDUP(MONTH(A71)/3,0)</f>
        <v>2023 Q4</v>
      </c>
      <c r="E71" s="49" t="n">
        <v>1</v>
      </c>
      <c r="F71" s="49" t="s">
        <v>88</v>
      </c>
      <c r="G71" s="49" t="s">
        <v>259</v>
      </c>
      <c r="H71" s="49" t="s">
        <v>181</v>
      </c>
      <c r="I71" s="49" t="s">
        <v>182</v>
      </c>
      <c r="J71" s="49" t="s">
        <v>136</v>
      </c>
      <c r="K71" s="49" t="s">
        <v>93</v>
      </c>
      <c r="L71" s="50" t="n">
        <v>16579</v>
      </c>
      <c r="M71" s="51" t="n">
        <v>2240645</v>
      </c>
      <c r="N71" s="51" t="n">
        <f aca="false">E71*M71</f>
        <v>2240645</v>
      </c>
      <c r="O71" s="50" t="n">
        <v>17570</v>
      </c>
      <c r="P71" s="52" t="n">
        <v>0.94</v>
      </c>
      <c r="Q71" s="53" t="n">
        <v>30</v>
      </c>
      <c r="R71" s="53" t="n">
        <v>750</v>
      </c>
      <c r="S71" s="53" t="n">
        <v>135.15</v>
      </c>
    </row>
    <row r="72" customFormat="false" ht="15" hidden="false" customHeight="true" outlineLevel="0" collapsed="false">
      <c r="A72" s="40" t="n">
        <v>45256</v>
      </c>
      <c r="B72" s="41" t="n">
        <f aca="false">YEAR(A72)</f>
        <v>2023</v>
      </c>
      <c r="C72" s="42" t="str">
        <f aca="false">"Q"&amp;ROUNDUP(MONTH(A72)/3,0)</f>
        <v>Q4</v>
      </c>
      <c r="D72" s="42" t="str">
        <f aca="false">B72&amp;" Q"&amp;ROUNDUP(MONTH(A72)/3,0)</f>
        <v>2023 Q4</v>
      </c>
      <c r="E72" s="42" t="n">
        <v>1</v>
      </c>
      <c r="F72" s="42" t="s">
        <v>88</v>
      </c>
      <c r="G72" s="42"/>
      <c r="H72" s="42" t="s">
        <v>260</v>
      </c>
      <c r="I72" s="42" t="s">
        <v>261</v>
      </c>
      <c r="J72" s="42" t="s">
        <v>136</v>
      </c>
      <c r="K72" s="42" t="s">
        <v>93</v>
      </c>
      <c r="L72" s="43" t="n">
        <v>2995</v>
      </c>
      <c r="M72" s="44" t="n">
        <v>186739</v>
      </c>
      <c r="N72" s="44" t="n">
        <f aca="false">E72*M72</f>
        <v>186739</v>
      </c>
      <c r="O72" s="43" t="n">
        <v>8452</v>
      </c>
      <c r="P72" s="45" t="n">
        <v>0.35</v>
      </c>
      <c r="Q72" s="46" t="n">
        <v>24</v>
      </c>
      <c r="R72" s="46" t="n">
        <v>119</v>
      </c>
      <c r="S72" s="46" t="n">
        <v>62.35</v>
      </c>
    </row>
    <row r="73" customFormat="false" ht="15" hidden="false" customHeight="true" outlineLevel="0" collapsed="false">
      <c r="A73" s="47" t="n">
        <v>45257</v>
      </c>
      <c r="B73" s="48" t="n">
        <f aca="false">YEAR(A73)</f>
        <v>2023</v>
      </c>
      <c r="C73" s="49" t="str">
        <f aca="false">"Q"&amp;ROUNDUP(MONTH(A73)/3,0)</f>
        <v>Q4</v>
      </c>
      <c r="D73" s="49" t="str">
        <f aca="false">B73&amp;" Q"&amp;ROUNDUP(MONTH(A73)/3,0)</f>
        <v>2023 Q4</v>
      </c>
      <c r="E73" s="49" t="n">
        <v>1</v>
      </c>
      <c r="F73" s="49" t="s">
        <v>88</v>
      </c>
      <c r="G73" s="49"/>
      <c r="H73" s="49" t="s">
        <v>90</v>
      </c>
      <c r="I73" s="49" t="s">
        <v>91</v>
      </c>
      <c r="J73" s="49" t="s">
        <v>92</v>
      </c>
      <c r="K73" s="49" t="s">
        <v>93</v>
      </c>
      <c r="L73" s="50" t="n">
        <v>10803</v>
      </c>
      <c r="M73" s="51" t="n">
        <v>612297.5</v>
      </c>
      <c r="N73" s="51" t="n">
        <f aca="false">E73*M73</f>
        <v>612297.5</v>
      </c>
      <c r="O73" s="50" t="n">
        <v>11488</v>
      </c>
      <c r="P73" s="52" t="n">
        <v>0.94</v>
      </c>
      <c r="Q73" s="53" t="n">
        <v>24.7</v>
      </c>
      <c r="R73" s="53" t="n">
        <v>167</v>
      </c>
      <c r="S73" s="53" t="n">
        <v>56.68</v>
      </c>
    </row>
    <row r="74" customFormat="false" ht="15" hidden="false" customHeight="true" outlineLevel="0" collapsed="false">
      <c r="A74" s="40" t="n">
        <v>45261</v>
      </c>
      <c r="B74" s="41" t="n">
        <f aca="false">YEAR(A74)</f>
        <v>2023</v>
      </c>
      <c r="C74" s="42" t="str">
        <f aca="false">"Q"&amp;ROUNDUP(MONTH(A74)/3,0)</f>
        <v>Q4</v>
      </c>
      <c r="D74" s="42" t="str">
        <f aca="false">B74&amp;" Q"&amp;ROUNDUP(MONTH(A74)/3,0)</f>
        <v>2023 Q4</v>
      </c>
      <c r="E74" s="42" t="n">
        <v>1</v>
      </c>
      <c r="F74" s="42" t="s">
        <v>88</v>
      </c>
      <c r="G74" s="42" t="s">
        <v>262</v>
      </c>
      <c r="H74" s="42" t="s">
        <v>118</v>
      </c>
      <c r="I74" s="42" t="s">
        <v>119</v>
      </c>
      <c r="J74" s="42" t="s">
        <v>120</v>
      </c>
      <c r="K74" s="42" t="s">
        <v>93</v>
      </c>
      <c r="L74" s="43" t="n">
        <v>13330</v>
      </c>
      <c r="M74" s="44" t="n">
        <v>1021359.3</v>
      </c>
      <c r="N74" s="44" t="n">
        <f aca="false">E74*M74</f>
        <v>1021359.3</v>
      </c>
      <c r="O74" s="43" t="n">
        <v>13330</v>
      </c>
      <c r="P74" s="45" t="n">
        <v>1</v>
      </c>
      <c r="Q74" s="46" t="n">
        <v>30</v>
      </c>
      <c r="R74" s="46" t="n">
        <v>350</v>
      </c>
      <c r="S74" s="46" t="n">
        <v>76.62</v>
      </c>
    </row>
    <row r="75" customFormat="false" ht="15" hidden="false" customHeight="true" outlineLevel="0" collapsed="false">
      <c r="A75" s="47" t="n">
        <v>45262</v>
      </c>
      <c r="B75" s="48" t="n">
        <f aca="false">YEAR(A75)</f>
        <v>2023</v>
      </c>
      <c r="C75" s="49" t="str">
        <f aca="false">"Q"&amp;ROUNDUP(MONTH(A75)/3,0)</f>
        <v>Q4</v>
      </c>
      <c r="D75" s="49" t="str">
        <f aca="false">B75&amp;" Q"&amp;ROUNDUP(MONTH(A75)/3,0)</f>
        <v>2023 Q4</v>
      </c>
      <c r="E75" s="49" t="n">
        <v>1</v>
      </c>
      <c r="F75" s="49" t="s">
        <v>88</v>
      </c>
      <c r="G75" s="49"/>
      <c r="H75" s="49" t="s">
        <v>263</v>
      </c>
      <c r="I75" s="49" t="s">
        <v>264</v>
      </c>
      <c r="J75" s="49" t="s">
        <v>106</v>
      </c>
      <c r="K75" s="49" t="s">
        <v>93</v>
      </c>
      <c r="L75" s="50" t="n">
        <v>5205</v>
      </c>
      <c r="M75" s="51" t="n">
        <v>307439.5</v>
      </c>
      <c r="N75" s="51" t="n">
        <f aca="false">E75*M75</f>
        <v>307439.5</v>
      </c>
      <c r="O75" s="50" t="n">
        <v>6258</v>
      </c>
      <c r="P75" s="52" t="n">
        <v>0.83</v>
      </c>
      <c r="Q75" s="53" t="n">
        <v>20</v>
      </c>
      <c r="R75" s="53" t="n">
        <v>105</v>
      </c>
      <c r="S75" s="53" t="n">
        <v>59.07</v>
      </c>
    </row>
    <row r="76" customFormat="false" ht="15" hidden="false" customHeight="true" outlineLevel="0" collapsed="false">
      <c r="A76" s="40" t="n">
        <v>45264</v>
      </c>
      <c r="B76" s="41" t="n">
        <f aca="false">YEAR(A76)</f>
        <v>2023</v>
      </c>
      <c r="C76" s="42" t="str">
        <f aca="false">"Q"&amp;ROUNDUP(MONTH(A76)/3,0)</f>
        <v>Q4</v>
      </c>
      <c r="D76" s="42" t="str">
        <f aca="false">B76&amp;" Q"&amp;ROUNDUP(MONTH(A76)/3,0)</f>
        <v>2023 Q4</v>
      </c>
      <c r="E76" s="42" t="n">
        <v>1</v>
      </c>
      <c r="F76" s="42" t="s">
        <v>88</v>
      </c>
      <c r="G76" s="42"/>
      <c r="H76" s="42" t="s">
        <v>265</v>
      </c>
      <c r="I76" s="42" t="s">
        <v>266</v>
      </c>
      <c r="J76" s="42" t="s">
        <v>120</v>
      </c>
      <c r="K76" s="42" t="s">
        <v>93</v>
      </c>
      <c r="L76" s="43" t="n">
        <v>6608</v>
      </c>
      <c r="M76" s="44" t="n">
        <v>410369</v>
      </c>
      <c r="N76" s="44" t="n">
        <f aca="false">E76*M76</f>
        <v>410369</v>
      </c>
      <c r="O76" s="43" t="n">
        <v>6608</v>
      </c>
      <c r="P76" s="45" t="n">
        <v>1</v>
      </c>
      <c r="Q76" s="46" t="n">
        <v>25</v>
      </c>
      <c r="R76" s="46" t="n">
        <v>135</v>
      </c>
      <c r="S76" s="46" t="n">
        <v>62.1</v>
      </c>
    </row>
    <row r="77" customFormat="false" ht="15" hidden="false" customHeight="true" outlineLevel="0" collapsed="false">
      <c r="A77" s="47" t="n">
        <v>45271</v>
      </c>
      <c r="B77" s="48" t="n">
        <f aca="false">YEAR(A77)</f>
        <v>2023</v>
      </c>
      <c r="C77" s="49" t="str">
        <f aca="false">"Q"&amp;ROUNDUP(MONTH(A77)/3,0)</f>
        <v>Q4</v>
      </c>
      <c r="D77" s="49" t="str">
        <f aca="false">B77&amp;" Q"&amp;ROUNDUP(MONTH(A77)/3,0)</f>
        <v>2023 Q4</v>
      </c>
      <c r="E77" s="49" t="n">
        <v>1</v>
      </c>
      <c r="F77" s="49" t="s">
        <v>88</v>
      </c>
      <c r="G77" s="49"/>
      <c r="H77" s="49" t="s">
        <v>202</v>
      </c>
      <c r="I77" s="49" t="s">
        <v>203</v>
      </c>
      <c r="J77" s="49" t="s">
        <v>204</v>
      </c>
      <c r="K77" s="49" t="s">
        <v>93</v>
      </c>
      <c r="L77" s="50" t="n">
        <v>8417</v>
      </c>
      <c r="M77" s="51" t="n">
        <v>600553.5</v>
      </c>
      <c r="N77" s="51" t="n">
        <f aca="false">E77*M77</f>
        <v>600553.5</v>
      </c>
      <c r="O77" s="50" t="n">
        <v>14011</v>
      </c>
      <c r="P77" s="52" t="n">
        <v>0.6</v>
      </c>
      <c r="Q77" s="53" t="n">
        <v>20</v>
      </c>
      <c r="R77" s="53" t="n">
        <v>130</v>
      </c>
      <c r="S77" s="53" t="n">
        <v>71.35</v>
      </c>
    </row>
    <row r="78" customFormat="false" ht="15" hidden="false" customHeight="true" outlineLevel="0" collapsed="false">
      <c r="A78" s="40" t="n">
        <v>45275</v>
      </c>
      <c r="B78" s="41" t="n">
        <f aca="false">YEAR(A78)</f>
        <v>2023</v>
      </c>
      <c r="C78" s="42" t="str">
        <f aca="false">"Q"&amp;ROUNDUP(MONTH(A78)/3,0)</f>
        <v>Q4</v>
      </c>
      <c r="D78" s="42" t="str">
        <f aca="false">B78&amp;" Q"&amp;ROUNDUP(MONTH(A78)/3,0)</f>
        <v>2023 Q4</v>
      </c>
      <c r="E78" s="42" t="n">
        <v>1</v>
      </c>
      <c r="F78" s="42" t="s">
        <v>88</v>
      </c>
      <c r="G78" s="42"/>
      <c r="H78" s="42" t="s">
        <v>267</v>
      </c>
      <c r="I78" s="42" t="s">
        <v>268</v>
      </c>
      <c r="J78" s="42" t="s">
        <v>157</v>
      </c>
      <c r="K78" s="42" t="s">
        <v>93</v>
      </c>
      <c r="L78" s="43" t="n">
        <v>5574</v>
      </c>
      <c r="M78" s="44" t="n">
        <v>410532.5</v>
      </c>
      <c r="N78" s="44" t="n">
        <f aca="false">E78*M78</f>
        <v>410532.5</v>
      </c>
      <c r="O78" s="43" t="n">
        <v>6381</v>
      </c>
      <c r="P78" s="45" t="n">
        <v>0.87</v>
      </c>
      <c r="Q78" s="46" t="n">
        <v>23</v>
      </c>
      <c r="R78" s="46" t="n">
        <v>128</v>
      </c>
      <c r="S78" s="46" t="n">
        <v>73.65</v>
      </c>
    </row>
    <row r="79" customFormat="false" ht="15" hidden="false" customHeight="true" outlineLevel="0" collapsed="false">
      <c r="A79" s="47" t="n">
        <v>45276</v>
      </c>
      <c r="B79" s="48" t="n">
        <f aca="false">YEAR(A79)</f>
        <v>2023</v>
      </c>
      <c r="C79" s="49" t="str">
        <f aca="false">"Q"&amp;ROUNDUP(MONTH(A79)/3,0)</f>
        <v>Q4</v>
      </c>
      <c r="D79" s="49" t="str">
        <f aca="false">B79&amp;" Q"&amp;ROUNDUP(MONTH(A79)/3,0)</f>
        <v>2023 Q4</v>
      </c>
      <c r="E79" s="49" t="n">
        <v>1</v>
      </c>
      <c r="F79" s="49" t="s">
        <v>88</v>
      </c>
      <c r="G79" s="49"/>
      <c r="H79" s="49" t="s">
        <v>269</v>
      </c>
      <c r="I79" s="49" t="s">
        <v>270</v>
      </c>
      <c r="J79" s="49" t="s">
        <v>136</v>
      </c>
      <c r="K79" s="49" t="s">
        <v>93</v>
      </c>
      <c r="L79" s="50" t="n">
        <v>4616</v>
      </c>
      <c r="M79" s="51" t="n">
        <v>234394</v>
      </c>
      <c r="N79" s="51" t="n">
        <f aca="false">E79*M79</f>
        <v>234394</v>
      </c>
      <c r="O79" s="50" t="n">
        <v>5038</v>
      </c>
      <c r="P79" s="52" t="n">
        <v>0.91</v>
      </c>
      <c r="Q79" s="53" t="n">
        <v>20</v>
      </c>
      <c r="R79" s="53" t="n">
        <v>120</v>
      </c>
      <c r="S79" s="53" t="n">
        <v>50.78</v>
      </c>
    </row>
    <row r="80" customFormat="false" ht="15" hidden="false" customHeight="true" outlineLevel="0" collapsed="false">
      <c r="A80" s="40" t="n">
        <v>45278</v>
      </c>
      <c r="B80" s="41" t="n">
        <f aca="false">YEAR(A80)</f>
        <v>2023</v>
      </c>
      <c r="C80" s="42" t="str">
        <f aca="false">"Q"&amp;ROUNDUP(MONTH(A80)/3,0)</f>
        <v>Q4</v>
      </c>
      <c r="D80" s="42" t="str">
        <f aca="false">B80&amp;" Q"&amp;ROUNDUP(MONTH(A80)/3,0)</f>
        <v>2023 Q4</v>
      </c>
      <c r="E80" s="42" t="n">
        <v>1</v>
      </c>
      <c r="F80" s="42" t="s">
        <v>88</v>
      </c>
      <c r="G80" s="42"/>
      <c r="H80" s="42" t="s">
        <v>271</v>
      </c>
      <c r="I80" s="42" t="s">
        <v>272</v>
      </c>
      <c r="J80" s="42" t="s">
        <v>273</v>
      </c>
      <c r="K80" s="42" t="s">
        <v>93</v>
      </c>
      <c r="L80" s="43" t="n">
        <v>6483</v>
      </c>
      <c r="M80" s="44" t="n">
        <v>392243.5</v>
      </c>
      <c r="N80" s="44" t="n">
        <f aca="false">E80*M80</f>
        <v>392243.5</v>
      </c>
      <c r="O80" s="43" t="n">
        <v>6500</v>
      </c>
      <c r="P80" s="45" t="n">
        <v>0.99</v>
      </c>
      <c r="Q80" s="46" t="n">
        <v>25</v>
      </c>
      <c r="R80" s="46" t="n">
        <v>120</v>
      </c>
      <c r="S80" s="46" t="n">
        <v>60.5</v>
      </c>
    </row>
    <row r="81" customFormat="false" ht="15" hidden="false" customHeight="true" outlineLevel="0" collapsed="false">
      <c r="A81" s="47" t="n">
        <v>45286</v>
      </c>
      <c r="B81" s="48" t="n">
        <f aca="false">YEAR(A81)</f>
        <v>2023</v>
      </c>
      <c r="C81" s="49" t="str">
        <f aca="false">"Q"&amp;ROUNDUP(MONTH(A81)/3,0)</f>
        <v>Q4</v>
      </c>
      <c r="D81" s="49" t="str">
        <f aca="false">B81&amp;" Q"&amp;ROUNDUP(MONTH(A81)/3,0)</f>
        <v>2023 Q4</v>
      </c>
      <c r="E81" s="49" t="n">
        <v>1</v>
      </c>
      <c r="F81" s="49" t="s">
        <v>88</v>
      </c>
      <c r="G81" s="49"/>
      <c r="H81" s="49" t="s">
        <v>210</v>
      </c>
      <c r="I81" s="49" t="s">
        <v>211</v>
      </c>
      <c r="J81" s="49" t="s">
        <v>212</v>
      </c>
      <c r="K81" s="49" t="s">
        <v>93</v>
      </c>
      <c r="L81" s="50" t="n">
        <v>5660</v>
      </c>
      <c r="M81" s="51" t="n">
        <v>372160.75</v>
      </c>
      <c r="N81" s="51" t="n">
        <f aca="false">E81*M81</f>
        <v>372160.75</v>
      </c>
      <c r="O81" s="50" t="n">
        <v>6777</v>
      </c>
      <c r="P81" s="52" t="n">
        <v>0.83</v>
      </c>
      <c r="Q81" s="53" t="n">
        <v>25</v>
      </c>
      <c r="R81" s="53" t="n">
        <v>135</v>
      </c>
      <c r="S81" s="53" t="n">
        <v>65.75</v>
      </c>
    </row>
    <row r="82" customFormat="false" ht="15" hidden="false" customHeight="true" outlineLevel="0" collapsed="false">
      <c r="A82" s="40" t="n">
        <v>45286</v>
      </c>
      <c r="B82" s="41" t="n">
        <f aca="false">YEAR(A82)</f>
        <v>2023</v>
      </c>
      <c r="C82" s="42" t="str">
        <f aca="false">"Q"&amp;ROUNDUP(MONTH(A82)/3,0)</f>
        <v>Q4</v>
      </c>
      <c r="D82" s="42" t="str">
        <f aca="false">B82&amp;" Q"&amp;ROUNDUP(MONTH(A82)/3,0)</f>
        <v>2023 Q4</v>
      </c>
      <c r="E82" s="42" t="n">
        <v>1</v>
      </c>
      <c r="F82" s="42" t="s">
        <v>88</v>
      </c>
      <c r="G82" s="42"/>
      <c r="H82" s="42" t="s">
        <v>154</v>
      </c>
      <c r="I82" s="42" t="s">
        <v>120</v>
      </c>
      <c r="J82" s="42" t="s">
        <v>120</v>
      </c>
      <c r="K82" s="42" t="s">
        <v>93</v>
      </c>
      <c r="L82" s="43" t="n">
        <v>15722</v>
      </c>
      <c r="M82" s="44" t="n">
        <v>1134966</v>
      </c>
      <c r="N82" s="44" t="n">
        <f aca="false">E82*M82</f>
        <v>1134966</v>
      </c>
      <c r="O82" s="43" t="n">
        <v>15722</v>
      </c>
      <c r="P82" s="45" t="n">
        <v>1</v>
      </c>
      <c r="Q82" s="46" t="n">
        <v>32</v>
      </c>
      <c r="R82" s="46" t="n">
        <v>307</v>
      </c>
      <c r="S82" s="46" t="n">
        <v>72.19</v>
      </c>
    </row>
    <row r="83" customFormat="false" ht="15" hidden="false" customHeight="true" outlineLevel="0" collapsed="false">
      <c r="A83" s="47" t="n">
        <v>45287</v>
      </c>
      <c r="B83" s="48" t="n">
        <f aca="false">YEAR(A83)</f>
        <v>2023</v>
      </c>
      <c r="C83" s="49" t="str">
        <f aca="false">"Q"&amp;ROUNDUP(MONTH(A83)/3,0)</f>
        <v>Q4</v>
      </c>
      <c r="D83" s="49" t="str">
        <f aca="false">B83&amp;" Q"&amp;ROUNDUP(MONTH(A83)/3,0)</f>
        <v>2023 Q4</v>
      </c>
      <c r="E83" s="49" t="n">
        <v>1</v>
      </c>
      <c r="F83" s="49" t="s">
        <v>88</v>
      </c>
      <c r="G83" s="49" t="s">
        <v>274</v>
      </c>
      <c r="H83" s="49" t="s">
        <v>145</v>
      </c>
      <c r="I83" s="49" t="s">
        <v>146</v>
      </c>
      <c r="J83" s="49" t="s">
        <v>147</v>
      </c>
      <c r="K83" s="49" t="s">
        <v>93</v>
      </c>
      <c r="L83" s="50" t="n">
        <v>9109</v>
      </c>
      <c r="M83" s="51" t="n">
        <v>666243</v>
      </c>
      <c r="N83" s="51" t="n">
        <f aca="false">E83*M83</f>
        <v>666243</v>
      </c>
      <c r="O83" s="50" t="n">
        <v>9788</v>
      </c>
      <c r="P83" s="52" t="n">
        <v>0.93</v>
      </c>
      <c r="Q83" s="53" t="n">
        <v>20</v>
      </c>
      <c r="R83" s="53" t="n">
        <v>160</v>
      </c>
      <c r="S83" s="53" t="n">
        <v>73.14</v>
      </c>
    </row>
    <row r="84" customFormat="false" ht="15" hidden="false" customHeight="true" outlineLevel="0" collapsed="false">
      <c r="A84" s="40" t="n">
        <v>45287</v>
      </c>
      <c r="B84" s="41" t="n">
        <f aca="false">YEAR(A84)</f>
        <v>2023</v>
      </c>
      <c r="C84" s="42" t="str">
        <f aca="false">"Q"&amp;ROUNDUP(MONTH(A84)/3,0)</f>
        <v>Q4</v>
      </c>
      <c r="D84" s="42" t="str">
        <f aca="false">B84&amp;" Q"&amp;ROUNDUP(MONTH(A84)/3,0)</f>
        <v>2023 Q4</v>
      </c>
      <c r="E84" s="42" t="n">
        <v>1</v>
      </c>
      <c r="F84" s="42" t="s">
        <v>88</v>
      </c>
      <c r="G84" s="42"/>
      <c r="H84" s="42" t="s">
        <v>101</v>
      </c>
      <c r="I84" s="42" t="s">
        <v>102</v>
      </c>
      <c r="J84" s="42" t="s">
        <v>103</v>
      </c>
      <c r="K84" s="42" t="s">
        <v>93</v>
      </c>
      <c r="L84" s="43" t="n">
        <v>7779</v>
      </c>
      <c r="M84" s="44" t="n">
        <v>516999</v>
      </c>
      <c r="N84" s="44" t="n">
        <f aca="false">E84*M84</f>
        <v>516999</v>
      </c>
      <c r="O84" s="43" t="n">
        <v>14329</v>
      </c>
      <c r="P84" s="45" t="n">
        <v>0.54</v>
      </c>
      <c r="Q84" s="46" t="n">
        <v>66.46</v>
      </c>
      <c r="R84" s="46" t="n">
        <v>66.46</v>
      </c>
      <c r="S84" s="46" t="n">
        <v>66.46</v>
      </c>
    </row>
    <row r="85" customFormat="false" ht="15" hidden="false" customHeight="true" outlineLevel="0" collapsed="false">
      <c r="A85" s="47" t="n">
        <v>45289</v>
      </c>
      <c r="B85" s="48" t="n">
        <f aca="false">YEAR(A85)</f>
        <v>2023</v>
      </c>
      <c r="C85" s="49" t="str">
        <f aca="false">"Q"&amp;ROUNDUP(MONTH(A85)/3,0)</f>
        <v>Q4</v>
      </c>
      <c r="D85" s="49" t="str">
        <f aca="false">B85&amp;" Q"&amp;ROUNDUP(MONTH(A85)/3,0)</f>
        <v>2023 Q4</v>
      </c>
      <c r="E85" s="49" t="n">
        <v>1</v>
      </c>
      <c r="F85" s="49" t="s">
        <v>88</v>
      </c>
      <c r="G85" s="49" t="s">
        <v>275</v>
      </c>
      <c r="H85" s="49" t="s">
        <v>152</v>
      </c>
      <c r="I85" s="49" t="s">
        <v>72</v>
      </c>
      <c r="J85" s="49" t="s">
        <v>153</v>
      </c>
      <c r="K85" s="49" t="s">
        <v>93</v>
      </c>
      <c r="L85" s="50" t="n">
        <v>6808</v>
      </c>
      <c r="M85" s="51" t="n">
        <v>366122</v>
      </c>
      <c r="N85" s="51" t="n">
        <f aca="false">E85*M85</f>
        <v>366122</v>
      </c>
      <c r="O85" s="50" t="n">
        <v>6808</v>
      </c>
      <c r="P85" s="52" t="n">
        <v>1</v>
      </c>
      <c r="Q85" s="53" t="n">
        <v>25.8</v>
      </c>
      <c r="R85" s="53" t="n">
        <v>167.5</v>
      </c>
      <c r="S85" s="53" t="n">
        <v>53.78</v>
      </c>
    </row>
    <row r="86" customFormat="false" ht="15" hidden="false" customHeight="true" outlineLevel="0" collapsed="false">
      <c r="A86" s="40" t="n">
        <v>45292</v>
      </c>
      <c r="B86" s="41" t="n">
        <f aca="false">YEAR(A86)</f>
        <v>2024</v>
      </c>
      <c r="C86" s="42" t="str">
        <f aca="false">"Q"&amp;ROUNDUP(MONTH(A86)/3,0)</f>
        <v>Q1</v>
      </c>
      <c r="D86" s="42" t="str">
        <f aca="false">B86&amp;" Q"&amp;ROUNDUP(MONTH(A86)/3,0)</f>
        <v>2024 Q1</v>
      </c>
      <c r="E86" s="42" t="n">
        <v>1</v>
      </c>
      <c r="F86" s="42" t="s">
        <v>88</v>
      </c>
      <c r="G86" s="42"/>
      <c r="H86" s="42" t="s">
        <v>276</v>
      </c>
      <c r="I86" s="42" t="s">
        <v>277</v>
      </c>
      <c r="J86" s="42" t="s">
        <v>165</v>
      </c>
      <c r="K86" s="42" t="s">
        <v>93</v>
      </c>
      <c r="L86" s="43" t="n">
        <v>9526</v>
      </c>
      <c r="M86" s="44" t="n">
        <v>449625</v>
      </c>
      <c r="N86" s="44" t="n">
        <f aca="false">E86*M86</f>
        <v>449625</v>
      </c>
      <c r="O86" s="43" t="n">
        <v>10404</v>
      </c>
      <c r="P86" s="45" t="n">
        <v>0.91</v>
      </c>
      <c r="Q86" s="46" t="n">
        <v>20</v>
      </c>
      <c r="R86" s="46" t="n">
        <v>110</v>
      </c>
      <c r="S86" s="46" t="n">
        <v>47.2</v>
      </c>
    </row>
    <row r="87" customFormat="false" ht="15" hidden="false" customHeight="true" outlineLevel="0" collapsed="false">
      <c r="A87" s="47" t="n">
        <v>45297</v>
      </c>
      <c r="B87" s="48" t="n">
        <f aca="false">YEAR(A87)</f>
        <v>2024</v>
      </c>
      <c r="C87" s="49" t="str">
        <f aca="false">"Q"&amp;ROUNDUP(MONTH(A87)/3,0)</f>
        <v>Q1</v>
      </c>
      <c r="D87" s="49" t="str">
        <f aca="false">B87&amp;" Q"&amp;ROUNDUP(MONTH(A87)/3,0)</f>
        <v>2024 Q1</v>
      </c>
      <c r="E87" s="49" t="n">
        <v>1</v>
      </c>
      <c r="F87" s="49" t="s">
        <v>88</v>
      </c>
      <c r="G87" s="49" t="s">
        <v>278</v>
      </c>
      <c r="H87" s="49" t="s">
        <v>279</v>
      </c>
      <c r="I87" s="49" t="s">
        <v>280</v>
      </c>
      <c r="J87" s="49" t="s">
        <v>139</v>
      </c>
      <c r="K87" s="49" t="s">
        <v>93</v>
      </c>
      <c r="L87" s="50" t="n">
        <v>5309</v>
      </c>
      <c r="M87" s="51" t="n">
        <v>332595</v>
      </c>
      <c r="N87" s="51" t="n">
        <f aca="false">E87*M87</f>
        <v>332595</v>
      </c>
      <c r="O87" s="50" t="n">
        <v>10724</v>
      </c>
      <c r="P87" s="52" t="n">
        <v>0.49</v>
      </c>
      <c r="Q87" s="53" t="n">
        <v>20</v>
      </c>
      <c r="R87" s="53" t="n">
        <v>115</v>
      </c>
      <c r="S87" s="53" t="n">
        <v>62.65</v>
      </c>
    </row>
    <row r="88" customFormat="false" ht="15" hidden="false" customHeight="true" outlineLevel="0" collapsed="false">
      <c r="A88" s="40" t="n">
        <v>45299</v>
      </c>
      <c r="B88" s="41" t="n">
        <f aca="false">YEAR(A88)</f>
        <v>2024</v>
      </c>
      <c r="C88" s="42" t="str">
        <f aca="false">"Q"&amp;ROUNDUP(MONTH(A88)/3,0)</f>
        <v>Q1</v>
      </c>
      <c r="D88" s="42" t="str">
        <f aca="false">B88&amp;" Q"&amp;ROUNDUP(MONTH(A88)/3,0)</f>
        <v>2024 Q1</v>
      </c>
      <c r="E88" s="42" t="n">
        <v>1</v>
      </c>
      <c r="F88" s="42" t="s">
        <v>88</v>
      </c>
      <c r="G88" s="42" t="s">
        <v>281</v>
      </c>
      <c r="H88" s="42" t="s">
        <v>170</v>
      </c>
      <c r="I88" s="42" t="s">
        <v>171</v>
      </c>
      <c r="J88" s="42" t="s">
        <v>172</v>
      </c>
      <c r="K88" s="42" t="s">
        <v>93</v>
      </c>
      <c r="L88" s="43" t="n">
        <v>9422</v>
      </c>
      <c r="M88" s="44" t="n">
        <v>527563</v>
      </c>
      <c r="N88" s="44" t="n">
        <f aca="false">E88*M88</f>
        <v>527563</v>
      </c>
      <c r="O88" s="43" t="n">
        <v>12188</v>
      </c>
      <c r="P88" s="45" t="n">
        <v>0.77</v>
      </c>
      <c r="Q88" s="46" t="n">
        <v>35</v>
      </c>
      <c r="R88" s="46" t="n">
        <v>125</v>
      </c>
      <c r="S88" s="46" t="n">
        <v>55.99</v>
      </c>
    </row>
    <row r="89" customFormat="false" ht="15" hidden="false" customHeight="true" outlineLevel="0" collapsed="false">
      <c r="A89" s="47" t="n">
        <v>45306</v>
      </c>
      <c r="B89" s="48" t="n">
        <f aca="false">YEAR(A89)</f>
        <v>2024</v>
      </c>
      <c r="C89" s="49" t="str">
        <f aca="false">"Q"&amp;ROUNDUP(MONTH(A89)/3,0)</f>
        <v>Q1</v>
      </c>
      <c r="D89" s="49" t="str">
        <f aca="false">B89&amp;" Q"&amp;ROUNDUP(MONTH(A89)/3,0)</f>
        <v>2024 Q1</v>
      </c>
      <c r="E89" s="49" t="n">
        <v>1</v>
      </c>
      <c r="F89" s="49" t="s">
        <v>88</v>
      </c>
      <c r="G89" s="49"/>
      <c r="H89" s="49" t="s">
        <v>177</v>
      </c>
      <c r="I89" s="49" t="s">
        <v>178</v>
      </c>
      <c r="J89" s="49" t="s">
        <v>179</v>
      </c>
      <c r="K89" s="49" t="s">
        <v>93</v>
      </c>
      <c r="L89" s="50" t="n">
        <v>6793</v>
      </c>
      <c r="M89" s="51" t="n">
        <v>373267</v>
      </c>
      <c r="N89" s="51" t="n">
        <f aca="false">E89*M89</f>
        <v>373267</v>
      </c>
      <c r="O89" s="50" t="n">
        <v>10000</v>
      </c>
      <c r="P89" s="52" t="n">
        <v>0.67</v>
      </c>
      <c r="Q89" s="53" t="n">
        <v>24</v>
      </c>
      <c r="R89" s="53" t="n">
        <v>139</v>
      </c>
      <c r="S89" s="53" t="n">
        <v>54.95</v>
      </c>
    </row>
    <row r="90" customFormat="false" ht="15" hidden="false" customHeight="true" outlineLevel="0" collapsed="false">
      <c r="A90" s="40" t="n">
        <v>45310</v>
      </c>
      <c r="B90" s="41" t="n">
        <f aca="false">YEAR(A90)</f>
        <v>2024</v>
      </c>
      <c r="C90" s="42" t="str">
        <f aca="false">"Q"&amp;ROUNDUP(MONTH(A90)/3,0)</f>
        <v>Q1</v>
      </c>
      <c r="D90" s="42" t="str">
        <f aca="false">B90&amp;" Q"&amp;ROUNDUP(MONTH(A90)/3,0)</f>
        <v>2024 Q1</v>
      </c>
      <c r="E90" s="42" t="n">
        <v>1</v>
      </c>
      <c r="F90" s="42" t="s">
        <v>88</v>
      </c>
      <c r="G90" s="42"/>
      <c r="H90" s="42" t="s">
        <v>65</v>
      </c>
      <c r="I90" s="42" t="s">
        <v>66</v>
      </c>
      <c r="J90" s="42" t="s">
        <v>208</v>
      </c>
      <c r="K90" s="42" t="s">
        <v>93</v>
      </c>
      <c r="L90" s="43" t="n">
        <v>12342</v>
      </c>
      <c r="M90" s="44" t="n">
        <v>584840</v>
      </c>
      <c r="N90" s="44" t="n">
        <f aca="false">E90*M90</f>
        <v>584840</v>
      </c>
      <c r="O90" s="43" t="n">
        <v>12342</v>
      </c>
      <c r="P90" s="45" t="n">
        <v>1</v>
      </c>
      <c r="Q90" s="46" t="n">
        <v>20</v>
      </c>
      <c r="R90" s="46" t="n">
        <v>150</v>
      </c>
      <c r="S90" s="46" t="n">
        <v>47.39</v>
      </c>
    </row>
    <row r="91" customFormat="false" ht="15" hidden="false" customHeight="true" outlineLevel="0" collapsed="false">
      <c r="A91" s="47" t="n">
        <v>45317</v>
      </c>
      <c r="B91" s="48" t="n">
        <f aca="false">YEAR(A91)</f>
        <v>2024</v>
      </c>
      <c r="C91" s="49" t="str">
        <f aca="false">"Q"&amp;ROUNDUP(MONTH(A91)/3,0)</f>
        <v>Q1</v>
      </c>
      <c r="D91" s="49" t="str">
        <f aca="false">B91&amp;" Q"&amp;ROUNDUP(MONTH(A91)/3,0)</f>
        <v>2024 Q1</v>
      </c>
      <c r="E91" s="49" t="n">
        <v>1</v>
      </c>
      <c r="F91" s="49" t="s">
        <v>88</v>
      </c>
      <c r="G91" s="49"/>
      <c r="H91" s="49" t="s">
        <v>282</v>
      </c>
      <c r="I91" s="49" t="s">
        <v>283</v>
      </c>
      <c r="J91" s="49" t="s">
        <v>113</v>
      </c>
      <c r="K91" s="49" t="s">
        <v>93</v>
      </c>
      <c r="L91" s="50" t="n">
        <v>9484</v>
      </c>
      <c r="M91" s="51" t="n">
        <v>572494</v>
      </c>
      <c r="N91" s="51" t="n">
        <f aca="false">E91*M91</f>
        <v>572494</v>
      </c>
      <c r="O91" s="50" t="n">
        <v>9484</v>
      </c>
      <c r="P91" s="52" t="n">
        <v>1</v>
      </c>
      <c r="Q91" s="53" t="n">
        <v>20</v>
      </c>
      <c r="R91" s="53" t="n">
        <v>150</v>
      </c>
      <c r="S91" s="53" t="n">
        <v>60.36</v>
      </c>
    </row>
    <row r="92" customFormat="false" ht="15" hidden="false" customHeight="true" outlineLevel="0" collapsed="false">
      <c r="A92" s="40" t="n">
        <v>45320</v>
      </c>
      <c r="B92" s="41" t="n">
        <f aca="false">YEAR(A92)</f>
        <v>2024</v>
      </c>
      <c r="C92" s="42" t="str">
        <f aca="false">"Q"&amp;ROUNDUP(MONTH(A92)/3,0)</f>
        <v>Q1</v>
      </c>
      <c r="D92" s="42" t="str">
        <f aca="false">B92&amp;" Q"&amp;ROUNDUP(MONTH(A92)/3,0)</f>
        <v>2024 Q1</v>
      </c>
      <c r="E92" s="42" t="n">
        <v>1</v>
      </c>
      <c r="F92" s="42" t="s">
        <v>88</v>
      </c>
      <c r="G92" s="42"/>
      <c r="H92" s="42" t="s">
        <v>284</v>
      </c>
      <c r="I92" s="42" t="s">
        <v>285</v>
      </c>
      <c r="J92" s="42" t="s">
        <v>113</v>
      </c>
      <c r="K92" s="42" t="s">
        <v>93</v>
      </c>
      <c r="L92" s="43" t="n">
        <v>11843</v>
      </c>
      <c r="M92" s="44" t="n">
        <v>613031.5</v>
      </c>
      <c r="N92" s="44" t="n">
        <f aca="false">E92*M92</f>
        <v>613031.5</v>
      </c>
      <c r="O92" s="43" t="n">
        <v>11843</v>
      </c>
      <c r="P92" s="45" t="n">
        <v>1</v>
      </c>
      <c r="Q92" s="46" t="n">
        <v>20</v>
      </c>
      <c r="R92" s="46" t="n">
        <v>150</v>
      </c>
      <c r="S92" s="46" t="n">
        <v>51.76</v>
      </c>
    </row>
    <row r="93" customFormat="false" ht="15" hidden="false" customHeight="true" outlineLevel="0" collapsed="false">
      <c r="A93" s="47" t="n">
        <v>45326</v>
      </c>
      <c r="B93" s="48" t="n">
        <f aca="false">YEAR(A93)</f>
        <v>2024</v>
      </c>
      <c r="C93" s="49" t="str">
        <f aca="false">"Q"&amp;ROUNDUP(MONTH(A93)/3,0)</f>
        <v>Q1</v>
      </c>
      <c r="D93" s="49" t="str">
        <f aca="false">B93&amp;" Q"&amp;ROUNDUP(MONTH(A93)/3,0)</f>
        <v>2024 Q1</v>
      </c>
      <c r="E93" s="49" t="n">
        <v>1</v>
      </c>
      <c r="F93" s="49" t="s">
        <v>286</v>
      </c>
      <c r="G93" s="49"/>
      <c r="H93" s="49" t="s">
        <v>287</v>
      </c>
      <c r="I93" s="49" t="s">
        <v>288</v>
      </c>
      <c r="J93" s="49" t="s">
        <v>92</v>
      </c>
      <c r="K93" s="49" t="s">
        <v>93</v>
      </c>
      <c r="L93" s="50" t="n">
        <v>3737</v>
      </c>
      <c r="M93" s="51" t="n">
        <v>190099.5</v>
      </c>
      <c r="N93" s="51" t="n">
        <f aca="false">E93*M93</f>
        <v>190099.5</v>
      </c>
      <c r="O93" s="50" t="n">
        <v>4206</v>
      </c>
      <c r="P93" s="52" t="n">
        <v>0.88</v>
      </c>
      <c r="Q93" s="53" t="n">
        <v>23</v>
      </c>
      <c r="R93" s="53" t="n">
        <v>163</v>
      </c>
      <c r="S93" s="53" t="n">
        <v>50.87</v>
      </c>
    </row>
    <row r="94" customFormat="false" ht="15" hidden="false" customHeight="true" outlineLevel="0" collapsed="false">
      <c r="A94" s="40" t="n">
        <v>45331</v>
      </c>
      <c r="B94" s="41" t="n">
        <f aca="false">YEAR(A94)</f>
        <v>2024</v>
      </c>
      <c r="C94" s="42" t="str">
        <f aca="false">"Q"&amp;ROUNDUP(MONTH(A94)/3,0)</f>
        <v>Q1</v>
      </c>
      <c r="D94" s="42" t="str">
        <f aca="false">B94&amp;" Q"&amp;ROUNDUP(MONTH(A94)/3,0)</f>
        <v>2024 Q1</v>
      </c>
      <c r="E94" s="42" t="n">
        <v>1</v>
      </c>
      <c r="F94" s="42" t="s">
        <v>88</v>
      </c>
      <c r="G94" s="42"/>
      <c r="H94" s="42" t="s">
        <v>57</v>
      </c>
      <c r="I94" s="42" t="s">
        <v>58</v>
      </c>
      <c r="J94" s="42" t="s">
        <v>109</v>
      </c>
      <c r="K94" s="42" t="s">
        <v>93</v>
      </c>
      <c r="L94" s="43" t="n">
        <v>12219</v>
      </c>
      <c r="M94" s="44" t="n">
        <v>578726.75</v>
      </c>
      <c r="N94" s="44" t="n">
        <f aca="false">E94*M94</f>
        <v>578726.75</v>
      </c>
      <c r="O94" s="43" t="n">
        <v>12810</v>
      </c>
      <c r="P94" s="45" t="n">
        <v>0.95</v>
      </c>
      <c r="Q94" s="46" t="n">
        <v>23.5</v>
      </c>
      <c r="R94" s="46" t="n">
        <v>153.5</v>
      </c>
      <c r="S94" s="46" t="n">
        <v>47.36</v>
      </c>
    </row>
    <row r="95" customFormat="false" ht="15" hidden="false" customHeight="true" outlineLevel="0" collapsed="false">
      <c r="A95" s="47" t="n">
        <v>45334</v>
      </c>
      <c r="B95" s="48" t="n">
        <f aca="false">YEAR(A95)</f>
        <v>2024</v>
      </c>
      <c r="C95" s="49" t="str">
        <f aca="false">"Q"&amp;ROUNDUP(MONTH(A95)/3,0)</f>
        <v>Q1</v>
      </c>
      <c r="D95" s="49" t="str">
        <f aca="false">B95&amp;" Q"&amp;ROUNDUP(MONTH(A95)/3,0)</f>
        <v>2024 Q1</v>
      </c>
      <c r="E95" s="49" t="n">
        <v>1</v>
      </c>
      <c r="F95" s="49" t="s">
        <v>88</v>
      </c>
      <c r="G95" s="49" t="s">
        <v>289</v>
      </c>
      <c r="H95" s="49" t="s">
        <v>194</v>
      </c>
      <c r="I95" s="49" t="s">
        <v>195</v>
      </c>
      <c r="J95" s="49" t="s">
        <v>196</v>
      </c>
      <c r="K95" s="49" t="s">
        <v>93</v>
      </c>
      <c r="L95" s="50" t="n">
        <v>9855</v>
      </c>
      <c r="M95" s="51" t="n">
        <v>578865.75</v>
      </c>
      <c r="N95" s="51" t="n">
        <f aca="false">E95*M95</f>
        <v>578865.75</v>
      </c>
      <c r="O95" s="50" t="n">
        <v>14903</v>
      </c>
      <c r="P95" s="52" t="n">
        <v>0.66</v>
      </c>
      <c r="Q95" s="53" t="n">
        <v>25</v>
      </c>
      <c r="R95" s="53" t="n">
        <v>25</v>
      </c>
      <c r="S95" s="53" t="n">
        <v>58.74</v>
      </c>
    </row>
    <row r="96" customFormat="false" ht="15" hidden="false" customHeight="true" outlineLevel="0" collapsed="false">
      <c r="A96" s="40" t="n">
        <v>45339</v>
      </c>
      <c r="B96" s="41" t="n">
        <f aca="false">YEAR(A96)</f>
        <v>2024</v>
      </c>
      <c r="C96" s="42" t="str">
        <f aca="false">"Q"&amp;ROUNDUP(MONTH(A96)/3,0)</f>
        <v>Q1</v>
      </c>
      <c r="D96" s="42" t="str">
        <f aca="false">B96&amp;" Q"&amp;ROUNDUP(MONTH(A96)/3,0)</f>
        <v>2024 Q1</v>
      </c>
      <c r="E96" s="42" t="n">
        <v>1</v>
      </c>
      <c r="F96" s="42" t="s">
        <v>88</v>
      </c>
      <c r="G96" s="42"/>
      <c r="H96" s="42" t="s">
        <v>290</v>
      </c>
      <c r="I96" s="42" t="s">
        <v>291</v>
      </c>
      <c r="J96" s="42" t="s">
        <v>165</v>
      </c>
      <c r="K96" s="42" t="s">
        <v>93</v>
      </c>
      <c r="L96" s="43" t="n">
        <v>7270</v>
      </c>
      <c r="M96" s="44" t="n">
        <v>457936.5</v>
      </c>
      <c r="N96" s="44" t="n">
        <f aca="false">E96*M96</f>
        <v>457936.5</v>
      </c>
      <c r="O96" s="43" t="n">
        <v>7700</v>
      </c>
      <c r="P96" s="45" t="n">
        <v>0.94</v>
      </c>
      <c r="Q96" s="46" t="n">
        <v>37.14</v>
      </c>
      <c r="R96" s="46" t="n">
        <v>189.52</v>
      </c>
      <c r="S96" s="46" t="n">
        <v>62.99</v>
      </c>
    </row>
    <row r="97" customFormat="false" ht="15" hidden="false" customHeight="true" outlineLevel="0" collapsed="false">
      <c r="A97" s="47" t="n">
        <v>45340</v>
      </c>
      <c r="B97" s="48" t="n">
        <f aca="false">YEAR(A97)</f>
        <v>2024</v>
      </c>
      <c r="C97" s="49" t="str">
        <f aca="false">"Q"&amp;ROUNDUP(MONTH(A97)/3,0)</f>
        <v>Q1</v>
      </c>
      <c r="D97" s="49" t="str">
        <f aca="false">B97&amp;" Q"&amp;ROUNDUP(MONTH(A97)/3,0)</f>
        <v>2024 Q1</v>
      </c>
      <c r="E97" s="49" t="n">
        <v>1</v>
      </c>
      <c r="F97" s="49" t="s">
        <v>88</v>
      </c>
      <c r="G97" s="49"/>
      <c r="H97" s="49" t="s">
        <v>240</v>
      </c>
      <c r="I97" s="49" t="s">
        <v>241</v>
      </c>
      <c r="J97" s="49" t="s">
        <v>165</v>
      </c>
      <c r="K97" s="49" t="s">
        <v>93</v>
      </c>
      <c r="L97" s="50" t="n">
        <v>9367</v>
      </c>
      <c r="M97" s="51" t="n">
        <v>425845</v>
      </c>
      <c r="N97" s="51" t="n">
        <f aca="false">E97*M97</f>
        <v>425845</v>
      </c>
      <c r="O97" s="50" t="n">
        <v>9543</v>
      </c>
      <c r="P97" s="52" t="n">
        <v>0.98</v>
      </c>
      <c r="Q97" s="53" t="n">
        <v>20</v>
      </c>
      <c r="R97" s="53" t="n">
        <v>100</v>
      </c>
      <c r="S97" s="53" t="n">
        <v>45.46</v>
      </c>
    </row>
    <row r="98" customFormat="false" ht="15" hidden="false" customHeight="true" outlineLevel="0" collapsed="false">
      <c r="A98" s="40" t="n">
        <v>45341</v>
      </c>
      <c r="B98" s="41" t="n">
        <f aca="false">YEAR(A98)</f>
        <v>2024</v>
      </c>
      <c r="C98" s="42" t="str">
        <f aca="false">"Q"&amp;ROUNDUP(MONTH(A98)/3,0)</f>
        <v>Q1</v>
      </c>
      <c r="D98" s="42" t="str">
        <f aca="false">B98&amp;" Q"&amp;ROUNDUP(MONTH(A98)/3,0)</f>
        <v>2024 Q1</v>
      </c>
      <c r="E98" s="42" t="n">
        <v>1</v>
      </c>
      <c r="F98" s="42" t="s">
        <v>88</v>
      </c>
      <c r="G98" s="42"/>
      <c r="H98" s="42" t="s">
        <v>292</v>
      </c>
      <c r="I98" s="42" t="s">
        <v>293</v>
      </c>
      <c r="J98" s="42" t="s">
        <v>165</v>
      </c>
      <c r="K98" s="42" t="s">
        <v>93</v>
      </c>
      <c r="L98" s="43" t="n">
        <v>10204</v>
      </c>
      <c r="M98" s="44" t="n">
        <v>753167.6</v>
      </c>
      <c r="N98" s="44" t="n">
        <f aca="false">E98*M98</f>
        <v>753167.6</v>
      </c>
      <c r="O98" s="43" t="n">
        <v>10249</v>
      </c>
      <c r="P98" s="45" t="n">
        <v>0.99</v>
      </c>
      <c r="Q98" s="46" t="n">
        <v>30</v>
      </c>
      <c r="R98" s="46" t="n">
        <v>155</v>
      </c>
      <c r="S98" s="46" t="n">
        <v>73.81</v>
      </c>
    </row>
    <row r="99" customFormat="false" ht="15" hidden="false" customHeight="true" outlineLevel="0" collapsed="false">
      <c r="A99" s="47" t="n">
        <v>45352</v>
      </c>
      <c r="B99" s="48" t="n">
        <f aca="false">YEAR(A99)</f>
        <v>2024</v>
      </c>
      <c r="C99" s="49" t="str">
        <f aca="false">"Q"&amp;ROUNDUP(MONTH(A99)/3,0)</f>
        <v>Q1</v>
      </c>
      <c r="D99" s="49" t="str">
        <f aca="false">B99&amp;" Q"&amp;ROUNDUP(MONTH(A99)/3,0)</f>
        <v>2024 Q1</v>
      </c>
      <c r="E99" s="49" t="n">
        <v>1</v>
      </c>
      <c r="F99" s="49" t="s">
        <v>88</v>
      </c>
      <c r="G99" s="49"/>
      <c r="H99" s="49" t="s">
        <v>294</v>
      </c>
      <c r="I99" s="49" t="s">
        <v>295</v>
      </c>
      <c r="J99" s="49" t="s">
        <v>162</v>
      </c>
      <c r="K99" s="49" t="s">
        <v>93</v>
      </c>
      <c r="L99" s="50" t="n">
        <v>11565</v>
      </c>
      <c r="M99" s="51" t="n">
        <v>607750</v>
      </c>
      <c r="N99" s="51" t="n">
        <f aca="false">E99*M99</f>
        <v>607750</v>
      </c>
      <c r="O99" s="50" t="n">
        <v>12171</v>
      </c>
      <c r="P99" s="52" t="n">
        <v>0.95</v>
      </c>
      <c r="Q99" s="53" t="n">
        <v>25</v>
      </c>
      <c r="R99" s="53" t="n">
        <v>225</v>
      </c>
      <c r="S99" s="53" t="n">
        <v>52.55</v>
      </c>
    </row>
    <row r="100" customFormat="false" ht="15" hidden="false" customHeight="true" outlineLevel="0" collapsed="false">
      <c r="A100" s="40" t="n">
        <v>45353</v>
      </c>
      <c r="B100" s="41" t="n">
        <f aca="false">YEAR(A100)</f>
        <v>2024</v>
      </c>
      <c r="C100" s="42" t="str">
        <f aca="false">"Q"&amp;ROUNDUP(MONTH(A100)/3,0)</f>
        <v>Q1</v>
      </c>
      <c r="D100" s="42" t="str">
        <f aca="false">B100&amp;" Q"&amp;ROUNDUP(MONTH(A100)/3,0)</f>
        <v>2024 Q1</v>
      </c>
      <c r="E100" s="42" t="n">
        <v>1</v>
      </c>
      <c r="F100" s="42" t="s">
        <v>88</v>
      </c>
      <c r="G100" s="42"/>
      <c r="H100" s="42" t="s">
        <v>296</v>
      </c>
      <c r="I100" s="42" t="s">
        <v>297</v>
      </c>
      <c r="J100" s="42" t="s">
        <v>165</v>
      </c>
      <c r="K100" s="42" t="s">
        <v>93</v>
      </c>
      <c r="L100" s="43" t="n">
        <v>7062</v>
      </c>
      <c r="M100" s="44" t="n">
        <v>426503.75</v>
      </c>
      <c r="N100" s="44" t="n">
        <f aca="false">E100*M100</f>
        <v>426503.75</v>
      </c>
      <c r="O100" s="43" t="n">
        <v>9006</v>
      </c>
      <c r="P100" s="45" t="n">
        <v>0.78</v>
      </c>
      <c r="Q100" s="46" t="n">
        <v>26</v>
      </c>
      <c r="R100" s="46" t="n">
        <v>131</v>
      </c>
      <c r="S100" s="46" t="n">
        <v>60.39</v>
      </c>
    </row>
    <row r="101" customFormat="false" ht="15" hidden="false" customHeight="true" outlineLevel="0" collapsed="false">
      <c r="A101" s="47" t="n">
        <v>45354</v>
      </c>
      <c r="B101" s="48" t="n">
        <f aca="false">YEAR(A101)</f>
        <v>2024</v>
      </c>
      <c r="C101" s="49" t="str">
        <f aca="false">"Q"&amp;ROUNDUP(MONTH(A101)/3,0)</f>
        <v>Q1</v>
      </c>
      <c r="D101" s="49" t="str">
        <f aca="false">B101&amp;" Q"&amp;ROUNDUP(MONTH(A101)/3,0)</f>
        <v>2024 Q1</v>
      </c>
      <c r="E101" s="49" t="n">
        <v>1</v>
      </c>
      <c r="F101" s="49" t="s">
        <v>88</v>
      </c>
      <c r="G101" s="49"/>
      <c r="H101" s="49" t="s">
        <v>243</v>
      </c>
      <c r="I101" s="49" t="s">
        <v>244</v>
      </c>
      <c r="J101" s="49" t="s">
        <v>165</v>
      </c>
      <c r="K101" s="49" t="s">
        <v>93</v>
      </c>
      <c r="L101" s="50" t="n">
        <v>5226</v>
      </c>
      <c r="M101" s="51" t="n">
        <v>298892</v>
      </c>
      <c r="N101" s="51" t="n">
        <f aca="false">E101*M101</f>
        <v>298892</v>
      </c>
      <c r="O101" s="50" t="n">
        <v>6114</v>
      </c>
      <c r="P101" s="52" t="n">
        <v>0.85</v>
      </c>
      <c r="Q101" s="53" t="n">
        <v>20</v>
      </c>
      <c r="R101" s="53" t="n">
        <v>125</v>
      </c>
      <c r="S101" s="53" t="n">
        <v>57.19</v>
      </c>
    </row>
    <row r="102" customFormat="false" ht="15" hidden="false" customHeight="true" outlineLevel="0" collapsed="false">
      <c r="A102" s="40" t="n">
        <v>45359</v>
      </c>
      <c r="B102" s="41" t="n">
        <f aca="false">YEAR(A102)</f>
        <v>2024</v>
      </c>
      <c r="C102" s="42" t="str">
        <f aca="false">"Q"&amp;ROUNDUP(MONTH(A102)/3,0)</f>
        <v>Q1</v>
      </c>
      <c r="D102" s="42" t="str">
        <f aca="false">B102&amp;" Q"&amp;ROUNDUP(MONTH(A102)/3,0)</f>
        <v>2024 Q1</v>
      </c>
      <c r="E102" s="42" t="n">
        <v>1</v>
      </c>
      <c r="F102" s="42" t="s">
        <v>88</v>
      </c>
      <c r="G102" s="42"/>
      <c r="H102" s="42" t="s">
        <v>61</v>
      </c>
      <c r="I102" s="42" t="s">
        <v>62</v>
      </c>
      <c r="J102" s="42" t="s">
        <v>184</v>
      </c>
      <c r="K102" s="42" t="s">
        <v>93</v>
      </c>
      <c r="L102" s="43" t="n">
        <v>12721</v>
      </c>
      <c r="M102" s="44" t="n">
        <v>1025846.04</v>
      </c>
      <c r="N102" s="44" t="n">
        <f aca="false">E102*M102</f>
        <v>1025846.04</v>
      </c>
      <c r="O102" s="43" t="n">
        <v>12721</v>
      </c>
      <c r="P102" s="45" t="n">
        <v>1</v>
      </c>
      <c r="Q102" s="46" t="n">
        <v>20</v>
      </c>
      <c r="R102" s="46" t="n">
        <v>125</v>
      </c>
      <c r="S102" s="46" t="n">
        <v>80.64</v>
      </c>
    </row>
    <row r="103" customFormat="false" ht="15" hidden="false" customHeight="true" outlineLevel="0" collapsed="false">
      <c r="A103" s="47" t="n">
        <v>45376</v>
      </c>
      <c r="B103" s="48" t="n">
        <f aca="false">YEAR(A103)</f>
        <v>2024</v>
      </c>
      <c r="C103" s="49" t="str">
        <f aca="false">"Q"&amp;ROUNDUP(MONTH(A103)/3,0)</f>
        <v>Q1</v>
      </c>
      <c r="D103" s="49" t="str">
        <f aca="false">B103&amp;" Q"&amp;ROUNDUP(MONTH(A103)/3,0)</f>
        <v>2024 Q1</v>
      </c>
      <c r="E103" s="49" t="n">
        <v>1</v>
      </c>
      <c r="F103" s="49" t="s">
        <v>88</v>
      </c>
      <c r="G103" s="49"/>
      <c r="H103" s="49" t="s">
        <v>181</v>
      </c>
      <c r="I103" s="49" t="s">
        <v>182</v>
      </c>
      <c r="J103" s="49" t="s">
        <v>136</v>
      </c>
      <c r="K103" s="49" t="s">
        <v>93</v>
      </c>
      <c r="L103" s="50" t="n">
        <v>15431</v>
      </c>
      <c r="M103" s="51" t="n">
        <v>1035270</v>
      </c>
      <c r="N103" s="51" t="n">
        <f aca="false">E103*M103</f>
        <v>1035270</v>
      </c>
      <c r="O103" s="50" t="n">
        <v>15431</v>
      </c>
      <c r="P103" s="52" t="n">
        <v>1</v>
      </c>
      <c r="Q103" s="53" t="n">
        <v>25</v>
      </c>
      <c r="R103" s="53" t="n">
        <v>200</v>
      </c>
      <c r="S103" s="53" t="n">
        <v>67.09</v>
      </c>
    </row>
    <row r="104" customFormat="false" ht="15" hidden="false" customHeight="true" outlineLevel="0" collapsed="false">
      <c r="A104" s="40" t="n">
        <v>45380</v>
      </c>
      <c r="B104" s="41" t="n">
        <f aca="false">YEAR(A104)</f>
        <v>2024</v>
      </c>
      <c r="C104" s="42" t="str">
        <f aca="false">"Q"&amp;ROUNDUP(MONTH(A104)/3,0)</f>
        <v>Q1</v>
      </c>
      <c r="D104" s="42" t="str">
        <f aca="false">B104&amp;" Q"&amp;ROUNDUP(MONTH(A104)/3,0)</f>
        <v>2024 Q1</v>
      </c>
      <c r="E104" s="42" t="n">
        <v>1</v>
      </c>
      <c r="F104" s="42" t="s">
        <v>88</v>
      </c>
      <c r="G104" s="42" t="s">
        <v>298</v>
      </c>
      <c r="H104" s="42" t="s">
        <v>114</v>
      </c>
      <c r="I104" s="42" t="s">
        <v>115</v>
      </c>
      <c r="J104" s="42" t="s">
        <v>116</v>
      </c>
      <c r="K104" s="42" t="s">
        <v>93</v>
      </c>
      <c r="L104" s="43" t="n">
        <v>6314</v>
      </c>
      <c r="M104" s="44" t="n">
        <v>469019</v>
      </c>
      <c r="N104" s="44" t="n">
        <f aca="false">E104*M104</f>
        <v>469019</v>
      </c>
      <c r="O104" s="43" t="n">
        <v>6314</v>
      </c>
      <c r="P104" s="45" t="n">
        <v>1</v>
      </c>
      <c r="Q104" s="46" t="n">
        <v>30</v>
      </c>
      <c r="R104" s="46" t="n">
        <v>155</v>
      </c>
      <c r="S104" s="46" t="n">
        <v>74.28</v>
      </c>
    </row>
    <row r="105" customFormat="false" ht="15" hidden="false" customHeight="true" outlineLevel="0" collapsed="false">
      <c r="A105" s="47" t="n">
        <v>45381</v>
      </c>
      <c r="B105" s="48" t="n">
        <f aca="false">YEAR(A105)</f>
        <v>2024</v>
      </c>
      <c r="C105" s="49" t="str">
        <f aca="false">"Q"&amp;ROUNDUP(MONTH(A105)/3,0)</f>
        <v>Q1</v>
      </c>
      <c r="D105" s="49" t="str">
        <f aca="false">B105&amp;" Q"&amp;ROUNDUP(MONTH(A105)/3,0)</f>
        <v>2024 Q1</v>
      </c>
      <c r="E105" s="49" t="n">
        <v>1</v>
      </c>
      <c r="F105" s="49" t="s">
        <v>88</v>
      </c>
      <c r="G105" s="49" t="s">
        <v>299</v>
      </c>
      <c r="H105" s="49" t="s">
        <v>190</v>
      </c>
      <c r="I105" s="49" t="s">
        <v>191</v>
      </c>
      <c r="J105" s="49" t="s">
        <v>192</v>
      </c>
      <c r="K105" s="49" t="s">
        <v>93</v>
      </c>
      <c r="L105" s="50" t="n">
        <v>6243</v>
      </c>
      <c r="M105" s="51" t="n">
        <v>420331</v>
      </c>
      <c r="N105" s="51" t="n">
        <f aca="false">E105*M105</f>
        <v>420331</v>
      </c>
      <c r="O105" s="50" t="n">
        <v>6500</v>
      </c>
      <c r="P105" s="52" t="n">
        <v>0.96</v>
      </c>
      <c r="Q105" s="53" t="n">
        <v>30</v>
      </c>
      <c r="R105" s="53" t="n">
        <v>125</v>
      </c>
      <c r="S105" s="53" t="n">
        <v>67.33</v>
      </c>
    </row>
    <row r="106" customFormat="false" ht="15" hidden="false" customHeight="true" outlineLevel="0" collapsed="false">
      <c r="A106" s="40" t="n">
        <v>45383</v>
      </c>
      <c r="B106" s="41" t="n">
        <f aca="false">YEAR(A106)</f>
        <v>2024</v>
      </c>
      <c r="C106" s="42" t="str">
        <f aca="false">"Q"&amp;ROUNDUP(MONTH(A106)/3,0)</f>
        <v>Q2</v>
      </c>
      <c r="D106" s="42" t="str">
        <f aca="false">B106&amp;" Q"&amp;ROUNDUP(MONTH(A106)/3,0)</f>
        <v>2024 Q2</v>
      </c>
      <c r="E106" s="42" t="n">
        <v>1</v>
      </c>
      <c r="F106" s="42" t="s">
        <v>88</v>
      </c>
      <c r="G106" s="42" t="s">
        <v>300</v>
      </c>
      <c r="H106" s="42" t="s">
        <v>118</v>
      </c>
      <c r="I106" s="42" t="s">
        <v>119</v>
      </c>
      <c r="J106" s="42" t="s">
        <v>120</v>
      </c>
      <c r="K106" s="42" t="s">
        <v>93</v>
      </c>
      <c r="L106" s="43" t="n">
        <v>14837</v>
      </c>
      <c r="M106" s="44" t="n">
        <v>1875417</v>
      </c>
      <c r="N106" s="44" t="n">
        <f aca="false">E106*M106</f>
        <v>1875417</v>
      </c>
      <c r="O106" s="43" t="n">
        <v>14837</v>
      </c>
      <c r="P106" s="45" t="n">
        <v>1</v>
      </c>
      <c r="Q106" s="46" t="n">
        <v>35</v>
      </c>
      <c r="R106" s="46" t="n">
        <v>510</v>
      </c>
      <c r="S106" s="46" t="n">
        <v>126.4</v>
      </c>
    </row>
    <row r="107" customFormat="false" ht="15" hidden="false" customHeight="true" outlineLevel="0" collapsed="false">
      <c r="A107" s="47" t="n">
        <v>45387</v>
      </c>
      <c r="B107" s="48" t="n">
        <f aca="false">YEAR(A107)</f>
        <v>2024</v>
      </c>
      <c r="C107" s="49" t="str">
        <f aca="false">"Q"&amp;ROUNDUP(MONTH(A107)/3,0)</f>
        <v>Q2</v>
      </c>
      <c r="D107" s="49" t="str">
        <f aca="false">B107&amp;" Q"&amp;ROUNDUP(MONTH(A107)/3,0)</f>
        <v>2024 Q2</v>
      </c>
      <c r="E107" s="49" t="n">
        <v>4</v>
      </c>
      <c r="F107" s="49" t="s">
        <v>88</v>
      </c>
      <c r="G107" s="49" t="s">
        <v>301</v>
      </c>
      <c r="H107" s="49" t="s">
        <v>104</v>
      </c>
      <c r="I107" s="49" t="s">
        <v>105</v>
      </c>
      <c r="J107" s="49" t="s">
        <v>106</v>
      </c>
      <c r="K107" s="49" t="s">
        <v>93</v>
      </c>
      <c r="L107" s="50" t="n">
        <v>12027</v>
      </c>
      <c r="M107" s="51" t="n">
        <v>1343666.25</v>
      </c>
      <c r="N107" s="51" t="n">
        <f aca="false">E107*M107</f>
        <v>5374665</v>
      </c>
      <c r="O107" s="50" t="n">
        <v>12027</v>
      </c>
      <c r="P107" s="52" t="n">
        <v>1</v>
      </c>
      <c r="Q107" s="53" t="n">
        <v>25</v>
      </c>
      <c r="R107" s="53" t="n">
        <v>750</v>
      </c>
      <c r="S107" s="53" t="n">
        <v>111.72</v>
      </c>
    </row>
    <row r="108" customFormat="false" ht="15" hidden="false" customHeight="true" outlineLevel="0" collapsed="false">
      <c r="A108" s="40" t="n">
        <v>45394</v>
      </c>
      <c r="B108" s="41" t="n">
        <f aca="false">YEAR(A108)</f>
        <v>2024</v>
      </c>
      <c r="C108" s="42" t="str">
        <f aca="false">"Q"&amp;ROUNDUP(MONTH(A108)/3,0)</f>
        <v>Q2</v>
      </c>
      <c r="D108" s="42" t="str">
        <f aca="false">B108&amp;" Q"&amp;ROUNDUP(MONTH(A108)/3,0)</f>
        <v>2024 Q2</v>
      </c>
      <c r="E108" s="42" t="n">
        <v>1</v>
      </c>
      <c r="F108" s="42" t="s">
        <v>88</v>
      </c>
      <c r="G108" s="42"/>
      <c r="H108" s="42" t="s">
        <v>101</v>
      </c>
      <c r="I108" s="42" t="s">
        <v>102</v>
      </c>
      <c r="J108" s="42" t="s">
        <v>103</v>
      </c>
      <c r="K108" s="42" t="s">
        <v>93</v>
      </c>
      <c r="L108" s="43" t="n">
        <v>13600</v>
      </c>
      <c r="M108" s="44" t="n">
        <v>910762</v>
      </c>
      <c r="N108" s="44" t="n">
        <f aca="false">E108*M108</f>
        <v>910762</v>
      </c>
      <c r="O108" s="43" t="n">
        <v>14475</v>
      </c>
      <c r="P108" s="45" t="n">
        <v>0.93</v>
      </c>
      <c r="Q108" s="46" t="n">
        <v>77.97</v>
      </c>
      <c r="R108" s="46" t="n">
        <v>77.97</v>
      </c>
      <c r="S108" s="46" t="n">
        <v>66.97</v>
      </c>
    </row>
    <row r="109" customFormat="false" ht="15" hidden="false" customHeight="true" outlineLevel="0" collapsed="false">
      <c r="A109" s="47" t="n">
        <v>45397</v>
      </c>
      <c r="B109" s="48" t="n">
        <f aca="false">YEAR(A109)</f>
        <v>2024</v>
      </c>
      <c r="C109" s="49" t="str">
        <f aca="false">"Q"&amp;ROUNDUP(MONTH(A109)/3,0)</f>
        <v>Q2</v>
      </c>
      <c r="D109" s="49" t="str">
        <f aca="false">B109&amp;" Q"&amp;ROUNDUP(MONTH(A109)/3,0)</f>
        <v>2024 Q2</v>
      </c>
      <c r="E109" s="49" t="n">
        <v>1</v>
      </c>
      <c r="F109" s="49" t="s">
        <v>88</v>
      </c>
      <c r="G109" s="49" t="s">
        <v>302</v>
      </c>
      <c r="H109" s="49" t="s">
        <v>122</v>
      </c>
      <c r="I109" s="49" t="s">
        <v>123</v>
      </c>
      <c r="J109" s="49" t="s">
        <v>124</v>
      </c>
      <c r="K109" s="49" t="s">
        <v>125</v>
      </c>
      <c r="L109" s="50" t="n">
        <v>11614</v>
      </c>
      <c r="M109" s="51" t="n">
        <v>766949.56</v>
      </c>
      <c r="N109" s="51" t="n">
        <f aca="false">E109*M109</f>
        <v>766949.56</v>
      </c>
      <c r="O109" s="50" t="n">
        <v>11614</v>
      </c>
      <c r="P109" s="52" t="n">
        <v>1</v>
      </c>
      <c r="Q109" s="53" t="n">
        <v>18.17</v>
      </c>
      <c r="R109" s="53" t="n">
        <v>159.9</v>
      </c>
      <c r="S109" s="53" t="n">
        <v>66.04</v>
      </c>
    </row>
    <row r="110" customFormat="false" ht="15" hidden="false" customHeight="true" outlineLevel="0" collapsed="false">
      <c r="A110" s="40" t="n">
        <v>45401</v>
      </c>
      <c r="B110" s="41" t="n">
        <f aca="false">YEAR(A110)</f>
        <v>2024</v>
      </c>
      <c r="C110" s="42" t="str">
        <f aca="false">"Q"&amp;ROUNDUP(MONTH(A110)/3,0)</f>
        <v>Q2</v>
      </c>
      <c r="D110" s="42" t="str">
        <f aca="false">B110&amp;" Q"&amp;ROUNDUP(MONTH(A110)/3,0)</f>
        <v>2024 Q2</v>
      </c>
      <c r="E110" s="42" t="n">
        <v>1</v>
      </c>
      <c r="F110" s="42" t="s">
        <v>88</v>
      </c>
      <c r="G110" s="42"/>
      <c r="H110" s="42" t="s">
        <v>149</v>
      </c>
      <c r="I110" s="42" t="s">
        <v>150</v>
      </c>
      <c r="J110" s="42" t="s">
        <v>106</v>
      </c>
      <c r="K110" s="42" t="s">
        <v>93</v>
      </c>
      <c r="L110" s="43" t="n">
        <v>12031</v>
      </c>
      <c r="M110" s="44" t="n">
        <v>659529.5</v>
      </c>
      <c r="N110" s="44" t="n">
        <f aca="false">E110*M110</f>
        <v>659529.5</v>
      </c>
      <c r="O110" s="43" t="n">
        <v>12680</v>
      </c>
      <c r="P110" s="45" t="n">
        <v>0.94</v>
      </c>
      <c r="Q110" s="46" t="n">
        <v>25</v>
      </c>
      <c r="R110" s="46" t="n">
        <v>130</v>
      </c>
      <c r="S110" s="46" t="n">
        <v>54.82</v>
      </c>
    </row>
    <row r="111" customFormat="false" ht="15" hidden="false" customHeight="true" outlineLevel="0" collapsed="false">
      <c r="A111" s="47" t="n">
        <v>45425</v>
      </c>
      <c r="B111" s="48" t="n">
        <f aca="false">YEAR(A111)</f>
        <v>2024</v>
      </c>
      <c r="C111" s="49" t="str">
        <f aca="false">"Q"&amp;ROUNDUP(MONTH(A111)/3,0)</f>
        <v>Q2</v>
      </c>
      <c r="D111" s="49" t="str">
        <f aca="false">B111&amp;" Q"&amp;ROUNDUP(MONTH(A111)/3,0)</f>
        <v>2024 Q2</v>
      </c>
      <c r="E111" s="49" t="n">
        <v>1</v>
      </c>
      <c r="F111" s="49" t="s">
        <v>205</v>
      </c>
      <c r="G111" s="49" t="s">
        <v>303</v>
      </c>
      <c r="H111" s="49" t="s">
        <v>304</v>
      </c>
      <c r="I111" s="49" t="s">
        <v>305</v>
      </c>
      <c r="J111" s="49" t="s">
        <v>306</v>
      </c>
      <c r="K111" s="49" t="s">
        <v>93</v>
      </c>
      <c r="L111" s="50" t="n">
        <v>8136</v>
      </c>
      <c r="M111" s="51" t="n">
        <v>447871.5</v>
      </c>
      <c r="N111" s="51" t="n">
        <f aca="false">E111*M111</f>
        <v>447871.5</v>
      </c>
      <c r="O111" s="50" t="n">
        <v>9719</v>
      </c>
      <c r="P111" s="52" t="n">
        <v>0.83</v>
      </c>
      <c r="Q111" s="53" t="n">
        <v>20</v>
      </c>
      <c r="R111" s="53" t="n">
        <v>135</v>
      </c>
      <c r="S111" s="53" t="n">
        <v>55.05</v>
      </c>
    </row>
    <row r="112" customFormat="false" ht="15" hidden="false" customHeight="true" outlineLevel="0" collapsed="false">
      <c r="A112" s="40" t="n">
        <v>45432</v>
      </c>
      <c r="B112" s="41" t="n">
        <f aca="false">YEAR(A112)</f>
        <v>2024</v>
      </c>
      <c r="C112" s="42" t="str">
        <f aca="false">"Q"&amp;ROUNDUP(MONTH(A112)/3,0)</f>
        <v>Q2</v>
      </c>
      <c r="D112" s="42" t="str">
        <f aca="false">B112&amp;" Q"&amp;ROUNDUP(MONTH(A112)/3,0)</f>
        <v>2024 Q2</v>
      </c>
      <c r="E112" s="42" t="n">
        <v>1</v>
      </c>
      <c r="F112" s="42" t="s">
        <v>88</v>
      </c>
      <c r="G112" s="42"/>
      <c r="H112" s="42" t="s">
        <v>307</v>
      </c>
      <c r="I112" s="42" t="s">
        <v>308</v>
      </c>
      <c r="J112" s="42" t="s">
        <v>109</v>
      </c>
      <c r="K112" s="42" t="s">
        <v>93</v>
      </c>
      <c r="L112" s="43" t="n">
        <v>9833</v>
      </c>
      <c r="M112" s="44" t="n">
        <v>614258</v>
      </c>
      <c r="N112" s="44" t="n">
        <f aca="false">E112*M112</f>
        <v>614258</v>
      </c>
      <c r="O112" s="43" t="n">
        <v>20000</v>
      </c>
      <c r="P112" s="45" t="n">
        <v>0.49</v>
      </c>
      <c r="Q112" s="46" t="n">
        <v>22</v>
      </c>
      <c r="R112" s="46" t="n">
        <v>137</v>
      </c>
      <c r="S112" s="46" t="n">
        <v>62.47</v>
      </c>
    </row>
    <row r="113" customFormat="false" ht="15" hidden="false" customHeight="true" outlineLevel="0" collapsed="false">
      <c r="A113" s="47" t="n">
        <v>45443</v>
      </c>
      <c r="B113" s="48" t="n">
        <f aca="false">YEAR(A113)</f>
        <v>2024</v>
      </c>
      <c r="C113" s="49" t="str">
        <f aca="false">"Q"&amp;ROUNDUP(MONTH(A113)/3,0)</f>
        <v>Q2</v>
      </c>
      <c r="D113" s="49" t="str">
        <f aca="false">B113&amp;" Q"&amp;ROUNDUP(MONTH(A113)/3,0)</f>
        <v>2024 Q2</v>
      </c>
      <c r="E113" s="49" t="n">
        <v>1</v>
      </c>
      <c r="F113" s="49" t="s">
        <v>88</v>
      </c>
      <c r="G113" s="49"/>
      <c r="H113" s="49" t="s">
        <v>265</v>
      </c>
      <c r="I113" s="49" t="s">
        <v>266</v>
      </c>
      <c r="J113" s="49" t="s">
        <v>120</v>
      </c>
      <c r="K113" s="49" t="s">
        <v>93</v>
      </c>
      <c r="L113" s="50" t="n">
        <v>7278</v>
      </c>
      <c r="M113" s="51" t="n">
        <v>526329</v>
      </c>
      <c r="N113" s="51" t="n">
        <f aca="false">E113*M113</f>
        <v>526329</v>
      </c>
      <c r="O113" s="50" t="n">
        <v>7554</v>
      </c>
      <c r="P113" s="52" t="n">
        <v>0.96</v>
      </c>
      <c r="Q113" s="53" t="n">
        <v>25</v>
      </c>
      <c r="R113" s="53" t="n">
        <v>145</v>
      </c>
      <c r="S113" s="53" t="n">
        <v>72.32</v>
      </c>
    </row>
    <row r="114" customFormat="false" ht="15" hidden="false" customHeight="true" outlineLevel="0" collapsed="false">
      <c r="A114" s="40" t="n">
        <v>45444</v>
      </c>
      <c r="B114" s="41" t="n">
        <f aca="false">YEAR(A114)</f>
        <v>2024</v>
      </c>
      <c r="C114" s="42" t="str">
        <f aca="false">"Q"&amp;ROUNDUP(MONTH(A114)/3,0)</f>
        <v>Q2</v>
      </c>
      <c r="D114" s="42" t="str">
        <f aca="false">B114&amp;" Q"&amp;ROUNDUP(MONTH(A114)/3,0)</f>
        <v>2024 Q2</v>
      </c>
      <c r="E114" s="42" t="n">
        <v>1</v>
      </c>
      <c r="F114" s="42" t="s">
        <v>88</v>
      </c>
      <c r="G114" s="42" t="s">
        <v>309</v>
      </c>
      <c r="H114" s="42" t="s">
        <v>310</v>
      </c>
      <c r="I114" s="42" t="s">
        <v>311</v>
      </c>
      <c r="J114" s="42" t="s">
        <v>120</v>
      </c>
      <c r="K114" s="42" t="s">
        <v>93</v>
      </c>
      <c r="L114" s="43" t="n">
        <v>3880</v>
      </c>
      <c r="M114" s="44" t="n">
        <v>370205</v>
      </c>
      <c r="N114" s="44" t="n">
        <f aca="false">E114*M114</f>
        <v>370205</v>
      </c>
      <c r="O114" s="43" t="n">
        <v>3880</v>
      </c>
      <c r="P114" s="45" t="n">
        <v>1</v>
      </c>
      <c r="Q114" s="46" t="n">
        <v>49</v>
      </c>
      <c r="R114" s="46" t="n">
        <v>154</v>
      </c>
      <c r="S114" s="46" t="n">
        <v>95.41</v>
      </c>
    </row>
    <row r="115" customFormat="false" ht="15" hidden="false" customHeight="true" outlineLevel="0" collapsed="false">
      <c r="A115" s="47" t="n">
        <v>45453</v>
      </c>
      <c r="B115" s="48" t="n">
        <f aca="false">YEAR(A115)</f>
        <v>2024</v>
      </c>
      <c r="C115" s="49" t="str">
        <f aca="false">"Q"&amp;ROUNDUP(MONTH(A115)/3,0)</f>
        <v>Q2</v>
      </c>
      <c r="D115" s="49" t="str">
        <f aca="false">B115&amp;" Q"&amp;ROUNDUP(MONTH(A115)/3,0)</f>
        <v>2024 Q2</v>
      </c>
      <c r="E115" s="49" t="n">
        <v>1</v>
      </c>
      <c r="F115" s="49" t="s">
        <v>88</v>
      </c>
      <c r="G115" s="49" t="s">
        <v>312</v>
      </c>
      <c r="H115" s="49" t="s">
        <v>313</v>
      </c>
      <c r="I115" s="49" t="s">
        <v>314</v>
      </c>
      <c r="J115" s="49" t="s">
        <v>204</v>
      </c>
      <c r="K115" s="49" t="s">
        <v>93</v>
      </c>
      <c r="L115" s="50" t="n">
        <v>6461</v>
      </c>
      <c r="M115" s="51" t="n">
        <v>427889</v>
      </c>
      <c r="N115" s="51" t="n">
        <f aca="false">E115*M115</f>
        <v>427889</v>
      </c>
      <c r="O115" s="50" t="n">
        <v>6461</v>
      </c>
      <c r="P115" s="52" t="n">
        <v>1</v>
      </c>
      <c r="Q115" s="53" t="n">
        <v>25</v>
      </c>
      <c r="R115" s="53" t="n">
        <v>120</v>
      </c>
      <c r="S115" s="53" t="n">
        <v>66.23</v>
      </c>
    </row>
    <row r="116" customFormat="false" ht="15" hidden="false" customHeight="true" outlineLevel="0" collapsed="false">
      <c r="A116" s="40" t="n">
        <v>45457</v>
      </c>
      <c r="B116" s="41" t="n">
        <f aca="false">YEAR(A116)</f>
        <v>2024</v>
      </c>
      <c r="C116" s="42" t="str">
        <f aca="false">"Q"&amp;ROUNDUP(MONTH(A116)/3,0)</f>
        <v>Q2</v>
      </c>
      <c r="D116" s="42" t="str">
        <f aca="false">B116&amp;" Q"&amp;ROUNDUP(MONTH(A116)/3,0)</f>
        <v>2024 Q2</v>
      </c>
      <c r="E116" s="42" t="n">
        <v>2</v>
      </c>
      <c r="F116" s="42" t="s">
        <v>88</v>
      </c>
      <c r="G116" s="42"/>
      <c r="H116" s="42" t="s">
        <v>315</v>
      </c>
      <c r="I116" s="42" t="s">
        <v>316</v>
      </c>
      <c r="J116" s="42"/>
      <c r="K116" s="42" t="s">
        <v>317</v>
      </c>
      <c r="L116" s="43" t="n">
        <v>9980</v>
      </c>
      <c r="M116" s="44" t="n">
        <v>2920892.32</v>
      </c>
      <c r="N116" s="44" t="n">
        <f aca="false">E116*M116</f>
        <v>5841784.64</v>
      </c>
      <c r="O116" s="43" t="n">
        <v>9980</v>
      </c>
      <c r="P116" s="45" t="n">
        <v>1</v>
      </c>
      <c r="Q116" s="46" t="n">
        <v>172.17</v>
      </c>
      <c r="R116" s="46" t="n">
        <v>1913.03</v>
      </c>
      <c r="S116" s="46" t="n">
        <v>292.67</v>
      </c>
    </row>
    <row r="117" customFormat="false" ht="15" hidden="false" customHeight="true" outlineLevel="0" collapsed="false">
      <c r="A117" s="47" t="n">
        <v>45464</v>
      </c>
      <c r="B117" s="48" t="n">
        <f aca="false">YEAR(A117)</f>
        <v>2024</v>
      </c>
      <c r="C117" s="49" t="str">
        <f aca="false">"Q"&amp;ROUNDUP(MONTH(A117)/3,0)</f>
        <v>Q2</v>
      </c>
      <c r="D117" s="49" t="str">
        <f aca="false">B117&amp;" Q"&amp;ROUNDUP(MONTH(A117)/3,0)</f>
        <v>2024 Q2</v>
      </c>
      <c r="E117" s="49" t="n">
        <v>1</v>
      </c>
      <c r="F117" s="49" t="s">
        <v>88</v>
      </c>
      <c r="G117" s="49" t="s">
        <v>318</v>
      </c>
      <c r="H117" s="49" t="s">
        <v>181</v>
      </c>
      <c r="I117" s="49" t="s">
        <v>182</v>
      </c>
      <c r="J117" s="49" t="s">
        <v>136</v>
      </c>
      <c r="K117" s="49" t="s">
        <v>93</v>
      </c>
      <c r="L117" s="50" t="n">
        <v>14519</v>
      </c>
      <c r="M117" s="51" t="n">
        <v>1323710</v>
      </c>
      <c r="N117" s="51" t="n">
        <f aca="false">E117*M117</f>
        <v>1323710</v>
      </c>
      <c r="O117" s="50" t="n">
        <v>14519</v>
      </c>
      <c r="P117" s="52" t="n">
        <v>1</v>
      </c>
      <c r="Q117" s="53" t="n">
        <v>30</v>
      </c>
      <c r="R117" s="53" t="n">
        <v>500</v>
      </c>
      <c r="S117" s="53" t="n">
        <v>91.17</v>
      </c>
    </row>
    <row r="118" customFormat="false" ht="15" hidden="false" customHeight="true" outlineLevel="0" collapsed="false">
      <c r="A118" s="40" t="n">
        <v>45467</v>
      </c>
      <c r="B118" s="41" t="n">
        <f aca="false">YEAR(A118)</f>
        <v>2024</v>
      </c>
      <c r="C118" s="42" t="str">
        <f aca="false">"Q"&amp;ROUNDUP(MONTH(A118)/3,0)</f>
        <v>Q2</v>
      </c>
      <c r="D118" s="42" t="str">
        <f aca="false">B118&amp;" Q"&amp;ROUNDUP(MONTH(A118)/3,0)</f>
        <v>2024 Q2</v>
      </c>
      <c r="E118" s="42" t="n">
        <v>1</v>
      </c>
      <c r="F118" s="42" t="s">
        <v>88</v>
      </c>
      <c r="G118" s="42"/>
      <c r="H118" s="42" t="s">
        <v>249</v>
      </c>
      <c r="I118" s="42" t="s">
        <v>250</v>
      </c>
      <c r="J118" s="42" t="s">
        <v>133</v>
      </c>
      <c r="K118" s="42" t="s">
        <v>93</v>
      </c>
      <c r="L118" s="43" t="n">
        <v>10694</v>
      </c>
      <c r="M118" s="44" t="n">
        <v>709039</v>
      </c>
      <c r="N118" s="44" t="n">
        <f aca="false">E118*M118</f>
        <v>709039</v>
      </c>
      <c r="O118" s="43" t="n">
        <v>10694</v>
      </c>
      <c r="P118" s="45" t="n">
        <v>1</v>
      </c>
      <c r="Q118" s="46" t="n">
        <v>29</v>
      </c>
      <c r="R118" s="46" t="n">
        <v>129</v>
      </c>
      <c r="S118" s="46" t="n">
        <v>66.3</v>
      </c>
    </row>
    <row r="119" customFormat="false" ht="15" hidden="false" customHeight="true" outlineLevel="0" collapsed="false">
      <c r="A119" s="47" t="n">
        <v>45471</v>
      </c>
      <c r="B119" s="48" t="n">
        <f aca="false">YEAR(A119)</f>
        <v>2024</v>
      </c>
      <c r="C119" s="49" t="str">
        <f aca="false">"Q"&amp;ROUNDUP(MONTH(A119)/3,0)</f>
        <v>Q2</v>
      </c>
      <c r="D119" s="49" t="str">
        <f aca="false">B119&amp;" Q"&amp;ROUNDUP(MONTH(A119)/3,0)</f>
        <v>2024 Q2</v>
      </c>
      <c r="E119" s="49" t="n">
        <v>1</v>
      </c>
      <c r="F119" s="49" t="s">
        <v>88</v>
      </c>
      <c r="G119" s="49"/>
      <c r="H119" s="49" t="s">
        <v>154</v>
      </c>
      <c r="I119" s="49" t="s">
        <v>120</v>
      </c>
      <c r="J119" s="49" t="s">
        <v>120</v>
      </c>
      <c r="K119" s="49" t="s">
        <v>93</v>
      </c>
      <c r="L119" s="50" t="n">
        <v>17283</v>
      </c>
      <c r="M119" s="51" t="n">
        <v>2045985</v>
      </c>
      <c r="N119" s="51" t="n">
        <f aca="false">E119*M119</f>
        <v>2045985</v>
      </c>
      <c r="O119" s="50" t="n">
        <v>17283</v>
      </c>
      <c r="P119" s="52" t="n">
        <v>1</v>
      </c>
      <c r="Q119" s="53" t="n">
        <v>47</v>
      </c>
      <c r="R119" s="53" t="n">
        <v>757</v>
      </c>
      <c r="S119" s="53" t="n">
        <v>118.38</v>
      </c>
    </row>
    <row r="120" customFormat="false" ht="15" hidden="false" customHeight="true" outlineLevel="0" collapsed="false">
      <c r="A120" s="40" t="n">
        <v>45474</v>
      </c>
      <c r="B120" s="41" t="n">
        <f aca="false">YEAR(A120)</f>
        <v>2024</v>
      </c>
      <c r="C120" s="42" t="str">
        <f aca="false">"Q"&amp;ROUNDUP(MONTH(A120)/3,0)</f>
        <v>Q3</v>
      </c>
      <c r="D120" s="42" t="str">
        <f aca="false">B120&amp;" Q"&amp;ROUNDUP(MONTH(A120)/3,0)</f>
        <v>2024 Q3</v>
      </c>
      <c r="E120" s="42" t="n">
        <v>1</v>
      </c>
      <c r="F120" s="42" t="s">
        <v>88</v>
      </c>
      <c r="G120" s="42" t="s">
        <v>319</v>
      </c>
      <c r="H120" s="42" t="s">
        <v>145</v>
      </c>
      <c r="I120" s="42" t="s">
        <v>146</v>
      </c>
      <c r="J120" s="42" t="s">
        <v>147</v>
      </c>
      <c r="K120" s="42" t="s">
        <v>93</v>
      </c>
      <c r="L120" s="43" t="n">
        <v>11778</v>
      </c>
      <c r="M120" s="44" t="n">
        <v>1028894</v>
      </c>
      <c r="N120" s="44" t="n">
        <f aca="false">E120*M120</f>
        <v>1028894</v>
      </c>
      <c r="O120" s="43" t="n">
        <v>13046</v>
      </c>
      <c r="P120" s="45" t="n">
        <v>0.9</v>
      </c>
      <c r="Q120" s="46" t="n">
        <v>35</v>
      </c>
      <c r="R120" s="46" t="n">
        <v>175</v>
      </c>
      <c r="S120" s="46" t="n">
        <v>87.36</v>
      </c>
    </row>
    <row r="121" customFormat="false" ht="15" hidden="false" customHeight="true" outlineLevel="0" collapsed="false">
      <c r="A121" s="47" t="n">
        <v>45481</v>
      </c>
      <c r="B121" s="48" t="n">
        <f aca="false">YEAR(A121)</f>
        <v>2024</v>
      </c>
      <c r="C121" s="49" t="str">
        <f aca="false">"Q"&amp;ROUNDUP(MONTH(A121)/3,0)</f>
        <v>Q3</v>
      </c>
      <c r="D121" s="49" t="str">
        <f aca="false">B121&amp;" Q"&amp;ROUNDUP(MONTH(A121)/3,0)</f>
        <v>2024 Q3</v>
      </c>
      <c r="E121" s="49" t="n">
        <v>1</v>
      </c>
      <c r="F121" s="49" t="s">
        <v>88</v>
      </c>
      <c r="G121" s="49" t="s">
        <v>320</v>
      </c>
      <c r="H121" s="49" t="s">
        <v>127</v>
      </c>
      <c r="I121" s="49" t="s">
        <v>128</v>
      </c>
      <c r="J121" s="49" t="s">
        <v>129</v>
      </c>
      <c r="K121" s="49" t="s">
        <v>125</v>
      </c>
      <c r="L121" s="50" t="n">
        <v>7399</v>
      </c>
      <c r="M121" s="51" t="n">
        <v>368279.83</v>
      </c>
      <c r="N121" s="51" t="n">
        <f aca="false">E121*M121</f>
        <v>368279.83</v>
      </c>
      <c r="O121" s="50" t="n">
        <v>11485</v>
      </c>
      <c r="P121" s="52" t="n">
        <v>0.64</v>
      </c>
      <c r="Q121" s="53" t="n">
        <v>18.34</v>
      </c>
      <c r="R121" s="53" t="n">
        <v>95.34</v>
      </c>
      <c r="S121" s="53" t="n">
        <v>49.77</v>
      </c>
    </row>
    <row r="122" customFormat="false" ht="15" hidden="false" customHeight="true" outlineLevel="0" collapsed="false">
      <c r="A122" s="40" t="n">
        <v>45495</v>
      </c>
      <c r="B122" s="41" t="n">
        <f aca="false">YEAR(A122)</f>
        <v>2024</v>
      </c>
      <c r="C122" s="42" t="str">
        <f aca="false">"Q"&amp;ROUNDUP(MONTH(A122)/3,0)</f>
        <v>Q3</v>
      </c>
      <c r="D122" s="42" t="str">
        <f aca="false">B122&amp;" Q"&amp;ROUNDUP(MONTH(A122)/3,0)</f>
        <v>2024 Q3</v>
      </c>
      <c r="E122" s="42" t="n">
        <v>1</v>
      </c>
      <c r="F122" s="42" t="s">
        <v>88</v>
      </c>
      <c r="G122" s="42"/>
      <c r="H122" s="42" t="s">
        <v>267</v>
      </c>
      <c r="I122" s="42" t="s">
        <v>268</v>
      </c>
      <c r="J122" s="42" t="s">
        <v>157</v>
      </c>
      <c r="K122" s="42" t="s">
        <v>93</v>
      </c>
      <c r="L122" s="43" t="n">
        <v>5936</v>
      </c>
      <c r="M122" s="44" t="n">
        <v>491838</v>
      </c>
      <c r="N122" s="44" t="n">
        <f aca="false">E122*M122</f>
        <v>491838</v>
      </c>
      <c r="O122" s="43" t="n">
        <v>6337</v>
      </c>
      <c r="P122" s="45" t="n">
        <v>0.93</v>
      </c>
      <c r="Q122" s="46" t="n">
        <v>33</v>
      </c>
      <c r="R122" s="46" t="n">
        <v>153</v>
      </c>
      <c r="S122" s="46" t="n">
        <v>82.86</v>
      </c>
    </row>
    <row r="123" customFormat="false" ht="15" hidden="false" customHeight="true" outlineLevel="0" collapsed="false">
      <c r="A123" s="47" t="n">
        <v>45502</v>
      </c>
      <c r="B123" s="48" t="n">
        <f aca="false">YEAR(A123)</f>
        <v>2024</v>
      </c>
      <c r="C123" s="49" t="str">
        <f aca="false">"Q"&amp;ROUNDUP(MONTH(A123)/3,0)</f>
        <v>Q3</v>
      </c>
      <c r="D123" s="49" t="str">
        <f aca="false">B123&amp;" Q"&amp;ROUNDUP(MONTH(A123)/3,0)</f>
        <v>2024 Q3</v>
      </c>
      <c r="E123" s="49" t="n">
        <v>1</v>
      </c>
      <c r="F123" s="49" t="s">
        <v>321</v>
      </c>
      <c r="G123" s="49"/>
      <c r="H123" s="49" t="s">
        <v>322</v>
      </c>
      <c r="I123" s="49" t="s">
        <v>323</v>
      </c>
      <c r="J123" s="49" t="s">
        <v>324</v>
      </c>
      <c r="K123" s="49" t="s">
        <v>93</v>
      </c>
      <c r="L123" s="50" t="n">
        <v>11837</v>
      </c>
      <c r="M123" s="51" t="n">
        <v>756675</v>
      </c>
      <c r="N123" s="51" t="n">
        <f aca="false">E123*M123</f>
        <v>756675</v>
      </c>
      <c r="O123" s="50" t="n">
        <v>13735</v>
      </c>
      <c r="P123" s="52" t="n">
        <v>0.86</v>
      </c>
      <c r="Q123" s="53" t="n">
        <v>25</v>
      </c>
      <c r="R123" s="53" t="n">
        <v>150</v>
      </c>
      <c r="S123" s="53" t="n">
        <v>63.92</v>
      </c>
    </row>
    <row r="124" customFormat="false" ht="15" hidden="false" customHeight="true" outlineLevel="0" collapsed="false">
      <c r="A124" s="40" t="n">
        <v>45506</v>
      </c>
      <c r="B124" s="41" t="n">
        <f aca="false">YEAR(A124)</f>
        <v>2024</v>
      </c>
      <c r="C124" s="42" t="str">
        <f aca="false">"Q"&amp;ROUNDUP(MONTH(A124)/3,0)</f>
        <v>Q3</v>
      </c>
      <c r="D124" s="42" t="str">
        <f aca="false">B124&amp;" Q"&amp;ROUNDUP(MONTH(A124)/3,0)</f>
        <v>2024 Q3</v>
      </c>
      <c r="E124" s="42" t="n">
        <v>1</v>
      </c>
      <c r="F124" s="42" t="s">
        <v>88</v>
      </c>
      <c r="G124" s="42"/>
      <c r="H124" s="42" t="s">
        <v>202</v>
      </c>
      <c r="I124" s="42" t="s">
        <v>203</v>
      </c>
      <c r="J124" s="42" t="s">
        <v>204</v>
      </c>
      <c r="K124" s="42" t="s">
        <v>93</v>
      </c>
      <c r="L124" s="43" t="n">
        <v>9949</v>
      </c>
      <c r="M124" s="44" t="n">
        <v>958846</v>
      </c>
      <c r="N124" s="44" t="n">
        <f aca="false">E124*M124</f>
        <v>958846</v>
      </c>
      <c r="O124" s="43" t="n">
        <v>13722</v>
      </c>
      <c r="P124" s="45" t="n">
        <v>0.72</v>
      </c>
      <c r="Q124" s="46" t="n">
        <v>25</v>
      </c>
      <c r="R124" s="46" t="n">
        <v>400</v>
      </c>
      <c r="S124" s="46" t="n">
        <v>96.38</v>
      </c>
    </row>
    <row r="125" customFormat="false" ht="15" hidden="false" customHeight="true" outlineLevel="0" collapsed="false">
      <c r="A125" s="47" t="n">
        <v>45509</v>
      </c>
      <c r="B125" s="48" t="n">
        <f aca="false">YEAR(A125)</f>
        <v>2024</v>
      </c>
      <c r="C125" s="49" t="str">
        <f aca="false">"Q"&amp;ROUNDUP(MONTH(A125)/3,0)</f>
        <v>Q3</v>
      </c>
      <c r="D125" s="49" t="str">
        <f aca="false">B125&amp;" Q"&amp;ROUNDUP(MONTH(A125)/3,0)</f>
        <v>2024 Q3</v>
      </c>
      <c r="E125" s="49" t="n">
        <v>1</v>
      </c>
      <c r="F125" s="49" t="s">
        <v>88</v>
      </c>
      <c r="G125" s="49" t="s">
        <v>325</v>
      </c>
      <c r="H125" s="49" t="s">
        <v>210</v>
      </c>
      <c r="I125" s="49" t="s">
        <v>211</v>
      </c>
      <c r="J125" s="49" t="s">
        <v>212</v>
      </c>
      <c r="K125" s="49" t="s">
        <v>93</v>
      </c>
      <c r="L125" s="50" t="n">
        <v>10351</v>
      </c>
      <c r="M125" s="51" t="n">
        <v>821285</v>
      </c>
      <c r="N125" s="51" t="n">
        <f aca="false">E125*M125</f>
        <v>821285</v>
      </c>
      <c r="O125" s="50" t="n">
        <v>10351</v>
      </c>
      <c r="P125" s="52" t="n">
        <v>1</v>
      </c>
      <c r="Q125" s="53" t="n">
        <v>25</v>
      </c>
      <c r="R125" s="53" t="n">
        <v>165</v>
      </c>
      <c r="S125" s="53" t="n">
        <v>79.34</v>
      </c>
    </row>
    <row r="126" customFormat="false" ht="15" hidden="false" customHeight="true" outlineLevel="0" collapsed="false">
      <c r="A126" s="40" t="n">
        <v>45513</v>
      </c>
      <c r="B126" s="41" t="n">
        <f aca="false">YEAR(A126)</f>
        <v>2024</v>
      </c>
      <c r="C126" s="42" t="str">
        <f aca="false">"Q"&amp;ROUNDUP(MONTH(A126)/3,0)</f>
        <v>Q3</v>
      </c>
      <c r="D126" s="42" t="str">
        <f aca="false">B126&amp;" Q"&amp;ROUNDUP(MONTH(A126)/3,0)</f>
        <v>2024 Q3</v>
      </c>
      <c r="E126" s="42" t="n">
        <v>1</v>
      </c>
      <c r="F126" s="42" t="s">
        <v>88</v>
      </c>
      <c r="G126" s="42" t="s">
        <v>326</v>
      </c>
      <c r="H126" s="42" t="s">
        <v>67</v>
      </c>
      <c r="I126" s="42" t="s">
        <v>68</v>
      </c>
      <c r="J126" s="42" t="s">
        <v>107</v>
      </c>
      <c r="K126" s="42" t="s">
        <v>93</v>
      </c>
      <c r="L126" s="43" t="n">
        <v>10077</v>
      </c>
      <c r="M126" s="44" t="n">
        <v>495165</v>
      </c>
      <c r="N126" s="44" t="n">
        <f aca="false">E126*M126</f>
        <v>495165</v>
      </c>
      <c r="O126" s="43" t="n">
        <v>11464</v>
      </c>
      <c r="P126" s="45" t="n">
        <v>0.87</v>
      </c>
      <c r="Q126" s="46" t="n">
        <v>20</v>
      </c>
      <c r="R126" s="46" t="n">
        <v>125</v>
      </c>
      <c r="S126" s="46" t="n">
        <v>49.14</v>
      </c>
    </row>
    <row r="127" customFormat="false" ht="15" hidden="false" customHeight="true" outlineLevel="0" collapsed="false">
      <c r="A127" s="47" t="n">
        <v>45516</v>
      </c>
      <c r="B127" s="48" t="n">
        <f aca="false">YEAR(A127)</f>
        <v>2024</v>
      </c>
      <c r="C127" s="49" t="str">
        <f aca="false">"Q"&amp;ROUNDUP(MONTH(A127)/3,0)</f>
        <v>Q3</v>
      </c>
      <c r="D127" s="49" t="str">
        <f aca="false">B127&amp;" Q"&amp;ROUNDUP(MONTH(A127)/3,0)</f>
        <v>2024 Q3</v>
      </c>
      <c r="E127" s="49" t="n">
        <v>1</v>
      </c>
      <c r="F127" s="49" t="s">
        <v>88</v>
      </c>
      <c r="G127" s="49" t="s">
        <v>327</v>
      </c>
      <c r="H127" s="49" t="s">
        <v>328</v>
      </c>
      <c r="I127" s="49" t="s">
        <v>329</v>
      </c>
      <c r="J127" s="49" t="s">
        <v>184</v>
      </c>
      <c r="K127" s="49" t="s">
        <v>93</v>
      </c>
      <c r="L127" s="50" t="n">
        <v>11659</v>
      </c>
      <c r="M127" s="51" t="n">
        <v>690153.75</v>
      </c>
      <c r="N127" s="51" t="n">
        <f aca="false">E127*M127</f>
        <v>690153.75</v>
      </c>
      <c r="O127" s="50" t="n">
        <v>11659</v>
      </c>
      <c r="P127" s="52" t="n">
        <v>1</v>
      </c>
      <c r="Q127" s="53" t="n">
        <v>25</v>
      </c>
      <c r="R127" s="53" t="n">
        <v>225</v>
      </c>
      <c r="S127" s="53" t="n">
        <v>59.19</v>
      </c>
    </row>
    <row r="128" customFormat="false" ht="15" hidden="false" customHeight="true" outlineLevel="0" collapsed="false">
      <c r="A128" s="40" t="n">
        <v>45520</v>
      </c>
      <c r="B128" s="41" t="n">
        <f aca="false">YEAR(A128)</f>
        <v>2024</v>
      </c>
      <c r="C128" s="42" t="str">
        <f aca="false">"Q"&amp;ROUNDUP(MONTH(A128)/3,0)</f>
        <v>Q3</v>
      </c>
      <c r="D128" s="42" t="str">
        <f aca="false">B128&amp;" Q"&amp;ROUNDUP(MONTH(A128)/3,0)</f>
        <v>2024 Q3</v>
      </c>
      <c r="E128" s="42" t="n">
        <v>1</v>
      </c>
      <c r="F128" s="42" t="s">
        <v>88</v>
      </c>
      <c r="G128" s="42" t="s">
        <v>330</v>
      </c>
      <c r="H128" s="42" t="s">
        <v>331</v>
      </c>
      <c r="I128" s="42" t="s">
        <v>112</v>
      </c>
      <c r="J128" s="42" t="s">
        <v>113</v>
      </c>
      <c r="K128" s="42" t="s">
        <v>93</v>
      </c>
      <c r="L128" s="43" t="n">
        <v>13694</v>
      </c>
      <c r="M128" s="44" t="n">
        <v>1000729.67</v>
      </c>
      <c r="N128" s="44" t="n">
        <f aca="false">E128*M128</f>
        <v>1000729.67</v>
      </c>
      <c r="O128" s="43" t="n">
        <v>14172</v>
      </c>
      <c r="P128" s="45" t="n">
        <v>0.96</v>
      </c>
      <c r="Q128" s="46" t="n">
        <v>25</v>
      </c>
      <c r="R128" s="46" t="n">
        <v>225</v>
      </c>
      <c r="S128" s="46" t="n">
        <v>73.08</v>
      </c>
    </row>
    <row r="129" customFormat="false" ht="15" hidden="false" customHeight="true" outlineLevel="0" collapsed="false">
      <c r="A129" s="47" t="n">
        <v>45522</v>
      </c>
      <c r="B129" s="48" t="n">
        <f aca="false">YEAR(A129)</f>
        <v>2024</v>
      </c>
      <c r="C129" s="49" t="str">
        <f aca="false">"Q"&amp;ROUNDUP(MONTH(A129)/3,0)</f>
        <v>Q3</v>
      </c>
      <c r="D129" s="49" t="str">
        <f aca="false">B129&amp;" Q"&amp;ROUNDUP(MONTH(A129)/3,0)</f>
        <v>2024 Q3</v>
      </c>
      <c r="E129" s="49" t="n">
        <v>1</v>
      </c>
      <c r="F129" s="49" t="s">
        <v>88</v>
      </c>
      <c r="G129" s="49"/>
      <c r="H129" s="49" t="s">
        <v>220</v>
      </c>
      <c r="I129" s="49" t="s">
        <v>221</v>
      </c>
      <c r="J129" s="49" t="s">
        <v>113</v>
      </c>
      <c r="K129" s="49" t="s">
        <v>93</v>
      </c>
      <c r="L129" s="50" t="n">
        <v>4867</v>
      </c>
      <c r="M129" s="51" t="n">
        <v>316555</v>
      </c>
      <c r="N129" s="51" t="n">
        <f aca="false">E129*M129</f>
        <v>316555</v>
      </c>
      <c r="O129" s="50" t="n">
        <v>6295</v>
      </c>
      <c r="P129" s="52" t="n">
        <v>0.77</v>
      </c>
      <c r="Q129" s="53" t="n">
        <v>25</v>
      </c>
      <c r="R129" s="53" t="n">
        <v>150</v>
      </c>
      <c r="S129" s="53" t="n">
        <v>65.04</v>
      </c>
    </row>
    <row r="130" customFormat="false" ht="15" hidden="false" customHeight="true" outlineLevel="0" collapsed="false">
      <c r="A130" s="40" t="n">
        <v>45523</v>
      </c>
      <c r="B130" s="41" t="n">
        <f aca="false">YEAR(A130)</f>
        <v>2024</v>
      </c>
      <c r="C130" s="42" t="str">
        <f aca="false">"Q"&amp;ROUNDUP(MONTH(A130)/3,0)</f>
        <v>Q3</v>
      </c>
      <c r="D130" s="42" t="str">
        <f aca="false">B130&amp;" Q"&amp;ROUNDUP(MONTH(A130)/3,0)</f>
        <v>2024 Q3</v>
      </c>
      <c r="E130" s="42" t="n">
        <v>1</v>
      </c>
      <c r="F130" s="42" t="s">
        <v>88</v>
      </c>
      <c r="G130" s="42"/>
      <c r="H130" s="42" t="s">
        <v>332</v>
      </c>
      <c r="I130" s="42" t="s">
        <v>333</v>
      </c>
      <c r="J130" s="42" t="s">
        <v>113</v>
      </c>
      <c r="K130" s="42" t="s">
        <v>93</v>
      </c>
      <c r="L130" s="43" t="n">
        <v>10822</v>
      </c>
      <c r="M130" s="44" t="n">
        <v>792244.15</v>
      </c>
      <c r="N130" s="44" t="n">
        <f aca="false">E130*M130</f>
        <v>792244.15</v>
      </c>
      <c r="O130" s="43" t="n">
        <v>12719</v>
      </c>
      <c r="P130" s="45" t="n">
        <v>0.85</v>
      </c>
      <c r="Q130" s="46" t="n">
        <v>30</v>
      </c>
      <c r="R130" s="46" t="n">
        <v>150</v>
      </c>
      <c r="S130" s="46" t="n">
        <v>73.21</v>
      </c>
    </row>
    <row r="131" customFormat="false" ht="15" hidden="false" customHeight="true" outlineLevel="0" collapsed="false">
      <c r="A131" s="47" t="n">
        <v>45534</v>
      </c>
      <c r="B131" s="48" t="n">
        <f aca="false">YEAR(A131)</f>
        <v>2024</v>
      </c>
      <c r="C131" s="49" t="str">
        <f aca="false">"Q"&amp;ROUNDUP(MONTH(A131)/3,0)</f>
        <v>Q3</v>
      </c>
      <c r="D131" s="49" t="str">
        <f aca="false">B131&amp;" Q"&amp;ROUNDUP(MONTH(A131)/3,0)</f>
        <v>2024 Q3</v>
      </c>
      <c r="E131" s="49" t="n">
        <v>1</v>
      </c>
      <c r="F131" s="49" t="s">
        <v>334</v>
      </c>
      <c r="G131" s="49"/>
      <c r="H131" s="49" t="s">
        <v>335</v>
      </c>
      <c r="I131" s="49" t="s">
        <v>123</v>
      </c>
      <c r="J131" s="49" t="s">
        <v>124</v>
      </c>
      <c r="K131" s="49" t="s">
        <v>125</v>
      </c>
      <c r="L131" s="50" t="n">
        <v>178</v>
      </c>
      <c r="M131" s="51" t="n">
        <v>4450.23</v>
      </c>
      <c r="N131" s="51" t="n">
        <f aca="false">E131*M131</f>
        <v>4450.23</v>
      </c>
      <c r="O131" s="50" t="n">
        <v>269</v>
      </c>
      <c r="P131" s="52" t="n">
        <v>0.66</v>
      </c>
      <c r="Q131" s="53" t="n">
        <v>21.69</v>
      </c>
      <c r="R131" s="53" t="n">
        <v>27.8</v>
      </c>
      <c r="S131" s="53" t="n">
        <v>25</v>
      </c>
    </row>
    <row r="132" customFormat="false" ht="15" hidden="false" customHeight="true" outlineLevel="0" collapsed="false">
      <c r="A132" s="40" t="n">
        <v>45548</v>
      </c>
      <c r="B132" s="41" t="n">
        <f aca="false">YEAR(A132)</f>
        <v>2024</v>
      </c>
      <c r="C132" s="42" t="str">
        <f aca="false">"Q"&amp;ROUNDUP(MONTH(A132)/3,0)</f>
        <v>Q3</v>
      </c>
      <c r="D132" s="42" t="str">
        <f aca="false">B132&amp;" Q"&amp;ROUNDUP(MONTH(A132)/3,0)</f>
        <v>2024 Q3</v>
      </c>
      <c r="E132" s="42" t="n">
        <v>1</v>
      </c>
      <c r="F132" s="42" t="s">
        <v>88</v>
      </c>
      <c r="G132" s="42"/>
      <c r="H132" s="42" t="s">
        <v>174</v>
      </c>
      <c r="I132" s="42" t="s">
        <v>175</v>
      </c>
      <c r="J132" s="42" t="s">
        <v>139</v>
      </c>
      <c r="K132" s="42" t="s">
        <v>93</v>
      </c>
      <c r="L132" s="43" t="n">
        <v>12991</v>
      </c>
      <c r="M132" s="44" t="n">
        <v>1047727.5</v>
      </c>
      <c r="N132" s="44" t="n">
        <f aca="false">E132*M132</f>
        <v>1047727.5</v>
      </c>
      <c r="O132" s="43" t="n">
        <v>12991</v>
      </c>
      <c r="P132" s="45" t="n">
        <v>1</v>
      </c>
      <c r="Q132" s="46" t="n">
        <v>30.5</v>
      </c>
      <c r="R132" s="46" t="n">
        <v>255.5</v>
      </c>
      <c r="S132" s="46" t="n">
        <v>80.65</v>
      </c>
    </row>
    <row r="133" customFormat="false" ht="15" hidden="false" customHeight="true" outlineLevel="0" collapsed="false">
      <c r="A133" s="47" t="n">
        <v>45555</v>
      </c>
      <c r="B133" s="48" t="n">
        <f aca="false">YEAR(A133)</f>
        <v>2024</v>
      </c>
      <c r="C133" s="49" t="str">
        <f aca="false">"Q"&amp;ROUNDUP(MONTH(A133)/3,0)</f>
        <v>Q3</v>
      </c>
      <c r="D133" s="49" t="str">
        <f aca="false">B133&amp;" Q"&amp;ROUNDUP(MONTH(A133)/3,0)</f>
        <v>2024 Q3</v>
      </c>
      <c r="E133" s="49" t="n">
        <v>1</v>
      </c>
      <c r="F133" s="49" t="s">
        <v>88</v>
      </c>
      <c r="G133" s="49" t="s">
        <v>336</v>
      </c>
      <c r="H133" s="49" t="s">
        <v>63</v>
      </c>
      <c r="I133" s="49" t="s">
        <v>64</v>
      </c>
      <c r="J133" s="49" t="s">
        <v>165</v>
      </c>
      <c r="K133" s="49" t="s">
        <v>93</v>
      </c>
      <c r="L133" s="50" t="n">
        <v>13149</v>
      </c>
      <c r="M133" s="51" t="n">
        <v>917453</v>
      </c>
      <c r="N133" s="51" t="n">
        <f aca="false">E133*M133</f>
        <v>917453</v>
      </c>
      <c r="O133" s="50" t="n">
        <v>13149</v>
      </c>
      <c r="P133" s="52" t="n">
        <v>1</v>
      </c>
      <c r="Q133" s="53" t="n">
        <v>25</v>
      </c>
      <c r="R133" s="53" t="n">
        <v>225</v>
      </c>
      <c r="S133" s="53" t="n">
        <v>69.77</v>
      </c>
    </row>
    <row r="134" customFormat="false" ht="15" hidden="false" customHeight="true" outlineLevel="0" collapsed="false">
      <c r="A134" s="40" t="n">
        <v>45558</v>
      </c>
      <c r="B134" s="41" t="n">
        <f aca="false">YEAR(A134)</f>
        <v>2024</v>
      </c>
      <c r="C134" s="42" t="str">
        <f aca="false">"Q"&amp;ROUNDUP(MONTH(A134)/3,0)</f>
        <v>Q3</v>
      </c>
      <c r="D134" s="42" t="str">
        <f aca="false">B134&amp;" Q"&amp;ROUNDUP(MONTH(A134)/3,0)</f>
        <v>2024 Q3</v>
      </c>
      <c r="E134" s="42" t="n">
        <v>1</v>
      </c>
      <c r="F134" s="42" t="s">
        <v>88</v>
      </c>
      <c r="G134" s="42"/>
      <c r="H134" s="42" t="s">
        <v>242</v>
      </c>
      <c r="I134" s="42" t="s">
        <v>129</v>
      </c>
      <c r="J134" s="42" t="s">
        <v>165</v>
      </c>
      <c r="K134" s="42" t="s">
        <v>93</v>
      </c>
      <c r="L134" s="43" t="n">
        <v>8080</v>
      </c>
      <c r="M134" s="44" t="n">
        <v>999372.86</v>
      </c>
      <c r="N134" s="44" t="n">
        <f aca="false">E134*M134</f>
        <v>999372.86</v>
      </c>
      <c r="O134" s="43" t="n">
        <v>8080</v>
      </c>
      <c r="P134" s="45" t="n">
        <v>1</v>
      </c>
      <c r="Q134" s="46" t="n">
        <v>30</v>
      </c>
      <c r="R134" s="46" t="n">
        <v>250</v>
      </c>
      <c r="S134" s="46" t="n">
        <v>123.68</v>
      </c>
    </row>
    <row r="135" customFormat="false" ht="15" hidden="false" customHeight="true" outlineLevel="0" collapsed="false">
      <c r="A135" s="47" t="n">
        <v>45562</v>
      </c>
      <c r="B135" s="48" t="n">
        <f aca="false">YEAR(A135)</f>
        <v>2024</v>
      </c>
      <c r="C135" s="49" t="str">
        <f aca="false">"Q"&amp;ROUNDUP(MONTH(A135)/3,0)</f>
        <v>Q3</v>
      </c>
      <c r="D135" s="49" t="str">
        <f aca="false">B135&amp;" Q"&amp;ROUNDUP(MONTH(A135)/3,0)</f>
        <v>2024 Q3</v>
      </c>
      <c r="E135" s="49" t="n">
        <v>1</v>
      </c>
      <c r="F135" s="49" t="s">
        <v>88</v>
      </c>
      <c r="G135" s="49" t="s">
        <v>337</v>
      </c>
      <c r="H135" s="49" t="s">
        <v>253</v>
      </c>
      <c r="I135" s="49" t="s">
        <v>254</v>
      </c>
      <c r="J135" s="49" t="s">
        <v>107</v>
      </c>
      <c r="K135" s="49" t="s">
        <v>93</v>
      </c>
      <c r="L135" s="50" t="n">
        <v>7821</v>
      </c>
      <c r="M135" s="51" t="n">
        <v>449275</v>
      </c>
      <c r="N135" s="51" t="n">
        <f aca="false">E135*M135</f>
        <v>449275</v>
      </c>
      <c r="O135" s="50" t="n">
        <v>11937</v>
      </c>
      <c r="P135" s="52" t="n">
        <v>0.65</v>
      </c>
      <c r="Q135" s="53" t="n">
        <v>25</v>
      </c>
      <c r="R135" s="53" t="n">
        <v>150</v>
      </c>
      <c r="S135" s="53" t="n">
        <v>57.44</v>
      </c>
    </row>
    <row r="136" customFormat="false" ht="15" hidden="false" customHeight="true" outlineLevel="0" collapsed="false">
      <c r="A136" s="40" t="n">
        <v>45566</v>
      </c>
      <c r="B136" s="41" t="n">
        <f aca="false">YEAR(A136)</f>
        <v>2024</v>
      </c>
      <c r="C136" s="42" t="str">
        <f aca="false">"Q"&amp;ROUNDUP(MONTH(A136)/3,0)</f>
        <v>Q4</v>
      </c>
      <c r="D136" s="42" t="str">
        <f aca="false">B136&amp;" Q"&amp;ROUNDUP(MONTH(A136)/3,0)</f>
        <v>2024 Q4</v>
      </c>
      <c r="E136" s="42" t="n">
        <v>1</v>
      </c>
      <c r="F136" s="42" t="s">
        <v>88</v>
      </c>
      <c r="G136" s="42" t="s">
        <v>338</v>
      </c>
      <c r="H136" s="42" t="s">
        <v>181</v>
      </c>
      <c r="I136" s="42" t="s">
        <v>182</v>
      </c>
      <c r="J136" s="42" t="s">
        <v>136</v>
      </c>
      <c r="K136" s="42" t="s">
        <v>93</v>
      </c>
      <c r="L136" s="43" t="n">
        <v>7458</v>
      </c>
      <c r="M136" s="44" t="n">
        <v>450225</v>
      </c>
      <c r="N136" s="44" t="n">
        <f aca="false">E136*M136</f>
        <v>450225</v>
      </c>
      <c r="O136" s="43" t="n">
        <v>12526</v>
      </c>
      <c r="P136" s="45" t="n">
        <v>0.59</v>
      </c>
      <c r="Q136" s="46" t="n">
        <v>25</v>
      </c>
      <c r="R136" s="46" t="n">
        <v>250</v>
      </c>
      <c r="S136" s="46" t="n">
        <v>60.37</v>
      </c>
    </row>
    <row r="137" customFormat="false" ht="15" hidden="false" customHeight="true" outlineLevel="0" collapsed="false">
      <c r="A137" s="47" t="n">
        <v>45569</v>
      </c>
      <c r="B137" s="48" t="n">
        <f aca="false">YEAR(A137)</f>
        <v>2024</v>
      </c>
      <c r="C137" s="49" t="str">
        <f aca="false">"Q"&amp;ROUNDUP(MONTH(A137)/3,0)</f>
        <v>Q4</v>
      </c>
      <c r="D137" s="49" t="str">
        <f aca="false">B137&amp;" Q"&amp;ROUNDUP(MONTH(A137)/3,0)</f>
        <v>2024 Q4</v>
      </c>
      <c r="E137" s="49" t="n">
        <v>1</v>
      </c>
      <c r="F137" s="49" t="s">
        <v>88</v>
      </c>
      <c r="G137" s="49" t="s">
        <v>337</v>
      </c>
      <c r="H137" s="49" t="s">
        <v>90</v>
      </c>
      <c r="I137" s="49" t="s">
        <v>91</v>
      </c>
      <c r="J137" s="49" t="s">
        <v>92</v>
      </c>
      <c r="K137" s="49" t="s">
        <v>93</v>
      </c>
      <c r="L137" s="50" t="n">
        <v>10571</v>
      </c>
      <c r="M137" s="51" t="n">
        <v>755907.75</v>
      </c>
      <c r="N137" s="51" t="n">
        <f aca="false">E137*M137</f>
        <v>755907.75</v>
      </c>
      <c r="O137" s="50" t="n">
        <v>11172</v>
      </c>
      <c r="P137" s="52" t="n">
        <v>0.94</v>
      </c>
      <c r="Q137" s="53" t="n">
        <v>30.57</v>
      </c>
      <c r="R137" s="53" t="n">
        <v>257.75</v>
      </c>
      <c r="S137" s="53" t="n">
        <v>71.51</v>
      </c>
    </row>
    <row r="138" customFormat="false" ht="15" hidden="false" customHeight="true" outlineLevel="0" collapsed="false">
      <c r="A138" s="40" t="n">
        <v>45570</v>
      </c>
      <c r="B138" s="41" t="n">
        <f aca="false">YEAR(A138)</f>
        <v>2024</v>
      </c>
      <c r="C138" s="42" t="str">
        <f aca="false">"Q"&amp;ROUNDUP(MONTH(A138)/3,0)</f>
        <v>Q4</v>
      </c>
      <c r="D138" s="42" t="str">
        <f aca="false">B138&amp;" Q"&amp;ROUNDUP(MONTH(A138)/3,0)</f>
        <v>2024 Q4</v>
      </c>
      <c r="E138" s="42" t="n">
        <v>1</v>
      </c>
      <c r="F138" s="42" t="s">
        <v>88</v>
      </c>
      <c r="G138" s="42"/>
      <c r="H138" s="42" t="s">
        <v>65</v>
      </c>
      <c r="I138" s="42" t="s">
        <v>66</v>
      </c>
      <c r="J138" s="42" t="s">
        <v>208</v>
      </c>
      <c r="K138" s="42" t="s">
        <v>93</v>
      </c>
      <c r="L138" s="43" t="n">
        <v>15141</v>
      </c>
      <c r="M138" s="44" t="n">
        <v>2343970</v>
      </c>
      <c r="N138" s="44" t="n">
        <f aca="false">E138*M138</f>
        <v>2343970</v>
      </c>
      <c r="O138" s="43" t="n">
        <v>15141</v>
      </c>
      <c r="P138" s="45" t="n">
        <v>1</v>
      </c>
      <c r="Q138" s="46" t="n">
        <v>50</v>
      </c>
      <c r="R138" s="46" t="n">
        <v>1000</v>
      </c>
      <c r="S138" s="46" t="n">
        <v>154.81</v>
      </c>
    </row>
    <row r="139" customFormat="false" ht="15" hidden="false" customHeight="true" outlineLevel="0" collapsed="false">
      <c r="A139" s="47" t="n">
        <v>45576</v>
      </c>
      <c r="B139" s="48" t="n">
        <f aca="false">YEAR(A139)</f>
        <v>2024</v>
      </c>
      <c r="C139" s="49" t="str">
        <f aca="false">"Q"&amp;ROUNDUP(MONTH(A139)/3,0)</f>
        <v>Q4</v>
      </c>
      <c r="D139" s="49" t="str">
        <f aca="false">B139&amp;" Q"&amp;ROUNDUP(MONTH(A139)/3,0)</f>
        <v>2024 Q4</v>
      </c>
      <c r="E139" s="49" t="n">
        <v>1</v>
      </c>
      <c r="F139" s="49" t="s">
        <v>88</v>
      </c>
      <c r="G139" s="49" t="s">
        <v>339</v>
      </c>
      <c r="H139" s="49" t="s">
        <v>304</v>
      </c>
      <c r="I139" s="49" t="s">
        <v>305</v>
      </c>
      <c r="J139" s="49" t="s">
        <v>306</v>
      </c>
      <c r="K139" s="49" t="s">
        <v>93</v>
      </c>
      <c r="L139" s="50" t="n">
        <v>7160</v>
      </c>
      <c r="M139" s="51" t="n">
        <v>501675</v>
      </c>
      <c r="N139" s="51" t="n">
        <f aca="false">E139*M139</f>
        <v>501675</v>
      </c>
      <c r="O139" s="50" t="n">
        <v>14059</v>
      </c>
      <c r="P139" s="52" t="n">
        <v>0.5</v>
      </c>
      <c r="Q139" s="53" t="n">
        <v>20</v>
      </c>
      <c r="R139" s="53" t="n">
        <v>135</v>
      </c>
      <c r="S139" s="53" t="n">
        <v>70.07</v>
      </c>
    </row>
    <row r="140" customFormat="false" ht="15" hidden="false" customHeight="true" outlineLevel="0" collapsed="false">
      <c r="A140" s="40" t="n">
        <v>45577</v>
      </c>
      <c r="B140" s="41" t="n">
        <f aca="false">YEAR(A140)</f>
        <v>2024</v>
      </c>
      <c r="C140" s="42" t="str">
        <f aca="false">"Q"&amp;ROUNDUP(MONTH(A140)/3,0)</f>
        <v>Q4</v>
      </c>
      <c r="D140" s="42" t="str">
        <f aca="false">B140&amp;" Q"&amp;ROUNDUP(MONTH(A140)/3,0)</f>
        <v>2024 Q4</v>
      </c>
      <c r="E140" s="42" t="n">
        <v>1</v>
      </c>
      <c r="F140" s="42" t="s">
        <v>340</v>
      </c>
      <c r="G140" s="42"/>
      <c r="H140" s="42" t="s">
        <v>335</v>
      </c>
      <c r="I140" s="42" t="s">
        <v>123</v>
      </c>
      <c r="J140" s="42" t="s">
        <v>124</v>
      </c>
      <c r="K140" s="42" t="s">
        <v>125</v>
      </c>
      <c r="L140" s="43" t="n">
        <v>200</v>
      </c>
      <c r="M140" s="44" t="n">
        <v>4030.35</v>
      </c>
      <c r="N140" s="44" t="n">
        <f aca="false">E140*M140</f>
        <v>4030.35</v>
      </c>
      <c r="O140" s="43" t="n">
        <v>200</v>
      </c>
      <c r="P140" s="45" t="n">
        <v>1</v>
      </c>
      <c r="Q140" s="46" t="n">
        <v>20.15</v>
      </c>
      <c r="R140" s="46" t="n">
        <v>20.15</v>
      </c>
      <c r="S140" s="46" t="n">
        <v>20.15</v>
      </c>
    </row>
    <row r="141" customFormat="false" ht="15" hidden="false" customHeight="true" outlineLevel="0" collapsed="false">
      <c r="A141" s="47" t="n">
        <v>45583</v>
      </c>
      <c r="B141" s="48" t="n">
        <f aca="false">YEAR(A141)</f>
        <v>2024</v>
      </c>
      <c r="C141" s="49" t="str">
        <f aca="false">"Q"&amp;ROUNDUP(MONTH(A141)/3,0)</f>
        <v>Q4</v>
      </c>
      <c r="D141" s="49" t="str">
        <f aca="false">B141&amp;" Q"&amp;ROUNDUP(MONTH(A141)/3,0)</f>
        <v>2024 Q4</v>
      </c>
      <c r="E141" s="49" t="n">
        <v>1</v>
      </c>
      <c r="F141" s="49" t="s">
        <v>88</v>
      </c>
      <c r="G141" s="49"/>
      <c r="H141" s="49" t="s">
        <v>341</v>
      </c>
      <c r="I141" s="49" t="s">
        <v>342</v>
      </c>
      <c r="J141" s="49" t="s">
        <v>306</v>
      </c>
      <c r="K141" s="49" t="s">
        <v>93</v>
      </c>
      <c r="L141" s="50" t="n">
        <v>9656</v>
      </c>
      <c r="M141" s="51" t="n">
        <v>575520</v>
      </c>
      <c r="N141" s="51" t="n">
        <f aca="false">E141*M141</f>
        <v>575520</v>
      </c>
      <c r="O141" s="50" t="n">
        <v>11225</v>
      </c>
      <c r="P141" s="52" t="n">
        <v>0.86</v>
      </c>
      <c r="Q141" s="53" t="n">
        <v>20</v>
      </c>
      <c r="R141" s="53" t="n">
        <v>175</v>
      </c>
      <c r="S141" s="53" t="n">
        <v>59.6</v>
      </c>
    </row>
    <row r="142" customFormat="false" ht="15" hidden="false" customHeight="true" outlineLevel="0" collapsed="false">
      <c r="A142" s="40" t="n">
        <v>45586</v>
      </c>
      <c r="B142" s="41" t="n">
        <f aca="false">YEAR(A142)</f>
        <v>2024</v>
      </c>
      <c r="C142" s="42" t="str">
        <f aca="false">"Q"&amp;ROUNDUP(MONTH(A142)/3,0)</f>
        <v>Q4</v>
      </c>
      <c r="D142" s="42" t="str">
        <f aca="false">B142&amp;" Q"&amp;ROUNDUP(MONTH(A142)/3,0)</f>
        <v>2024 Q4</v>
      </c>
      <c r="E142" s="42" t="n">
        <v>1</v>
      </c>
      <c r="F142" s="42" t="s">
        <v>88</v>
      </c>
      <c r="G142" s="42"/>
      <c r="H142" s="42" t="s">
        <v>104</v>
      </c>
      <c r="I142" s="42" t="s">
        <v>105</v>
      </c>
      <c r="J142" s="42" t="s">
        <v>106</v>
      </c>
      <c r="K142" s="42" t="s">
        <v>93</v>
      </c>
      <c r="L142" s="43" t="n">
        <v>11698</v>
      </c>
      <c r="M142" s="44" t="n">
        <v>1330992</v>
      </c>
      <c r="N142" s="44" t="n">
        <f aca="false">E142*M142</f>
        <v>1330992</v>
      </c>
      <c r="O142" s="43" t="n">
        <v>12178</v>
      </c>
      <c r="P142" s="45" t="n">
        <v>0.96</v>
      </c>
      <c r="Q142" s="46" t="n">
        <v>35</v>
      </c>
      <c r="R142" s="46" t="n">
        <v>700</v>
      </c>
      <c r="S142" s="46" t="n">
        <v>113.78</v>
      </c>
    </row>
    <row r="143" customFormat="false" ht="15" hidden="false" customHeight="true" outlineLevel="0" collapsed="false">
      <c r="A143" s="47" t="n">
        <v>45590</v>
      </c>
      <c r="B143" s="48" t="n">
        <f aca="false">YEAR(A143)</f>
        <v>2024</v>
      </c>
      <c r="C143" s="49" t="str">
        <f aca="false">"Q"&amp;ROUNDUP(MONTH(A143)/3,0)</f>
        <v>Q4</v>
      </c>
      <c r="D143" s="49" t="str">
        <f aca="false">B143&amp;" Q"&amp;ROUNDUP(MONTH(A143)/3,0)</f>
        <v>2024 Q4</v>
      </c>
      <c r="E143" s="49" t="n">
        <v>1</v>
      </c>
      <c r="F143" s="49" t="s">
        <v>88</v>
      </c>
      <c r="G143" s="49" t="s">
        <v>343</v>
      </c>
      <c r="H143" s="49" t="s">
        <v>118</v>
      </c>
      <c r="I143" s="49" t="s">
        <v>119</v>
      </c>
      <c r="J143" s="49" t="s">
        <v>120</v>
      </c>
      <c r="K143" s="49" t="s">
        <v>93</v>
      </c>
      <c r="L143" s="50" t="n">
        <v>12391</v>
      </c>
      <c r="M143" s="51" t="n">
        <v>1549696</v>
      </c>
      <c r="N143" s="51" t="n">
        <f aca="false">E143*M143</f>
        <v>1549696</v>
      </c>
      <c r="O143" s="50" t="n">
        <v>12391</v>
      </c>
      <c r="P143" s="52" t="n">
        <v>1</v>
      </c>
      <c r="Q143" s="53" t="n">
        <v>40</v>
      </c>
      <c r="R143" s="53" t="n">
        <v>750</v>
      </c>
      <c r="S143" s="53" t="n">
        <v>125.07</v>
      </c>
    </row>
    <row r="144" customFormat="false" ht="15" hidden="false" customHeight="true" outlineLevel="0" collapsed="false">
      <c r="A144" s="40" t="n">
        <v>45604</v>
      </c>
      <c r="B144" s="41" t="n">
        <f aca="false">YEAR(A144)</f>
        <v>2024</v>
      </c>
      <c r="C144" s="42" t="str">
        <f aca="false">"Q"&amp;ROUNDUP(MONTH(A144)/3,0)</f>
        <v>Q4</v>
      </c>
      <c r="D144" s="42" t="str">
        <f aca="false">B144&amp;" Q"&amp;ROUNDUP(MONTH(A144)/3,0)</f>
        <v>2024 Q4</v>
      </c>
      <c r="E144" s="42" t="n">
        <v>1</v>
      </c>
      <c r="F144" s="42" t="s">
        <v>88</v>
      </c>
      <c r="G144" s="42"/>
      <c r="H144" s="42" t="s">
        <v>49</v>
      </c>
      <c r="I144" s="42" t="s">
        <v>50</v>
      </c>
      <c r="J144" s="42" t="s">
        <v>120</v>
      </c>
      <c r="K144" s="42" t="s">
        <v>93</v>
      </c>
      <c r="L144" s="43" t="n">
        <v>12256</v>
      </c>
      <c r="M144" s="44" t="n">
        <v>888235</v>
      </c>
      <c r="N144" s="44" t="n">
        <f aca="false">E144*M144</f>
        <v>888235</v>
      </c>
      <c r="O144" s="43" t="n">
        <v>12969</v>
      </c>
      <c r="P144" s="45" t="n">
        <v>0.94</v>
      </c>
      <c r="Q144" s="46" t="n">
        <v>30</v>
      </c>
      <c r="R144" s="46" t="n">
        <v>210</v>
      </c>
      <c r="S144" s="46" t="n">
        <v>72.47</v>
      </c>
    </row>
    <row r="145" customFormat="false" ht="15" hidden="false" customHeight="true" outlineLevel="0" collapsed="false">
      <c r="A145" s="47" t="n">
        <v>45611</v>
      </c>
      <c r="B145" s="48" t="n">
        <f aca="false">YEAR(A145)</f>
        <v>2024</v>
      </c>
      <c r="C145" s="49" t="str">
        <f aca="false">"Q"&amp;ROUNDUP(MONTH(A145)/3,0)</f>
        <v>Q4</v>
      </c>
      <c r="D145" s="49" t="str">
        <f aca="false">B145&amp;" Q"&amp;ROUNDUP(MONTH(A145)/3,0)</f>
        <v>2024 Q4</v>
      </c>
      <c r="E145" s="49" t="n">
        <v>1</v>
      </c>
      <c r="F145" s="49" t="s">
        <v>88</v>
      </c>
      <c r="G145" s="49"/>
      <c r="H145" s="49" t="s">
        <v>155</v>
      </c>
      <c r="I145" s="49" t="s">
        <v>156</v>
      </c>
      <c r="J145" s="49" t="s">
        <v>157</v>
      </c>
      <c r="K145" s="49" t="s">
        <v>93</v>
      </c>
      <c r="L145" s="50" t="n">
        <v>10346</v>
      </c>
      <c r="M145" s="51" t="n">
        <v>733195</v>
      </c>
      <c r="N145" s="51" t="n">
        <f aca="false">E145*M145</f>
        <v>733195</v>
      </c>
      <c r="O145" s="50" t="n">
        <v>10346</v>
      </c>
      <c r="P145" s="52" t="n">
        <v>1</v>
      </c>
      <c r="Q145" s="53" t="n">
        <v>40.5</v>
      </c>
      <c r="R145" s="53" t="n">
        <v>200</v>
      </c>
      <c r="S145" s="53" t="n">
        <v>70.87</v>
      </c>
    </row>
    <row r="146" customFormat="false" ht="15" hidden="false" customHeight="true" outlineLevel="0" collapsed="false">
      <c r="A146" s="40" t="n">
        <v>45611</v>
      </c>
      <c r="B146" s="41" t="n">
        <f aca="false">YEAR(A146)</f>
        <v>2024</v>
      </c>
      <c r="C146" s="42" t="str">
        <f aca="false">"Q"&amp;ROUNDUP(MONTH(A146)/3,0)</f>
        <v>Q4</v>
      </c>
      <c r="D146" s="42" t="str">
        <f aca="false">B146&amp;" Q"&amp;ROUNDUP(MONTH(A146)/3,0)</f>
        <v>2024 Q4</v>
      </c>
      <c r="E146" s="42" t="n">
        <v>1</v>
      </c>
      <c r="F146" s="42" t="s">
        <v>334</v>
      </c>
      <c r="G146" s="42"/>
      <c r="H146" s="42" t="s">
        <v>335</v>
      </c>
      <c r="I146" s="42" t="s">
        <v>123</v>
      </c>
      <c r="J146" s="42" t="s">
        <v>124</v>
      </c>
      <c r="K146" s="42" t="s">
        <v>125</v>
      </c>
      <c r="L146" s="43" t="n">
        <v>153</v>
      </c>
      <c r="M146" s="44" t="n">
        <v>3724.78</v>
      </c>
      <c r="N146" s="44" t="n">
        <f aca="false">E146*M146</f>
        <v>3724.78</v>
      </c>
      <c r="O146" s="43" t="n">
        <v>266</v>
      </c>
      <c r="P146" s="45" t="n">
        <v>0.57</v>
      </c>
      <c r="Q146" s="46" t="n">
        <v>20.8</v>
      </c>
      <c r="R146" s="46" t="n">
        <v>26.31</v>
      </c>
      <c r="S146" s="46" t="n">
        <v>24.34</v>
      </c>
    </row>
    <row r="147" customFormat="false" ht="15" hidden="false" customHeight="true" outlineLevel="0" collapsed="false">
      <c r="A147" s="47" t="n">
        <v>45628</v>
      </c>
      <c r="B147" s="48" t="n">
        <f aca="false">YEAR(A147)</f>
        <v>2024</v>
      </c>
      <c r="C147" s="49" t="str">
        <f aca="false">"Q"&amp;ROUNDUP(MONTH(A147)/3,0)</f>
        <v>Q4</v>
      </c>
      <c r="D147" s="49" t="str">
        <f aca="false">B147&amp;" Q"&amp;ROUNDUP(MONTH(A147)/3,0)</f>
        <v>2024 Q4</v>
      </c>
      <c r="E147" s="49" t="n">
        <v>1</v>
      </c>
      <c r="F147" s="49" t="s">
        <v>88</v>
      </c>
      <c r="G147" s="49" t="s">
        <v>344</v>
      </c>
      <c r="H147" s="49" t="s">
        <v>345</v>
      </c>
      <c r="I147" s="49" t="s">
        <v>346</v>
      </c>
      <c r="J147" s="49" t="s">
        <v>139</v>
      </c>
      <c r="K147" s="49" t="s">
        <v>93</v>
      </c>
      <c r="L147" s="50" t="n">
        <v>7381</v>
      </c>
      <c r="M147" s="51" t="n">
        <v>624595</v>
      </c>
      <c r="N147" s="51" t="n">
        <f aca="false">E147*M147</f>
        <v>624595</v>
      </c>
      <c r="O147" s="50" t="n">
        <v>7895</v>
      </c>
      <c r="P147" s="52" t="n">
        <v>0.93</v>
      </c>
      <c r="Q147" s="53" t="n">
        <v>30</v>
      </c>
      <c r="R147" s="53" t="n">
        <v>175</v>
      </c>
      <c r="S147" s="53" t="n">
        <v>84.62</v>
      </c>
    </row>
    <row r="148" customFormat="false" ht="15" hidden="false" customHeight="true" outlineLevel="0" collapsed="false">
      <c r="A148" s="40" t="n">
        <v>45635</v>
      </c>
      <c r="B148" s="41" t="n">
        <f aca="false">YEAR(A148)</f>
        <v>2024</v>
      </c>
      <c r="C148" s="42" t="str">
        <f aca="false">"Q"&amp;ROUNDUP(MONTH(A148)/3,0)</f>
        <v>Q4</v>
      </c>
      <c r="D148" s="42" t="str">
        <f aca="false">B148&amp;" Q"&amp;ROUNDUP(MONTH(A148)/3,0)</f>
        <v>2024 Q4</v>
      </c>
      <c r="E148" s="42" t="n">
        <v>1</v>
      </c>
      <c r="F148" s="42" t="s">
        <v>88</v>
      </c>
      <c r="G148" s="42" t="s">
        <v>347</v>
      </c>
      <c r="H148" s="42" t="s">
        <v>348</v>
      </c>
      <c r="I148" s="42" t="s">
        <v>349</v>
      </c>
      <c r="J148" s="42" t="s">
        <v>350</v>
      </c>
      <c r="K148" s="42" t="s">
        <v>93</v>
      </c>
      <c r="L148" s="43" t="n">
        <v>6049</v>
      </c>
      <c r="M148" s="44" t="n">
        <v>360563</v>
      </c>
      <c r="N148" s="44" t="n">
        <f aca="false">E148*M148</f>
        <v>360563</v>
      </c>
      <c r="O148" s="43" t="n">
        <v>9869</v>
      </c>
      <c r="P148" s="45" t="n">
        <v>0.61</v>
      </c>
      <c r="Q148" s="46" t="n">
        <v>25</v>
      </c>
      <c r="R148" s="46" t="n">
        <v>150</v>
      </c>
      <c r="S148" s="46" t="n">
        <v>59.61</v>
      </c>
    </row>
    <row r="149" customFormat="false" ht="15" hidden="false" customHeight="true" outlineLevel="0" collapsed="false">
      <c r="A149" s="47" t="n">
        <v>45642</v>
      </c>
      <c r="B149" s="48" t="n">
        <f aca="false">YEAR(A149)</f>
        <v>2024</v>
      </c>
      <c r="C149" s="49" t="str">
        <f aca="false">"Q"&amp;ROUNDUP(MONTH(A149)/3,0)</f>
        <v>Q4</v>
      </c>
      <c r="D149" s="49" t="str">
        <f aca="false">B149&amp;" Q"&amp;ROUNDUP(MONTH(A149)/3,0)</f>
        <v>2024 Q4</v>
      </c>
      <c r="E149" s="49" t="n">
        <v>1</v>
      </c>
      <c r="F149" s="49" t="s">
        <v>88</v>
      </c>
      <c r="G149" s="49" t="s">
        <v>351</v>
      </c>
      <c r="H149" s="49" t="s">
        <v>145</v>
      </c>
      <c r="I149" s="49" t="s">
        <v>146</v>
      </c>
      <c r="J149" s="49" t="s">
        <v>147</v>
      </c>
      <c r="K149" s="49" t="s">
        <v>93</v>
      </c>
      <c r="L149" s="50" t="n">
        <v>10459</v>
      </c>
      <c r="M149" s="51" t="n">
        <v>1131681</v>
      </c>
      <c r="N149" s="51" t="n">
        <f aca="false">E149*M149</f>
        <v>1131681</v>
      </c>
      <c r="O149" s="50" t="n">
        <v>10739</v>
      </c>
      <c r="P149" s="52" t="n">
        <v>0.97</v>
      </c>
      <c r="Q149" s="53" t="n">
        <v>36</v>
      </c>
      <c r="R149" s="53" t="n">
        <v>301</v>
      </c>
      <c r="S149" s="53" t="n">
        <v>108.2</v>
      </c>
    </row>
    <row r="150" customFormat="false" ht="15" hidden="false" customHeight="true" outlineLevel="0" collapsed="false">
      <c r="A150" s="40" t="n">
        <v>45652</v>
      </c>
      <c r="B150" s="41" t="n">
        <f aca="false">YEAR(A150)</f>
        <v>2024</v>
      </c>
      <c r="C150" s="42" t="str">
        <f aca="false">"Q"&amp;ROUNDUP(MONTH(A150)/3,0)</f>
        <v>Q4</v>
      </c>
      <c r="D150" s="42" t="str">
        <f aca="false">B150&amp;" Q"&amp;ROUNDUP(MONTH(A150)/3,0)</f>
        <v>2024 Q4</v>
      </c>
      <c r="E150" s="42" t="n">
        <v>1</v>
      </c>
      <c r="F150" s="42" t="s">
        <v>88</v>
      </c>
      <c r="G150" s="42"/>
      <c r="H150" s="42" t="s">
        <v>154</v>
      </c>
      <c r="I150" s="42" t="s">
        <v>120</v>
      </c>
      <c r="J150" s="42" t="s">
        <v>120</v>
      </c>
      <c r="K150" s="42" t="s">
        <v>93</v>
      </c>
      <c r="L150" s="43" t="n">
        <v>12524</v>
      </c>
      <c r="M150" s="44" t="n">
        <v>1238281</v>
      </c>
      <c r="N150" s="44" t="n">
        <f aca="false">E150*M150</f>
        <v>1238281</v>
      </c>
      <c r="O150" s="43" t="n">
        <v>14552</v>
      </c>
      <c r="P150" s="45" t="n">
        <v>0.86</v>
      </c>
      <c r="Q150" s="46" t="n">
        <v>47</v>
      </c>
      <c r="R150" s="46" t="n">
        <v>507</v>
      </c>
      <c r="S150" s="46" t="n">
        <v>98.87</v>
      </c>
    </row>
    <row r="151" customFormat="false" ht="15" hidden="false" customHeight="true" outlineLevel="0" collapsed="false">
      <c r="A151" s="47" t="n">
        <v>45653</v>
      </c>
      <c r="B151" s="48" t="n">
        <f aca="false">YEAR(A151)</f>
        <v>2024</v>
      </c>
      <c r="C151" s="49" t="str">
        <f aca="false">"Q"&amp;ROUNDUP(MONTH(A151)/3,0)</f>
        <v>Q4</v>
      </c>
      <c r="D151" s="49" t="str">
        <f aca="false">B151&amp;" Q"&amp;ROUNDUP(MONTH(A151)/3,0)</f>
        <v>2024 Q4</v>
      </c>
      <c r="E151" s="49" t="n">
        <v>1</v>
      </c>
      <c r="F151" s="49" t="s">
        <v>88</v>
      </c>
      <c r="G151" s="49" t="s">
        <v>337</v>
      </c>
      <c r="H151" s="49" t="s">
        <v>284</v>
      </c>
      <c r="I151" s="49" t="s">
        <v>285</v>
      </c>
      <c r="J151" s="49" t="s">
        <v>113</v>
      </c>
      <c r="K151" s="49" t="s">
        <v>93</v>
      </c>
      <c r="L151" s="50" t="n">
        <v>11559</v>
      </c>
      <c r="M151" s="51" t="n">
        <v>1107440.5</v>
      </c>
      <c r="N151" s="51" t="n">
        <f aca="false">E151*M151</f>
        <v>1107440.5</v>
      </c>
      <c r="O151" s="50" t="n">
        <v>11954</v>
      </c>
      <c r="P151" s="52" t="n">
        <v>0.96</v>
      </c>
      <c r="Q151" s="53" t="n">
        <v>25</v>
      </c>
      <c r="R151" s="53" t="n">
        <v>250</v>
      </c>
      <c r="S151" s="53" t="n">
        <v>95.81</v>
      </c>
    </row>
    <row r="152" customFormat="false" ht="15" hidden="false" customHeight="true" outlineLevel="0" collapsed="false">
      <c r="A152" s="40" t="n">
        <v>45654</v>
      </c>
      <c r="B152" s="41" t="n">
        <f aca="false">YEAR(A152)</f>
        <v>2024</v>
      </c>
      <c r="C152" s="42" t="str">
        <f aca="false">"Q"&amp;ROUNDUP(MONTH(A152)/3,0)</f>
        <v>Q4</v>
      </c>
      <c r="D152" s="42" t="str">
        <f aca="false">B152&amp;" Q"&amp;ROUNDUP(MONTH(A152)/3,0)</f>
        <v>2024 Q4</v>
      </c>
      <c r="E152" s="42" t="n">
        <v>1</v>
      </c>
      <c r="F152" s="42" t="s">
        <v>88</v>
      </c>
      <c r="G152" s="42" t="s">
        <v>352</v>
      </c>
      <c r="H152" s="42" t="s">
        <v>210</v>
      </c>
      <c r="I152" s="42" t="s">
        <v>211</v>
      </c>
      <c r="J152" s="42" t="s">
        <v>212</v>
      </c>
      <c r="K152" s="42" t="s">
        <v>93</v>
      </c>
      <c r="L152" s="43" t="n">
        <v>7349</v>
      </c>
      <c r="M152" s="44" t="n">
        <v>500262.5</v>
      </c>
      <c r="N152" s="44" t="n">
        <f aca="false">E152*M152</f>
        <v>500262.5</v>
      </c>
      <c r="O152" s="43" t="n">
        <v>8072</v>
      </c>
      <c r="P152" s="45" t="n">
        <v>0.91</v>
      </c>
      <c r="Q152" s="46" t="n">
        <v>30</v>
      </c>
      <c r="R152" s="46" t="n">
        <v>250</v>
      </c>
      <c r="S152" s="46" t="n">
        <v>68.07</v>
      </c>
    </row>
    <row r="153" customFormat="false" ht="15" hidden="false" customHeight="true" outlineLevel="0" collapsed="false">
      <c r="A153" s="47" t="n">
        <v>45655</v>
      </c>
      <c r="B153" s="48" t="n">
        <f aca="false">YEAR(A153)</f>
        <v>2024</v>
      </c>
      <c r="C153" s="49" t="str">
        <f aca="false">"Q"&amp;ROUNDUP(MONTH(A153)/3,0)</f>
        <v>Q4</v>
      </c>
      <c r="D153" s="49" t="str">
        <f aca="false">B153&amp;" Q"&amp;ROUNDUP(MONTH(A153)/3,0)</f>
        <v>2024 Q4</v>
      </c>
      <c r="E153" s="49" t="n">
        <v>1</v>
      </c>
      <c r="F153" s="49" t="s">
        <v>88</v>
      </c>
      <c r="G153" s="49"/>
      <c r="H153" s="49" t="s">
        <v>282</v>
      </c>
      <c r="I153" s="49" t="s">
        <v>283</v>
      </c>
      <c r="J153" s="49" t="s">
        <v>113</v>
      </c>
      <c r="K153" s="49" t="s">
        <v>93</v>
      </c>
      <c r="L153" s="50" t="n">
        <v>6619</v>
      </c>
      <c r="M153" s="51" t="n">
        <v>492911</v>
      </c>
      <c r="N153" s="51" t="n">
        <f aca="false">E153*M153</f>
        <v>492911</v>
      </c>
      <c r="O153" s="50" t="n">
        <v>6619</v>
      </c>
      <c r="P153" s="52" t="n">
        <v>1</v>
      </c>
      <c r="Q153" s="53" t="n">
        <v>25</v>
      </c>
      <c r="R153" s="53" t="n">
        <v>275</v>
      </c>
      <c r="S153" s="53" t="n">
        <v>74.47</v>
      </c>
    </row>
    <row r="154" customFormat="false" ht="15" hidden="false" customHeight="true" outlineLevel="0" collapsed="false">
      <c r="A154" s="40" t="n">
        <v>45655</v>
      </c>
      <c r="B154" s="41" t="n">
        <f aca="false">YEAR(A154)</f>
        <v>2024</v>
      </c>
      <c r="C154" s="42" t="str">
        <f aca="false">"Q"&amp;ROUNDUP(MONTH(A154)/3,0)</f>
        <v>Q4</v>
      </c>
      <c r="D154" s="42" t="str">
        <f aca="false">B154&amp;" Q"&amp;ROUNDUP(MONTH(A154)/3,0)</f>
        <v>2024 Q4</v>
      </c>
      <c r="E154" s="42" t="n">
        <v>1</v>
      </c>
      <c r="F154" s="42" t="s">
        <v>88</v>
      </c>
      <c r="G154" s="42"/>
      <c r="H154" s="42" t="s">
        <v>181</v>
      </c>
      <c r="I154" s="42" t="s">
        <v>182</v>
      </c>
      <c r="J154" s="42" t="s">
        <v>136</v>
      </c>
      <c r="K154" s="42" t="s">
        <v>93</v>
      </c>
      <c r="L154" s="43" t="n">
        <v>12153</v>
      </c>
      <c r="M154" s="44" t="n">
        <v>953187.5</v>
      </c>
      <c r="N154" s="44" t="n">
        <f aca="false">E154*M154</f>
        <v>953187.5</v>
      </c>
      <c r="O154" s="43" t="n">
        <v>12820</v>
      </c>
      <c r="P154" s="45" t="n">
        <v>0.94</v>
      </c>
      <c r="Q154" s="46" t="n">
        <v>30</v>
      </c>
      <c r="R154" s="46" t="n">
        <v>300</v>
      </c>
      <c r="S154" s="46" t="n">
        <v>78.43</v>
      </c>
    </row>
    <row r="155" customFormat="false" ht="15" hidden="false" customHeight="true" outlineLevel="0" collapsed="false">
      <c r="A155" s="47" t="n">
        <v>45656</v>
      </c>
      <c r="B155" s="48" t="n">
        <f aca="false">YEAR(A155)</f>
        <v>2024</v>
      </c>
      <c r="C155" s="49" t="str">
        <f aca="false">"Q"&amp;ROUNDUP(MONTH(A155)/3,0)</f>
        <v>Q4</v>
      </c>
      <c r="D155" s="49" t="str">
        <f aca="false">B155&amp;" Q"&amp;ROUNDUP(MONTH(A155)/3,0)</f>
        <v>2024 Q4</v>
      </c>
      <c r="E155" s="49" t="n">
        <v>1</v>
      </c>
      <c r="F155" s="49" t="s">
        <v>88</v>
      </c>
      <c r="G155" s="49"/>
      <c r="H155" s="49" t="s">
        <v>101</v>
      </c>
      <c r="I155" s="49" t="s">
        <v>102</v>
      </c>
      <c r="J155" s="49" t="s">
        <v>103</v>
      </c>
      <c r="K155" s="49" t="s">
        <v>93</v>
      </c>
      <c r="L155" s="50" t="n">
        <v>9437</v>
      </c>
      <c r="M155" s="51" t="n">
        <v>716965.75</v>
      </c>
      <c r="N155" s="51" t="n">
        <f aca="false">E155*M155</f>
        <v>716965.75</v>
      </c>
      <c r="O155" s="50" t="n">
        <v>13736</v>
      </c>
      <c r="P155" s="52" t="n">
        <v>0.68</v>
      </c>
      <c r="Q155" s="53" t="n">
        <v>25</v>
      </c>
      <c r="R155" s="53" t="n">
        <v>300</v>
      </c>
      <c r="S155" s="53" t="n">
        <v>75.97</v>
      </c>
    </row>
    <row r="156" customFormat="false" ht="15" hidden="false" customHeight="true" outlineLevel="0" collapsed="false">
      <c r="A156" s="40" t="n">
        <v>45660</v>
      </c>
      <c r="B156" s="41" t="n">
        <f aca="false">YEAR(A156)</f>
        <v>2025</v>
      </c>
      <c r="C156" s="42" t="str">
        <f aca="false">"Q"&amp;ROUNDUP(MONTH(A156)/3,0)</f>
        <v>Q1</v>
      </c>
      <c r="D156" s="42" t="str">
        <f aca="false">B156&amp;" Q"&amp;ROUNDUP(MONTH(A156)/3,0)</f>
        <v>2025 Q1</v>
      </c>
      <c r="E156" s="42" t="n">
        <v>1</v>
      </c>
      <c r="F156" s="42" t="s">
        <v>88</v>
      </c>
      <c r="G156" s="42" t="s">
        <v>353</v>
      </c>
      <c r="H156" s="42" t="s">
        <v>160</v>
      </c>
      <c r="I156" s="42" t="s">
        <v>161</v>
      </c>
      <c r="J156" s="42" t="s">
        <v>162</v>
      </c>
      <c r="K156" s="42" t="s">
        <v>93</v>
      </c>
      <c r="L156" s="43" t="n">
        <v>10201</v>
      </c>
      <c r="M156" s="44" t="n">
        <v>1094508.75</v>
      </c>
      <c r="N156" s="44" t="n">
        <f aca="false">E156*M156</f>
        <v>1094508.75</v>
      </c>
      <c r="O156" s="43" t="n">
        <v>11136</v>
      </c>
      <c r="P156" s="45" t="n">
        <v>0.91</v>
      </c>
      <c r="Q156" s="46" t="n">
        <v>35</v>
      </c>
      <c r="R156" s="46" t="n">
        <v>700</v>
      </c>
      <c r="S156" s="46" t="n">
        <v>107.29</v>
      </c>
    </row>
    <row r="157" customFormat="false" ht="15" hidden="false" customHeight="true" outlineLevel="0" collapsed="false">
      <c r="A157" s="47" t="n">
        <v>45663</v>
      </c>
      <c r="B157" s="48" t="n">
        <f aca="false">YEAR(A157)</f>
        <v>2025</v>
      </c>
      <c r="C157" s="49" t="str">
        <f aca="false">"Q"&amp;ROUNDUP(MONTH(A157)/3,0)</f>
        <v>Q1</v>
      </c>
      <c r="D157" s="49" t="str">
        <f aca="false">B157&amp;" Q"&amp;ROUNDUP(MONTH(A157)/3,0)</f>
        <v>2025 Q1</v>
      </c>
      <c r="E157" s="49" t="n">
        <v>1</v>
      </c>
      <c r="F157" s="49" t="s">
        <v>88</v>
      </c>
      <c r="G157" s="49"/>
      <c r="H157" s="49" t="s">
        <v>354</v>
      </c>
      <c r="I157" s="49" t="s">
        <v>168</v>
      </c>
      <c r="J157" s="49" t="s">
        <v>165</v>
      </c>
      <c r="K157" s="49" t="s">
        <v>93</v>
      </c>
      <c r="L157" s="50" t="n">
        <v>16313</v>
      </c>
      <c r="M157" s="51" t="n">
        <v>4898365</v>
      </c>
      <c r="N157" s="51" t="n">
        <f aca="false">E157*M157</f>
        <v>4898365</v>
      </c>
      <c r="O157" s="50" t="n">
        <v>16313</v>
      </c>
      <c r="P157" s="52" t="n">
        <v>1</v>
      </c>
      <c r="Q157" s="53" t="n">
        <v>300.27</v>
      </c>
      <c r="R157" s="53" t="n">
        <v>300.27</v>
      </c>
      <c r="S157" s="53" t="n">
        <v>300.27</v>
      </c>
    </row>
    <row r="158" customFormat="false" ht="15" hidden="false" customHeight="true" outlineLevel="0" collapsed="false">
      <c r="A158" s="40" t="n">
        <v>45667</v>
      </c>
      <c r="B158" s="41" t="n">
        <f aca="false">YEAR(A158)</f>
        <v>2025</v>
      </c>
      <c r="C158" s="42" t="str">
        <f aca="false">"Q"&amp;ROUNDUP(MONTH(A158)/3,0)</f>
        <v>Q1</v>
      </c>
      <c r="D158" s="42" t="str">
        <f aca="false">B158&amp;" Q"&amp;ROUNDUP(MONTH(A158)/3,0)</f>
        <v>2025 Q1</v>
      </c>
      <c r="E158" s="42" t="n">
        <v>1</v>
      </c>
      <c r="F158" s="42" t="s">
        <v>88</v>
      </c>
      <c r="G158" s="42" t="s">
        <v>355</v>
      </c>
      <c r="H158" s="42" t="s">
        <v>170</v>
      </c>
      <c r="I158" s="42" t="s">
        <v>171</v>
      </c>
      <c r="J158" s="42" t="s">
        <v>172</v>
      </c>
      <c r="K158" s="42" t="s">
        <v>93</v>
      </c>
      <c r="L158" s="43" t="n">
        <v>8872</v>
      </c>
      <c r="M158" s="44" t="n">
        <v>736257.5</v>
      </c>
      <c r="N158" s="44" t="n">
        <f aca="false">E158*M158</f>
        <v>736257.5</v>
      </c>
      <c r="O158" s="43" t="n">
        <v>12806</v>
      </c>
      <c r="P158" s="45" t="n">
        <v>0.69</v>
      </c>
      <c r="Q158" s="46" t="n">
        <v>35</v>
      </c>
      <c r="R158" s="46" t="n">
        <v>375</v>
      </c>
      <c r="S158" s="46" t="n">
        <v>82.99</v>
      </c>
    </row>
    <row r="159" customFormat="false" ht="15" hidden="false" customHeight="true" outlineLevel="0" collapsed="false">
      <c r="A159" s="47" t="n">
        <v>45670</v>
      </c>
      <c r="B159" s="48" t="n">
        <f aca="false">YEAR(A159)</f>
        <v>2025</v>
      </c>
      <c r="C159" s="49" t="str">
        <f aca="false">"Q"&amp;ROUNDUP(MONTH(A159)/3,0)</f>
        <v>Q1</v>
      </c>
      <c r="D159" s="49" t="str">
        <f aca="false">B159&amp;" Q"&amp;ROUNDUP(MONTH(A159)/3,0)</f>
        <v>2025 Q1</v>
      </c>
      <c r="E159" s="49" t="n">
        <v>1</v>
      </c>
      <c r="F159" s="49" t="s">
        <v>88</v>
      </c>
      <c r="G159" s="49"/>
      <c r="H159" s="49" t="s">
        <v>356</v>
      </c>
      <c r="I159" s="49" t="s">
        <v>247</v>
      </c>
      <c r="J159" s="49" t="s">
        <v>165</v>
      </c>
      <c r="K159" s="49" t="s">
        <v>93</v>
      </c>
      <c r="L159" s="50" t="n">
        <v>12489</v>
      </c>
      <c r="M159" s="51" t="n">
        <v>1233746</v>
      </c>
      <c r="N159" s="51" t="n">
        <f aca="false">E159*M159</f>
        <v>1233746</v>
      </c>
      <c r="O159" s="50" t="n">
        <v>12500</v>
      </c>
      <c r="P159" s="52" t="n">
        <v>0.99</v>
      </c>
      <c r="Q159" s="53" t="n">
        <v>44</v>
      </c>
      <c r="R159" s="53" t="n">
        <v>404</v>
      </c>
      <c r="S159" s="53" t="n">
        <v>98.79</v>
      </c>
    </row>
    <row r="160" customFormat="false" ht="15" hidden="false" customHeight="true" outlineLevel="0" collapsed="false">
      <c r="A160" s="40" t="n">
        <v>45674</v>
      </c>
      <c r="B160" s="41" t="n">
        <f aca="false">YEAR(A160)</f>
        <v>2025</v>
      </c>
      <c r="C160" s="42" t="str">
        <f aca="false">"Q"&amp;ROUNDUP(MONTH(A160)/3,0)</f>
        <v>Q1</v>
      </c>
      <c r="D160" s="42" t="str">
        <f aca="false">B160&amp;" Q"&amp;ROUNDUP(MONTH(A160)/3,0)</f>
        <v>2025 Q1</v>
      </c>
      <c r="E160" s="42" t="n">
        <v>1</v>
      </c>
      <c r="F160" s="42" t="s">
        <v>88</v>
      </c>
      <c r="G160" s="42"/>
      <c r="H160" s="42" t="s">
        <v>276</v>
      </c>
      <c r="I160" s="42" t="s">
        <v>277</v>
      </c>
      <c r="J160" s="42" t="s">
        <v>165</v>
      </c>
      <c r="K160" s="42" t="s">
        <v>93</v>
      </c>
      <c r="L160" s="43" t="n">
        <v>10474</v>
      </c>
      <c r="M160" s="44" t="n">
        <v>916157</v>
      </c>
      <c r="N160" s="44" t="n">
        <f aca="false">E160*M160</f>
        <v>916157</v>
      </c>
      <c r="O160" s="43" t="n">
        <v>10600</v>
      </c>
      <c r="P160" s="45" t="n">
        <v>0.98</v>
      </c>
      <c r="Q160" s="46" t="n">
        <v>35</v>
      </c>
      <c r="R160" s="46" t="n">
        <v>400</v>
      </c>
      <c r="S160" s="46" t="n">
        <v>87.47</v>
      </c>
    </row>
    <row r="161" customFormat="false" ht="15" hidden="false" customHeight="true" outlineLevel="0" collapsed="false">
      <c r="A161" s="47" t="n">
        <v>45677</v>
      </c>
      <c r="B161" s="48" t="n">
        <f aca="false">YEAR(A161)</f>
        <v>2025</v>
      </c>
      <c r="C161" s="49" t="str">
        <f aca="false">"Q"&amp;ROUNDUP(MONTH(A161)/3,0)</f>
        <v>Q1</v>
      </c>
      <c r="D161" s="49" t="str">
        <f aca="false">B161&amp;" Q"&amp;ROUNDUP(MONTH(A161)/3,0)</f>
        <v>2025 Q1</v>
      </c>
      <c r="E161" s="49" t="n">
        <v>1</v>
      </c>
      <c r="F161" s="49" t="s">
        <v>88</v>
      </c>
      <c r="G161" s="49"/>
      <c r="H161" s="49" t="s">
        <v>61</v>
      </c>
      <c r="I161" s="49" t="s">
        <v>62</v>
      </c>
      <c r="J161" s="49" t="s">
        <v>184</v>
      </c>
      <c r="K161" s="49" t="s">
        <v>93</v>
      </c>
      <c r="L161" s="50" t="n">
        <v>13133</v>
      </c>
      <c r="M161" s="51" t="n">
        <v>1440685</v>
      </c>
      <c r="N161" s="51" t="n">
        <f aca="false">E161*M161</f>
        <v>1440685</v>
      </c>
      <c r="O161" s="50" t="n">
        <v>13133</v>
      </c>
      <c r="P161" s="52" t="n">
        <v>1</v>
      </c>
      <c r="Q161" s="53" t="n">
        <v>40</v>
      </c>
      <c r="R161" s="53" t="n">
        <v>400</v>
      </c>
      <c r="S161" s="53" t="n">
        <v>109.7</v>
      </c>
    </row>
    <row r="162" customFormat="false" ht="15" hidden="false" customHeight="true" outlineLevel="0" collapsed="false">
      <c r="A162" s="40" t="n">
        <v>45682</v>
      </c>
      <c r="B162" s="41" t="n">
        <f aca="false">YEAR(A162)</f>
        <v>2025</v>
      </c>
      <c r="C162" s="42" t="str">
        <f aca="false">"Q"&amp;ROUNDUP(MONTH(A162)/3,0)</f>
        <v>Q1</v>
      </c>
      <c r="D162" s="42" t="str">
        <f aca="false">B162&amp;" Q"&amp;ROUNDUP(MONTH(A162)/3,0)</f>
        <v>2025 Q1</v>
      </c>
      <c r="E162" s="42" t="n">
        <v>1</v>
      </c>
      <c r="F162" s="42" t="s">
        <v>88</v>
      </c>
      <c r="G162" s="42"/>
      <c r="H162" s="42" t="s">
        <v>59</v>
      </c>
      <c r="I162" s="42" t="s">
        <v>60</v>
      </c>
      <c r="J162" s="42" t="s">
        <v>184</v>
      </c>
      <c r="K162" s="42" t="s">
        <v>93</v>
      </c>
      <c r="L162" s="43" t="n">
        <v>15330</v>
      </c>
      <c r="M162" s="44" t="n">
        <v>1615820</v>
      </c>
      <c r="N162" s="44" t="n">
        <f aca="false">E162*M162</f>
        <v>1615820</v>
      </c>
      <c r="O162" s="43" t="n">
        <v>15330</v>
      </c>
      <c r="P162" s="45" t="n">
        <v>1</v>
      </c>
      <c r="Q162" s="46" t="n">
        <v>35</v>
      </c>
      <c r="R162" s="46" t="n">
        <v>35</v>
      </c>
      <c r="S162" s="46" t="n">
        <v>105.4</v>
      </c>
    </row>
    <row r="163" customFormat="false" ht="15" hidden="false" customHeight="true" outlineLevel="0" collapsed="false">
      <c r="A163" s="47" t="n">
        <v>45684</v>
      </c>
      <c r="B163" s="48" t="n">
        <f aca="false">YEAR(A163)</f>
        <v>2025</v>
      </c>
      <c r="C163" s="49" t="str">
        <f aca="false">"Q"&amp;ROUNDUP(MONTH(A163)/3,0)</f>
        <v>Q1</v>
      </c>
      <c r="D163" s="49" t="str">
        <f aca="false">B163&amp;" Q"&amp;ROUNDUP(MONTH(A163)/3,0)</f>
        <v>2025 Q1</v>
      </c>
      <c r="E163" s="49" t="n">
        <v>1</v>
      </c>
      <c r="F163" s="49" t="s">
        <v>88</v>
      </c>
      <c r="G163" s="49" t="s">
        <v>357</v>
      </c>
      <c r="H163" s="49" t="s">
        <v>65</v>
      </c>
      <c r="I163" s="49" t="s">
        <v>66</v>
      </c>
      <c r="J163" s="49" t="s">
        <v>208</v>
      </c>
      <c r="K163" s="49" t="s">
        <v>93</v>
      </c>
      <c r="L163" s="50" t="n">
        <v>12835</v>
      </c>
      <c r="M163" s="51" t="n">
        <v>1299337.5</v>
      </c>
      <c r="N163" s="51" t="n">
        <f aca="false">E163*M163</f>
        <v>1299337.5</v>
      </c>
      <c r="O163" s="50" t="n">
        <v>12835</v>
      </c>
      <c r="P163" s="52" t="n">
        <v>1</v>
      </c>
      <c r="Q163" s="53" t="n">
        <v>50</v>
      </c>
      <c r="R163" s="53" t="n">
        <v>250</v>
      </c>
      <c r="S163" s="53" t="n">
        <v>101.23</v>
      </c>
    </row>
    <row r="164" customFormat="false" ht="15" hidden="false" customHeight="true" outlineLevel="0" collapsed="false">
      <c r="A164" s="40" t="n">
        <v>45688</v>
      </c>
      <c r="B164" s="41" t="n">
        <f aca="false">YEAR(A164)</f>
        <v>2025</v>
      </c>
      <c r="C164" s="42" t="str">
        <f aca="false">"Q"&amp;ROUNDUP(MONTH(A164)/3,0)</f>
        <v>Q1</v>
      </c>
      <c r="D164" s="42" t="str">
        <f aca="false">B164&amp;" Q"&amp;ROUNDUP(MONTH(A164)/3,0)</f>
        <v>2025 Q1</v>
      </c>
      <c r="E164" s="42" t="n">
        <v>1</v>
      </c>
      <c r="F164" s="42" t="s">
        <v>88</v>
      </c>
      <c r="G164" s="42"/>
      <c r="H164" s="42" t="s">
        <v>249</v>
      </c>
      <c r="I164" s="42" t="s">
        <v>250</v>
      </c>
      <c r="J164" s="42" t="s">
        <v>133</v>
      </c>
      <c r="K164" s="42" t="s">
        <v>93</v>
      </c>
      <c r="L164" s="43" t="n">
        <v>11549</v>
      </c>
      <c r="M164" s="44" t="n">
        <v>1117166</v>
      </c>
      <c r="N164" s="44" t="n">
        <f aca="false">E164*M164</f>
        <v>1117166</v>
      </c>
      <c r="O164" s="43" t="n">
        <v>11549</v>
      </c>
      <c r="P164" s="45" t="n">
        <v>1</v>
      </c>
      <c r="Q164" s="46" t="n">
        <v>44</v>
      </c>
      <c r="R164" s="46" t="n">
        <v>454</v>
      </c>
      <c r="S164" s="46" t="n">
        <v>96.73</v>
      </c>
    </row>
    <row r="165" customFormat="false" ht="15" hidden="false" customHeight="true" outlineLevel="0" collapsed="false">
      <c r="A165" s="47" t="n">
        <v>45698</v>
      </c>
      <c r="B165" s="48" t="n">
        <f aca="false">YEAR(A165)</f>
        <v>2025</v>
      </c>
      <c r="C165" s="49" t="str">
        <f aca="false">"Q"&amp;ROUNDUP(MONTH(A165)/3,0)</f>
        <v>Q1</v>
      </c>
      <c r="D165" s="49" t="str">
        <f aca="false">B165&amp;" Q"&amp;ROUNDUP(MONTH(A165)/3,0)</f>
        <v>2025 Q1</v>
      </c>
      <c r="E165" s="49" t="n">
        <v>1</v>
      </c>
      <c r="F165" s="49" t="s">
        <v>88</v>
      </c>
      <c r="G165" s="49"/>
      <c r="H165" s="49" t="s">
        <v>90</v>
      </c>
      <c r="I165" s="49" t="s">
        <v>91</v>
      </c>
      <c r="J165" s="49" t="s">
        <v>92</v>
      </c>
      <c r="K165" s="49" t="s">
        <v>93</v>
      </c>
      <c r="L165" s="50" t="n">
        <v>12452</v>
      </c>
      <c r="M165" s="51" t="n">
        <v>964235</v>
      </c>
      <c r="N165" s="51" t="n">
        <f aca="false">E165*M165</f>
        <v>964235</v>
      </c>
      <c r="O165" s="50" t="n">
        <v>12812</v>
      </c>
      <c r="P165" s="52" t="n">
        <v>0.97</v>
      </c>
      <c r="Q165" s="53" t="n">
        <v>26.75</v>
      </c>
      <c r="R165" s="53" t="n">
        <v>257.75</v>
      </c>
      <c r="S165" s="53" t="n">
        <v>77.44</v>
      </c>
    </row>
    <row r="166" customFormat="false" ht="15" hidden="false" customHeight="true" outlineLevel="0" collapsed="false">
      <c r="A166" s="40" t="n">
        <v>45702</v>
      </c>
      <c r="B166" s="41" t="n">
        <f aca="false">YEAR(A166)</f>
        <v>2025</v>
      </c>
      <c r="C166" s="42" t="str">
        <f aca="false">"Q"&amp;ROUNDUP(MONTH(A166)/3,0)</f>
        <v>Q1</v>
      </c>
      <c r="D166" s="42" t="str">
        <f aca="false">B166&amp;" Q"&amp;ROUNDUP(MONTH(A166)/3,0)</f>
        <v>2025 Q1</v>
      </c>
      <c r="E166" s="42" t="n">
        <v>1</v>
      </c>
      <c r="F166" s="42" t="s">
        <v>88</v>
      </c>
      <c r="G166" s="42" t="s">
        <v>358</v>
      </c>
      <c r="H166" s="42" t="s">
        <v>138</v>
      </c>
      <c r="I166" s="42" t="s">
        <v>139</v>
      </c>
      <c r="J166" s="42" t="s">
        <v>140</v>
      </c>
      <c r="K166" s="42" t="s">
        <v>93</v>
      </c>
      <c r="L166" s="43" t="n">
        <v>11569</v>
      </c>
      <c r="M166" s="44" t="n">
        <v>1250566.75</v>
      </c>
      <c r="N166" s="44" t="n">
        <f aca="false">E166*M166</f>
        <v>1250566.75</v>
      </c>
      <c r="O166" s="43" t="n">
        <v>12213</v>
      </c>
      <c r="P166" s="45" t="n">
        <v>0.94</v>
      </c>
      <c r="Q166" s="46" t="n">
        <v>45</v>
      </c>
      <c r="R166" s="46" t="n">
        <v>355</v>
      </c>
      <c r="S166" s="46" t="n">
        <v>108.1</v>
      </c>
    </row>
    <row r="167" customFormat="false" ht="15" hidden="false" customHeight="true" outlineLevel="0" collapsed="false">
      <c r="A167" s="47" t="n">
        <v>45705</v>
      </c>
      <c r="B167" s="48" t="n">
        <f aca="false">YEAR(A167)</f>
        <v>2025</v>
      </c>
      <c r="C167" s="49" t="str">
        <f aca="false">"Q"&amp;ROUNDUP(MONTH(A167)/3,0)</f>
        <v>Q1</v>
      </c>
      <c r="D167" s="49" t="str">
        <f aca="false">B167&amp;" Q"&amp;ROUNDUP(MONTH(A167)/3,0)</f>
        <v>2025 Q1</v>
      </c>
      <c r="E167" s="49" t="n">
        <v>1</v>
      </c>
      <c r="F167" s="49" t="s">
        <v>88</v>
      </c>
      <c r="G167" s="49"/>
      <c r="H167" s="49" t="s">
        <v>57</v>
      </c>
      <c r="I167" s="49" t="s">
        <v>58</v>
      </c>
      <c r="J167" s="49" t="s">
        <v>109</v>
      </c>
      <c r="K167" s="49" t="s">
        <v>93</v>
      </c>
      <c r="L167" s="50" t="n">
        <v>13721</v>
      </c>
      <c r="M167" s="51" t="n">
        <v>1213566</v>
      </c>
      <c r="N167" s="51" t="n">
        <f aca="false">E167*M167</f>
        <v>1213566</v>
      </c>
      <c r="O167" s="50" t="n">
        <v>14034</v>
      </c>
      <c r="P167" s="52" t="n">
        <v>0.97</v>
      </c>
      <c r="Q167" s="53" t="n">
        <v>38.5</v>
      </c>
      <c r="R167" s="53" t="n">
        <v>303.5</v>
      </c>
      <c r="S167" s="53" t="n">
        <v>88.45</v>
      </c>
    </row>
    <row r="168" customFormat="false" ht="15" hidden="false" customHeight="true" outlineLevel="0" collapsed="false">
      <c r="A168" s="40" t="n">
        <v>45719</v>
      </c>
      <c r="B168" s="41" t="n">
        <f aca="false">YEAR(A168)</f>
        <v>2025</v>
      </c>
      <c r="C168" s="42" t="str">
        <f aca="false">"Q"&amp;ROUNDUP(MONTH(A168)/3,0)</f>
        <v>Q1</v>
      </c>
      <c r="D168" s="42" t="str">
        <f aca="false">B168&amp;" Q"&amp;ROUNDUP(MONTH(A168)/3,0)</f>
        <v>2025 Q1</v>
      </c>
      <c r="E168" s="42" t="n">
        <v>1</v>
      </c>
      <c r="F168" s="42" t="s">
        <v>88</v>
      </c>
      <c r="G168" s="42"/>
      <c r="H168" s="42" t="s">
        <v>49</v>
      </c>
      <c r="I168" s="42" t="s">
        <v>50</v>
      </c>
      <c r="J168" s="42" t="s">
        <v>120</v>
      </c>
      <c r="K168" s="42" t="s">
        <v>93</v>
      </c>
      <c r="L168" s="43" t="n">
        <v>12879</v>
      </c>
      <c r="M168" s="44" t="n">
        <v>1170770</v>
      </c>
      <c r="N168" s="44" t="n">
        <f aca="false">E168*M168</f>
        <v>1170770</v>
      </c>
      <c r="O168" s="43" t="n">
        <v>12879</v>
      </c>
      <c r="P168" s="45" t="n">
        <v>1</v>
      </c>
      <c r="Q168" s="46" t="n">
        <v>25</v>
      </c>
      <c r="R168" s="46" t="n">
        <v>400</v>
      </c>
      <c r="S168" s="46" t="n">
        <v>90.91</v>
      </c>
    </row>
    <row r="169" customFormat="false" ht="15" hidden="false" customHeight="true" outlineLevel="0" collapsed="false">
      <c r="A169" s="47" t="n">
        <v>45723</v>
      </c>
      <c r="B169" s="48" t="n">
        <f aca="false">YEAR(A169)</f>
        <v>2025</v>
      </c>
      <c r="C169" s="49" t="str">
        <f aca="false">"Q"&amp;ROUNDUP(MONTH(A169)/3,0)</f>
        <v>Q1</v>
      </c>
      <c r="D169" s="49" t="str">
        <f aca="false">B169&amp;" Q"&amp;ROUNDUP(MONTH(A169)/3,0)</f>
        <v>2025 Q1</v>
      </c>
      <c r="E169" s="49" t="n">
        <v>1</v>
      </c>
      <c r="F169" s="49" t="s">
        <v>88</v>
      </c>
      <c r="G169" s="49"/>
      <c r="H169" s="49" t="s">
        <v>104</v>
      </c>
      <c r="I169" s="49" t="s">
        <v>105</v>
      </c>
      <c r="J169" s="49" t="s">
        <v>106</v>
      </c>
      <c r="K169" s="49" t="s">
        <v>93</v>
      </c>
      <c r="L169" s="50" t="n">
        <v>16033</v>
      </c>
      <c r="M169" s="51" t="n">
        <v>2002300</v>
      </c>
      <c r="N169" s="51" t="n">
        <f aca="false">E169*M169</f>
        <v>2002300</v>
      </c>
      <c r="O169" s="50" t="n">
        <v>16033</v>
      </c>
      <c r="P169" s="52" t="n">
        <v>1</v>
      </c>
      <c r="Q169" s="53" t="n">
        <v>50</v>
      </c>
      <c r="R169" s="53" t="n">
        <v>750</v>
      </c>
      <c r="S169" s="53" t="n">
        <v>124.89</v>
      </c>
    </row>
    <row r="170" customFormat="false" ht="15" hidden="false" customHeight="true" outlineLevel="0" collapsed="false">
      <c r="A170" s="40" t="n">
        <v>45751</v>
      </c>
      <c r="B170" s="41" t="n">
        <f aca="false">YEAR(A170)</f>
        <v>2025</v>
      </c>
      <c r="C170" s="42" t="str">
        <f aca="false">"Q"&amp;ROUNDUP(MONTH(A170)/3,0)</f>
        <v>Q2</v>
      </c>
      <c r="D170" s="42" t="str">
        <f aca="false">B170&amp;" Q"&amp;ROUNDUP(MONTH(A170)/3,0)</f>
        <v>2025 Q2</v>
      </c>
      <c r="E170" s="42" t="n">
        <v>1</v>
      </c>
      <c r="F170" s="42" t="s">
        <v>88</v>
      </c>
      <c r="G170" s="42" t="s">
        <v>359</v>
      </c>
      <c r="H170" s="42" t="s">
        <v>181</v>
      </c>
      <c r="I170" s="42" t="s">
        <v>182</v>
      </c>
      <c r="J170" s="42" t="s">
        <v>136</v>
      </c>
      <c r="K170" s="42" t="s">
        <v>93</v>
      </c>
      <c r="L170" s="43" t="n">
        <v>15364</v>
      </c>
      <c r="M170" s="44" t="n">
        <v>2293705</v>
      </c>
      <c r="N170" s="44" t="n">
        <f aca="false">E170*M170</f>
        <v>2293705</v>
      </c>
      <c r="O170" s="43" t="n">
        <v>15364</v>
      </c>
      <c r="P170" s="45" t="n">
        <v>1</v>
      </c>
      <c r="Q170" s="46" t="n">
        <v>65</v>
      </c>
      <c r="R170" s="46" t="n">
        <v>950</v>
      </c>
      <c r="S170" s="46" t="n">
        <v>149.29</v>
      </c>
    </row>
    <row r="171" customFormat="false" ht="15" hidden="false" customHeight="true" outlineLevel="0" collapsed="false">
      <c r="A171" s="47" t="n">
        <v>45758</v>
      </c>
      <c r="B171" s="48" t="n">
        <f aca="false">YEAR(A171)</f>
        <v>2025</v>
      </c>
      <c r="C171" s="49" t="str">
        <f aca="false">"Q"&amp;ROUNDUP(MONTH(A171)/3,0)</f>
        <v>Q2</v>
      </c>
      <c r="D171" s="49" t="str">
        <f aca="false">B171&amp;" Q"&amp;ROUNDUP(MONTH(A171)/3,0)</f>
        <v>2025 Q2</v>
      </c>
      <c r="E171" s="49" t="n">
        <v>1</v>
      </c>
      <c r="F171" s="49" t="s">
        <v>88</v>
      </c>
      <c r="G171" s="49"/>
      <c r="H171" s="49" t="s">
        <v>174</v>
      </c>
      <c r="I171" s="49" t="s">
        <v>175</v>
      </c>
      <c r="J171" s="49" t="s">
        <v>139</v>
      </c>
      <c r="K171" s="49" t="s">
        <v>93</v>
      </c>
      <c r="L171" s="50" t="n">
        <v>10322</v>
      </c>
      <c r="M171" s="51" t="n">
        <v>1323262.5</v>
      </c>
      <c r="N171" s="51" t="n">
        <f aca="false">E171*M171</f>
        <v>1323262.5</v>
      </c>
      <c r="O171" s="50" t="n">
        <v>12799</v>
      </c>
      <c r="P171" s="52" t="n">
        <v>0.8</v>
      </c>
      <c r="Q171" s="53" t="n">
        <v>55.5</v>
      </c>
      <c r="R171" s="53" t="n">
        <v>755.5</v>
      </c>
      <c r="S171" s="53" t="n">
        <v>128.2</v>
      </c>
    </row>
    <row r="172" customFormat="false" ht="15" hidden="false" customHeight="true" outlineLevel="0" collapsed="false">
      <c r="A172" s="40" t="n">
        <v>45761</v>
      </c>
      <c r="B172" s="41" t="n">
        <f aca="false">YEAR(A172)</f>
        <v>2025</v>
      </c>
      <c r="C172" s="42" t="str">
        <f aca="false">"Q"&amp;ROUNDUP(MONTH(A172)/3,0)</f>
        <v>Q2</v>
      </c>
      <c r="D172" s="42" t="str">
        <f aca="false">B172&amp;" Q"&amp;ROUNDUP(MONTH(A172)/3,0)</f>
        <v>2025 Q2</v>
      </c>
      <c r="E172" s="42" t="n">
        <v>1</v>
      </c>
      <c r="F172" s="42" t="s">
        <v>88</v>
      </c>
      <c r="G172" s="42" t="s">
        <v>360</v>
      </c>
      <c r="H172" s="42" t="s">
        <v>63</v>
      </c>
      <c r="I172" s="42" t="s">
        <v>64</v>
      </c>
      <c r="J172" s="42" t="s">
        <v>165</v>
      </c>
      <c r="K172" s="42" t="s">
        <v>93</v>
      </c>
      <c r="L172" s="43" t="n">
        <v>13435</v>
      </c>
      <c r="M172" s="44" t="n">
        <v>1697100</v>
      </c>
      <c r="N172" s="44" t="n">
        <f aca="false">E172*M172</f>
        <v>1697100</v>
      </c>
      <c r="O172" s="43" t="n">
        <v>13465</v>
      </c>
      <c r="P172" s="45" t="n">
        <v>0.99</v>
      </c>
      <c r="Q172" s="46" t="n">
        <v>50</v>
      </c>
      <c r="R172" s="46" t="n">
        <v>500</v>
      </c>
      <c r="S172" s="46" t="n">
        <v>126.32</v>
      </c>
    </row>
    <row r="173" customFormat="false" ht="15" hidden="false" customHeight="true" outlineLevel="0" collapsed="false">
      <c r="A173" s="47" t="n">
        <v>45765</v>
      </c>
      <c r="B173" s="48" t="n">
        <f aca="false">YEAR(A173)</f>
        <v>2025</v>
      </c>
      <c r="C173" s="49" t="str">
        <f aca="false">"Q"&amp;ROUNDUP(MONTH(A173)/3,0)</f>
        <v>Q2</v>
      </c>
      <c r="D173" s="49" t="str">
        <f aca="false">B173&amp;" Q"&amp;ROUNDUP(MONTH(A173)/3,0)</f>
        <v>2025 Q2</v>
      </c>
      <c r="E173" s="49" t="n">
        <v>1</v>
      </c>
      <c r="F173" s="49" t="s">
        <v>88</v>
      </c>
      <c r="G173" s="49" t="s">
        <v>361</v>
      </c>
      <c r="H173" s="49" t="s">
        <v>71</v>
      </c>
      <c r="I173" s="49" t="s">
        <v>72</v>
      </c>
      <c r="J173" s="49" t="s">
        <v>153</v>
      </c>
      <c r="K173" s="49" t="s">
        <v>93</v>
      </c>
      <c r="L173" s="50" t="n">
        <v>15956</v>
      </c>
      <c r="M173" s="51" t="n">
        <v>2503179</v>
      </c>
      <c r="N173" s="51" t="n">
        <f aca="false">E173*M173</f>
        <v>2503179</v>
      </c>
      <c r="O173" s="50" t="n">
        <v>15956</v>
      </c>
      <c r="P173" s="52" t="n">
        <v>1</v>
      </c>
      <c r="Q173" s="53" t="n">
        <v>82.3</v>
      </c>
      <c r="R173" s="53" t="n">
        <v>1368.5</v>
      </c>
      <c r="S173" s="53" t="n">
        <v>156.88</v>
      </c>
    </row>
    <row r="174" customFormat="false" ht="15" hidden="false" customHeight="true" outlineLevel="0" collapsed="false">
      <c r="A174" s="40" t="n">
        <v>45766</v>
      </c>
      <c r="B174" s="41" t="n">
        <f aca="false">YEAR(A174)</f>
        <v>2025</v>
      </c>
      <c r="C174" s="42" t="str">
        <f aca="false">"Q"&amp;ROUNDUP(MONTH(A174)/3,0)</f>
        <v>Q2</v>
      </c>
      <c r="D174" s="42" t="str">
        <f aca="false">B174&amp;" Q"&amp;ROUNDUP(MONTH(A174)/3,0)</f>
        <v>2025 Q2</v>
      </c>
      <c r="E174" s="42" t="n">
        <v>1</v>
      </c>
      <c r="F174" s="42" t="s">
        <v>88</v>
      </c>
      <c r="G174" s="42" t="s">
        <v>362</v>
      </c>
      <c r="H174" s="42" t="s">
        <v>71</v>
      </c>
      <c r="I174" s="42" t="s">
        <v>72</v>
      </c>
      <c r="J174" s="42" t="s">
        <v>153</v>
      </c>
      <c r="K174" s="42" t="s">
        <v>93</v>
      </c>
      <c r="L174" s="43" t="n">
        <v>9854</v>
      </c>
      <c r="M174" s="44" t="n">
        <v>924449</v>
      </c>
      <c r="N174" s="44" t="n">
        <f aca="false">E174*M174</f>
        <v>924449</v>
      </c>
      <c r="O174" s="43" t="n">
        <v>12686</v>
      </c>
      <c r="P174" s="45" t="n">
        <v>0.77</v>
      </c>
      <c r="Q174" s="46" t="n">
        <v>38.7</v>
      </c>
      <c r="R174" s="46" t="n">
        <v>387.5</v>
      </c>
      <c r="S174" s="46" t="n">
        <v>93.81</v>
      </c>
    </row>
    <row r="175" customFormat="false" ht="15" hidden="false" customHeight="true" outlineLevel="0" collapsed="false">
      <c r="A175" s="47" t="n">
        <v>45768</v>
      </c>
      <c r="B175" s="48" t="n">
        <f aca="false">YEAR(A175)</f>
        <v>2025</v>
      </c>
      <c r="C175" s="49" t="str">
        <f aca="false">"Q"&amp;ROUNDUP(MONTH(A175)/3,0)</f>
        <v>Q2</v>
      </c>
      <c r="D175" s="49" t="str">
        <f aca="false">B175&amp;" Q"&amp;ROUNDUP(MONTH(A175)/3,0)</f>
        <v>2025 Q2</v>
      </c>
      <c r="E175" s="49" t="n">
        <v>1</v>
      </c>
      <c r="F175" s="49" t="s">
        <v>88</v>
      </c>
      <c r="G175" s="49" t="s">
        <v>363</v>
      </c>
      <c r="H175" s="49" t="s">
        <v>71</v>
      </c>
      <c r="I175" s="49" t="s">
        <v>72</v>
      </c>
      <c r="J175" s="49" t="s">
        <v>153</v>
      </c>
      <c r="K175" s="49" t="s">
        <v>93</v>
      </c>
      <c r="L175" s="50" t="n">
        <v>16738</v>
      </c>
      <c r="M175" s="51" t="n">
        <v>3480131</v>
      </c>
      <c r="N175" s="51" t="n">
        <f aca="false">E175*M175</f>
        <v>3480131</v>
      </c>
      <c r="O175" s="50" t="n">
        <v>16738</v>
      </c>
      <c r="P175" s="52" t="n">
        <v>1</v>
      </c>
      <c r="Q175" s="53" t="n">
        <v>82.3</v>
      </c>
      <c r="R175" s="53" t="n">
        <v>1368.5</v>
      </c>
      <c r="S175" s="53" t="n">
        <v>207.92</v>
      </c>
    </row>
    <row r="176" customFormat="false" ht="15" hidden="false" customHeight="true" outlineLevel="0" collapsed="false">
      <c r="A176" s="40" t="n">
        <v>45772</v>
      </c>
      <c r="B176" s="41" t="n">
        <f aca="false">YEAR(A176)</f>
        <v>2025</v>
      </c>
      <c r="C176" s="42" t="str">
        <f aca="false">"Q"&amp;ROUNDUP(MONTH(A176)/3,0)</f>
        <v>Q2</v>
      </c>
      <c r="D176" s="42" t="str">
        <f aca="false">B176&amp;" Q"&amp;ROUNDUP(MONTH(A176)/3,0)</f>
        <v>2025 Q2</v>
      </c>
      <c r="E176" s="42" t="n">
        <v>1</v>
      </c>
      <c r="F176" s="42" t="s">
        <v>88</v>
      </c>
      <c r="G176" s="42"/>
      <c r="H176" s="42" t="s">
        <v>69</v>
      </c>
      <c r="I176" s="42" t="s">
        <v>70</v>
      </c>
      <c r="J176" s="42" t="s">
        <v>184</v>
      </c>
      <c r="K176" s="42" t="s">
        <v>93</v>
      </c>
      <c r="L176" s="43" t="n">
        <v>11462</v>
      </c>
      <c r="M176" s="44" t="n">
        <v>1493662</v>
      </c>
      <c r="N176" s="44" t="n">
        <f aca="false">E176*M176</f>
        <v>1493662</v>
      </c>
      <c r="O176" s="43" t="n">
        <v>11667</v>
      </c>
      <c r="P176" s="45" t="n">
        <v>0.98</v>
      </c>
      <c r="Q176" s="46" t="n">
        <v>48</v>
      </c>
      <c r="R176" s="46" t="n">
        <v>554</v>
      </c>
      <c r="S176" s="46" t="n">
        <v>130.31</v>
      </c>
    </row>
    <row r="177" customFormat="false" ht="15" hidden="false" customHeight="true" outlineLevel="0" collapsed="false">
      <c r="A177" s="47" t="n">
        <v>45782</v>
      </c>
      <c r="B177" s="48" t="n">
        <f aca="false">YEAR(A177)</f>
        <v>2025</v>
      </c>
      <c r="C177" s="49" t="str">
        <f aca="false">"Q"&amp;ROUNDUP(MONTH(A177)/3,0)</f>
        <v>Q2</v>
      </c>
      <c r="D177" s="49" t="str">
        <f aca="false">B177&amp;" Q"&amp;ROUNDUP(MONTH(A177)/3,0)</f>
        <v>2025 Q2</v>
      </c>
      <c r="E177" s="49" t="n">
        <v>1</v>
      </c>
      <c r="F177" s="49" t="s">
        <v>88</v>
      </c>
      <c r="G177" s="49" t="s">
        <v>364</v>
      </c>
      <c r="H177" s="49" t="s">
        <v>54</v>
      </c>
      <c r="I177" s="49" t="s">
        <v>55</v>
      </c>
      <c r="J177" s="49" t="s">
        <v>365</v>
      </c>
      <c r="K177" s="49" t="s">
        <v>93</v>
      </c>
      <c r="L177" s="50" t="n">
        <v>10881</v>
      </c>
      <c r="M177" s="51" t="n">
        <v>881850</v>
      </c>
      <c r="N177" s="51" t="n">
        <f aca="false">E177*M177</f>
        <v>881850</v>
      </c>
      <c r="O177" s="50" t="n">
        <v>13136</v>
      </c>
      <c r="P177" s="52" t="n">
        <v>0.82</v>
      </c>
      <c r="Q177" s="53" t="n">
        <v>30</v>
      </c>
      <c r="R177" s="53" t="n">
        <v>250</v>
      </c>
      <c r="S177" s="53" t="n">
        <v>81.04</v>
      </c>
    </row>
    <row r="178" customFormat="false" ht="15" hidden="false" customHeight="true" outlineLevel="0" collapsed="false">
      <c r="A178" s="40" t="n">
        <v>45800</v>
      </c>
      <c r="B178" s="41" t="n">
        <f aca="false">YEAR(A178)</f>
        <v>2025</v>
      </c>
      <c r="C178" s="42" t="str">
        <f aca="false">"Q"&amp;ROUNDUP(MONTH(A178)/3,0)</f>
        <v>Q2</v>
      </c>
      <c r="D178" s="42" t="str">
        <f aca="false">B178&amp;" Q"&amp;ROUNDUP(MONTH(A178)/3,0)</f>
        <v>2025 Q2</v>
      </c>
      <c r="E178" s="42" t="n">
        <v>1</v>
      </c>
      <c r="F178" s="42" t="s">
        <v>366</v>
      </c>
      <c r="G178" s="42"/>
      <c r="H178" s="42" t="s">
        <v>206</v>
      </c>
      <c r="I178" s="42" t="s">
        <v>207</v>
      </c>
      <c r="J178" s="42" t="s">
        <v>208</v>
      </c>
      <c r="K178" s="42" t="s">
        <v>93</v>
      </c>
      <c r="L178" s="43" t="n">
        <v>6107</v>
      </c>
      <c r="M178" s="44" t="n">
        <v>523935</v>
      </c>
      <c r="N178" s="44" t="n">
        <f aca="false">E178*M178</f>
        <v>523935</v>
      </c>
      <c r="O178" s="43" t="n">
        <v>6220</v>
      </c>
      <c r="P178" s="45" t="n">
        <v>0.98</v>
      </c>
      <c r="Q178" s="46" t="n">
        <v>30</v>
      </c>
      <c r="R178" s="46" t="n">
        <v>325</v>
      </c>
      <c r="S178" s="46" t="n">
        <v>85.79</v>
      </c>
    </row>
    <row r="179" customFormat="false" ht="15" hidden="false" customHeight="true" outlineLevel="0" collapsed="false">
      <c r="A179" s="47" t="n">
        <v>45810</v>
      </c>
      <c r="B179" s="48" t="n">
        <f aca="false">YEAR(A179)</f>
        <v>2025</v>
      </c>
      <c r="C179" s="49" t="str">
        <f aca="false">"Q"&amp;ROUNDUP(MONTH(A179)/3,0)</f>
        <v>Q2</v>
      </c>
      <c r="D179" s="49" t="str">
        <f aca="false">B179&amp;" Q"&amp;ROUNDUP(MONTH(A179)/3,0)</f>
        <v>2025 Q2</v>
      </c>
      <c r="E179" s="49" t="n">
        <v>1</v>
      </c>
      <c r="F179" s="49" t="s">
        <v>88</v>
      </c>
      <c r="G179" s="49"/>
      <c r="H179" s="49" t="s">
        <v>67</v>
      </c>
      <c r="I179" s="49" t="s">
        <v>68</v>
      </c>
      <c r="J179" s="49" t="s">
        <v>107</v>
      </c>
      <c r="K179" s="49" t="s">
        <v>93</v>
      </c>
      <c r="L179" s="50" t="n">
        <v>8256</v>
      </c>
      <c r="M179" s="51" t="n">
        <v>780180</v>
      </c>
      <c r="N179" s="51" t="n">
        <f aca="false">E179*M179</f>
        <v>780180</v>
      </c>
      <c r="O179" s="50" t="n">
        <v>10890</v>
      </c>
      <c r="P179" s="52" t="n">
        <v>0.75</v>
      </c>
      <c r="Q179" s="53" t="n">
        <v>35</v>
      </c>
      <c r="R179" s="53" t="n">
        <v>300</v>
      </c>
      <c r="S179" s="53" t="n">
        <v>94.5</v>
      </c>
    </row>
    <row r="180" customFormat="false" ht="15" hidden="false" customHeight="true" outlineLevel="0" collapsed="false">
      <c r="A180" s="40" t="n">
        <v>45815</v>
      </c>
      <c r="B180" s="41" t="n">
        <f aca="false">YEAR(A180)</f>
        <v>2025</v>
      </c>
      <c r="C180" s="42" t="str">
        <f aca="false">"Q"&amp;ROUNDUP(MONTH(A180)/3,0)</f>
        <v>Q2</v>
      </c>
      <c r="D180" s="42" t="str">
        <f aca="false">B180&amp;" Q"&amp;ROUNDUP(MONTH(A180)/3,0)</f>
        <v>2025 Q2</v>
      </c>
      <c r="E180" s="42" t="n">
        <v>1</v>
      </c>
      <c r="F180" s="42" t="s">
        <v>88</v>
      </c>
      <c r="G180" s="42"/>
      <c r="H180" s="42" t="s">
        <v>367</v>
      </c>
      <c r="I180" s="42" t="s">
        <v>168</v>
      </c>
      <c r="J180" s="42" t="s">
        <v>165</v>
      </c>
      <c r="K180" s="42" t="s">
        <v>93</v>
      </c>
      <c r="L180" s="43" t="n">
        <v>9677</v>
      </c>
      <c r="M180" s="44" t="n">
        <v>878297</v>
      </c>
      <c r="N180" s="44" t="n">
        <f aca="false">E180*M180</f>
        <v>878297</v>
      </c>
      <c r="O180" s="43" t="n">
        <v>11826</v>
      </c>
      <c r="P180" s="45" t="n">
        <v>0.81</v>
      </c>
      <c r="Q180" s="46" t="n">
        <v>90.76</v>
      </c>
      <c r="R180" s="46" t="n">
        <v>90.76</v>
      </c>
      <c r="S180" s="46" t="n">
        <v>90.76</v>
      </c>
    </row>
    <row r="181" customFormat="false" ht="15" hidden="false" customHeight="true" outlineLevel="0" collapsed="false">
      <c r="A181" s="47" t="n">
        <v>45815</v>
      </c>
      <c r="B181" s="48" t="n">
        <f aca="false">YEAR(A181)</f>
        <v>2025</v>
      </c>
      <c r="C181" s="49" t="str">
        <f aca="false">"Q"&amp;ROUNDUP(MONTH(A181)/3,0)</f>
        <v>Q2</v>
      </c>
      <c r="D181" s="49" t="str">
        <f aca="false">B181&amp;" Q"&amp;ROUNDUP(MONTH(A181)/3,0)</f>
        <v>2025 Q2</v>
      </c>
      <c r="E181" s="49" t="n">
        <v>1</v>
      </c>
      <c r="F181" s="49" t="s">
        <v>88</v>
      </c>
      <c r="G181" s="49"/>
      <c r="H181" s="49" t="s">
        <v>354</v>
      </c>
      <c r="I181" s="49" t="s">
        <v>168</v>
      </c>
      <c r="J181" s="49" t="s">
        <v>165</v>
      </c>
      <c r="K181" s="49" t="s">
        <v>93</v>
      </c>
      <c r="L181" s="50" t="n">
        <v>16174</v>
      </c>
      <c r="M181" s="51" t="n">
        <v>5106316</v>
      </c>
      <c r="N181" s="51" t="n">
        <f aca="false">E181*M181</f>
        <v>5106316</v>
      </c>
      <c r="O181" s="50" t="n">
        <v>16174</v>
      </c>
      <c r="P181" s="52" t="n">
        <v>1</v>
      </c>
      <c r="Q181" s="53" t="n">
        <v>315.71</v>
      </c>
      <c r="R181" s="53" t="n">
        <v>315.71</v>
      </c>
      <c r="S181" s="53" t="n">
        <v>315.71</v>
      </c>
    </row>
    <row r="182" customFormat="false" ht="15" hidden="false" customHeight="true" outlineLevel="0" collapsed="false">
      <c r="A182" s="40" t="n">
        <v>45817</v>
      </c>
      <c r="B182" s="41" t="n">
        <f aca="false">YEAR(A182)</f>
        <v>2025</v>
      </c>
      <c r="C182" s="42" t="str">
        <f aca="false">"Q"&amp;ROUNDUP(MONTH(A182)/3,0)</f>
        <v>Q2</v>
      </c>
      <c r="D182" s="42" t="str">
        <f aca="false">B182&amp;" Q"&amp;ROUNDUP(MONTH(A182)/3,0)</f>
        <v>2025 Q2</v>
      </c>
      <c r="E182" s="42" t="n">
        <v>1</v>
      </c>
      <c r="F182" s="42" t="s">
        <v>88</v>
      </c>
      <c r="G182" s="42" t="s">
        <v>368</v>
      </c>
      <c r="H182" s="42" t="s">
        <v>369</v>
      </c>
      <c r="I182" s="42" t="s">
        <v>161</v>
      </c>
      <c r="J182" s="42" t="s">
        <v>162</v>
      </c>
      <c r="K182" s="42" t="s">
        <v>93</v>
      </c>
      <c r="L182" s="43" t="n">
        <v>12213</v>
      </c>
      <c r="M182" s="44" t="n">
        <v>1731135</v>
      </c>
      <c r="N182" s="44" t="n">
        <f aca="false">E182*M182</f>
        <v>1731135</v>
      </c>
      <c r="O182" s="43" t="n">
        <v>13161</v>
      </c>
      <c r="P182" s="45" t="n">
        <v>0.92</v>
      </c>
      <c r="Q182" s="46" t="n">
        <v>30</v>
      </c>
      <c r="R182" s="46" t="n">
        <v>900</v>
      </c>
      <c r="S182" s="46" t="n">
        <v>141.75</v>
      </c>
    </row>
    <row r="183" customFormat="false" ht="15" hidden="false" customHeight="true" outlineLevel="0" collapsed="false">
      <c r="A183" s="47" t="n">
        <v>45849</v>
      </c>
      <c r="B183" s="48" t="n">
        <f aca="false">YEAR(A183)</f>
        <v>2025</v>
      </c>
      <c r="C183" s="49" t="str">
        <f aca="false">"Q"&amp;ROUNDUP(MONTH(A183)/3,0)</f>
        <v>Q3</v>
      </c>
      <c r="D183" s="49" t="str">
        <f aca="false">B183&amp;" Q"&amp;ROUNDUP(MONTH(A183)/3,0)</f>
        <v>2025 Q3</v>
      </c>
      <c r="E183" s="49" t="n">
        <v>1</v>
      </c>
      <c r="F183" s="49" t="s">
        <v>88</v>
      </c>
      <c r="G183" s="49" t="s">
        <v>370</v>
      </c>
      <c r="H183" s="49" t="s">
        <v>90</v>
      </c>
      <c r="I183" s="49" t="s">
        <v>91</v>
      </c>
      <c r="J183" s="49" t="s">
        <v>92</v>
      </c>
      <c r="K183" s="49" t="s">
        <v>93</v>
      </c>
      <c r="L183" s="50" t="n">
        <v>10472</v>
      </c>
      <c r="M183" s="51" t="n">
        <v>940720.5</v>
      </c>
      <c r="N183" s="51" t="n">
        <f aca="false">E183*M183</f>
        <v>940720.5</v>
      </c>
      <c r="O183" s="50" t="n">
        <v>10872</v>
      </c>
      <c r="P183" s="52" t="n">
        <v>0.96</v>
      </c>
      <c r="Q183" s="53" t="n">
        <v>41.75</v>
      </c>
      <c r="R183" s="53" t="n">
        <v>407.75</v>
      </c>
      <c r="S183" s="53" t="n">
        <v>89.83</v>
      </c>
    </row>
    <row r="184" customFormat="false" ht="15" hidden="false" customHeight="true" outlineLevel="0" collapsed="false">
      <c r="A184" s="40" t="n">
        <v>45850</v>
      </c>
      <c r="B184" s="41" t="n">
        <f aca="false">YEAR(A184)</f>
        <v>2025</v>
      </c>
      <c r="C184" s="42" t="str">
        <f aca="false">"Q"&amp;ROUNDUP(MONTH(A184)/3,0)</f>
        <v>Q3</v>
      </c>
      <c r="D184" s="42" t="str">
        <f aca="false">B184&amp;" Q"&amp;ROUNDUP(MONTH(A184)/3,0)</f>
        <v>2025 Q3</v>
      </c>
      <c r="E184" s="42" t="n">
        <v>2</v>
      </c>
      <c r="F184" s="42" t="s">
        <v>88</v>
      </c>
      <c r="G184" s="42" t="s">
        <v>371</v>
      </c>
      <c r="H184" s="42" t="s">
        <v>65</v>
      </c>
      <c r="I184" s="42" t="s">
        <v>66</v>
      </c>
      <c r="J184" s="42" t="s">
        <v>208</v>
      </c>
      <c r="K184" s="42" t="s">
        <v>93</v>
      </c>
      <c r="L184" s="43" t="n">
        <v>10258</v>
      </c>
      <c r="M184" s="44" t="n">
        <v>1003207.5</v>
      </c>
      <c r="N184" s="44" t="n">
        <f aca="false">E184*M184</f>
        <v>2006415</v>
      </c>
      <c r="O184" s="43" t="n">
        <v>10259</v>
      </c>
      <c r="P184" s="45" t="n">
        <v>0.99</v>
      </c>
      <c r="Q184" s="46" t="n">
        <v>65</v>
      </c>
      <c r="R184" s="46" t="n">
        <v>1500</v>
      </c>
      <c r="S184" s="46" t="n">
        <v>97.79</v>
      </c>
    </row>
    <row r="185" customFormat="false" ht="15" hidden="false" customHeight="true" outlineLevel="0" collapsed="false">
      <c r="A185" s="47" t="n">
        <v>45856</v>
      </c>
      <c r="B185" s="48" t="n">
        <f aca="false">YEAR(A185)</f>
        <v>2025</v>
      </c>
      <c r="C185" s="49" t="str">
        <f aca="false">"Q"&amp;ROUNDUP(MONTH(A185)/3,0)</f>
        <v>Q3</v>
      </c>
      <c r="D185" s="49" t="str">
        <f aca="false">B185&amp;" Q"&amp;ROUNDUP(MONTH(A185)/3,0)</f>
        <v>2025 Q3</v>
      </c>
      <c r="E185" s="49" t="n">
        <v>1</v>
      </c>
      <c r="F185" s="49" t="s">
        <v>88</v>
      </c>
      <c r="G185" s="49"/>
      <c r="H185" s="49" t="s">
        <v>59</v>
      </c>
      <c r="I185" s="49" t="s">
        <v>60</v>
      </c>
      <c r="J185" s="49" t="s">
        <v>184</v>
      </c>
      <c r="K185" s="49" t="s">
        <v>93</v>
      </c>
      <c r="L185" s="50" t="n">
        <v>14922</v>
      </c>
      <c r="M185" s="51" t="n">
        <v>1763150</v>
      </c>
      <c r="N185" s="51" t="n">
        <f aca="false">E185*M185</f>
        <v>1763150</v>
      </c>
      <c r="O185" s="50" t="n">
        <v>14922</v>
      </c>
      <c r="P185" s="52" t="n">
        <v>1</v>
      </c>
      <c r="Q185" s="53" t="n">
        <v>35</v>
      </c>
      <c r="R185" s="53" t="n">
        <v>500</v>
      </c>
      <c r="S185" s="53" t="n">
        <v>118.16</v>
      </c>
    </row>
    <row r="186" customFormat="false" ht="15" hidden="false" customHeight="true" outlineLevel="0" collapsed="false">
      <c r="A186" s="40" t="n">
        <v>45866</v>
      </c>
      <c r="B186" s="41" t="n">
        <f aca="false">YEAR(A186)</f>
        <v>2025</v>
      </c>
      <c r="C186" s="42" t="str">
        <f aca="false">"Q"&amp;ROUNDUP(MONTH(A186)/3,0)</f>
        <v>Q3</v>
      </c>
      <c r="D186" s="42" t="str">
        <f aca="false">B186&amp;" Q"&amp;ROUNDUP(MONTH(A186)/3,0)</f>
        <v>2025 Q3</v>
      </c>
      <c r="E186" s="42" t="n">
        <v>1</v>
      </c>
      <c r="F186" s="42" t="s">
        <v>88</v>
      </c>
      <c r="G186" s="42"/>
      <c r="H186" s="42" t="s">
        <v>101</v>
      </c>
      <c r="I186" s="42" t="s">
        <v>102</v>
      </c>
      <c r="J186" s="42" t="s">
        <v>103</v>
      </c>
      <c r="K186" s="42" t="s">
        <v>93</v>
      </c>
      <c r="L186" s="43" t="n">
        <v>13615</v>
      </c>
      <c r="M186" s="44" t="n">
        <v>1668573</v>
      </c>
      <c r="N186" s="44" t="n">
        <f aca="false">E186*M186</f>
        <v>1668573</v>
      </c>
      <c r="O186" s="43" t="n">
        <v>13615</v>
      </c>
      <c r="P186" s="45" t="n">
        <v>1</v>
      </c>
      <c r="Q186" s="46" t="n">
        <v>50</v>
      </c>
      <c r="R186" s="46" t="n">
        <v>750</v>
      </c>
      <c r="S186" s="46" t="n">
        <v>122.55</v>
      </c>
    </row>
    <row r="187" customFormat="false" ht="15" hidden="false" customHeight="true" outlineLevel="0" collapsed="false">
      <c r="A187" s="47" t="n">
        <v>45873</v>
      </c>
      <c r="B187" s="48" t="n">
        <f aca="false">YEAR(A187)</f>
        <v>2025</v>
      </c>
      <c r="C187" s="49" t="str">
        <f aca="false">"Q"&amp;ROUNDUP(MONTH(A187)/3,0)</f>
        <v>Q3</v>
      </c>
      <c r="D187" s="49" t="str">
        <f aca="false">B187&amp;" Q"&amp;ROUNDUP(MONTH(A187)/3,0)</f>
        <v>2025 Q3</v>
      </c>
      <c r="E187" s="49" t="n">
        <v>1</v>
      </c>
      <c r="F187" s="49" t="s">
        <v>88</v>
      </c>
      <c r="G187" s="49" t="s">
        <v>372</v>
      </c>
      <c r="H187" s="49" t="s">
        <v>118</v>
      </c>
      <c r="I187" s="49" t="s">
        <v>119</v>
      </c>
      <c r="J187" s="49" t="s">
        <v>120</v>
      </c>
      <c r="K187" s="49" t="s">
        <v>93</v>
      </c>
      <c r="L187" s="50" t="n">
        <v>12338</v>
      </c>
      <c r="M187" s="51" t="n">
        <v>1578880</v>
      </c>
      <c r="N187" s="51" t="n">
        <f aca="false">E187*M187</f>
        <v>1578880</v>
      </c>
      <c r="O187" s="50" t="n">
        <v>12944</v>
      </c>
      <c r="P187" s="52" t="n">
        <v>0.95</v>
      </c>
      <c r="Q187" s="53" t="n">
        <v>50</v>
      </c>
      <c r="R187" s="53" t="n">
        <v>1000</v>
      </c>
      <c r="S187" s="53" t="n">
        <v>127.97</v>
      </c>
    </row>
    <row r="188" customFormat="false" ht="15" hidden="false" customHeight="true" outlineLevel="0" collapsed="false">
      <c r="A188" s="40" t="n">
        <v>45877</v>
      </c>
      <c r="B188" s="41" t="n">
        <f aca="false">YEAR(A188)</f>
        <v>2025</v>
      </c>
      <c r="C188" s="42" t="str">
        <f aca="false">"Q"&amp;ROUNDUP(MONTH(A188)/3,0)</f>
        <v>Q3</v>
      </c>
      <c r="D188" s="42" t="str">
        <f aca="false">B188&amp;" Q"&amp;ROUNDUP(MONTH(A188)/3,0)</f>
        <v>2025 Q3</v>
      </c>
      <c r="E188" s="42" t="n">
        <v>1</v>
      </c>
      <c r="F188" s="42" t="s">
        <v>88</v>
      </c>
      <c r="G188" s="42" t="s">
        <v>373</v>
      </c>
      <c r="H188" s="42" t="s">
        <v>122</v>
      </c>
      <c r="I188" s="42" t="s">
        <v>123</v>
      </c>
      <c r="J188" s="42" t="s">
        <v>124</v>
      </c>
      <c r="K188" s="42" t="s">
        <v>125</v>
      </c>
      <c r="L188" s="43" t="n">
        <v>13230</v>
      </c>
      <c r="M188" s="44" t="n">
        <v>1361575.63</v>
      </c>
      <c r="N188" s="44" t="n">
        <f aca="false">E188*M188</f>
        <v>1361575.63</v>
      </c>
      <c r="O188" s="43" t="n">
        <v>13231</v>
      </c>
      <c r="P188" s="45" t="n">
        <v>0.99</v>
      </c>
      <c r="Q188" s="46" t="n">
        <v>43.67</v>
      </c>
      <c r="R188" s="46" t="n">
        <v>363.92</v>
      </c>
      <c r="S188" s="46" t="n">
        <v>102.92</v>
      </c>
    </row>
    <row r="189" customFormat="false" ht="15" hidden="false" customHeight="true" outlineLevel="0" collapsed="false">
      <c r="A189" s="47" t="n">
        <v>45880</v>
      </c>
      <c r="B189" s="48" t="n">
        <f aca="false">YEAR(A189)</f>
        <v>2025</v>
      </c>
      <c r="C189" s="49" t="str">
        <f aca="false">"Q"&amp;ROUNDUP(MONTH(A189)/3,0)</f>
        <v>Q3</v>
      </c>
      <c r="D189" s="49" t="str">
        <f aca="false">B189&amp;" Q"&amp;ROUNDUP(MONTH(A189)/3,0)</f>
        <v>2025 Q3</v>
      </c>
      <c r="E189" s="49" t="n">
        <v>1</v>
      </c>
      <c r="F189" s="49" t="s">
        <v>88</v>
      </c>
      <c r="G189" s="49" t="s">
        <v>374</v>
      </c>
      <c r="H189" s="49" t="s">
        <v>233</v>
      </c>
      <c r="I189" s="49" t="s">
        <v>234</v>
      </c>
      <c r="J189" s="49" t="s">
        <v>124</v>
      </c>
      <c r="K189" s="49" t="s">
        <v>125</v>
      </c>
      <c r="L189" s="50" t="n">
        <v>9039</v>
      </c>
      <c r="M189" s="51" t="n">
        <v>880191.37</v>
      </c>
      <c r="N189" s="51" t="n">
        <f aca="false">E189*M189</f>
        <v>880191.37</v>
      </c>
      <c r="O189" s="50" t="n">
        <v>12235</v>
      </c>
      <c r="P189" s="52" t="n">
        <v>0.73</v>
      </c>
      <c r="Q189" s="53" t="n">
        <v>43.65</v>
      </c>
      <c r="R189" s="53" t="n">
        <v>290.99</v>
      </c>
      <c r="S189" s="53" t="n">
        <v>97.38</v>
      </c>
    </row>
    <row r="190" customFormat="false" ht="15" hidden="false" customHeight="true" outlineLevel="0" collapsed="false">
      <c r="A190" s="40" t="n">
        <v>45884</v>
      </c>
      <c r="B190" s="41" t="n">
        <f aca="false">YEAR(A190)</f>
        <v>2025</v>
      </c>
      <c r="C190" s="42" t="str">
        <f aca="false">"Q"&amp;ROUNDUP(MONTH(A190)/3,0)</f>
        <v>Q3</v>
      </c>
      <c r="D190" s="42" t="str">
        <f aca="false">B190&amp;" Q"&amp;ROUNDUP(MONTH(A190)/3,0)</f>
        <v>2025 Q3</v>
      </c>
      <c r="E190" s="42" t="n">
        <v>1</v>
      </c>
      <c r="F190" s="42" t="s">
        <v>88</v>
      </c>
      <c r="G190" s="42" t="s">
        <v>375</v>
      </c>
      <c r="H190" s="42" t="s">
        <v>145</v>
      </c>
      <c r="I190" s="42" t="s">
        <v>146</v>
      </c>
      <c r="J190" s="42" t="s">
        <v>147</v>
      </c>
      <c r="K190" s="42" t="s">
        <v>93</v>
      </c>
      <c r="L190" s="43" t="n">
        <v>11361</v>
      </c>
      <c r="M190" s="44" t="n">
        <v>1413350</v>
      </c>
      <c r="N190" s="44" t="n">
        <f aca="false">E190*M190</f>
        <v>1413350</v>
      </c>
      <c r="O190" s="43" t="n">
        <v>11602</v>
      </c>
      <c r="P190" s="45" t="n">
        <v>0.97</v>
      </c>
      <c r="Q190" s="46" t="n">
        <v>50</v>
      </c>
      <c r="R190" s="46" t="n">
        <v>500</v>
      </c>
      <c r="S190" s="46" t="n">
        <v>124.4</v>
      </c>
    </row>
    <row r="191" customFormat="false" ht="15" hidden="false" customHeight="true" outlineLevel="0" collapsed="false">
      <c r="A191" s="47" t="n">
        <v>45887</v>
      </c>
      <c r="B191" s="48" t="n">
        <f aca="false">YEAR(A191)</f>
        <v>2025</v>
      </c>
      <c r="C191" s="49" t="str">
        <f aca="false">"Q"&amp;ROUNDUP(MONTH(A191)/3,0)</f>
        <v>Q3</v>
      </c>
      <c r="D191" s="49" t="str">
        <f aca="false">B191&amp;" Q"&amp;ROUNDUP(MONTH(A191)/3,0)</f>
        <v>2025 Q3</v>
      </c>
      <c r="E191" s="49" t="n">
        <v>1</v>
      </c>
      <c r="F191" s="49" t="s">
        <v>88</v>
      </c>
      <c r="G191" s="49"/>
      <c r="H191" s="49" t="s">
        <v>376</v>
      </c>
      <c r="I191" s="49" t="s">
        <v>105</v>
      </c>
      <c r="J191" s="49" t="s">
        <v>106</v>
      </c>
      <c r="K191" s="49" t="s">
        <v>93</v>
      </c>
      <c r="L191" s="50" t="n">
        <v>12076</v>
      </c>
      <c r="M191" s="51" t="n">
        <v>1622437.22</v>
      </c>
      <c r="N191" s="51" t="n">
        <f aca="false">E191*M191</f>
        <v>1622437.22</v>
      </c>
      <c r="O191" s="50" t="n">
        <v>13177</v>
      </c>
      <c r="P191" s="52" t="n">
        <v>0.91</v>
      </c>
      <c r="Q191" s="53" t="n">
        <v>55</v>
      </c>
      <c r="R191" s="53" t="n">
        <v>800</v>
      </c>
      <c r="S191" s="53" t="n">
        <v>134.35</v>
      </c>
    </row>
    <row r="192" customFormat="false" ht="15" hidden="false" customHeight="true" outlineLevel="0" collapsed="false">
      <c r="A192" s="40" t="n">
        <v>45906</v>
      </c>
      <c r="B192" s="41" t="n">
        <f aca="false">YEAR(A192)</f>
        <v>2025</v>
      </c>
      <c r="C192" s="42" t="str">
        <f aca="false">"Q"&amp;ROUNDUP(MONTH(A192)/3,0)</f>
        <v>Q3</v>
      </c>
      <c r="D192" s="42" t="str">
        <f aca="false">B192&amp;" Q"&amp;ROUNDUP(MONTH(A192)/3,0)</f>
        <v>2025 Q3</v>
      </c>
      <c r="E192" s="42" t="n">
        <v>1</v>
      </c>
      <c r="F192" s="42" t="s">
        <v>88</v>
      </c>
      <c r="G192" s="42"/>
      <c r="H192" s="42" t="s">
        <v>181</v>
      </c>
      <c r="I192" s="42" t="s">
        <v>182</v>
      </c>
      <c r="J192" s="42" t="s">
        <v>136</v>
      </c>
      <c r="K192" s="42" t="s">
        <v>93</v>
      </c>
      <c r="L192" s="43" t="n">
        <v>16283</v>
      </c>
      <c r="M192" s="44" t="n">
        <v>2682050</v>
      </c>
      <c r="N192" s="44" t="n">
        <f aca="false">E192*M192</f>
        <v>2682050</v>
      </c>
      <c r="O192" s="43" t="n">
        <v>16283</v>
      </c>
      <c r="P192" s="45" t="n">
        <v>1</v>
      </c>
      <c r="Q192" s="46" t="n">
        <v>75</v>
      </c>
      <c r="R192" s="46" t="n">
        <v>600</v>
      </c>
      <c r="S192" s="46" t="n">
        <v>164.71</v>
      </c>
    </row>
    <row r="193" customFormat="false" ht="15" hidden="false" customHeight="true" outlineLevel="0" collapsed="false">
      <c r="A193" s="47" t="n">
        <v>45908</v>
      </c>
      <c r="B193" s="48" t="n">
        <f aca="false">YEAR(A193)</f>
        <v>2025</v>
      </c>
      <c r="C193" s="49" t="str">
        <f aca="false">"Q"&amp;ROUNDUP(MONTH(A193)/3,0)</f>
        <v>Q3</v>
      </c>
      <c r="D193" s="49" t="str">
        <f aca="false">B193&amp;" Q"&amp;ROUNDUP(MONTH(A193)/3,0)</f>
        <v>2025 Q3</v>
      </c>
      <c r="E193" s="49" t="n">
        <v>1</v>
      </c>
      <c r="F193" s="49" t="s">
        <v>88</v>
      </c>
      <c r="G193" s="49"/>
      <c r="H193" s="49" t="s">
        <v>155</v>
      </c>
      <c r="I193" s="49" t="s">
        <v>156</v>
      </c>
      <c r="J193" s="49" t="s">
        <v>157</v>
      </c>
      <c r="K193" s="49" t="s">
        <v>93</v>
      </c>
      <c r="L193" s="50" t="n">
        <v>6721</v>
      </c>
      <c r="M193" s="51" t="n">
        <v>750836.18</v>
      </c>
      <c r="N193" s="51" t="n">
        <f aca="false">E193*M193</f>
        <v>750836.18</v>
      </c>
      <c r="O193" s="50" t="n">
        <v>10853</v>
      </c>
      <c r="P193" s="52" t="n">
        <v>0.61</v>
      </c>
      <c r="Q193" s="53" t="n">
        <v>55</v>
      </c>
      <c r="R193" s="53" t="n">
        <v>750</v>
      </c>
      <c r="S193" s="53" t="n">
        <v>111.71</v>
      </c>
    </row>
    <row r="194" customFormat="false" ht="15" hidden="false" customHeight="true" outlineLevel="0" collapsed="false">
      <c r="A194" s="40" t="n">
        <v>45919</v>
      </c>
      <c r="B194" s="41" t="n">
        <f aca="false">YEAR(A194)</f>
        <v>2025</v>
      </c>
      <c r="C194" s="42" t="str">
        <f aca="false">"Q"&amp;ROUNDUP(MONTH(A194)/3,0)</f>
        <v>Q3</v>
      </c>
      <c r="D194" s="42" t="str">
        <f aca="false">B194&amp;" Q"&amp;ROUNDUP(MONTH(A194)/3,0)</f>
        <v>2025 Q3</v>
      </c>
      <c r="E194" s="42" t="n">
        <v>1</v>
      </c>
      <c r="F194" s="42" t="s">
        <v>88</v>
      </c>
      <c r="G194" s="42"/>
      <c r="H194" s="42" t="s">
        <v>313</v>
      </c>
      <c r="I194" s="42" t="s">
        <v>314</v>
      </c>
      <c r="J194" s="42" t="s">
        <v>204</v>
      </c>
      <c r="K194" s="42" t="s">
        <v>93</v>
      </c>
      <c r="L194" s="43" t="n">
        <v>6018</v>
      </c>
      <c r="M194" s="44" t="n">
        <v>538205</v>
      </c>
      <c r="N194" s="44" t="n">
        <f aca="false">E194*M194</f>
        <v>538205</v>
      </c>
      <c r="O194" s="43" t="n">
        <v>6258</v>
      </c>
      <c r="P194" s="45" t="n">
        <v>0.96</v>
      </c>
      <c r="Q194" s="46" t="n">
        <v>50</v>
      </c>
      <c r="R194" s="46" t="n">
        <v>350</v>
      </c>
      <c r="S194" s="46" t="n">
        <v>89.43</v>
      </c>
    </row>
    <row r="195" customFormat="false" ht="15" hidden="false" customHeight="true" outlineLevel="0" collapsed="false">
      <c r="A195" s="47" t="n">
        <v>45920</v>
      </c>
      <c r="B195" s="48" t="n">
        <f aca="false">YEAR(A195)</f>
        <v>2025</v>
      </c>
      <c r="C195" s="49" t="str">
        <f aca="false">"Q"&amp;ROUNDUP(MONTH(A195)/3,0)</f>
        <v>Q3</v>
      </c>
      <c r="D195" s="49" t="str">
        <f aca="false">B195&amp;" Q"&amp;ROUNDUP(MONTH(A195)/3,0)</f>
        <v>2025 Q3</v>
      </c>
      <c r="E195" s="49" t="n">
        <v>1</v>
      </c>
      <c r="F195" s="49" t="s">
        <v>88</v>
      </c>
      <c r="G195" s="49" t="s">
        <v>377</v>
      </c>
      <c r="H195" s="49" t="s">
        <v>249</v>
      </c>
      <c r="I195" s="49" t="s">
        <v>250</v>
      </c>
      <c r="J195" s="49" t="s">
        <v>133</v>
      </c>
      <c r="K195" s="49" t="s">
        <v>93</v>
      </c>
      <c r="L195" s="50" t="n">
        <v>13289</v>
      </c>
      <c r="M195" s="51" t="n">
        <v>3257687</v>
      </c>
      <c r="N195" s="51" t="n">
        <f aca="false">E195*M195</f>
        <v>3257687</v>
      </c>
      <c r="O195" s="50" t="n">
        <v>13289</v>
      </c>
      <c r="P195" s="52" t="n">
        <v>1</v>
      </c>
      <c r="Q195" s="53" t="n">
        <v>86.5</v>
      </c>
      <c r="R195" s="53" t="n">
        <v>1654</v>
      </c>
      <c r="S195" s="53" t="n">
        <v>245.14</v>
      </c>
    </row>
    <row r="196" customFormat="false" ht="15" hidden="false" customHeight="true" outlineLevel="0" collapsed="false">
      <c r="A196" s="40" t="n">
        <v>45926</v>
      </c>
      <c r="B196" s="41" t="n">
        <f aca="false">YEAR(A196)</f>
        <v>2025</v>
      </c>
      <c r="C196" s="42" t="str">
        <f aca="false">"Q"&amp;ROUNDUP(MONTH(A196)/3,0)</f>
        <v>Q3</v>
      </c>
      <c r="D196" s="42" t="str">
        <f aca="false">B196&amp;" Q"&amp;ROUNDUP(MONTH(A196)/3,0)</f>
        <v>2025 Q3</v>
      </c>
      <c r="E196" s="42" t="n">
        <v>1</v>
      </c>
      <c r="F196" s="42" t="s">
        <v>88</v>
      </c>
      <c r="G196" s="42"/>
      <c r="H196" s="42" t="s">
        <v>331</v>
      </c>
      <c r="I196" s="42" t="s">
        <v>112</v>
      </c>
      <c r="J196" s="42" t="s">
        <v>113</v>
      </c>
      <c r="K196" s="42" t="s">
        <v>93</v>
      </c>
      <c r="L196" s="43" t="n">
        <v>9203</v>
      </c>
      <c r="M196" s="44" t="n">
        <v>1174592</v>
      </c>
      <c r="N196" s="44" t="n">
        <f aca="false">E196*M196</f>
        <v>1174592</v>
      </c>
      <c r="O196" s="43" t="n">
        <v>13054</v>
      </c>
      <c r="P196" s="45" t="n">
        <v>0.7</v>
      </c>
      <c r="Q196" s="46" t="n">
        <v>50</v>
      </c>
      <c r="R196" s="46" t="n">
        <v>550</v>
      </c>
      <c r="S196" s="46" t="n">
        <v>127.63</v>
      </c>
    </row>
    <row r="197" customFormat="false" ht="15" hidden="false" customHeight="true" outlineLevel="0" collapsed="false">
      <c r="A197" s="47" t="n">
        <v>45927</v>
      </c>
      <c r="B197" s="48" t="n">
        <f aca="false">YEAR(A197)</f>
        <v>2025</v>
      </c>
      <c r="C197" s="49" t="str">
        <f aca="false">"Q"&amp;ROUNDUP(MONTH(A197)/3,0)</f>
        <v>Q3</v>
      </c>
      <c r="D197" s="49" t="str">
        <f aca="false">B197&amp;" Q"&amp;ROUNDUP(MONTH(A197)/3,0)</f>
        <v>2025 Q3</v>
      </c>
      <c r="E197" s="49" t="n">
        <v>1</v>
      </c>
      <c r="F197" s="49" t="s">
        <v>88</v>
      </c>
      <c r="G197" s="49"/>
      <c r="H197" s="49" t="s">
        <v>292</v>
      </c>
      <c r="I197" s="49" t="s">
        <v>293</v>
      </c>
      <c r="J197" s="49" t="s">
        <v>165</v>
      </c>
      <c r="K197" s="49" t="s">
        <v>93</v>
      </c>
      <c r="L197" s="50" t="n">
        <v>11818</v>
      </c>
      <c r="M197" s="51" t="n">
        <v>1681275</v>
      </c>
      <c r="N197" s="51" t="n">
        <f aca="false">E197*M197</f>
        <v>1681275</v>
      </c>
      <c r="O197" s="50" t="n">
        <v>11818</v>
      </c>
      <c r="P197" s="52" t="n">
        <v>1</v>
      </c>
      <c r="Q197" s="53" t="n">
        <v>50</v>
      </c>
      <c r="R197" s="53" t="n">
        <v>500</v>
      </c>
      <c r="S197" s="53" t="n">
        <v>142.26</v>
      </c>
    </row>
    <row r="198" customFormat="false" ht="15" hidden="false" customHeight="true" outlineLevel="0" collapsed="false">
      <c r="A198" s="40" t="n">
        <v>45936</v>
      </c>
      <c r="B198" s="41" t="n">
        <f aca="false">YEAR(A198)</f>
        <v>2025</v>
      </c>
      <c r="C198" s="42" t="str">
        <f aca="false">"Q"&amp;ROUNDUP(MONTH(A198)/3,0)</f>
        <v>Q4</v>
      </c>
      <c r="D198" s="42" t="str">
        <f aca="false">B198&amp;" Q"&amp;ROUNDUP(MONTH(A198)/3,0)</f>
        <v>2025 Q4</v>
      </c>
      <c r="E198" s="42" t="n">
        <v>1</v>
      </c>
      <c r="F198" s="42" t="s">
        <v>88</v>
      </c>
      <c r="G198" s="42" t="s">
        <v>378</v>
      </c>
      <c r="H198" s="42" t="s">
        <v>61</v>
      </c>
      <c r="I198" s="42" t="s">
        <v>62</v>
      </c>
      <c r="J198" s="42" t="s">
        <v>184</v>
      </c>
      <c r="K198" s="42" t="s">
        <v>93</v>
      </c>
      <c r="L198" s="43" t="n">
        <v>10532</v>
      </c>
      <c r="M198" s="44" t="n">
        <v>1473914.5</v>
      </c>
      <c r="N198" s="44" t="n">
        <f aca="false">E198*M198</f>
        <v>1473914.5</v>
      </c>
      <c r="O198" s="43" t="n">
        <v>12055</v>
      </c>
      <c r="P198" s="45" t="n">
        <v>0.87</v>
      </c>
      <c r="Q198" s="46" t="n">
        <v>50</v>
      </c>
      <c r="R198" s="46" t="n">
        <v>750</v>
      </c>
      <c r="S198" s="46" t="n">
        <v>139.95</v>
      </c>
    </row>
    <row r="199" customFormat="false" ht="15" hidden="false" customHeight="true" outlineLevel="0" collapsed="false">
      <c r="A199" s="47" t="n">
        <v>45947</v>
      </c>
      <c r="B199" s="48" t="n">
        <f aca="false">YEAR(A199)</f>
        <v>2025</v>
      </c>
      <c r="C199" s="49" t="str">
        <f aca="false">"Q"&amp;ROUNDUP(MONTH(A199)/3,0)</f>
        <v>Q4</v>
      </c>
      <c r="D199" s="49" t="str">
        <f aca="false">B199&amp;" Q"&amp;ROUNDUP(MONTH(A199)/3,0)</f>
        <v>2025 Q4</v>
      </c>
      <c r="E199" s="49" t="n">
        <v>1</v>
      </c>
      <c r="F199" s="49" t="s">
        <v>88</v>
      </c>
      <c r="G199" s="49" t="s">
        <v>379</v>
      </c>
      <c r="H199" s="49" t="s">
        <v>356</v>
      </c>
      <c r="I199" s="49" t="s">
        <v>247</v>
      </c>
      <c r="J199" s="49" t="s">
        <v>165</v>
      </c>
      <c r="K199" s="49" t="s">
        <v>93</v>
      </c>
      <c r="L199" s="50" t="n">
        <v>9503</v>
      </c>
      <c r="M199" s="51" t="n">
        <v>1083085</v>
      </c>
      <c r="N199" s="51" t="n">
        <f aca="false">E199*M199</f>
        <v>1083085</v>
      </c>
      <c r="O199" s="50" t="n">
        <v>11103</v>
      </c>
      <c r="P199" s="52" t="n">
        <v>0.85</v>
      </c>
      <c r="Q199" s="53" t="n">
        <v>125</v>
      </c>
      <c r="R199" s="53" t="n">
        <v>750</v>
      </c>
      <c r="S199" s="53" t="n">
        <v>113.97</v>
      </c>
    </row>
    <row r="200" customFormat="false" ht="15" hidden="false" customHeight="true" outlineLevel="0" collapsed="false">
      <c r="A200" s="40" t="n">
        <v>45971</v>
      </c>
      <c r="B200" s="41" t="n">
        <f aca="false">YEAR(A200)</f>
        <v>2025</v>
      </c>
      <c r="C200" s="42" t="str">
        <f aca="false">"Q"&amp;ROUNDUP(MONTH(A200)/3,0)</f>
        <v>Q4</v>
      </c>
      <c r="D200" s="42" t="str">
        <f aca="false">B200&amp;" Q"&amp;ROUNDUP(MONTH(A200)/3,0)</f>
        <v>2025 Q4</v>
      </c>
      <c r="E200" s="42" t="n">
        <v>1</v>
      </c>
      <c r="F200" s="42" t="s">
        <v>88</v>
      </c>
      <c r="G200" s="42" t="s">
        <v>380</v>
      </c>
      <c r="H200" s="42" t="s">
        <v>145</v>
      </c>
      <c r="I200" s="42" t="s">
        <v>146</v>
      </c>
      <c r="J200" s="42" t="s">
        <v>147</v>
      </c>
      <c r="K200" s="42" t="s">
        <v>93</v>
      </c>
      <c r="L200" s="43" t="n">
        <v>15719</v>
      </c>
      <c r="M200" s="44" t="n">
        <v>3000965</v>
      </c>
      <c r="N200" s="44" t="n">
        <f aca="false">E200*M200</f>
        <v>3000965</v>
      </c>
      <c r="O200" s="43" t="n">
        <v>16026</v>
      </c>
      <c r="P200" s="45" t="n">
        <v>0.98</v>
      </c>
      <c r="Q200" s="46" t="n">
        <v>62</v>
      </c>
      <c r="R200" s="46" t="n">
        <v>1492</v>
      </c>
      <c r="S200" s="46" t="n">
        <v>190.91</v>
      </c>
    </row>
    <row r="201" customFormat="false" ht="15" hidden="false" customHeight="true" outlineLevel="0" collapsed="false">
      <c r="A201" s="47" t="n">
        <v>45978</v>
      </c>
      <c r="B201" s="48" t="n">
        <f aca="false">YEAR(A201)</f>
        <v>2025</v>
      </c>
      <c r="C201" s="49" t="str">
        <f aca="false">"Q"&amp;ROUNDUP(MONTH(A201)/3,0)</f>
        <v>Q4</v>
      </c>
      <c r="D201" s="49" t="str">
        <f aca="false">B201&amp;" Q"&amp;ROUNDUP(MONTH(A201)/3,0)</f>
        <v>2025 Q4</v>
      </c>
      <c r="E201" s="49" t="n">
        <v>1</v>
      </c>
      <c r="F201" s="49" t="s">
        <v>88</v>
      </c>
      <c r="G201" s="49"/>
      <c r="H201" s="49" t="s">
        <v>154</v>
      </c>
      <c r="I201" s="49" t="s">
        <v>120</v>
      </c>
      <c r="J201" s="49" t="s">
        <v>120</v>
      </c>
      <c r="K201" s="49" t="s">
        <v>93</v>
      </c>
      <c r="L201" s="50" t="n">
        <v>17990</v>
      </c>
      <c r="M201" s="51" t="n">
        <v>4455764</v>
      </c>
      <c r="N201" s="51" t="n">
        <f aca="false">E201*M201</f>
        <v>4455764</v>
      </c>
      <c r="O201" s="50" t="n">
        <v>17990</v>
      </c>
      <c r="P201" s="52" t="n">
        <v>1</v>
      </c>
      <c r="Q201" s="53" t="n">
        <v>87</v>
      </c>
      <c r="R201" s="53" t="n">
        <v>1757</v>
      </c>
      <c r="S201" s="53" t="n">
        <v>247.68</v>
      </c>
    </row>
    <row r="202" customFormat="false" ht="15" hidden="false" customHeight="true" outlineLevel="0" collapsed="false">
      <c r="A202" s="40" t="n">
        <v>45985</v>
      </c>
      <c r="B202" s="41" t="n">
        <f aca="false">YEAR(A202)</f>
        <v>2025</v>
      </c>
      <c r="C202" s="42" t="str">
        <f aca="false">"Q"&amp;ROUNDUP(MONTH(A202)/3,0)</f>
        <v>Q4</v>
      </c>
      <c r="D202" s="42" t="str">
        <f aca="false">B202&amp;" Q"&amp;ROUNDUP(MONTH(A202)/3,0)</f>
        <v>2025 Q4</v>
      </c>
      <c r="E202" s="42" t="n">
        <v>1</v>
      </c>
      <c r="F202" s="42" t="s">
        <v>88</v>
      </c>
      <c r="G202" s="42" t="s">
        <v>381</v>
      </c>
      <c r="H202" s="42" t="s">
        <v>253</v>
      </c>
      <c r="I202" s="42" t="s">
        <v>254</v>
      </c>
      <c r="J202" s="42" t="s">
        <v>107</v>
      </c>
      <c r="K202" s="42" t="s">
        <v>93</v>
      </c>
      <c r="L202" s="43" t="n">
        <v>9165</v>
      </c>
      <c r="M202" s="44" t="n">
        <v>829470</v>
      </c>
      <c r="N202" s="44" t="n">
        <f aca="false">E202*M202</f>
        <v>829470</v>
      </c>
      <c r="O202" s="43" t="n">
        <v>11139</v>
      </c>
      <c r="P202" s="45" t="n">
        <v>0.82</v>
      </c>
      <c r="Q202" s="46" t="n">
        <v>30</v>
      </c>
      <c r="R202" s="46" t="n">
        <v>500</v>
      </c>
      <c r="S202" s="46" t="n">
        <v>90.5</v>
      </c>
    </row>
    <row r="203" customFormat="false" ht="15" hidden="false" customHeight="true" outlineLevel="0" collapsed="false">
      <c r="A203" s="47" t="n">
        <v>45996</v>
      </c>
      <c r="B203" s="48" t="n">
        <f aca="false">YEAR(A203)</f>
        <v>2025</v>
      </c>
      <c r="C203" s="49" t="str">
        <f aca="false">"Q"&amp;ROUNDUP(MONTH(A203)/3,0)</f>
        <v>Q4</v>
      </c>
      <c r="D203" s="49" t="str">
        <f aca="false">B203&amp;" Q"&amp;ROUNDUP(MONTH(A203)/3,0)</f>
        <v>2025 Q4</v>
      </c>
      <c r="E203" s="49" t="n">
        <v>1</v>
      </c>
      <c r="F203" s="49" t="s">
        <v>88</v>
      </c>
      <c r="G203" s="49"/>
      <c r="H203" s="49" t="s">
        <v>328</v>
      </c>
      <c r="I203" s="49" t="s">
        <v>329</v>
      </c>
      <c r="J203" s="49" t="s">
        <v>184</v>
      </c>
      <c r="K203" s="49" t="s">
        <v>93</v>
      </c>
      <c r="L203" s="50" t="n">
        <v>7163</v>
      </c>
      <c r="M203" s="51" t="n">
        <v>636603.83</v>
      </c>
      <c r="N203" s="51" t="n">
        <f aca="false">E203*M203</f>
        <v>636603.83</v>
      </c>
      <c r="O203" s="50" t="n">
        <v>7163</v>
      </c>
      <c r="P203" s="52" t="n">
        <v>1</v>
      </c>
      <c r="Q203" s="53" t="n">
        <v>50</v>
      </c>
      <c r="R203" s="53" t="n">
        <v>425</v>
      </c>
      <c r="S203" s="53" t="n">
        <v>88.87</v>
      </c>
    </row>
    <row r="204" customFormat="false" ht="15" hidden="false" customHeight="true" outlineLevel="0" collapsed="false">
      <c r="A204" s="40" t="n">
        <v>45999</v>
      </c>
      <c r="B204" s="41" t="n">
        <f aca="false">YEAR(A204)</f>
        <v>2025</v>
      </c>
      <c r="C204" s="42" t="str">
        <f aca="false">"Q"&amp;ROUNDUP(MONTH(A204)/3,0)</f>
        <v>Q4</v>
      </c>
      <c r="D204" s="42" t="str">
        <f aca="false">B204&amp;" Q"&amp;ROUNDUP(MONTH(A204)/3,0)</f>
        <v>2025 Q4</v>
      </c>
      <c r="E204" s="42" t="n">
        <v>1</v>
      </c>
      <c r="F204" s="42" t="s">
        <v>382</v>
      </c>
      <c r="G204" s="42" t="s">
        <v>383</v>
      </c>
      <c r="H204" s="42" t="s">
        <v>384</v>
      </c>
      <c r="I204" s="42" t="s">
        <v>385</v>
      </c>
      <c r="J204" s="42" t="s">
        <v>386</v>
      </c>
      <c r="K204" s="42" t="s">
        <v>93</v>
      </c>
      <c r="L204" s="43" t="n">
        <v>7542</v>
      </c>
      <c r="M204" s="44" t="n">
        <v>668130</v>
      </c>
      <c r="N204" s="44" t="n">
        <f aca="false">E204*M204</f>
        <v>668130</v>
      </c>
      <c r="O204" s="43" t="n">
        <v>12310</v>
      </c>
      <c r="P204" s="45" t="n">
        <v>0.61</v>
      </c>
      <c r="Q204" s="46" t="n">
        <v>50</v>
      </c>
      <c r="R204" s="46" t="n">
        <v>600</v>
      </c>
      <c r="S204" s="46" t="n">
        <v>88.59</v>
      </c>
    </row>
    <row r="205" customFormat="false" ht="15" hidden="false" customHeight="true" outlineLevel="0" collapsed="false">
      <c r="A205" s="47" t="n">
        <v>46004</v>
      </c>
      <c r="B205" s="48" t="n">
        <f aca="false">YEAR(A205)</f>
        <v>2025</v>
      </c>
      <c r="C205" s="49" t="str">
        <f aca="false">"Q"&amp;ROUNDUP(MONTH(A205)/3,0)</f>
        <v>Q4</v>
      </c>
      <c r="D205" s="49" t="str">
        <f aca="false">B205&amp;" Q"&amp;ROUNDUP(MONTH(A205)/3,0)</f>
        <v>2025 Q4</v>
      </c>
      <c r="E205" s="49" t="n">
        <v>1</v>
      </c>
      <c r="F205" s="49" t="s">
        <v>88</v>
      </c>
      <c r="G205" s="49"/>
      <c r="H205" s="49" t="s">
        <v>138</v>
      </c>
      <c r="I205" s="49" t="s">
        <v>139</v>
      </c>
      <c r="J205" s="49" t="s">
        <v>140</v>
      </c>
      <c r="K205" s="49" t="s">
        <v>93</v>
      </c>
      <c r="L205" s="50" t="n">
        <v>17121</v>
      </c>
      <c r="M205" s="51" t="n">
        <v>6553882.51</v>
      </c>
      <c r="N205" s="51" t="n">
        <f aca="false">E205*M205</f>
        <v>6553882.51</v>
      </c>
      <c r="O205" s="50" t="n">
        <v>17715</v>
      </c>
      <c r="P205" s="52" t="n">
        <v>0.96</v>
      </c>
      <c r="Q205" s="53" t="n">
        <v>105</v>
      </c>
      <c r="R205" s="53" t="n">
        <v>2005</v>
      </c>
      <c r="S205" s="53" t="n">
        <v>382.8</v>
      </c>
    </row>
    <row r="206" customFormat="false" ht="15" hidden="false" customHeight="true" outlineLevel="0" collapsed="false">
      <c r="A206" s="40" t="n">
        <v>46017</v>
      </c>
      <c r="B206" s="41" t="n">
        <f aca="false">YEAR(A206)</f>
        <v>2025</v>
      </c>
      <c r="C206" s="42" t="str">
        <f aca="false">"Q"&amp;ROUNDUP(MONTH(A206)/3,0)</f>
        <v>Q4</v>
      </c>
      <c r="D206" s="42" t="str">
        <f aca="false">B206&amp;" Q"&amp;ROUNDUP(MONTH(A206)/3,0)</f>
        <v>2025 Q4</v>
      </c>
      <c r="E206" s="42" t="n">
        <v>1</v>
      </c>
      <c r="F206" s="42" t="s">
        <v>88</v>
      </c>
      <c r="G206" s="42" t="s">
        <v>387</v>
      </c>
      <c r="H206" s="42" t="s">
        <v>210</v>
      </c>
      <c r="I206" s="42" t="s">
        <v>211</v>
      </c>
      <c r="J206" s="42" t="s">
        <v>212</v>
      </c>
      <c r="K206" s="42" t="s">
        <v>93</v>
      </c>
      <c r="L206" s="43" t="n">
        <v>8612</v>
      </c>
      <c r="M206" s="44" t="n">
        <v>683746.25</v>
      </c>
      <c r="N206" s="44" t="n">
        <f aca="false">E206*M206</f>
        <v>683746.25</v>
      </c>
      <c r="O206" s="43" t="n">
        <v>10093</v>
      </c>
      <c r="P206" s="45" t="n">
        <v>0.85</v>
      </c>
      <c r="Q206" s="46" t="n">
        <v>30</v>
      </c>
      <c r="R206" s="46" t="n">
        <v>200</v>
      </c>
      <c r="S206" s="46" t="n">
        <v>79.39</v>
      </c>
    </row>
    <row r="207" customFormat="false" ht="15" hidden="false" customHeight="true" outlineLevel="0" collapsed="false">
      <c r="A207" s="47" t="n">
        <v>46024</v>
      </c>
      <c r="B207" s="48" t="n">
        <f aca="false">YEAR(A207)</f>
        <v>2026</v>
      </c>
      <c r="C207" s="49" t="str">
        <f aca="false">"Q"&amp;ROUNDUP(MONTH(A207)/3,0)</f>
        <v>Q1</v>
      </c>
      <c r="D207" s="49" t="str">
        <f aca="false">B207&amp;" Q"&amp;ROUNDUP(MONTH(A207)/3,0)</f>
        <v>2026 Q1</v>
      </c>
      <c r="E207" s="49" t="n">
        <v>1</v>
      </c>
      <c r="F207" s="49" t="s">
        <v>88</v>
      </c>
      <c r="G207" s="49"/>
      <c r="H207" s="49" t="s">
        <v>49</v>
      </c>
      <c r="I207" s="49" t="s">
        <v>50</v>
      </c>
      <c r="J207" s="49" t="s">
        <v>120</v>
      </c>
      <c r="K207" s="49" t="s">
        <v>93</v>
      </c>
      <c r="L207" s="50" t="n">
        <v>7467</v>
      </c>
      <c r="M207" s="51" t="n">
        <v>902970</v>
      </c>
      <c r="N207" s="51" t="n">
        <f aca="false">E207*M207</f>
        <v>902970</v>
      </c>
      <c r="O207" s="50" t="n">
        <v>12780</v>
      </c>
      <c r="P207" s="52" t="n">
        <v>0.58</v>
      </c>
      <c r="Q207" s="53" t="n">
        <v>45</v>
      </c>
      <c r="R207" s="53" t="n">
        <v>400</v>
      </c>
      <c r="S207" s="53" t="n">
        <v>120.93</v>
      </c>
    </row>
    <row r="208" customFormat="false" ht="15" hidden="false" customHeight="true" outlineLevel="0" collapsed="false">
      <c r="A208" s="40" t="n">
        <v>46026</v>
      </c>
      <c r="B208" s="41" t="n">
        <f aca="false">YEAR(A208)</f>
        <v>2026</v>
      </c>
      <c r="C208" s="42" t="str">
        <f aca="false">"Q"&amp;ROUNDUP(MONTH(A208)/3,0)</f>
        <v>Q1</v>
      </c>
      <c r="D208" s="42" t="str">
        <f aca="false">B208&amp;" Q"&amp;ROUNDUP(MONTH(A208)/3,0)</f>
        <v>2026 Q1</v>
      </c>
      <c r="E208" s="42" t="n">
        <v>1</v>
      </c>
      <c r="F208" s="42" t="s">
        <v>88</v>
      </c>
      <c r="G208" s="42"/>
      <c r="H208" s="42" t="s">
        <v>388</v>
      </c>
      <c r="I208" s="42" t="s">
        <v>389</v>
      </c>
      <c r="J208" s="42" t="s">
        <v>116</v>
      </c>
      <c r="K208" s="42" t="s">
        <v>93</v>
      </c>
      <c r="L208" s="43" t="n">
        <v>7172</v>
      </c>
      <c r="M208" s="44" t="n">
        <v>577267.5</v>
      </c>
      <c r="N208" s="44" t="n">
        <f aca="false">E208*M208</f>
        <v>577267.5</v>
      </c>
      <c r="O208" s="43" t="n">
        <v>7570</v>
      </c>
      <c r="P208" s="45" t="n">
        <v>0.94</v>
      </c>
      <c r="Q208" s="46" t="n">
        <v>50</v>
      </c>
      <c r="R208" s="46" t="n">
        <v>300</v>
      </c>
      <c r="S208" s="46" t="n">
        <v>80.49</v>
      </c>
    </row>
    <row r="209" customFormat="false" ht="15" hidden="false" customHeight="true" outlineLevel="0" collapsed="false">
      <c r="A209" s="47" t="n">
        <v>46027</v>
      </c>
      <c r="B209" s="48" t="n">
        <f aca="false">YEAR(A209)</f>
        <v>2026</v>
      </c>
      <c r="C209" s="49" t="str">
        <f aca="false">"Q"&amp;ROUNDUP(MONTH(A209)/3,0)</f>
        <v>Q1</v>
      </c>
      <c r="D209" s="49" t="str">
        <f aca="false">B209&amp;" Q"&amp;ROUNDUP(MONTH(A209)/3,0)</f>
        <v>2026 Q1</v>
      </c>
      <c r="E209" s="49" t="n">
        <v>1</v>
      </c>
      <c r="F209" s="49" t="s">
        <v>88</v>
      </c>
      <c r="G209" s="49" t="s">
        <v>390</v>
      </c>
      <c r="H209" s="49" t="s">
        <v>118</v>
      </c>
      <c r="I209" s="49" t="s">
        <v>119</v>
      </c>
      <c r="J209" s="49" t="s">
        <v>120</v>
      </c>
      <c r="K209" s="49" t="s">
        <v>93</v>
      </c>
      <c r="L209" s="50" t="n">
        <v>14728</v>
      </c>
      <c r="M209" s="51" t="n">
        <v>1617180.25</v>
      </c>
      <c r="N209" s="51" t="n">
        <f aca="false">E209*M209</f>
        <v>1617180.25</v>
      </c>
      <c r="O209" s="50" t="n">
        <v>14728</v>
      </c>
      <c r="P209" s="52" t="n">
        <v>1</v>
      </c>
      <c r="Q209" s="53" t="n">
        <v>40</v>
      </c>
      <c r="R209" s="53" t="n">
        <v>1000</v>
      </c>
      <c r="S209" s="53" t="n">
        <v>109.8</v>
      </c>
    </row>
    <row r="210" customFormat="false" ht="15" hidden="false" customHeight="true" outlineLevel="0" collapsed="false">
      <c r="A210" s="40" t="n">
        <v>46045</v>
      </c>
      <c r="B210" s="41" t="n">
        <f aca="false">YEAR(A210)</f>
        <v>2026</v>
      </c>
      <c r="C210" s="42" t="str">
        <f aca="false">"Q"&amp;ROUNDUP(MONTH(A210)/3,0)</f>
        <v>Q1</v>
      </c>
      <c r="D210" s="42" t="str">
        <f aca="false">B210&amp;" Q"&amp;ROUNDUP(MONTH(A210)/3,0)</f>
        <v>2026 Q1</v>
      </c>
      <c r="E210" s="42" t="n">
        <v>1</v>
      </c>
      <c r="F210" s="42" t="s">
        <v>88</v>
      </c>
      <c r="G210" s="42"/>
      <c r="H210" s="42" t="s">
        <v>122</v>
      </c>
      <c r="I210" s="42" t="s">
        <v>123</v>
      </c>
      <c r="J210" s="42" t="s">
        <v>124</v>
      </c>
      <c r="K210" s="42" t="s">
        <v>125</v>
      </c>
      <c r="L210" s="43" t="n">
        <v>7376</v>
      </c>
      <c r="M210" s="44" t="n">
        <v>700269.72</v>
      </c>
      <c r="N210" s="44" t="n">
        <f aca="false">E210*M210</f>
        <v>700269.72</v>
      </c>
      <c r="O210" s="43" t="n">
        <v>7642</v>
      </c>
      <c r="P210" s="45" t="n">
        <v>0.96</v>
      </c>
      <c r="Q210" s="46" t="n">
        <v>43.51</v>
      </c>
      <c r="R210" s="46" t="n">
        <v>906.46</v>
      </c>
      <c r="S210" s="46" t="n">
        <v>94.94</v>
      </c>
    </row>
    <row r="211" customFormat="false" ht="15" hidden="false" customHeight="true" outlineLevel="0" collapsed="false">
      <c r="A211" s="47" t="n">
        <v>46046</v>
      </c>
      <c r="B211" s="48" t="n">
        <f aca="false">YEAR(A211)</f>
        <v>2026</v>
      </c>
      <c r="C211" s="49" t="str">
        <f aca="false">"Q"&amp;ROUNDUP(MONTH(A211)/3,0)</f>
        <v>Q1</v>
      </c>
      <c r="D211" s="49" t="str">
        <f aca="false">B211&amp;" Q"&amp;ROUNDUP(MONTH(A211)/3,0)</f>
        <v>2026 Q1</v>
      </c>
      <c r="E211" s="49" t="n">
        <v>1</v>
      </c>
      <c r="F211" s="49" t="s">
        <v>88</v>
      </c>
      <c r="G211" s="49"/>
      <c r="H211" s="49" t="s">
        <v>122</v>
      </c>
      <c r="I211" s="49" t="s">
        <v>123</v>
      </c>
      <c r="J211" s="49" t="s">
        <v>124</v>
      </c>
      <c r="K211" s="49" t="s">
        <v>125</v>
      </c>
      <c r="L211" s="50" t="n">
        <v>10789</v>
      </c>
      <c r="M211" s="51" t="n">
        <v>1066121.52</v>
      </c>
      <c r="N211" s="51" t="n">
        <f aca="false">E211*M211</f>
        <v>1066121.52</v>
      </c>
      <c r="O211" s="50" t="n">
        <v>11045</v>
      </c>
      <c r="P211" s="52" t="n">
        <v>0.97</v>
      </c>
      <c r="Q211" s="53" t="n">
        <v>43.72</v>
      </c>
      <c r="R211" s="53" t="n">
        <v>910.78</v>
      </c>
      <c r="S211" s="53" t="n">
        <v>98.82</v>
      </c>
    </row>
    <row r="212" customFormat="false" ht="15" hidden="false" customHeight="true" outlineLevel="0" collapsed="false">
      <c r="A212" s="40" t="n">
        <v>46059</v>
      </c>
      <c r="B212" s="41" t="n">
        <f aca="false">YEAR(A212)</f>
        <v>2026</v>
      </c>
      <c r="C212" s="42" t="str">
        <f aca="false">"Q"&amp;ROUNDUP(MONTH(A212)/3,0)</f>
        <v>Q1</v>
      </c>
      <c r="D212" s="42" t="str">
        <f aca="false">B212&amp;" Q"&amp;ROUNDUP(MONTH(A212)/3,0)</f>
        <v>2026 Q1</v>
      </c>
      <c r="E212" s="42" t="n">
        <v>1</v>
      </c>
      <c r="F212" s="42" t="s">
        <v>88</v>
      </c>
      <c r="G212" s="42"/>
      <c r="H212" s="42" t="s">
        <v>57</v>
      </c>
      <c r="I212" s="42" t="s">
        <v>58</v>
      </c>
      <c r="J212" s="42" t="s">
        <v>109</v>
      </c>
      <c r="K212" s="42" t="s">
        <v>93</v>
      </c>
      <c r="L212" s="43" t="n">
        <v>8867</v>
      </c>
      <c r="M212" s="44" t="n">
        <v>893495.6</v>
      </c>
      <c r="N212" s="44" t="n">
        <f aca="false">E212*M212</f>
        <v>893495.6</v>
      </c>
      <c r="O212" s="43" t="n">
        <v>8867</v>
      </c>
      <c r="P212" s="45" t="n">
        <v>1</v>
      </c>
      <c r="Q212" s="46" t="n">
        <v>100.77</v>
      </c>
      <c r="R212" s="46" t="n">
        <v>100.77</v>
      </c>
      <c r="S212" s="46" t="n">
        <v>100.77</v>
      </c>
    </row>
    <row r="213" customFormat="false" ht="15" hidden="false" customHeight="true" outlineLevel="0" collapsed="false">
      <c r="A213" s="47" t="n">
        <v>46062</v>
      </c>
      <c r="B213" s="48" t="n">
        <f aca="false">YEAR(A213)</f>
        <v>2026</v>
      </c>
      <c r="C213" s="49" t="str">
        <f aca="false">"Q"&amp;ROUNDUP(MONTH(A213)/3,0)</f>
        <v>Q1</v>
      </c>
      <c r="D213" s="49" t="str">
        <f aca="false">B213&amp;" Q"&amp;ROUNDUP(MONTH(A213)/3,0)</f>
        <v>2026 Q1</v>
      </c>
      <c r="E213" s="49" t="n">
        <v>1</v>
      </c>
      <c r="F213" s="49" t="s">
        <v>88</v>
      </c>
      <c r="G213" s="49" t="s">
        <v>391</v>
      </c>
      <c r="H213" s="49" t="s">
        <v>392</v>
      </c>
      <c r="I213" s="49" t="s">
        <v>203</v>
      </c>
      <c r="J213" s="49" t="s">
        <v>204</v>
      </c>
      <c r="K213" s="49" t="s">
        <v>93</v>
      </c>
      <c r="L213" s="50" t="n">
        <v>9342</v>
      </c>
      <c r="M213" s="51" t="n">
        <v>1063859</v>
      </c>
      <c r="N213" s="51" t="n">
        <f aca="false">E213*M213</f>
        <v>1063859</v>
      </c>
      <c r="O213" s="50" t="n">
        <v>12978</v>
      </c>
      <c r="P213" s="52" t="n">
        <v>0.71</v>
      </c>
      <c r="Q213" s="53" t="n">
        <v>40</v>
      </c>
      <c r="R213" s="53" t="n">
        <v>200</v>
      </c>
      <c r="S213" s="53" t="n">
        <v>113.88</v>
      </c>
    </row>
    <row r="214" customFormat="false" ht="15" hidden="false" customHeight="true" outlineLevel="0" collapsed="false">
      <c r="A214" s="40" t="n">
        <v>46066</v>
      </c>
      <c r="B214" s="41" t="n">
        <f aca="false">YEAR(A214)</f>
        <v>2026</v>
      </c>
      <c r="C214" s="42" t="str">
        <f aca="false">"Q"&amp;ROUNDUP(MONTH(A214)/3,0)</f>
        <v>Q1</v>
      </c>
      <c r="D214" s="42" t="str">
        <f aca="false">B214&amp;" Q"&amp;ROUNDUP(MONTH(A214)/3,0)</f>
        <v>2026 Q1</v>
      </c>
      <c r="E214" s="42" t="n">
        <v>1</v>
      </c>
      <c r="F214" s="42" t="s">
        <v>88</v>
      </c>
      <c r="G214" s="42" t="s">
        <v>366</v>
      </c>
      <c r="H214" s="42" t="s">
        <v>61</v>
      </c>
      <c r="I214" s="42" t="s">
        <v>62</v>
      </c>
      <c r="J214" s="42" t="s">
        <v>184</v>
      </c>
      <c r="K214" s="42" t="s">
        <v>93</v>
      </c>
      <c r="L214" s="43" t="n">
        <v>10137</v>
      </c>
      <c r="M214" s="44" t="n">
        <v>1190420</v>
      </c>
      <c r="N214" s="44" t="n">
        <f aca="false">E214*M214</f>
        <v>1190420</v>
      </c>
      <c r="O214" s="43" t="n">
        <v>11945</v>
      </c>
      <c r="P214" s="45" t="n">
        <v>0.84</v>
      </c>
      <c r="Q214" s="46" t="n">
        <v>70</v>
      </c>
      <c r="R214" s="46" t="n">
        <v>800</v>
      </c>
      <c r="S214" s="46" t="n">
        <v>117.43</v>
      </c>
    </row>
    <row r="215" customFormat="false" ht="15" hidden="false" customHeight="true" outlineLevel="0" collapsed="false">
      <c r="A215" s="47" t="n">
        <v>46076</v>
      </c>
      <c r="B215" s="48" t="n">
        <f aca="false">YEAR(A215)</f>
        <v>2026</v>
      </c>
      <c r="C215" s="49" t="str">
        <f aca="false">"Q"&amp;ROUNDUP(MONTH(A215)/3,0)</f>
        <v>Q1</v>
      </c>
      <c r="D215" s="49" t="str">
        <f aca="false">B215&amp;" Q"&amp;ROUNDUP(MONTH(A215)/3,0)</f>
        <v>2026 Q1</v>
      </c>
      <c r="E215" s="49" t="n">
        <v>1</v>
      </c>
      <c r="F215" s="49" t="s">
        <v>88</v>
      </c>
      <c r="G215" s="49" t="s">
        <v>393</v>
      </c>
      <c r="H215" s="49" t="s">
        <v>65</v>
      </c>
      <c r="I215" s="49" t="s">
        <v>66</v>
      </c>
      <c r="J215" s="49" t="s">
        <v>208</v>
      </c>
      <c r="K215" s="49" t="s">
        <v>93</v>
      </c>
      <c r="L215" s="50" t="n">
        <v>12145</v>
      </c>
      <c r="M215" s="51" t="n">
        <v>1280370</v>
      </c>
      <c r="N215" s="51" t="n">
        <f aca="false">E215*M215</f>
        <v>1280370</v>
      </c>
      <c r="O215" s="50" t="n">
        <v>12145</v>
      </c>
      <c r="P215" s="52" t="n">
        <v>1</v>
      </c>
      <c r="Q215" s="53" t="n">
        <v>50</v>
      </c>
      <c r="R215" s="53" t="n">
        <v>750</v>
      </c>
      <c r="S215" s="53" t="n">
        <v>105.42</v>
      </c>
    </row>
    <row r="216" customFormat="false" ht="15" hidden="false" customHeight="true" outlineLevel="0" collapsed="false">
      <c r="A216" s="40" t="n">
        <v>46080</v>
      </c>
      <c r="B216" s="41" t="n">
        <f aca="false">YEAR(A216)</f>
        <v>2026</v>
      </c>
      <c r="C216" s="42" t="str">
        <f aca="false">"Q"&amp;ROUNDUP(MONTH(A216)/3,0)</f>
        <v>Q1</v>
      </c>
      <c r="D216" s="42" t="str">
        <f aca="false">B216&amp;" Q"&amp;ROUNDUP(MONTH(A216)/3,0)</f>
        <v>2026 Q1</v>
      </c>
      <c r="E216" s="42" t="n">
        <v>1</v>
      </c>
      <c r="F216" s="42" t="s">
        <v>88</v>
      </c>
      <c r="G216" s="42" t="s">
        <v>394</v>
      </c>
      <c r="H216" s="42" t="s">
        <v>395</v>
      </c>
      <c r="I216" s="42" t="s">
        <v>396</v>
      </c>
      <c r="J216" s="42" t="s">
        <v>196</v>
      </c>
      <c r="K216" s="42" t="s">
        <v>93</v>
      </c>
      <c r="L216" s="43" t="n">
        <v>9768</v>
      </c>
      <c r="M216" s="44" t="n">
        <v>785204</v>
      </c>
      <c r="N216" s="44" t="n">
        <f aca="false">E216*M216</f>
        <v>785204</v>
      </c>
      <c r="O216" s="43" t="n">
        <v>10000</v>
      </c>
      <c r="P216" s="45" t="n">
        <v>0.97</v>
      </c>
      <c r="Q216" s="46" t="n">
        <v>50</v>
      </c>
      <c r="R216" s="46" t="n">
        <v>85</v>
      </c>
      <c r="S216" s="46" t="n">
        <v>80.39</v>
      </c>
    </row>
    <row r="217" customFormat="false" ht="15" hidden="false" customHeight="true" outlineLevel="0" collapsed="false">
      <c r="A217" s="47" t="n">
        <v>46094</v>
      </c>
      <c r="B217" s="48" t="n">
        <f aca="false">YEAR(A217)</f>
        <v>2026</v>
      </c>
      <c r="C217" s="49" t="str">
        <f aca="false">"Q"&amp;ROUNDUP(MONTH(A217)/3,0)</f>
        <v>Q1</v>
      </c>
      <c r="D217" s="49" t="str">
        <f aca="false">B217&amp;" Q"&amp;ROUNDUP(MONTH(A217)/3,0)</f>
        <v>2026 Q1</v>
      </c>
      <c r="E217" s="49" t="n">
        <v>1</v>
      </c>
      <c r="F217" s="49" t="s">
        <v>88</v>
      </c>
      <c r="G217" s="49" t="s">
        <v>397</v>
      </c>
      <c r="H217" s="49" t="s">
        <v>398</v>
      </c>
      <c r="I217" s="49" t="s">
        <v>161</v>
      </c>
      <c r="J217" s="49" t="s">
        <v>162</v>
      </c>
      <c r="K217" s="49" t="s">
        <v>93</v>
      </c>
      <c r="L217" s="50" t="n">
        <v>9048</v>
      </c>
      <c r="M217" s="51" t="n">
        <v>808965</v>
      </c>
      <c r="N217" s="51" t="n">
        <f aca="false">E217*M217</f>
        <v>808965</v>
      </c>
      <c r="O217" s="50" t="n">
        <v>10753</v>
      </c>
      <c r="P217" s="52" t="n">
        <v>0.84</v>
      </c>
      <c r="Q217" s="53" t="n">
        <v>60</v>
      </c>
      <c r="R217" s="53" t="n">
        <v>1500</v>
      </c>
      <c r="S217" s="53" t="n">
        <v>89.41</v>
      </c>
    </row>
    <row r="218" customFormat="false" ht="15" hidden="false" customHeight="true" outlineLevel="0" collapsed="false">
      <c r="A218" s="40" t="n">
        <v>46097</v>
      </c>
      <c r="B218" s="41" t="n">
        <f aca="false">YEAR(A218)</f>
        <v>2026</v>
      </c>
      <c r="C218" s="42" t="str">
        <f aca="false">"Q"&amp;ROUNDUP(MONTH(A218)/3,0)</f>
        <v>Q1</v>
      </c>
      <c r="D218" s="42" t="str">
        <f aca="false">B218&amp;" Q"&amp;ROUNDUP(MONTH(A218)/3,0)</f>
        <v>2026 Q1</v>
      </c>
      <c r="E218" s="42" t="n">
        <v>1</v>
      </c>
      <c r="F218" s="42" t="s">
        <v>88</v>
      </c>
      <c r="G218" s="42"/>
      <c r="H218" s="42" t="s">
        <v>59</v>
      </c>
      <c r="I218" s="42" t="s">
        <v>60</v>
      </c>
      <c r="J218" s="42" t="s">
        <v>184</v>
      </c>
      <c r="K218" s="42" t="s">
        <v>93</v>
      </c>
      <c r="L218" s="43" t="n">
        <v>14133</v>
      </c>
      <c r="M218" s="44" t="n">
        <v>1665318</v>
      </c>
      <c r="N218" s="44" t="n">
        <f aca="false">E218*M218</f>
        <v>1665318</v>
      </c>
      <c r="O218" s="43" t="n">
        <v>14133</v>
      </c>
      <c r="P218" s="45" t="n">
        <v>1</v>
      </c>
      <c r="Q218" s="46" t="n">
        <v>50</v>
      </c>
      <c r="R218" s="46" t="n">
        <v>500</v>
      </c>
      <c r="S218" s="46" t="n">
        <v>117.83</v>
      </c>
    </row>
    <row r="219" customFormat="false" ht="15" hidden="false" customHeight="true" outlineLevel="0" collapsed="false">
      <c r="A219" s="47" t="n">
        <v>46104</v>
      </c>
      <c r="B219" s="48" t="n">
        <f aca="false">YEAR(A219)</f>
        <v>2026</v>
      </c>
      <c r="C219" s="49" t="str">
        <f aca="false">"Q"&amp;ROUNDUP(MONTH(A219)/3,0)</f>
        <v>Q1</v>
      </c>
      <c r="D219" s="49" t="str">
        <f aca="false">B219&amp;" Q"&amp;ROUNDUP(MONTH(A219)/3,0)</f>
        <v>2026 Q1</v>
      </c>
      <c r="E219" s="49" t="n">
        <v>1</v>
      </c>
      <c r="F219" s="49" t="s">
        <v>88</v>
      </c>
      <c r="G219" s="49" t="s">
        <v>399</v>
      </c>
      <c r="H219" s="49" t="s">
        <v>145</v>
      </c>
      <c r="I219" s="49" t="s">
        <v>146</v>
      </c>
      <c r="J219" s="49" t="s">
        <v>147</v>
      </c>
      <c r="K219" s="49" t="s">
        <v>93</v>
      </c>
      <c r="L219" s="50" t="n">
        <v>11691</v>
      </c>
      <c r="M219" s="51" t="n">
        <v>1481387</v>
      </c>
      <c r="N219" s="51" t="n">
        <f aca="false">E219*M219</f>
        <v>1481387</v>
      </c>
      <c r="O219" s="50" t="n">
        <v>11925</v>
      </c>
      <c r="P219" s="52" t="n">
        <v>0.98</v>
      </c>
      <c r="Q219" s="53" t="n">
        <v>50</v>
      </c>
      <c r="R219" s="53" t="n">
        <v>1500</v>
      </c>
      <c r="S219" s="53" t="n">
        <v>126.71</v>
      </c>
    </row>
    <row r="220" customFormat="false" ht="15" hidden="false" customHeight="true" outlineLevel="0" collapsed="false">
      <c r="A220" s="40" t="n">
        <v>46125</v>
      </c>
      <c r="B220" s="41" t="n">
        <f aca="false">YEAR(A220)</f>
        <v>2026</v>
      </c>
      <c r="C220" s="42" t="str">
        <f aca="false">"Q"&amp;ROUNDUP(MONTH(A220)/3,0)</f>
        <v>Q2</v>
      </c>
      <c r="D220" s="42" t="str">
        <f aca="false">B220&amp;" Q"&amp;ROUNDUP(MONTH(A220)/3,0)</f>
        <v>2026 Q2</v>
      </c>
      <c r="E220" s="42" t="n">
        <v>1</v>
      </c>
      <c r="F220" s="42" t="s">
        <v>88</v>
      </c>
      <c r="G220" s="42" t="s">
        <v>400</v>
      </c>
      <c r="H220" s="42" t="s">
        <v>63</v>
      </c>
      <c r="I220" s="42" t="s">
        <v>64</v>
      </c>
      <c r="J220" s="42" t="s">
        <v>165</v>
      </c>
      <c r="K220" s="42" t="s">
        <v>93</v>
      </c>
      <c r="L220" s="43" t="n">
        <v>10992</v>
      </c>
      <c r="M220" s="44" t="n">
        <v>1484719.02</v>
      </c>
      <c r="N220" s="44" t="n">
        <f aca="false">E220*M220</f>
        <v>1484719.02</v>
      </c>
      <c r="O220" s="43" t="n">
        <v>11775</v>
      </c>
      <c r="P220" s="45" t="n">
        <v>0.93</v>
      </c>
      <c r="Q220" s="46" t="n">
        <v>37.5</v>
      </c>
      <c r="R220" s="46" t="n">
        <v>800</v>
      </c>
      <c r="S220" s="46" t="n">
        <v>135.07</v>
      </c>
    </row>
    <row r="221" customFormat="false" ht="15" hidden="false" customHeight="true" outlineLevel="0" collapsed="false">
      <c r="A221" s="47" t="n">
        <v>46129</v>
      </c>
      <c r="B221" s="48" t="n">
        <f aca="false">YEAR(A221)</f>
        <v>2026</v>
      </c>
      <c r="C221" s="49" t="str">
        <f aca="false">"Q"&amp;ROUNDUP(MONTH(A221)/3,0)</f>
        <v>Q2</v>
      </c>
      <c r="D221" s="49" t="str">
        <f aca="false">B221&amp;" Q"&amp;ROUNDUP(MONTH(A221)/3,0)</f>
        <v>2026 Q2</v>
      </c>
      <c r="E221" s="49" t="n">
        <v>1</v>
      </c>
      <c r="F221" s="49" t="s">
        <v>366</v>
      </c>
      <c r="G221" s="49"/>
      <c r="H221" s="49" t="s">
        <v>71</v>
      </c>
      <c r="I221" s="49" t="s">
        <v>72</v>
      </c>
      <c r="J221" s="49" t="s">
        <v>153</v>
      </c>
      <c r="K221" s="49" t="s">
        <v>93</v>
      </c>
      <c r="L221" s="50" t="n">
        <v>9630</v>
      </c>
      <c r="M221" s="51" t="n">
        <v>1250457</v>
      </c>
      <c r="N221" s="51" t="n">
        <f aca="false">E221*M221</f>
        <v>1250457</v>
      </c>
      <c r="O221" s="50" t="n">
        <v>12597</v>
      </c>
      <c r="P221" s="52" t="n">
        <v>0.76</v>
      </c>
      <c r="Q221" s="53" t="n">
        <v>82.3</v>
      </c>
      <c r="R221" s="53" t="n">
        <v>1641</v>
      </c>
      <c r="S221" s="53" t="n">
        <v>129.85</v>
      </c>
    </row>
    <row r="222" customFormat="false" ht="15" hidden="false" customHeight="true" outlineLevel="0" collapsed="false">
      <c r="A222" s="40" t="n">
        <v>46129</v>
      </c>
      <c r="B222" s="41" t="n">
        <f aca="false">YEAR(A222)</f>
        <v>2026</v>
      </c>
      <c r="C222" s="42" t="str">
        <f aca="false">"Q"&amp;ROUNDUP(MONTH(A222)/3,0)</f>
        <v>Q2</v>
      </c>
      <c r="D222" s="42" t="str">
        <f aca="false">B222&amp;" Q"&amp;ROUNDUP(MONTH(A222)/3,0)</f>
        <v>2026 Q2</v>
      </c>
      <c r="E222" s="42" t="n">
        <v>1</v>
      </c>
      <c r="F222" s="42" t="s">
        <v>88</v>
      </c>
      <c r="G222" s="42"/>
      <c r="H222" s="42" t="s">
        <v>401</v>
      </c>
      <c r="I222" s="42" t="s">
        <v>72</v>
      </c>
      <c r="J222" s="42" t="s">
        <v>153</v>
      </c>
      <c r="K222" s="42" t="s">
        <v>93</v>
      </c>
      <c r="L222" s="43" t="n">
        <v>1759</v>
      </c>
      <c r="M222" s="44" t="n">
        <v>245966</v>
      </c>
      <c r="N222" s="44" t="n">
        <f aca="false">E222*M222</f>
        <v>245966</v>
      </c>
      <c r="O222" s="43" t="n">
        <v>2009</v>
      </c>
      <c r="P222" s="45" t="n">
        <v>0.87</v>
      </c>
      <c r="Q222" s="46" t="n">
        <v>30</v>
      </c>
      <c r="R222" s="46" t="n">
        <v>750</v>
      </c>
      <c r="S222" s="46" t="n">
        <v>139.83</v>
      </c>
    </row>
    <row r="223" customFormat="false" ht="15" hidden="false" customHeight="true" outlineLevel="0" collapsed="false">
      <c r="A223" s="47" t="n">
        <v>46130</v>
      </c>
      <c r="B223" s="48" t="n">
        <f aca="false">YEAR(A223)</f>
        <v>2026</v>
      </c>
      <c r="C223" s="49" t="str">
        <f aca="false">"Q"&amp;ROUNDUP(MONTH(A223)/3,0)</f>
        <v>Q2</v>
      </c>
      <c r="D223" s="49" t="str">
        <f aca="false">B223&amp;" Q"&amp;ROUNDUP(MONTH(A223)/3,0)</f>
        <v>2026 Q2</v>
      </c>
      <c r="E223" s="49" t="n">
        <v>1</v>
      </c>
      <c r="F223" s="49" t="s">
        <v>88</v>
      </c>
      <c r="G223" s="49"/>
      <c r="H223" s="49" t="s">
        <v>401</v>
      </c>
      <c r="I223" s="49" t="s">
        <v>72</v>
      </c>
      <c r="J223" s="49" t="s">
        <v>153</v>
      </c>
      <c r="K223" s="49" t="s">
        <v>93</v>
      </c>
      <c r="L223" s="50" t="n">
        <v>4573</v>
      </c>
      <c r="M223" s="51" t="n">
        <v>385305</v>
      </c>
      <c r="N223" s="51" t="n">
        <f aca="false">E223*M223</f>
        <v>385305</v>
      </c>
      <c r="O223" s="50" t="n">
        <v>4573</v>
      </c>
      <c r="P223" s="52" t="n">
        <v>1</v>
      </c>
      <c r="Q223" s="53" t="n">
        <v>48.6</v>
      </c>
      <c r="R223" s="53" t="n">
        <v>332</v>
      </c>
      <c r="S223" s="53" t="n">
        <v>84.26</v>
      </c>
    </row>
    <row r="224" customFormat="false" ht="15" hidden="false" customHeight="true" outlineLevel="0" collapsed="false">
      <c r="A224" s="40" t="n">
        <v>46132</v>
      </c>
      <c r="B224" s="41" t="n">
        <f aca="false">YEAR(A224)</f>
        <v>2026</v>
      </c>
      <c r="C224" s="42" t="str">
        <f aca="false">"Q"&amp;ROUNDUP(MONTH(A224)/3,0)</f>
        <v>Q2</v>
      </c>
      <c r="D224" s="42" t="str">
        <f aca="false">B224&amp;" Q"&amp;ROUNDUP(MONTH(A224)/3,0)</f>
        <v>2026 Q2</v>
      </c>
      <c r="E224" s="42" t="n">
        <v>1</v>
      </c>
      <c r="F224" s="42" t="s">
        <v>402</v>
      </c>
      <c r="G224" s="42"/>
      <c r="H224" s="42" t="s">
        <v>71</v>
      </c>
      <c r="I224" s="42" t="s">
        <v>72</v>
      </c>
      <c r="J224" s="42" t="s">
        <v>153</v>
      </c>
      <c r="K224" s="42" t="s">
        <v>93</v>
      </c>
      <c r="L224" s="43" t="n">
        <v>13993</v>
      </c>
      <c r="M224" s="44" t="n">
        <v>1963923</v>
      </c>
      <c r="N224" s="44" t="n">
        <f aca="false">E224*M224</f>
        <v>1963923</v>
      </c>
      <c r="O224" s="43" t="n">
        <v>13993</v>
      </c>
      <c r="P224" s="45" t="n">
        <v>1</v>
      </c>
      <c r="Q224" s="46" t="n">
        <v>82.3</v>
      </c>
      <c r="R224" s="46" t="n">
        <v>1641</v>
      </c>
      <c r="S224" s="46" t="n">
        <v>140.35</v>
      </c>
    </row>
    <row r="225" customFormat="false" ht="15" hidden="false" customHeight="true" outlineLevel="0" collapsed="false">
      <c r="A225" s="47" t="n">
        <v>46136</v>
      </c>
      <c r="B225" s="48" t="n">
        <f aca="false">YEAR(A225)</f>
        <v>2026</v>
      </c>
      <c r="C225" s="49" t="str">
        <f aca="false">"Q"&amp;ROUNDUP(MONTH(A225)/3,0)</f>
        <v>Q2</v>
      </c>
      <c r="D225" s="49" t="str">
        <f aca="false">B225&amp;" Q"&amp;ROUNDUP(MONTH(A225)/3,0)</f>
        <v>2026 Q2</v>
      </c>
      <c r="E225" s="49" t="n">
        <v>1</v>
      </c>
      <c r="F225" s="49" t="s">
        <v>88</v>
      </c>
      <c r="G225" s="49" t="s">
        <v>403</v>
      </c>
      <c r="H225" s="49" t="s">
        <v>69</v>
      </c>
      <c r="I225" s="49" t="s">
        <v>70</v>
      </c>
      <c r="J225" s="49" t="s">
        <v>184</v>
      </c>
      <c r="K225" s="49" t="s">
        <v>93</v>
      </c>
      <c r="L225" s="50" t="n">
        <v>9902</v>
      </c>
      <c r="M225" s="51" t="n">
        <v>1069191</v>
      </c>
      <c r="N225" s="51" t="n">
        <f aca="false">E225*M225</f>
        <v>1069191</v>
      </c>
      <c r="O225" s="50" t="n">
        <v>11329</v>
      </c>
      <c r="P225" s="52" t="n">
        <v>0.87</v>
      </c>
      <c r="Q225" s="53" t="n">
        <v>89</v>
      </c>
      <c r="R225" s="53" t="n">
        <v>619</v>
      </c>
      <c r="S225" s="53" t="n">
        <v>107.98</v>
      </c>
    </row>
    <row r="226" customFormat="false" ht="15" hidden="false" customHeight="true" outlineLevel="0" collapsed="false">
      <c r="A226" s="40" t="n">
        <v>46143</v>
      </c>
      <c r="B226" s="41" t="n">
        <f aca="false">YEAR(A226)</f>
        <v>2026</v>
      </c>
      <c r="C226" s="42" t="str">
        <f aca="false">"Q"&amp;ROUNDUP(MONTH(A226)/3,0)</f>
        <v>Q2</v>
      </c>
      <c r="D226" s="42" t="str">
        <f aca="false">B226&amp;" Q"&amp;ROUNDUP(MONTH(A226)/3,0)</f>
        <v>2026 Q2</v>
      </c>
      <c r="E226" s="42" t="n">
        <v>1</v>
      </c>
      <c r="F226" s="42" t="s">
        <v>88</v>
      </c>
      <c r="G226" s="42" t="s">
        <v>404</v>
      </c>
      <c r="H226" s="42" t="s">
        <v>67</v>
      </c>
      <c r="I226" s="42" t="s">
        <v>68</v>
      </c>
      <c r="J226" s="42" t="s">
        <v>107</v>
      </c>
      <c r="K226" s="42" t="s">
        <v>93</v>
      </c>
      <c r="L226" s="43" t="n">
        <v>5628</v>
      </c>
      <c r="M226" s="44" t="n">
        <v>518620.98</v>
      </c>
      <c r="N226" s="44" t="n">
        <f aca="false">E226*M226</f>
        <v>518620.98</v>
      </c>
      <c r="O226" s="43" t="n">
        <v>6541</v>
      </c>
      <c r="P226" s="45" t="n">
        <v>0.86</v>
      </c>
      <c r="Q226" s="46" t="n">
        <v>20</v>
      </c>
      <c r="R226" s="46" t="n">
        <v>400</v>
      </c>
      <c r="S226" s="46" t="n">
        <v>92.15</v>
      </c>
    </row>
    <row r="227" customFormat="false" ht="15" hidden="false" customHeight="true" outlineLevel="0" collapsed="false">
      <c r="A227" s="47" t="n">
        <v>46146</v>
      </c>
      <c r="B227" s="48" t="n">
        <f aca="false">YEAR(A227)</f>
        <v>2026</v>
      </c>
      <c r="C227" s="49" t="str">
        <f aca="false">"Q"&amp;ROUNDUP(MONTH(A227)/3,0)</f>
        <v>Q2</v>
      </c>
      <c r="D227" s="49" t="str">
        <f aca="false">B227&amp;" Q"&amp;ROUNDUP(MONTH(A227)/3,0)</f>
        <v>2026 Q2</v>
      </c>
      <c r="E227" s="49" t="n">
        <v>1</v>
      </c>
      <c r="F227" s="49" t="s">
        <v>88</v>
      </c>
      <c r="G227" s="49" t="s">
        <v>405</v>
      </c>
      <c r="H227" s="49" t="s">
        <v>54</v>
      </c>
      <c r="I227" s="49" t="s">
        <v>55</v>
      </c>
      <c r="J227" s="49" t="s">
        <v>365</v>
      </c>
      <c r="K227" s="49" t="s">
        <v>93</v>
      </c>
      <c r="L227" s="50" t="n">
        <v>8444</v>
      </c>
      <c r="M227" s="51" t="n">
        <v>846384.17</v>
      </c>
      <c r="N227" s="51" t="n">
        <f aca="false">E227*M227</f>
        <v>846384.17</v>
      </c>
      <c r="O227" s="50" t="n">
        <v>13000</v>
      </c>
      <c r="P227" s="52" t="n">
        <v>0.64</v>
      </c>
      <c r="Q227" s="53" t="n">
        <v>40</v>
      </c>
      <c r="R227" s="53" t="n">
        <v>400</v>
      </c>
      <c r="S227" s="53" t="n">
        <v>100.23</v>
      </c>
    </row>
    <row r="228" customFormat="false" ht="15" hidden="false" customHeight="true" outlineLevel="0" collapsed="false">
      <c r="A228" s="40" t="n">
        <v>46151</v>
      </c>
      <c r="B228" s="41" t="n">
        <f aca="false">YEAR(A228)</f>
        <v>2026</v>
      </c>
      <c r="C228" s="42" t="str">
        <f aca="false">"Q"&amp;ROUNDUP(MONTH(A228)/3,0)</f>
        <v>Q2</v>
      </c>
      <c r="D228" s="42" t="str">
        <f aca="false">B228&amp;" Q"&amp;ROUNDUP(MONTH(A228)/3,0)</f>
        <v>2026 Q2</v>
      </c>
      <c r="E228" s="42" t="n">
        <v>1</v>
      </c>
      <c r="F228" s="42" t="s">
        <v>88</v>
      </c>
      <c r="G228" s="42" t="s">
        <v>406</v>
      </c>
      <c r="H228" s="42" t="s">
        <v>407</v>
      </c>
      <c r="I228" s="42" t="s">
        <v>285</v>
      </c>
      <c r="J228" s="42" t="s">
        <v>113</v>
      </c>
      <c r="K228" s="42" t="s">
        <v>93</v>
      </c>
      <c r="L228" s="43" t="n">
        <v>13868</v>
      </c>
      <c r="M228" s="44" t="n">
        <v>2625788.3</v>
      </c>
      <c r="N228" s="44" t="n">
        <f aca="false">E228*M228</f>
        <v>2625788.3</v>
      </c>
      <c r="O228" s="43" t="n">
        <v>13868</v>
      </c>
      <c r="P228" s="45" t="n">
        <v>1</v>
      </c>
      <c r="Q228" s="46" t="n">
        <v>55</v>
      </c>
      <c r="R228" s="46" t="n">
        <v>800</v>
      </c>
      <c r="S228" s="46" t="n">
        <v>189.34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2026-06-09T16:40:19Z</dcterms:created>
  <dc:creator>openpyxl</dc:creator>
  <dc:description/>
  <dc:language>en-US</dc:language>
  <cp:lastModifiedBy/>
  <dcterms:modified xsi:type="dcterms:W3CDTF">2026-06-09T16:59:28Z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