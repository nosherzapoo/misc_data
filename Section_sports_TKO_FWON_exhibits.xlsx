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Ex19 UFC ladder" sheetId="2" state="visible" r:id="rId4"/>
    <sheet name="Ex20 WWE runway" sheetId="3" state="visible" r:id="rId5"/>
    <sheet name="Ex21 F1 Paddock Clu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<sst xmlns="http://schemas.openxmlformats.org/spreadsheetml/2006/main" count="52" uniqueCount="50">
  <si>
    <t xml:space="preserve">Sports: TKO &amp; FWON exhibits</t>
  </si>
  <si>
    <t xml:space="preserve">Extending the high-quality-engagement thesis to live sport</t>
  </si>
  <si>
    <t xml:space="preserve">Prepared 1 Jul 2026 | Bernstein analysis</t>
  </si>
  <si>
    <t xml:space="preserve">EXHIBITS IN THIS WORKBOOK</t>
  </si>
  <si>
    <t xml:space="preserve">Exhibit 19</t>
  </si>
  <si>
    <t xml:space="preserve">UFC has the steepest superfan price ladder in live entertainment</t>
  </si>
  <si>
    <t xml:space="preserve">Tab 'Ex19 UFC ladder'</t>
  </si>
  <si>
    <t xml:space="preserve">Exhibit 20</t>
  </si>
  <si>
    <t xml:space="preserve">TKO's runway: WWE's premium events price up while the weekly product stays flat</t>
  </si>
  <si>
    <t xml:space="preserve">Tab 'Ex20 WWE runway'</t>
  </si>
  <si>
    <t xml:space="preserve">Exhibit 21</t>
  </si>
  <si>
    <t xml:space="preserve">F1's Paddock Club: the same premium ladder, at a single Grand Prix (FWON)</t>
  </si>
  <si>
    <t xml:space="preserve">Tab 'Ex21 F1 Paddock Club'</t>
  </si>
  <si>
    <t xml:space="preserve">Note: TKO exhibits use uploaded Pollstar event data (UFC n=22, WWE n=459). Small UFC sample: read as illustrative of structure, not precise population statistics. Numbers follow the working draft; renumber for final pagination.</t>
  </si>
  <si>
    <t xml:space="preserve">Exhibit 19: UFC has the steepest superfan price ladder in live entertainment</t>
  </si>
  <si>
    <t xml:space="preserve">Within-event ticket ladder: get-in vs top price. UFC flagship cards vs a music superstar benchmark (US).</t>
  </si>
  <si>
    <t xml:space="preserve">Product</t>
  </si>
  <si>
    <t xml:space="preserve">Get-in price</t>
  </si>
  <si>
    <t xml:space="preserve">Avg paid price</t>
  </si>
  <si>
    <t xml:space="preserve">Top price</t>
  </si>
  <si>
    <t xml:space="preserve">Top / get-in</t>
  </si>
  <si>
    <t xml:space="preserve">Music superstar (benchmark)</t>
  </si>
  <si>
    <t xml:space="preserve">UFC flagship PPV (median)</t>
  </si>
  <si>
    <t xml:space="preserve">UFC 309 (New York, peak)</t>
  </si>
  <si>
    <t xml:space="preserve">UFC's flagship cards run a top ticket near $5,000 and up to $10,000, on a get-in near $200, a within-event spread of roughly 30x versus about 6x for a music superstar. These cards sell at ~100% of capacity. A thin slice of superfans pays five figures at cageside while a floor is preserved for the general fan: the sharpest superfan ladder in live.</t>
  </si>
  <si>
    <t xml:space="preserve">Source: Pollstar event data (UFC US events, n=22; flagship = numbered PPV cards). Music superstar benchmark per Exhibit 12. Bernstein analysis. Nominal; small sample, read as structural.</t>
  </si>
  <si>
    <t xml:space="preserve">Exhibit 20: TKO's runway, WWE premium events price up while the weekly product stays flat</t>
  </si>
  <si>
    <t xml:space="preserve">WWE ticket economics: premium live events vs recurring weekly television (US).</t>
  </si>
  <si>
    <t xml:space="preserve">WWE product</t>
  </si>
  <si>
    <t xml:space="preserve">Get-in</t>
  </si>
  <si>
    <t xml:space="preserve">Avg paid</t>
  </si>
  <si>
    <t xml:space="preserve">Premium live events (&gt;$3M gross)</t>
  </si>
  <si>
    <t xml:space="preserve">Weekly TV (Raw / Smackdown)</t>
  </si>
  <si>
    <t xml:space="preserve">Premium / weekly (top price)</t>
  </si>
  <si>
    <t xml:space="preserve">WWE's premium live events already price like a K-shaped product (top ticket ~$1,600, a 20x internal spread), but its recurring weekly shows are still priced flat (top ~$126, 6x). The premium tier tops out at roughly 12x the weekly product. Much of TKO's live portfolio has yet to be premiumised: that gap is the monetisation runway.</t>
  </si>
  <si>
    <t xml:space="preserve">Source: Pollstar event data (WWE US events, n=459). Premium vs weekly split proxied at $3M gross; illustrative, not an official WWE classification. Bernstein analysis. Nominal.</t>
  </si>
  <si>
    <t xml:space="preserve">Exhibit 21: F1's Paddock Club, the same premium ladder at a single Grand Prix</t>
  </si>
  <si>
    <t xml:space="preserve">Ticket ladder at one event (2025-26 Las Vegas GP shown), from general admission to luxury hospitality. FWON.</t>
  </si>
  <si>
    <t xml:space="preserve">Tier (3-day, Las Vegas GP)</t>
  </si>
  <si>
    <t xml:space="preserve">Price from</t>
  </si>
  <si>
    <t xml:space="preserve">Multiple vs GA</t>
  </si>
  <si>
    <t xml:space="preserve">General admission (Flamingo Zone)</t>
  </si>
  <si>
    <t xml:space="preserve">Grandstand (Heineken)</t>
  </si>
  <si>
    <t xml:space="preserve">Club hospitality (Turn 3 Club)</t>
  </si>
  <si>
    <t xml:space="preserve">Skybox / main grandstand</t>
  </si>
  <si>
    <t xml:space="preserve">Luxury: Paddock Club Rooftop (Trackside Tavern)</t>
  </si>
  <si>
    <t xml:space="preserve">Luxury: Wynn Grid Club</t>
  </si>
  <si>
    <t xml:space="preserve">Luxury: Gordon Ramsay F1 Garage</t>
  </si>
  <si>
    <t xml:space="preserve">At one Grand Prix, the ladder runs from a ~$490 general-admission ticket to luxury hospitality above $25,000, a spread north of 50x. Paddock Club and premium hospitality (typically $5,000-$11,000+ per weekend, more at marquee races) is F1's version of the premium room: a small share of superfans funds a disproportionate share of on-site value, and Liberty (FWON) has leaned hard into growing it.</t>
  </si>
  <si>
    <t xml:space="preserve">Source: Formula 1 / Las Vegas GP published 2025-26 ticket pricing; F1 Experiences / Motorsport Tickets Paddock Club pricing (weekend packages typically GBP 4,500-7,000+, higher at Monaco/Vegas/Abu Dhabi). Bernstein analysis. Las Vegas shown as an illustrative single-event ladder; other circuits differ in level.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</si>
</sst>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\x"/>
    <numFmt numFmtId="167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2E5496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6E0F0"/>
        <bgColor rgb="FFD9D9D9"/>
      </patternFill>
    </fill>
    <fill>
      <patternFill patternType="solid">
        <fgColor rgb="FFE2EFDA"/>
        <bgColor rgb="FFD6E0F0"/>
      </patternFill>
    </fill>
    <fill>
      <patternFill patternType="solid">
        <fgColor rgb="FFF4CCC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Get-in vs top ticket price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'Ex19 UFC ladder'!C5</c:f>
              <c:strCache>
                <c:ptCount val="1"/>
                <c:pt idx="0">
                  <c:v>Get-in price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'Ex19 UFC ladder'!$B$6:$B$8</c:f>
              <c:strCache>
                <c:ptCount val="3"/>
                <c:pt idx="0">
                  <c:v>Music superstar (benchmark)</c:v>
                </c:pt>
                <c:pt idx="1">
                  <c:v>UFC flagship PPV (median)</c:v>
                </c:pt>
                <c:pt idx="2">
                  <c:v>UFC 309 (New York, peak)</c:v>
                </c:pt>
              </c:strCache>
            </c:strRef>
          </c:cat>
          <c:val>
            <c:numRef>
              <c:f>'Ex19 UFC ladder'!$C$6:$C$8</c:f>
              <c:numCache>
                <c:formatCode>\$#,##0</c:formatCode>
                <c:ptCount val="3"/>
                <c:pt idx="0">
                  <c:v>55</c:v>
                </c:pt>
                <c:pt idx="1">
                  <c:v>206</c:v>
                </c:pt>
                <c:pt idx="2">
                  <c:v>307</c:v>
                </c:pt>
              </c:numCache>
            </c:numRef>
          </c:val>
        </c:ser>
        <c:ser>
          <c:idx val="1"/>
          <c:order val="1"/>
          <c:tx>
            <c:strRef>
              <c:f>'Ex19 UFC ladder'!D5</c:f>
              <c:strCache>
                <c:ptCount val="1"/>
                <c:pt idx="0">
                  <c:v>Avg paid price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'Ex19 UFC ladder'!$B$6:$B$8</c:f>
              <c:strCache>
                <c:ptCount val="3"/>
                <c:pt idx="0">
                  <c:v>Music superstar (benchmark)</c:v>
                </c:pt>
                <c:pt idx="1">
                  <c:v>UFC flagship PPV (median)</c:v>
                </c:pt>
                <c:pt idx="2">
                  <c:v>UFC 309 (New York, peak)</c:v>
                </c:pt>
              </c:strCache>
            </c:strRef>
          </c:cat>
          <c:val>
            <c:numRef>
              <c:f>'Ex19 UFC ladder'!$D$6:$D$8</c:f>
              <c:numCache>
                <c:formatCode>\$#,##0</c:formatCode>
                <c:ptCount val="3"/>
                <c:pt idx="0">
                  <c:v>175</c:v>
                </c:pt>
                <c:pt idx="1">
                  <c:v>646</c:v>
                </c:pt>
                <c:pt idx="2">
                  <c:v>915</c:v>
                </c:pt>
              </c:numCache>
            </c:numRef>
          </c:val>
        </c:ser>
        <c:ser>
          <c:idx val="2"/>
          <c:order val="2"/>
          <c:tx>
            <c:strRef>
              <c:f>'Ex19 UFC ladder'!E5</c:f>
              <c:strCache>
                <c:ptCount val="1"/>
                <c:pt idx="0">
                  <c:v>Top price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'Ex19 UFC ladder'!$B$6:$B$8</c:f>
              <c:strCache>
                <c:ptCount val="3"/>
                <c:pt idx="0">
                  <c:v>Music superstar (benchmark)</c:v>
                </c:pt>
                <c:pt idx="1">
                  <c:v>UFC flagship PPV (median)</c:v>
                </c:pt>
                <c:pt idx="2">
                  <c:v>UFC 309 (New York, peak)</c:v>
                </c:pt>
              </c:strCache>
            </c:strRef>
          </c:cat>
          <c:val>
            <c:numRef>
              <c:f>'Ex19 UFC ladder'!$E$6:$E$8</c:f>
              <c:numCache>
                <c:formatCode>\$#,##0</c:formatCode>
                <c:ptCount val="3"/>
                <c:pt idx="0">
                  <c:v>355</c:v>
                </c:pt>
                <c:pt idx="1">
                  <c:v>5068</c:v>
                </c:pt>
                <c:pt idx="2">
                  <c:v>10007</c:v>
                </c:pt>
              </c:numCache>
            </c:numRef>
          </c:val>
        </c:ser>
        <c:gapWidth val="150"/>
        <c:overlap val="0"/>
        <c:axId val="86296711"/>
        <c:axId val="41636923"/>
      </c:barChart>
      <c:catAx>
        <c:axId val="86296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36923"/>
        <c:crosses val="autoZero"/>
        <c:auto val="1"/>
        <c:lblAlgn val="ctr"/>
        <c:lblOffset val="100"/>
        <c:noMultiLvlLbl val="0"/>
      </c:catAx>
      <c:valAx>
        <c:axId val="41636923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967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WWE: premium events vs weekly TV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'Ex20 WWE runway'!C5</c:f>
              <c:strCache>
                <c:ptCount val="1"/>
                <c:pt idx="0">
                  <c:v>Get-in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'Ex20 WWE runway'!$B$6:$B$7</c:f>
              <c:strCache>
                <c:ptCount val="2"/>
                <c:pt idx="0">
                  <c:v>Premium live events (&gt;$3M gross)</c:v>
                </c:pt>
                <c:pt idx="1">
                  <c:v>Weekly TV (Raw / Smackdown)</c:v>
                </c:pt>
              </c:strCache>
            </c:strRef>
          </c:cat>
          <c:val>
            <c:numRef>
              <c:f>'Ex20 WWE runway'!$C$6:$C$7</c:f>
              <c:numCache>
                <c:formatCode>\$#,##0</c:formatCode>
                <c:ptCount val="2"/>
                <c:pt idx="0">
                  <c:v>84</c:v>
                </c:pt>
                <c:pt idx="1">
                  <c:v>23</c:v>
                </c:pt>
              </c:numCache>
            </c:numRef>
          </c:val>
        </c:ser>
        <c:ser>
          <c:idx val="1"/>
          <c:order val="1"/>
          <c:tx>
            <c:strRef>
              <c:f>'Ex20 WWE runway'!D5</c:f>
              <c:strCache>
                <c:ptCount val="1"/>
                <c:pt idx="0">
                  <c:v>Avg paid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'Ex20 WWE runway'!$B$6:$B$7</c:f>
              <c:strCache>
                <c:ptCount val="2"/>
                <c:pt idx="0">
                  <c:v>Premium live events (&gt;$3M gross)</c:v>
                </c:pt>
                <c:pt idx="1">
                  <c:v>Weekly TV (Raw / Smackdown)</c:v>
                </c:pt>
              </c:strCache>
            </c:strRef>
          </c:cat>
          <c:val>
            <c:numRef>
              <c:f>'Ex20 WWE runway'!$D$6:$D$7</c:f>
              <c:numCache>
                <c:formatCode>\$#,##0</c:formatCode>
                <c:ptCount val="2"/>
                <c:pt idx="0">
                  <c:v>227</c:v>
                </c:pt>
                <c:pt idx="1">
                  <c:v>54</c:v>
                </c:pt>
              </c:numCache>
            </c:numRef>
          </c:val>
        </c:ser>
        <c:ser>
          <c:idx val="2"/>
          <c:order val="2"/>
          <c:tx>
            <c:strRef>
              <c:f>'Ex20 WWE runway'!E5</c:f>
              <c:strCache>
                <c:ptCount val="1"/>
                <c:pt idx="0">
                  <c:v>Top price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'Ex20 WWE runway'!$B$6:$B$7</c:f>
              <c:strCache>
                <c:ptCount val="2"/>
                <c:pt idx="0">
                  <c:v>Premium live events (&gt;$3M gross)</c:v>
                </c:pt>
                <c:pt idx="1">
                  <c:v>Weekly TV (Raw / Smackdown)</c:v>
                </c:pt>
              </c:strCache>
            </c:strRef>
          </c:cat>
          <c:val>
            <c:numRef>
              <c:f>'Ex20 WWE runway'!$E$6:$E$7</c:f>
              <c:numCache>
                <c:formatCode>\$#,##0</c:formatCode>
                <c:ptCount val="2"/>
                <c:pt idx="0">
                  <c:v>1573</c:v>
                </c:pt>
                <c:pt idx="1">
                  <c:v>126</c:v>
                </c:pt>
              </c:numCache>
            </c:numRef>
          </c:val>
        </c:ser>
        <c:gapWidth val="150"/>
        <c:overlap val="0"/>
        <c:axId val="43275855"/>
        <c:axId val="21480800"/>
      </c:barChart>
      <c:catAx>
        <c:axId val="4327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80800"/>
        <c:crosses val="autoZero"/>
        <c:auto val="1"/>
        <c:lblAlgn val="ctr"/>
        <c:lblOffset val="100"/>
        <c:noMultiLvlLbl val="0"/>
      </c:catAx>
      <c:valAx>
        <c:axId val="21480800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758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One Grand Prix: price by tier ($, 3-day)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'Ex21 F1 Paddock Club'!$B$6:$B$12</c:f>
              <c:strCache>
                <c:ptCount val="7"/>
                <c:pt idx="0">
                  <c:v>General admission (Flamingo Zone)</c:v>
                </c:pt>
                <c:pt idx="1">
                  <c:v>Grandstand (Heineken)</c:v>
                </c:pt>
                <c:pt idx="2">
                  <c:v>Club hospitality (Turn 3 Club)</c:v>
                </c:pt>
                <c:pt idx="3">
                  <c:v>Skybox / main grandstand</c:v>
                </c:pt>
                <c:pt idx="4">
                  <c:v>Luxury: Paddock Club Rooftop (Trackside Tavern)</c:v>
                </c:pt>
                <c:pt idx="5">
                  <c:v>Luxury: Wynn Grid Club</c:v>
                </c:pt>
                <c:pt idx="6">
                  <c:v>Luxury: Gordon Ramsay F1 Garage</c:v>
                </c:pt>
              </c:strCache>
            </c:strRef>
          </c:cat>
          <c:val>
            <c:numRef>
              <c:f>'Ex21 F1 Paddock Club'!$C$6:$C$12</c:f>
              <c:numCache>
                <c:formatCode>\$#,##0</c:formatCode>
                <c:ptCount val="7"/>
                <c:pt idx="0">
                  <c:v>492</c:v>
                </c:pt>
                <c:pt idx="1">
                  <c:v>925</c:v>
                </c:pt>
                <c:pt idx="2">
                  <c:v>5489</c:v>
                </c:pt>
                <c:pt idx="3">
                  <c:v>8377</c:v>
                </c:pt>
                <c:pt idx="4">
                  <c:v>10902</c:v>
                </c:pt>
                <c:pt idx="5">
                  <c:v>25997</c:v>
                </c:pt>
                <c:pt idx="6">
                  <c:v>28885</c:v>
                </c:pt>
              </c:numCache>
            </c:numRef>
          </c:val>
        </c:ser>
        <c:gapWidth val="150"/>
        <c:overlap val="0"/>
        <c:axId val="7299817"/>
        <c:axId val="12849539"/>
      </c:barChart>
      <c:catAx>
        <c:axId val="7299817"/>
        <c:scaling>
          <c:orientation val="minMax"/>
        </c:scaling>
        <c:delete val="0"/>
        <c:axPos val="b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49539"/>
        <c:crosses val="autoZero"/>
        <c:auto val="1"/>
        <c:lblAlgn val="ctr"/>
        <c:lblOffset val="100"/>
        <c:noMultiLvlLbl val="0"/>
      </c:catAx>
      <c:valAx>
        <c:axId val="128495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98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80640</xdr:rowOff>
    </xdr:from>
    <xdr:to>
      <xdr:col>5</xdr:col>
      <xdr:colOff>324720</xdr:colOff>
      <xdr:row>26</xdr:row>
      <xdr:rowOff>102600</xdr:rowOff>
    </xdr:to>
    <xdr:graphicFrame>
      <xdr:nvGraphicFramePr>
        <xdr:cNvPr id="0" name="Chart 1"/>
        <xdr:cNvGraphicFramePr/>
      </xdr:nvGraphicFramePr>
      <xdr:xfrm>
        <a:off x="211320" y="2666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96480</xdr:rowOff>
    </xdr:from>
    <xdr:to>
      <xdr:col>4</xdr:col>
      <xdr:colOff>528480</xdr:colOff>
      <xdr:row>27</xdr:row>
      <xdr:rowOff>118440</xdr:rowOff>
    </xdr:to>
    <xdr:graphicFrame>
      <xdr:nvGraphicFramePr>
        <xdr:cNvPr id="1" name="Chart 1"/>
        <xdr:cNvGraphicFramePr/>
      </xdr:nvGraphicFramePr>
      <xdr:xfrm>
        <a:off x="211320" y="2666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17</xdr:col>
      <xdr:colOff>507600</xdr:colOff>
      <xdr:row>18</xdr:row>
      <xdr:rowOff>119880</xdr:rowOff>
    </xdr:to>
    <xdr:graphicFrame>
      <xdr:nvGraphicFramePr>
        <xdr:cNvPr id="2" name="Chart 1"/>
        <xdr:cNvGraphicFramePr/>
      </xdr:nvGraphicFramePr>
      <xdr:xfrm>
        <a:off x="10549800" y="76212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5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5" t="s">
        <v>4</v>
      </c>
      <c r="C7" s="6" t="s">
        <v>5</v>
      </c>
      <c r="D7" s="6"/>
      <c r="E7" s="6"/>
      <c r="F7" s="6"/>
      <c r="G7" s="6"/>
      <c r="H7" s="7" t="s">
        <v>6</v>
      </c>
      <c r="I7" s="7"/>
    </row>
    <row r="8" customFormat="false" ht="1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  <c r="H8" s="7" t="s">
        <v>9</v>
      </c>
      <c r="I8" s="7"/>
    </row>
    <row r="9" customFormat="false" ht="15" hidden="false" customHeight="true" outlineLevel="0" collapsed="false">
      <c r="B9" s="5" t="s">
        <v>10</v>
      </c>
      <c r="C9" s="6" t="s">
        <v>11</v>
      </c>
      <c r="D9" s="6"/>
      <c r="E9" s="6"/>
      <c r="F9" s="6"/>
      <c r="G9" s="6"/>
      <c r="H9" s="7" t="s">
        <v>12</v>
      </c>
      <c r="I9" s="7"/>
    </row>
    <row r="11" customFormat="false" ht="19.4" hidden="false" customHeight="true" outlineLevel="0" collapsed="false">
      <c r="B11" s="7" t="s">
        <v>13</v>
      </c>
      <c r="C11" s="7"/>
      <c r="D11" s="7"/>
      <c r="E11" s="7"/>
      <c r="F11" s="7"/>
      <c r="G11" s="7"/>
      <c r="H11" s="7"/>
      <c r="I11" s="7"/>
    </row>
  </sheetData>
  <mergeCells count="11">
    <mergeCell ref="B2:I2"/>
    <mergeCell ref="B3:I3"/>
    <mergeCell ref="B4:I4"/>
    <mergeCell ref="B6:I6"/>
    <mergeCell ref="C7:G7"/>
    <mergeCell ref="H7:I7"/>
    <mergeCell ref="C8:G8"/>
    <mergeCell ref="H8:I8"/>
    <mergeCell ref="C9:G9"/>
    <mergeCell ref="H9:I9"/>
    <mergeCell ref="B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4"/>
  </cols>
  <sheetData>
    <row r="2" customFormat="false" ht="17.35" hidden="false" customHeight="true" outlineLevel="0" collapsed="false">
      <c r="B2" s="8" t="s">
        <v>14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15</v>
      </c>
      <c r="C3" s="9"/>
      <c r="D3" s="9"/>
      <c r="E3" s="9"/>
      <c r="F3" s="9"/>
      <c r="G3" s="9"/>
      <c r="H3" s="9"/>
    </row>
    <row r="5" customFormat="false" ht="26.85" hidden="false" customHeight="false" outlineLevel="0" collapsed="false"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</row>
    <row r="6" customFormat="false" ht="15" hidden="false" customHeight="false" outlineLevel="0" collapsed="false">
      <c r="B6" s="11" t="s">
        <v>21</v>
      </c>
      <c r="C6" s="12" t="n">
        <v>55</v>
      </c>
      <c r="D6" s="12" t="n">
        <v>175</v>
      </c>
      <c r="E6" s="12" t="n">
        <v>355</v>
      </c>
      <c r="F6" s="13" t="n">
        <f aca="false">E6/C6</f>
        <v>6.45454545454545</v>
      </c>
    </row>
    <row r="7" customFormat="false" ht="15" hidden="false" customHeight="false" outlineLevel="0" collapsed="false">
      <c r="B7" s="14" t="s">
        <v>22</v>
      </c>
      <c r="C7" s="15" t="n">
        <v>206</v>
      </c>
      <c r="D7" s="15" t="n">
        <v>646</v>
      </c>
      <c r="E7" s="15" t="n">
        <v>5068</v>
      </c>
      <c r="F7" s="13" t="n">
        <f aca="false">E7/C7</f>
        <v>24.6019417475728</v>
      </c>
    </row>
    <row r="8" customFormat="false" ht="15" hidden="false" customHeight="false" outlineLevel="0" collapsed="false">
      <c r="B8" s="14" t="s">
        <v>23</v>
      </c>
      <c r="C8" s="15" t="n">
        <v>307</v>
      </c>
      <c r="D8" s="15" t="n">
        <v>915</v>
      </c>
      <c r="E8" s="15" t="n">
        <v>10007</v>
      </c>
      <c r="F8" s="13" t="n">
        <f aca="false">E8/C8</f>
        <v>32.5960912052117</v>
      </c>
    </row>
    <row r="10" customFormat="false" ht="35.05" hidden="false" customHeight="true" outlineLevel="0" collapsed="false">
      <c r="B10" s="16" t="s">
        <v>24</v>
      </c>
      <c r="C10" s="16"/>
      <c r="D10" s="16"/>
      <c r="E10" s="16"/>
      <c r="F10" s="16"/>
      <c r="G10" s="16"/>
      <c r="H10" s="16"/>
    </row>
    <row r="11" customFormat="false" ht="19.4" hidden="false" customHeight="true" outlineLevel="0" collapsed="false">
      <c r="B11" s="7" t="s">
        <v>25</v>
      </c>
      <c r="C11" s="7"/>
      <c r="D11" s="7"/>
      <c r="E11" s="7"/>
      <c r="F11" s="7"/>
      <c r="G11" s="7"/>
      <c r="H11" s="7"/>
    </row>
  </sheetData>
  <mergeCells count="4">
    <mergeCell ref="B2:H2"/>
    <mergeCell ref="B3:H3"/>
    <mergeCell ref="B10:H10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8" min="3" style="0" width="15"/>
  </cols>
  <sheetData>
    <row r="2" customFormat="false" ht="17.35" hidden="false" customHeight="true" outlineLevel="0" collapsed="false">
      <c r="B2" s="8" t="s">
        <v>26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27</v>
      </c>
      <c r="C3" s="9"/>
      <c r="D3" s="9"/>
      <c r="E3" s="9"/>
      <c r="F3" s="9"/>
      <c r="G3" s="9"/>
      <c r="H3" s="9"/>
    </row>
    <row r="5" customFormat="false" ht="15" hidden="false" customHeight="false" outlineLevel="0" collapsed="false">
      <c r="B5" s="10" t="s">
        <v>28</v>
      </c>
      <c r="C5" s="10" t="s">
        <v>29</v>
      </c>
      <c r="D5" s="10" t="s">
        <v>30</v>
      </c>
      <c r="E5" s="10" t="s">
        <v>19</v>
      </c>
      <c r="F5" s="10" t="s">
        <v>20</v>
      </c>
    </row>
    <row r="6" customFormat="false" ht="15" hidden="false" customHeight="false" outlineLevel="0" collapsed="false">
      <c r="B6" s="14" t="s">
        <v>31</v>
      </c>
      <c r="C6" s="15" t="n">
        <v>84</v>
      </c>
      <c r="D6" s="15" t="n">
        <v>227</v>
      </c>
      <c r="E6" s="15" t="n">
        <v>1573</v>
      </c>
      <c r="F6" s="17" t="n">
        <f aca="false">E6/C6</f>
        <v>18.7261904761905</v>
      </c>
    </row>
    <row r="7" customFormat="false" ht="15" hidden="false" customHeight="false" outlineLevel="0" collapsed="false">
      <c r="B7" s="18" t="s">
        <v>32</v>
      </c>
      <c r="C7" s="19" t="n">
        <v>23</v>
      </c>
      <c r="D7" s="19" t="n">
        <v>54</v>
      </c>
      <c r="E7" s="19" t="n">
        <v>126</v>
      </c>
      <c r="F7" s="20" t="n">
        <f aca="false">E7/C7</f>
        <v>5.47826086956522</v>
      </c>
    </row>
    <row r="8" customFormat="false" ht="15" hidden="false" customHeight="false" outlineLevel="0" collapsed="false">
      <c r="B8" s="21" t="s">
        <v>33</v>
      </c>
      <c r="E8" s="13" t="n">
        <f aca="false">E6/E7</f>
        <v>12.484126984127</v>
      </c>
    </row>
    <row r="10" customFormat="false" ht="35.05" hidden="false" customHeight="true" outlineLevel="0" collapsed="false">
      <c r="B10" s="16" t="s">
        <v>34</v>
      </c>
      <c r="C10" s="16"/>
      <c r="D10" s="16"/>
      <c r="E10" s="16"/>
      <c r="F10" s="16"/>
      <c r="G10" s="16"/>
      <c r="H10" s="16"/>
    </row>
    <row r="11" customFormat="false" ht="15" hidden="false" customHeight="true" outlineLevel="0" collapsed="false">
      <c r="B11" s="7" t="s">
        <v>35</v>
      </c>
      <c r="C11" s="7"/>
      <c r="D11" s="7"/>
      <c r="E11" s="7"/>
      <c r="F11" s="7"/>
      <c r="G11" s="7"/>
      <c r="H11" s="7"/>
    </row>
  </sheetData>
  <mergeCells count="4">
    <mergeCell ref="B2:H2"/>
    <mergeCell ref="B3:H3"/>
    <mergeCell ref="B10:H10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6"/>
  </cols>
  <sheetData>
    <row r="2" customFormat="false" ht="17.35" hidden="false" customHeight="true" outlineLevel="0" collapsed="false">
      <c r="B2" s="8" t="s">
        <v>36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37</v>
      </c>
      <c r="C3" s="9"/>
      <c r="D3" s="9"/>
      <c r="E3" s="9"/>
      <c r="F3" s="9"/>
      <c r="G3" s="9"/>
      <c r="H3" s="9"/>
    </row>
    <row r="5" customFormat="false" ht="15" hidden="false" customHeight="false" outlineLevel="0" collapsed="false">
      <c r="B5" s="10" t="s">
        <v>38</v>
      </c>
      <c r="C5" s="10" t="s">
        <v>39</v>
      </c>
      <c r="D5" s="10" t="s">
        <v>40</v>
      </c>
    </row>
    <row r="6" customFormat="false" ht="15" hidden="false" customHeight="false" outlineLevel="0" collapsed="false">
      <c r="B6" s="18" t="s">
        <v>41</v>
      </c>
      <c r="C6" s="19" t="n">
        <v>492</v>
      </c>
      <c r="D6" s="22" t="n">
        <f aca="false">C6/C6</f>
        <v>1</v>
      </c>
    </row>
    <row r="7" customFormat="false" ht="15" hidden="false" customHeight="false" outlineLevel="0" collapsed="false">
      <c r="B7" s="11" t="s">
        <v>42</v>
      </c>
      <c r="C7" s="12" t="n">
        <v>925</v>
      </c>
      <c r="D7" s="22" t="n">
        <f aca="false">C7/C6</f>
        <v>1.88008130081301</v>
      </c>
    </row>
    <row r="8" customFormat="false" ht="15" hidden="false" customHeight="false" outlineLevel="0" collapsed="false">
      <c r="B8" s="11" t="s">
        <v>43</v>
      </c>
      <c r="C8" s="12" t="n">
        <v>5489</v>
      </c>
      <c r="D8" s="22" t="n">
        <f aca="false">C8/C6</f>
        <v>11.1565040650407</v>
      </c>
    </row>
    <row r="9" customFormat="false" ht="15" hidden="false" customHeight="false" outlineLevel="0" collapsed="false">
      <c r="B9" s="11" t="s">
        <v>44</v>
      </c>
      <c r="C9" s="12" t="n">
        <v>8377</v>
      </c>
      <c r="D9" s="22" t="n">
        <f aca="false">C9/C6</f>
        <v>17.0264227642276</v>
      </c>
    </row>
    <row r="10" customFormat="false" ht="23.85" hidden="false" customHeight="false" outlineLevel="0" collapsed="false">
      <c r="B10" s="14" t="s">
        <v>45</v>
      </c>
      <c r="C10" s="15" t="n">
        <v>10902</v>
      </c>
      <c r="D10" s="22" t="n">
        <f aca="false">C10/C6</f>
        <v>22.1585365853659</v>
      </c>
    </row>
    <row r="11" customFormat="false" ht="15" hidden="false" customHeight="false" outlineLevel="0" collapsed="false">
      <c r="B11" s="23" t="s">
        <v>46</v>
      </c>
      <c r="C11" s="15" t="n">
        <v>25997</v>
      </c>
      <c r="D11" s="22" t="n">
        <f aca="false">C11/C6</f>
        <v>52.8394308943089</v>
      </c>
    </row>
    <row r="12" customFormat="false" ht="15" hidden="false" customHeight="false" outlineLevel="0" collapsed="false">
      <c r="B12" s="23" t="s">
        <v>47</v>
      </c>
      <c r="C12" s="15" t="n">
        <v>28885</v>
      </c>
      <c r="D12" s="22" t="n">
        <f aca="false">C12/C6</f>
        <v>58.7093495934959</v>
      </c>
    </row>
    <row r="14" customFormat="false" ht="35.05" hidden="false" customHeight="true" outlineLevel="0" collapsed="false">
      <c r="B14" s="16" t="s">
        <v>48</v>
      </c>
      <c r="C14" s="16"/>
      <c r="D14" s="16"/>
      <c r="E14" s="16"/>
      <c r="F14" s="16"/>
      <c r="G14" s="16"/>
      <c r="H14" s="16"/>
    </row>
    <row r="15" customFormat="false" ht="19.4" hidden="false" customHeight="true" outlineLevel="0" collapsed="false">
      <c r="B15" s="7" t="s">
        <v>49</v>
      </c>
      <c r="C15" s="7"/>
      <c r="D15" s="7"/>
      <c r="E15" s="7"/>
      <c r="F15" s="7"/>
      <c r="G15" s="7"/>
      <c r="H15" s="7"/>
    </row>
  </sheetData>
  <mergeCells count="4">
    <mergeCell ref="B2:H2"/>
    <mergeCell ref="B3:H3"/>
    <mergeCell ref="B14:H1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2026-07-01T20:36:23Z</dcterms:created>
  <dc:creator>openpyxl</dc:creator>
  <dc:description/>
  <dc:language>en-US</dc:language>
  <cp:lastModifiedBy/>
  <dcterms:modified xsi:type="dcterms:W3CDTF">2026-07-01T20:36:27Z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