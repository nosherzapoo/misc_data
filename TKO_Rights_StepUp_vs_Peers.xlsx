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KO vs Sports Righ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<sst xmlns="http://schemas.openxmlformats.org/spreadsheetml/2006/main" count="57" uniqueCount="54">
  <si>
    <t xml:space="preserve">TKO Media Rights Step-Up vs. Major Sports Leagues</t>
  </si>
  <si>
    <t xml:space="preserve">How the new TKO deals (UFC, WWE Raw, WWE PLE) compare to recent rights renewals across major sports.</t>
  </si>
  <si>
    <t xml:space="preserve">Sorted by step-up % (largest first). All values in $USD millions per year.</t>
  </si>
  <si>
    <t xml:space="preserve">Rank</t>
  </si>
  <si>
    <t xml:space="preserve">Property</t>
  </si>
  <si>
    <t xml:space="preserve">Owner</t>
  </si>
  <si>
    <t xml:space="preserve">New Counterparty</t>
  </si>
  <si>
    <t xml:space="preserve">Old AAV ($M)</t>
  </si>
  <si>
    <t xml:space="preserve">New AAV ($M)</t>
  </si>
  <si>
    <t xml:space="preserve">Step-up %</t>
  </si>
  <si>
    <t xml:space="preserve">Source</t>
  </si>
  <si>
    <t xml:space="preserve">UFC (US)</t>
  </si>
  <si>
    <t xml:space="preserve">TKO</t>
  </si>
  <si>
    <t xml:space="preserve">Paramount/Skydance</t>
  </si>
  <si>
    <t xml:space="preserve">Hard Count Substack / CNBC</t>
  </si>
  <si>
    <t xml:space="preserve">Premier League (US)</t>
  </si>
  <si>
    <t xml:space="preserve">Premier League</t>
  </si>
  <si>
    <t xml:space="preserve">NBC Sports</t>
  </si>
  <si>
    <t xml:space="preserve">CNBC / SportBusiness</t>
  </si>
  <si>
    <t xml:space="preserve">NBA (US national)</t>
  </si>
  <si>
    <t xml:space="preserve">NBA</t>
  </si>
  <si>
    <t xml:space="preserve">Disney + NBC + Amazon</t>
  </si>
  <si>
    <t xml:space="preserve">Sportcal / CBS Sports</t>
  </si>
  <si>
    <t xml:space="preserve">NHL (US national)</t>
  </si>
  <si>
    <t xml:space="preserve">NHL</t>
  </si>
  <si>
    <t xml:space="preserve">ESPN + TNT</t>
  </si>
  <si>
    <t xml:space="preserve">Hollywood Reporter / S&amp;P Global</t>
  </si>
  <si>
    <t xml:space="preserve">NFL (US, blended)</t>
  </si>
  <si>
    <t xml:space="preserve">NFL</t>
  </si>
  <si>
    <t xml:space="preserve">CBS+FOX+NBC+ESPN+Amazon</t>
  </si>
  <si>
    <t xml:space="preserve">Yahoo Sports / Wikipedia</t>
  </si>
  <si>
    <t xml:space="preserve">WWE Raw (US)</t>
  </si>
  <si>
    <t xml:space="preserve">Netflix</t>
  </si>
  <si>
    <t xml:space="preserve">Variety / Netflix press release</t>
  </si>
  <si>
    <t xml:space="preserve">F1 (US)</t>
  </si>
  <si>
    <t xml:space="preserve">Liberty Media</t>
  </si>
  <si>
    <t xml:space="preserve">Apple TV</t>
  </si>
  <si>
    <t xml:space="preserve">Variety / CNBC</t>
  </si>
  <si>
    <t xml:space="preserve">WWE PLE (US)</t>
  </si>
  <si>
    <t xml:space="preserve">ESPN (DTC app)</t>
  </si>
  <si>
    <t xml:space="preserve">THR / NBC press release</t>
  </si>
  <si>
    <t xml:space="preserve">MLB (US national, aggregate)</t>
  </si>
  <si>
    <t xml:space="preserve">MLB</t>
  </si>
  <si>
    <t xml:space="preserve">ESPN+NBC+Netflix (3-yr)</t>
  </si>
  <si>
    <t xml:space="preserve">CNBC / Sportico</t>
  </si>
  <si>
    <t xml:space="preserve">TKO weighted avg step-up (UFC + Raw + PLE)</t>
  </si>
  <si>
    <t xml:space="preserve">TKO 8-K (Aug 2025)</t>
  </si>
  <si>
    <t xml:space="preserve">Peer median step-up (excl. TKO and MLB)</t>
  </si>
  <si>
    <t xml:space="preserve">—</t>
  </si>
  <si>
    <t xml:space="preserve">Calc: median of NBA, EPL, NHL, NFL, F1</t>
  </si>
  <si>
    <t xml:space="preserve">KEY TAKEAWAY FOR CLIENT</t>
  </si>
  <si>
    <t xml:space="preserve">TKO's UFC/Paramount deal at +267% step-up is the largest single rights renewal markup of the current cycle — exceeding the Premier League's +170%, the NBA's much-publicized +159% jump, the NHL's +108%, and the NFL's +102%. Across all three TKO properties (UFC + WWE Raw + WWE PLE), the blended step-up is ~152%, well above the peer median of +108% (NBA, EPL, NHL, NFL, F1). UFC specifically sets the cycle's high-water mark.
Why this matters: this comes at a moment when MLB just took a flat-to-slightly-negative renewal (-3%), suggesting the rights market is BIFURCATING — premium live combat/episodic-entertainment is commanding extreme premiums, while traditional cable-dependent properties (MLB midweek games) are repricing flat or downward. TKO's combat sports + scripted-entertainment portfolio sits firmly on the inflating side.</t>
  </si>
  <si>
    <t xml:space="preserve">METHODOLOGY NOTES</t>
  </si>
  <si>
    <t xml:space="preserve">1. AAV = average annual value across the deal term. Where deals have escalators (NFL, NBA, UFC), figures use reported blended averages.
2. UFC: $300M old / $1.1B new — old figure was the 2018-2025 ESPN deal blended avg per Sportico/CNBC; new is reported $7.7B/7-yr average.
3. WWE Raw: $265M old (NBCU/USA Network) / $500M new (Netflix) per Variety; Netflix has a 5-year exit and 10-year extension option.
4. WWE PLE: $200M old (Peacock $1B/5yr) / $325M new (ESPN DTC) per THR.
5. NBA: $2.67B old (Disney+TNT $24B/9yr) / $6.9B new ($76B/11-yr per AP, blended).
6. NFL: $4.96B old ($39.6B/8yr 2014-2022) / $10B new ($110B/11yr 2023-2033) — broadest comparison.
7. MLB: shown as 3-yr bridge deal (2026-28) — not directly comparable to the 7- and 11-year peers; included for directional contrast.
8. All step-ups are point-to-point AAV; not adjusted for inflation, term length, or non-cash equity components (e.g., Paramount's UFC equity).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</si>
</sst>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;\(0.0%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B050"/>
      <name val="Arial"/>
      <family val="0"/>
      <charset val="1"/>
    </font>
    <font>
      <u val="single"/>
      <sz val="8"/>
      <color rgb="FF0563C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00B05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563C1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Step-Up % vs. Prior Deal — TKO Properties Highlighted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'TKO vs Sports Rights'!G5</c:f>
              <c:strCache>
                <c:ptCount val="1"/>
                <c:pt idx="0">
                  <c:v>Step-up %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'TKO vs Sports Rights'!$B$6:$B$14</c:f>
              <c:strCache>
                <c:ptCount val="9"/>
                <c:pt idx="0">
                  <c:v>UFC (US)</c:v>
                </c:pt>
                <c:pt idx="1">
                  <c:v>Premier League (US)</c:v>
                </c:pt>
                <c:pt idx="2">
                  <c:v>NBA (US national)</c:v>
                </c:pt>
                <c:pt idx="3">
                  <c:v>NHL (US national)</c:v>
                </c:pt>
                <c:pt idx="4">
                  <c:v>NFL (US, blended)</c:v>
                </c:pt>
                <c:pt idx="5">
                  <c:v>WWE Raw (US)</c:v>
                </c:pt>
                <c:pt idx="6">
                  <c:v>F1 (US)</c:v>
                </c:pt>
                <c:pt idx="7">
                  <c:v>WWE PLE (US)</c:v>
                </c:pt>
                <c:pt idx="8">
                  <c:v>MLB (US national, aggregate)</c:v>
                </c:pt>
              </c:strCache>
            </c:strRef>
          </c:cat>
          <c:val>
            <c:numRef>
              <c:f>'TKO vs Sports Rights'!$G$6:$G$14</c:f>
              <c:numCache>
                <c:formatCode>0.0%;\(0.0%\);\-</c:formatCode>
                <c:ptCount val="9"/>
                <c:pt idx="0">
                  <c:v>2.66666666666667</c:v>
                </c:pt>
                <c:pt idx="1">
                  <c:v>1.69461077844311</c:v>
                </c:pt>
                <c:pt idx="2">
                  <c:v>1.59055118110236</c:v>
                </c:pt>
                <c:pt idx="3">
                  <c:v>1.08333333333333</c:v>
                </c:pt>
                <c:pt idx="4">
                  <c:v>1.01612903225806</c:v>
                </c:pt>
                <c:pt idx="5">
                  <c:v>0.886792452830189</c:v>
                </c:pt>
                <c:pt idx="6">
                  <c:v>0.666666666666667</c:v>
                </c:pt>
                <c:pt idx="7">
                  <c:v>0.625</c:v>
                </c:pt>
                <c:pt idx="8">
                  <c:v>-0.027027027027027</c:v>
                </c:pt>
              </c:numCache>
            </c:numRef>
          </c:val>
        </c:ser>
        <c:gapWidth val="150"/>
        <c:overlap val="0"/>
        <c:axId val="73669173"/>
        <c:axId val="695037"/>
      </c:barChart>
      <c:catAx>
        <c:axId val="7366917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Step-up % (new AAV / old AAV - 1)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037"/>
        <c:crosses val="autoZero"/>
        <c:auto val="1"/>
        <c:lblAlgn val="ctr"/>
        <c:lblOffset val="100"/>
        <c:noMultiLvlLbl val="0"/>
      </c:catAx>
      <c:valAx>
        <c:axId val="6950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Property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691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131040</xdr:rowOff>
    </xdr:from>
    <xdr:to>
      <xdr:col>21</xdr:col>
      <xdr:colOff>581400</xdr:colOff>
      <xdr:row>20</xdr:row>
      <xdr:rowOff>852120</xdr:rowOff>
    </xdr:to>
    <xdr:graphicFrame>
      <xdr:nvGraphicFramePr>
        <xdr:cNvPr id="0" name="Chart 1"/>
        <xdr:cNvGraphicFramePr/>
      </xdr:nvGraphicFramePr>
      <xdr:xfrm>
        <a:off x="10479240" y="7621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hardcount.substack.com/p/from-espn-to-paramount-breaking-down" TargetMode="External"/><Relationship Id="rId2" Type="http://schemas.openxmlformats.org/officeDocument/2006/relationships/hyperlink" Target="https://www.cnbc.com/2021/11/18/ap-source-nbc-keeps-premier-league-us-broadcast-rights-in-2point7b-deal.html" TargetMode="External"/><Relationship Id="rId3" Type="http://schemas.openxmlformats.org/officeDocument/2006/relationships/hyperlink" Target="https://www.sportcal.com/analyst-comment/nba-nets-more-media-value-with-new-domestic-rights/" TargetMode="External"/><Relationship Id="rId4" Type="http://schemas.openxmlformats.org/officeDocument/2006/relationships/hyperlink" Target="https://www.hollywoodreporter.com/tv/tv-news/warnermedia-turner-nhl-tv-rights-nbc-out-4173675/" TargetMode="External"/><Relationship Id="rId5" Type="http://schemas.openxmlformats.org/officeDocument/2006/relationships/hyperlink" Target="https://en.wikipedia.org/wiki/NFL_on_American_television" TargetMode="External"/><Relationship Id="rId6" Type="http://schemas.openxmlformats.org/officeDocument/2006/relationships/hyperlink" Target="https://about.netflix.com/en/news/netflix-to-become-new-home-of-wwe-raw-beginning-2025" TargetMode="External"/><Relationship Id="rId7" Type="http://schemas.openxmlformats.org/officeDocument/2006/relationships/hyperlink" Target="https://variety.com/2025/tv/news/apple-tv-formula-one-five-year-us-streaming-deal-1236554733/" TargetMode="External"/><Relationship Id="rId8" Type="http://schemas.openxmlformats.org/officeDocument/2006/relationships/hyperlink" Target="https://www.hollywoodreporter.com/business/business-news/wwe-espn-deal-premium-live-events-1236320245/" TargetMode="External"/><Relationship Id="rId9" Type="http://schemas.openxmlformats.org/officeDocument/2006/relationships/hyperlink" Target="https://www.cnbc.com/2025/11/19/mlb-media-rights-deals-nbc-espn-netflix.html" TargetMode="External"/><Relationship Id="rId1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34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n">
        <v>1</v>
      </c>
      <c r="B6" s="6" t="s">
        <v>11</v>
      </c>
      <c r="C6" s="7" t="s">
        <v>12</v>
      </c>
      <c r="D6" s="7" t="s">
        <v>13</v>
      </c>
      <c r="E6" s="8" t="n">
        <v>300</v>
      </c>
      <c r="F6" s="9" t="n">
        <v>1100</v>
      </c>
      <c r="G6" s="10" t="n">
        <f aca="false">F6/E6-1</f>
        <v>2.66666666666667</v>
      </c>
      <c r="H6" s="11" t="s">
        <v>14</v>
      </c>
    </row>
    <row r="7" customFormat="false" ht="15" hidden="false" customHeight="false" outlineLevel="0" collapsed="false">
      <c r="A7" s="12" t="n">
        <v>2</v>
      </c>
      <c r="B7" s="13" t="s">
        <v>15</v>
      </c>
      <c r="C7" s="14" t="s">
        <v>16</v>
      </c>
      <c r="D7" s="14" t="s">
        <v>17</v>
      </c>
      <c r="E7" s="15" t="n">
        <v>167</v>
      </c>
      <c r="F7" s="16" t="n">
        <v>450</v>
      </c>
      <c r="G7" s="17" t="n">
        <f aca="false">F7/E7-1</f>
        <v>1.69461077844311</v>
      </c>
      <c r="H7" s="18" t="s">
        <v>18</v>
      </c>
    </row>
    <row r="8" customFormat="false" ht="15" hidden="false" customHeight="false" outlineLevel="0" collapsed="false">
      <c r="A8" s="12" t="n">
        <v>3</v>
      </c>
      <c r="B8" s="13" t="s">
        <v>19</v>
      </c>
      <c r="C8" s="14" t="s">
        <v>20</v>
      </c>
      <c r="D8" s="14" t="s">
        <v>21</v>
      </c>
      <c r="E8" s="15" t="n">
        <v>2667</v>
      </c>
      <c r="F8" s="16" t="n">
        <v>6909</v>
      </c>
      <c r="G8" s="17" t="n">
        <f aca="false">F8/E8-1</f>
        <v>1.59055118110236</v>
      </c>
      <c r="H8" s="18" t="s">
        <v>22</v>
      </c>
    </row>
    <row r="9" customFormat="false" ht="15" hidden="false" customHeight="false" outlineLevel="0" collapsed="false">
      <c r="A9" s="12" t="n">
        <v>4</v>
      </c>
      <c r="B9" s="13" t="s">
        <v>23</v>
      </c>
      <c r="C9" s="14" t="s">
        <v>24</v>
      </c>
      <c r="D9" s="14" t="s">
        <v>25</v>
      </c>
      <c r="E9" s="15" t="n">
        <v>300</v>
      </c>
      <c r="F9" s="16" t="n">
        <v>625</v>
      </c>
      <c r="G9" s="17" t="n">
        <f aca="false">F9/E9-1</f>
        <v>1.08333333333333</v>
      </c>
      <c r="H9" s="18" t="s">
        <v>26</v>
      </c>
    </row>
    <row r="10" customFormat="false" ht="23.85" hidden="false" customHeight="false" outlineLevel="0" collapsed="false">
      <c r="A10" s="12" t="n">
        <v>5</v>
      </c>
      <c r="B10" s="13" t="s">
        <v>27</v>
      </c>
      <c r="C10" s="14" t="s">
        <v>28</v>
      </c>
      <c r="D10" s="14" t="s">
        <v>29</v>
      </c>
      <c r="E10" s="15" t="n">
        <v>4960</v>
      </c>
      <c r="F10" s="16" t="n">
        <v>10000</v>
      </c>
      <c r="G10" s="17" t="n">
        <f aca="false">F10/E10-1</f>
        <v>1.01612903225806</v>
      </c>
      <c r="H10" s="18" t="s">
        <v>30</v>
      </c>
    </row>
    <row r="11" customFormat="false" ht="15" hidden="false" customHeight="false" outlineLevel="0" collapsed="false">
      <c r="A11" s="5" t="n">
        <v>6</v>
      </c>
      <c r="B11" s="6" t="s">
        <v>31</v>
      </c>
      <c r="C11" s="7" t="s">
        <v>12</v>
      </c>
      <c r="D11" s="7" t="s">
        <v>32</v>
      </c>
      <c r="E11" s="8" t="n">
        <v>265</v>
      </c>
      <c r="F11" s="9" t="n">
        <v>500</v>
      </c>
      <c r="G11" s="10" t="n">
        <f aca="false">F11/E11-1</f>
        <v>0.886792452830189</v>
      </c>
      <c r="H11" s="11" t="s">
        <v>33</v>
      </c>
    </row>
    <row r="12" customFormat="false" ht="15" hidden="false" customHeight="false" outlineLevel="0" collapsed="false">
      <c r="A12" s="12" t="n">
        <v>7</v>
      </c>
      <c r="B12" s="13" t="s">
        <v>34</v>
      </c>
      <c r="C12" s="14" t="s">
        <v>35</v>
      </c>
      <c r="D12" s="14" t="s">
        <v>36</v>
      </c>
      <c r="E12" s="15" t="n">
        <v>90</v>
      </c>
      <c r="F12" s="16" t="n">
        <v>150</v>
      </c>
      <c r="G12" s="17" t="n">
        <f aca="false">F12/E12-1</f>
        <v>0.666666666666667</v>
      </c>
      <c r="H12" s="18" t="s">
        <v>37</v>
      </c>
    </row>
    <row r="13" customFormat="false" ht="15" hidden="false" customHeight="false" outlineLevel="0" collapsed="false">
      <c r="A13" s="5" t="n">
        <v>8</v>
      </c>
      <c r="B13" s="6" t="s">
        <v>38</v>
      </c>
      <c r="C13" s="7" t="s">
        <v>12</v>
      </c>
      <c r="D13" s="7" t="s">
        <v>39</v>
      </c>
      <c r="E13" s="8" t="n">
        <v>200</v>
      </c>
      <c r="F13" s="9" t="n">
        <v>325</v>
      </c>
      <c r="G13" s="10" t="n">
        <f aca="false">F13/E13-1</f>
        <v>0.625</v>
      </c>
      <c r="H13" s="11" t="s">
        <v>40</v>
      </c>
    </row>
    <row r="14" customFormat="false" ht="15" hidden="false" customHeight="false" outlineLevel="0" collapsed="false">
      <c r="A14" s="12" t="n">
        <v>9</v>
      </c>
      <c r="B14" s="13" t="s">
        <v>41</v>
      </c>
      <c r="C14" s="14" t="s">
        <v>42</v>
      </c>
      <c r="D14" s="14" t="s">
        <v>43</v>
      </c>
      <c r="E14" s="15" t="n">
        <v>1850</v>
      </c>
      <c r="F14" s="16" t="n">
        <v>1800</v>
      </c>
      <c r="G14" s="19" t="n">
        <f aca="false">F14/E14-1</f>
        <v>-0.027027027027027</v>
      </c>
      <c r="H14" s="18" t="s">
        <v>44</v>
      </c>
    </row>
    <row r="16" customFormat="false" ht="15" hidden="false" customHeight="false" outlineLevel="0" collapsed="false">
      <c r="A16" s="20" t="s">
        <v>45</v>
      </c>
      <c r="B16" s="20"/>
      <c r="C16" s="20"/>
      <c r="D16" s="20"/>
      <c r="E16" s="9" t="n">
        <f aca="false">300+265+200</f>
        <v>765</v>
      </c>
      <c r="F16" s="9" t="n">
        <f aca="false">1100+500+325</f>
        <v>1925</v>
      </c>
      <c r="G16" s="21" t="n">
        <f aca="false">F16/E16-1</f>
        <v>1.51633986928105</v>
      </c>
      <c r="H16" s="22" t="s">
        <v>46</v>
      </c>
    </row>
    <row r="17" customFormat="false" ht="15" hidden="false" customHeight="false" outlineLevel="0" collapsed="false">
      <c r="A17" s="23" t="s">
        <v>47</v>
      </c>
      <c r="B17" s="23"/>
      <c r="C17" s="23"/>
      <c r="D17" s="23"/>
      <c r="E17" s="24" t="s">
        <v>48</v>
      </c>
      <c r="F17" s="24" t="s">
        <v>48</v>
      </c>
      <c r="G17" s="25" t="n">
        <f aca="false">MEDIAN(G7,G8,G9,G10,G12)</f>
        <v>1.08333333333333</v>
      </c>
      <c r="H17" s="22" t="s">
        <v>49</v>
      </c>
    </row>
    <row r="20" customFormat="false" ht="15" hidden="false" customHeight="false" outlineLevel="0" collapsed="false">
      <c r="A20" s="26" t="s">
        <v>50</v>
      </c>
      <c r="B20" s="26"/>
      <c r="C20" s="26"/>
      <c r="D20" s="26"/>
      <c r="E20" s="26"/>
      <c r="F20" s="26"/>
      <c r="G20" s="26"/>
      <c r="H20" s="26"/>
    </row>
    <row r="21" customFormat="false" ht="129.75" hidden="false" customHeight="true" outlineLevel="0" collapsed="false">
      <c r="A21" s="27" t="s">
        <v>51</v>
      </c>
      <c r="B21" s="27"/>
      <c r="C21" s="27"/>
      <c r="D21" s="27"/>
      <c r="E21" s="27"/>
      <c r="F21" s="27"/>
      <c r="G21" s="27"/>
      <c r="H21" s="27"/>
    </row>
    <row r="23" customFormat="false" ht="15" hidden="false" customHeight="false" outlineLevel="0" collapsed="false">
      <c r="A23" s="28" t="s">
        <v>52</v>
      </c>
      <c r="B23" s="28"/>
      <c r="C23" s="28"/>
      <c r="D23" s="28"/>
      <c r="E23" s="28"/>
      <c r="F23" s="28"/>
      <c r="G23" s="28"/>
      <c r="H23" s="28"/>
    </row>
    <row r="24" customFormat="false" ht="129.75" hidden="false" customHeight="true" outlineLevel="0" collapsed="false">
      <c r="A24" s="29" t="s">
        <v>53</v>
      </c>
      <c r="B24" s="29"/>
      <c r="C24" s="29"/>
      <c r="D24" s="29"/>
      <c r="E24" s="29"/>
      <c r="F24" s="29"/>
      <c r="G24" s="29"/>
      <c r="H24" s="29"/>
    </row>
  </sheetData>
  <mergeCells count="9">
    <mergeCell ref="A1:H1"/>
    <mergeCell ref="A2:H2"/>
    <mergeCell ref="A3:H3"/>
    <mergeCell ref="A16:D16"/>
    <mergeCell ref="A17:D17"/>
    <mergeCell ref="A20:H20"/>
    <mergeCell ref="A21:H21"/>
    <mergeCell ref="A23:H23"/>
    <mergeCell ref="A24:H24"/>
  </mergeCells>
  <hyperlinks>
    <hyperlink ref="H6" r:id="rId1" display="Hard Count Substack / CNBC"/>
    <hyperlink ref="H7" r:id="rId2" display="CNBC / SportBusiness"/>
    <hyperlink ref="H8" r:id="rId3" display="Sportcal / CBS Sports"/>
    <hyperlink ref="H9" r:id="rId4" display="Hollywood Reporter / S&amp;P Global"/>
    <hyperlink ref="H10" r:id="rId5" display="Yahoo Sports / Wikipedia"/>
    <hyperlink ref="H11" r:id="rId6" display="Variety / Netflix press release"/>
    <hyperlink ref="H12" r:id="rId7" display="Variety / CNBC"/>
    <hyperlink ref="H13" r:id="rId8" display="THR / NBC press release"/>
    <hyperlink ref="H14" r:id="rId9" display="CNBC / Sportic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2026-05-01T19:03:33Z</dcterms:created>
  <dc:creator>openpyxl</dc:creator>
  <dc:description/>
  <dc:language>en-US</dc:language>
  <cp:lastModifiedBy/>
  <dcterms:modified xsi:type="dcterms:W3CDTF">2026-05-01T19:03:34Z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