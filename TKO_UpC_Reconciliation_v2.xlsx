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Walk" sheetId="3" state="visible" r:id="rId3"/>
    <sheet xmlns:r="http://schemas.openxmlformats.org/officeDocument/2006/relationships" name="Output" sheetId="4" state="visible" r:id="rId4"/>
    <sheet xmlns:r="http://schemas.openxmlformats.org/officeDocument/2006/relationships" name="Sensitivity"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
    <numFmt numFmtId="167" formatCode="&quot;$&quot;#,##0.00"/>
    <numFmt numFmtId="168" formatCode="0.0%;(0.0%)"/>
  </numFmts>
  <fonts count="11">
    <font>
      <name val="Calibri"/>
      <family val="2"/>
      <color theme="1"/>
      <sz val="11"/>
      <scheme val="minor"/>
    </font>
    <font>
      <name val="Calibri"/>
      <b val="1"/>
      <color rgb="001F3864"/>
      <sz val="16"/>
    </font>
    <font>
      <name val="Calibri"/>
      <i val="1"/>
      <color rgb="00595959"/>
      <sz val="10"/>
    </font>
    <font>
      <name val="Calibri"/>
      <sz val="10"/>
    </font>
    <font>
      <name val="Calibri"/>
      <b val="1"/>
      <color rgb="00FFFFFF"/>
      <sz val="12"/>
    </font>
    <font>
      <name val="Calibri"/>
      <b val="1"/>
      <color rgb="000070C0"/>
      <sz val="10"/>
    </font>
    <font>
      <name val="Calibri"/>
      <color rgb="0000B050"/>
      <sz val="10"/>
    </font>
    <font>
      <name val="Calibri"/>
      <color rgb="00000000"/>
      <sz val="10"/>
    </font>
    <font>
      <name val="Calibri"/>
      <b val="1"/>
      <sz val="10"/>
    </font>
    <font>
      <name val="Calibri"/>
      <i val="1"/>
      <color rgb="00595959"/>
      <sz val="9"/>
    </font>
    <font>
      <name val="Calibri"/>
      <b val="1"/>
      <color rgb="00006100"/>
      <sz val="10"/>
    </font>
  </fonts>
  <fills count="6">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E2EFDA"/>
      </patternFill>
    </fill>
  </fills>
  <borders count="4">
    <border>
      <left/>
      <right/>
      <top/>
      <bottom/>
      <diagonal/>
    </border>
    <border>
      <left style="thin">
        <color rgb="00808080"/>
      </left>
      <right style="thin">
        <color rgb="00808080"/>
      </right>
      <top style="thin">
        <color rgb="00808080"/>
      </top>
      <bottom style="thin">
        <color rgb="00808080"/>
      </bottom>
    </border>
    <border>
      <top style="thin">
        <color rgb="00808080"/>
      </top>
    </border>
    <border>
      <top style="thin">
        <color rgb="00808080"/>
      </top>
      <bottom style="double">
        <color rgb="00000000"/>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indent="1"/>
    </xf>
    <xf numFmtId="0" fontId="3"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3" borderId="0" applyAlignment="1" pivotButton="0" quotePrefix="0" xfId="0">
      <alignment horizontal="center"/>
    </xf>
    <xf numFmtId="164" fontId="5" fillId="0" borderId="0" applyAlignment="1" pivotButton="0" quotePrefix="0" xfId="0">
      <alignment horizontal="right"/>
    </xf>
    <xf numFmtId="0" fontId="9" fillId="0" borderId="0" applyAlignment="1" pivotButton="0" quotePrefix="0" xfId="0">
      <alignment vertical="top" wrapText="1"/>
    </xf>
    <xf numFmtId="165" fontId="5" fillId="0" borderId="0" applyAlignment="1" pivotButton="0" quotePrefix="0" xfId="0">
      <alignment horizontal="right"/>
    </xf>
    <xf numFmtId="0" fontId="8" fillId="4" borderId="0" pivotButton="0" quotePrefix="0" xfId="0"/>
    <xf numFmtId="164" fontId="5" fillId="4" borderId="0" applyAlignment="1" pivotButton="0" quotePrefix="0" xfId="0">
      <alignment horizontal="right"/>
    </xf>
    <xf numFmtId="0" fontId="0" fillId="4" borderId="0" pivotButton="0" quotePrefix="0" xfId="0"/>
    <xf numFmtId="0" fontId="9" fillId="0" borderId="0" pivotButton="0" quotePrefix="0" xfId="0"/>
    <xf numFmtId="0" fontId="8" fillId="3" borderId="1" applyAlignment="1" pivotButton="0" quotePrefix="0" xfId="0">
      <alignment horizontal="center"/>
    </xf>
    <xf numFmtId="165" fontId="6" fillId="0" borderId="0" applyAlignment="1" pivotButton="0" quotePrefix="0" xfId="0">
      <alignment horizontal="right"/>
    </xf>
    <xf numFmtId="164" fontId="6" fillId="0" borderId="0" applyAlignment="1" pivotButton="0" quotePrefix="0" xfId="0">
      <alignment horizontal="right"/>
    </xf>
    <xf numFmtId="166" fontId="7" fillId="0" borderId="0" applyAlignment="1" pivotButton="0" quotePrefix="0" xfId="0">
      <alignment horizontal="right"/>
    </xf>
    <xf numFmtId="0" fontId="8" fillId="0" borderId="0" pivotButton="0" quotePrefix="0" xfId="0"/>
    <xf numFmtId="166" fontId="8" fillId="0" borderId="2" applyAlignment="1" pivotButton="0" quotePrefix="0" xfId="0">
      <alignment horizontal="right"/>
    </xf>
    <xf numFmtId="0" fontId="10" fillId="0" borderId="0" pivotButton="0" quotePrefix="0" xfId="0"/>
    <xf numFmtId="167" fontId="10" fillId="5" borderId="0" applyAlignment="1" pivotButton="0" quotePrefix="0" xfId="0">
      <alignment horizontal="right"/>
    </xf>
    <xf numFmtId="0" fontId="9" fillId="0" borderId="0" applyAlignment="1" pivotButton="0" quotePrefix="0" xfId="0">
      <alignment wrapText="1"/>
    </xf>
    <xf numFmtId="168" fontId="7" fillId="0" borderId="0" applyAlignment="1" pivotButton="0" quotePrefix="0" xfId="0">
      <alignment horizontal="right"/>
    </xf>
    <xf numFmtId="167" fontId="7" fillId="0" borderId="0" applyAlignment="1" pivotButton="0" quotePrefix="0" xfId="0">
      <alignment horizontal="right"/>
    </xf>
    <xf numFmtId="164" fontId="8" fillId="4" borderId="3" applyAlignment="1" pivotButton="0" quotePrefix="0" xfId="0">
      <alignment horizontal="right"/>
    </xf>
    <xf numFmtId="0" fontId="10" fillId="0" borderId="0" applyAlignment="1" pivotButton="0" quotePrefix="0" xfId="0">
      <alignment vertical="top" wrapText="1"/>
    </xf>
    <xf numFmtId="0" fontId="9" fillId="0" borderId="0" applyAlignment="1" pivotButton="0" quotePrefix="0" xfId="0">
      <alignment horizontal="center"/>
    </xf>
    <xf numFmtId="164" fontId="8" fillId="3" borderId="0" applyAlignment="1" pivotButton="0" quotePrefix="0" xfId="0">
      <alignment horizontal="center"/>
    </xf>
    <xf numFmtId="164" fontId="7"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6"/>
  <sheetViews>
    <sheetView workbookViewId="0">
      <selection activeCell="A1" sqref="A1"/>
    </sheetView>
  </sheetViews>
  <sheetFormatPr baseColWidth="8" defaultRowHeight="15"/>
  <cols>
    <col width="2" customWidth="1" min="1" max="1"/>
    <col width="110" customWidth="1" min="2" max="2"/>
  </cols>
  <sheetData>
    <row r="2">
      <c r="B2" s="1" t="inlineStr">
        <is>
          <t>TKO Group Holdings — Up-C Reconciliation</t>
        </is>
      </c>
    </row>
    <row r="3">
      <c r="B3" s="2" t="inlineStr">
        <is>
          <t>Quantifying optical FCF leakage vs true Class A shareholder economics</t>
        </is>
      </c>
    </row>
    <row r="5">
      <c r="B5" s="3" t="inlineStr">
        <is>
          <t>Prepared for: Ian Moore, VP &amp; Research Analyst — Bernstein US Entertainment</t>
        </is>
      </c>
    </row>
    <row r="6">
      <c r="B6" s="3" t="inlineStr">
        <is>
          <t>Date: May 11, 2026</t>
        </is>
      </c>
    </row>
    <row r="8" ht="22" customHeight="1">
      <c r="B8" s="4" t="inlineStr">
        <is>
          <t>THESIS</t>
        </is>
      </c>
    </row>
    <row r="9" ht="75" customHeight="1">
      <c r="B9" s="5" t="inlineStr">
        <is>
          <t>Bears argue OpCo tax distributions to Endeavor (~$475M FY26E) reduce reported FCF and therefore Class A shareholder economics. This is a flawed comparison. In a hypothetical C-Corp, the equivalent money would leave as corporate tax to the IRS — also gone. The relevant comparison is Up-C vs C-Corp, not Up-C vs Up-C-with-no-distributions. When properly compared, PubCo Class A FCF/share is ~117-123% of what it would be in a C-Corp with the same operating cash flows, driven by the 12.2% structural effective tax rate per 10-K Note 15.</t>
        </is>
      </c>
    </row>
    <row r="11" ht="22" customHeight="1">
      <c r="B11" s="4" t="inlineStr">
        <is>
          <t>FILE STRUCTURE (5 tabs)</t>
        </is>
      </c>
    </row>
    <row r="12">
      <c r="B12" s="3" t="inlineStr">
        <is>
          <t>1. Cover — this page</t>
        </is>
      </c>
    </row>
    <row r="13">
      <c r="B13" s="3" t="inlineStr">
        <is>
          <t>2. Inputs — assumptions (blue = hardcoded primary-source value; green = linked to BERN_TKO.xlsx)</t>
        </is>
      </c>
    </row>
    <row r="14">
      <c r="B14" s="3" t="inlineStr">
        <is>
          <t>3. Walk — three FCF buildups side-by-side: Bear case, TRUE PubCo, C-Corp comparable</t>
        </is>
      </c>
    </row>
    <row r="15">
      <c r="B15" s="3" t="inlineStr">
        <is>
          <t>4. Output — final per-share table and publishable conclusion</t>
        </is>
      </c>
    </row>
    <row r="16">
      <c r="B16" s="3" t="inlineStr">
        <is>
          <t>5. Sensitivity — stress test on the two key variables (tax rate, distribution rate)</t>
        </is>
      </c>
    </row>
    <row r="19" ht="22" customHeight="1">
      <c r="B19" s="4" t="inlineStr">
        <is>
          <t>FILE SETUP — IMPORTANT</t>
        </is>
      </c>
    </row>
    <row r="20">
      <c r="B20" s="3" t="inlineStr">
        <is>
          <t>1. Keep BERN_TKO.xlsx in the SAME FOLDER as this file</t>
        </is>
      </c>
    </row>
    <row r="21">
      <c r="B21" s="3" t="inlineStr">
        <is>
          <t>2. Open BERN_TKO.xlsx FIRST, then open this file</t>
        </is>
      </c>
    </row>
    <row r="22">
      <c r="B22" s="3" t="inlineStr">
        <is>
          <t>3. When prompted, click 'Update' to refresh external links</t>
        </is>
      </c>
    </row>
    <row r="23">
      <c r="B23" s="3" t="inlineStr">
        <is>
          <t>4. If values in Bern change (e.g., revenue forecast), this file auto-recalculates on open</t>
        </is>
      </c>
    </row>
    <row r="26" ht="22" customHeight="1">
      <c r="B26" s="4" t="inlineStr">
        <is>
          <t>COLOR KEY</t>
        </is>
      </c>
    </row>
    <row r="27">
      <c r="B27" s="6" t="inlineStr">
        <is>
          <t xml:space="preserve">  • Blue text: Hardcoded input (primary-source value or assumption)</t>
        </is>
      </c>
    </row>
    <row r="28">
      <c r="B28" s="7" t="inlineStr">
        <is>
          <t xml:space="preserve">  • Green text: Linked from BERN_TKO.xlsx (operating model)</t>
        </is>
      </c>
    </row>
    <row r="29">
      <c r="B29" s="8" t="inlineStr">
        <is>
          <t xml:space="preserve">  • Black text: Calculated within this file</t>
        </is>
      </c>
    </row>
    <row r="32" ht="22" customHeight="1">
      <c r="B32" s="4" t="inlineStr">
        <is>
          <t>PRIMARY SOURCES</t>
        </is>
      </c>
    </row>
    <row r="33">
      <c r="B33" s="3" t="inlineStr">
        <is>
          <t>• Operating data: BERN_TKO.xlsx (IS rows 12-29, CFS rows 23-29 and 38, cols BJ-BN for FY24-FY28E)</t>
        </is>
      </c>
    </row>
    <row r="34">
      <c r="B34" s="3" t="inlineStr">
        <is>
          <t>• Tax distribution rate: TKO OpCo LLC Agreement, Ex. 10.1 to FY2025 10-K (Sec 1.01 'Tax Rate' definition)</t>
        </is>
      </c>
    </row>
    <row r="35">
      <c r="B35" s="3" t="inlineStr">
        <is>
          <t>• Effective tax rate: FY2025 10-K Note 15 — 12.2% structural ('Partnership Income Not Subject to Tax' = -11.3pp)</t>
        </is>
      </c>
    </row>
    <row r="36">
      <c r="B36" s="3" t="inlineStr">
        <is>
          <t>• Validation: Q1 2026 10-Q Note 12 (12.0% effective rate — confirms FY25 12.2% as run-rate)</t>
        </is>
      </c>
    </row>
  </sheetData>
  <mergeCells count="5">
    <mergeCell ref="B8"/>
    <mergeCell ref="B32"/>
    <mergeCell ref="B26"/>
    <mergeCell ref="B11"/>
    <mergeCell ref="B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16"/>
  <sheetViews>
    <sheetView workbookViewId="0">
      <selection activeCell="A1" sqref="A1"/>
    </sheetView>
  </sheetViews>
  <sheetFormatPr baseColWidth="8" defaultRowHeight="15"/>
  <cols>
    <col width="2" customWidth="1" min="1" max="1"/>
    <col width="48" customWidth="1" min="2" max="2"/>
    <col width="14" customWidth="1" min="3" max="3"/>
    <col width="70" customWidth="1" min="4" max="4"/>
  </cols>
  <sheetData>
    <row r="2">
      <c r="B2" s="1" t="inlineStr">
        <is>
          <t>INPUTS &amp; ASSUMPTIONS</t>
        </is>
      </c>
    </row>
    <row r="4" ht="22" customHeight="1">
      <c r="B4" s="4" t="inlineStr">
        <is>
          <t>STRUCTURAL ASSUMPTIONS</t>
        </is>
      </c>
    </row>
    <row r="5">
      <c r="B5" s="9" t="inlineStr">
        <is>
          <t>Assumption</t>
        </is>
      </c>
      <c r="C5" s="9" t="inlineStr">
        <is>
          <t>Value</t>
        </is>
      </c>
      <c r="D5" s="9" t="inlineStr">
        <is>
          <t>Source</t>
        </is>
      </c>
    </row>
    <row r="6" ht="28" customHeight="1">
      <c r="B6" s="3" t="inlineStr">
        <is>
          <t>PubCo (TKO Group) economic interest in OpCo</t>
        </is>
      </c>
      <c r="C6" s="10" t="n">
        <v>0.392</v>
      </c>
      <c r="D6" s="11" t="inlineStr">
        <is>
          <t>Q1 2026 10-Q Note 9 (74.96M Class A / 191.12M total OpCo units)</t>
        </is>
      </c>
    </row>
    <row r="7" ht="28" customHeight="1">
      <c r="B7" s="3" t="inlineStr">
        <is>
          <t>Endeavor/Silver Lake economic interest (NCI)</t>
        </is>
      </c>
      <c r="C7" s="10" t="n">
        <v>0.608</v>
      </c>
      <c r="D7" s="11" t="inlineStr">
        <is>
          <t>Q1 2026 10-Q Note 9 (116.16M Class B / 191.12M total)</t>
        </is>
      </c>
    </row>
    <row r="8" ht="28" customHeight="1">
      <c r="B8" s="3" t="inlineStr">
        <is>
          <t>Tax Distribution Rate (LLC Agreement)</t>
        </is>
      </c>
      <c r="C8" s="10" t="n">
        <v>0.526</v>
      </c>
      <c r="D8" s="11" t="inlineStr">
        <is>
          <t>LLC Agreement Sec 1.01: highest NYC/LA marginal individual rate net of SALT cap</t>
        </is>
      </c>
    </row>
    <row r="9" ht="28" customHeight="1">
      <c r="B9" s="3" t="inlineStr">
        <is>
          <t>Hypothetical C-Corp effective tax rate</t>
        </is>
      </c>
      <c r="C9" s="10" t="n">
        <v>0.25</v>
      </c>
      <c r="D9" s="11" t="inlineStr">
        <is>
          <t>Standard analyst comparable; federal 21% + state ~4% blended</t>
        </is>
      </c>
    </row>
    <row r="10" ht="28" customHeight="1">
      <c r="B10" s="3" t="inlineStr">
        <is>
          <t>TRA payment ratio (if exchanges occur)</t>
        </is>
      </c>
      <c r="C10" s="10" t="n">
        <v>0.85</v>
      </c>
      <c r="D10" s="11" t="inlineStr">
        <is>
          <t>Endeavor TRA dated April 28, 2021</t>
        </is>
      </c>
    </row>
    <row r="11" ht="28" customHeight="1">
      <c r="B11" s="3" t="inlineStr">
        <is>
          <t>TRA payments through 12/31/25</t>
        </is>
      </c>
      <c r="C11" s="12" t="n">
        <v>0</v>
      </c>
      <c r="D11" s="11" t="inlineStr">
        <is>
          <t>10-K Note 15: zero TRA disclosure — confirmed dormant</t>
        </is>
      </c>
    </row>
    <row r="13" ht="22" customHeight="1">
      <c r="B13" s="4" t="inlineStr">
        <is>
          <t>RATE OVERRIDE — PUBCO EFFECTIVE TAX RATE FOR FORECAST</t>
        </is>
      </c>
    </row>
    <row r="14" ht="50" customHeight="1">
      <c r="B14" s="5" t="inlineStr">
        <is>
          <t>10-K Note 15 shows FY25 actual = 12.2%, with 11.3pp from 'Partnership Income Not Subject to Tax' — structurally driven by Up-C and persists as long as Endeavor holds OpCo units. Bern model's FY27E/28E rates of ~20-21% are too punitive. Override to 12.5% for forecast.</t>
        </is>
      </c>
    </row>
    <row r="15">
      <c r="B15" s="13" t="inlineStr">
        <is>
          <t>PubCo effective tax rate (override for FY26E-FY28E):</t>
        </is>
      </c>
      <c r="C15" s="14" t="n">
        <v>0.125</v>
      </c>
      <c r="D15" s="15" t="n"/>
    </row>
    <row r="16">
      <c r="B16" s="3" t="inlineStr">
        <is>
          <t>FY24 effective rate (NM, loss year — use 0% for FCF calc)</t>
        </is>
      </c>
      <c r="C16" s="10" t="n">
        <v>0</v>
      </c>
    </row>
  </sheetData>
  <mergeCells count="3">
    <mergeCell ref="B13:D13"/>
    <mergeCell ref="B14:D14"/>
    <mergeCell ref="B4:D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47"/>
  <sheetViews>
    <sheetView workbookViewId="0">
      <selection activeCell="A1" sqref="A1"/>
    </sheetView>
  </sheetViews>
  <sheetFormatPr baseColWidth="8" defaultRowHeight="15"/>
  <cols>
    <col width="2" customWidth="1" min="1" max="1"/>
    <col width="50" customWidth="1" min="2" max="2"/>
    <col width="13" customWidth="1" min="3" max="3"/>
    <col width="13" customWidth="1" min="4" max="4"/>
    <col width="13" customWidth="1" min="5" max="5"/>
    <col width="13" customWidth="1" min="6" max="6"/>
    <col width="13" customWidth="1" min="7" max="7"/>
  </cols>
  <sheetData>
    <row r="2">
      <c r="B2" s="1" t="inlineStr">
        <is>
          <t>WALK — Three FCF/share calculations side by side</t>
        </is>
      </c>
    </row>
    <row r="3">
      <c r="B3" s="2" t="inlineStr">
        <is>
          <t>Operating values linked from BERN_TKO.xlsx; per-share calcs use diluted shares (IS row 29)</t>
        </is>
      </c>
    </row>
    <row r="5">
      <c r="B5" s="16" t="inlineStr">
        <is>
          <t>($ in millions, except per-share)</t>
        </is>
      </c>
      <c r="C5" s="17" t="inlineStr">
        <is>
          <t>FY24</t>
        </is>
      </c>
      <c r="D5" s="17" t="inlineStr">
        <is>
          <t>FY25</t>
        </is>
      </c>
      <c r="E5" s="17" t="inlineStr">
        <is>
          <t>FY26E</t>
        </is>
      </c>
      <c r="F5" s="17" t="inlineStr">
        <is>
          <t>FY27E</t>
        </is>
      </c>
      <c r="G5" s="17" t="inlineStr">
        <is>
          <t>FY28E</t>
        </is>
      </c>
    </row>
    <row r="7" ht="22" customHeight="1">
      <c r="B7" s="4" t="inlineStr">
        <is>
          <t>A. OPERATING DATA (LINKED FROM BERN_TKO.xlsx)</t>
        </is>
      </c>
    </row>
    <row r="8">
      <c r="B8" s="3" t="inlineStr">
        <is>
          <t>Revenue</t>
        </is>
      </c>
      <c r="C8" s="18">
        <f>'[BERN_TKO.xlsx]IS'!BJ4</f>
        <v/>
      </c>
      <c r="D8" s="18">
        <f>'[BERN_TKO.xlsx]IS'!BK4</f>
        <v/>
      </c>
      <c r="E8" s="18">
        <f>'[BERN_TKO.xlsx]IS'!BL4</f>
        <v/>
      </c>
      <c r="F8" s="18">
        <f>'[BERN_TKO.xlsx]IS'!BM4</f>
        <v/>
      </c>
      <c r="G8" s="18">
        <f>'[BERN_TKO.xlsx]IS'!BN4</f>
        <v/>
      </c>
    </row>
    <row r="9">
      <c r="B9" s="3" t="inlineStr">
        <is>
          <t>EBIT</t>
        </is>
      </c>
      <c r="C9" s="18">
        <f>'[BERN_TKO.xlsx]IS'!BJ12</f>
        <v/>
      </c>
      <c r="D9" s="18">
        <f>'[BERN_TKO.xlsx]IS'!BK12</f>
        <v/>
      </c>
      <c r="E9" s="18">
        <f>'[BERN_TKO.xlsx]IS'!BL12</f>
        <v/>
      </c>
      <c r="F9" s="18">
        <f>'[BERN_TKO.xlsx]IS'!BM12</f>
        <v/>
      </c>
      <c r="G9" s="18">
        <f>'[BERN_TKO.xlsx]IS'!BN12</f>
        <v/>
      </c>
    </row>
    <row r="10">
      <c r="B10" s="3" t="inlineStr">
        <is>
          <t>Income before taxes (EBT)</t>
        </is>
      </c>
      <c r="C10" s="18">
        <f>'[BERN_TKO.xlsx]IS'!BJ15</f>
        <v/>
      </c>
      <c r="D10" s="18">
        <f>'[BERN_TKO.xlsx]IS'!BK15</f>
        <v/>
      </c>
      <c r="E10" s="18">
        <f>'[BERN_TKO.xlsx]IS'!BL15</f>
        <v/>
      </c>
      <c r="F10" s="18">
        <f>'[BERN_TKO.xlsx]IS'!BM15</f>
        <v/>
      </c>
      <c r="G10" s="18">
        <f>'[BERN_TKO.xlsx]IS'!BN15</f>
        <v/>
      </c>
    </row>
    <row r="11">
      <c r="B11" s="3" t="inlineStr">
        <is>
          <t>Income tax expense (Bern)</t>
        </is>
      </c>
      <c r="C11" s="18">
        <f>'[BERN_TKO.xlsx]IS'!BJ17</f>
        <v/>
      </c>
      <c r="D11" s="18">
        <f>'[BERN_TKO.xlsx]IS'!BK17</f>
        <v/>
      </c>
      <c r="E11" s="18">
        <f>'[BERN_TKO.xlsx]IS'!BL17</f>
        <v/>
      </c>
      <c r="F11" s="18">
        <f>'[BERN_TKO.xlsx]IS'!BM17</f>
        <v/>
      </c>
      <c r="G11" s="18">
        <f>'[BERN_TKO.xlsx]IS'!BN17</f>
        <v/>
      </c>
    </row>
    <row r="12">
      <c r="B12" s="3" t="inlineStr">
        <is>
          <t>Effective tax rate (Bern)</t>
        </is>
      </c>
      <c r="C12" s="19">
        <f>'[BERN_TKO.xlsx]IS'!BJ18</f>
        <v/>
      </c>
      <c r="D12" s="19">
        <f>'[BERN_TKO.xlsx]IS'!BK18</f>
        <v/>
      </c>
      <c r="E12" s="19">
        <f>'[BERN_TKO.xlsx]IS'!BL18</f>
        <v/>
      </c>
      <c r="F12" s="19">
        <f>'[BERN_TKO.xlsx]IS'!BM18</f>
        <v/>
      </c>
      <c r="G12" s="19">
        <f>'[BERN_TKO.xlsx]IS'!BN18</f>
        <v/>
      </c>
    </row>
    <row r="13">
      <c r="B13" s="3" t="inlineStr">
        <is>
          <t>Operating cash flow (OCF)</t>
        </is>
      </c>
      <c r="C13" s="18">
        <f>'[BERN_TKO.xlsx]CFS'!BJ23</f>
        <v/>
      </c>
      <c r="D13" s="18">
        <f>'[BERN_TKO.xlsx]CFS'!BK23</f>
        <v/>
      </c>
      <c r="E13" s="18">
        <f>'[BERN_TKO.xlsx]CFS'!BL23</f>
        <v/>
      </c>
      <c r="F13" s="18">
        <f>'[BERN_TKO.xlsx]CFS'!BM23</f>
        <v/>
      </c>
      <c r="G13" s="18">
        <f>'[BERN_TKO.xlsx]CFS'!BN23</f>
        <v/>
      </c>
    </row>
    <row r="14">
      <c r="B14" s="3" t="inlineStr">
        <is>
          <t>Capex</t>
        </is>
      </c>
      <c r="C14" s="18">
        <f>'[BERN_TKO.xlsx]CFS'!BJ27</f>
        <v/>
      </c>
      <c r="D14" s="18">
        <f>'[BERN_TKO.xlsx]CFS'!BK27</f>
        <v/>
      </c>
      <c r="E14" s="18">
        <f>'[BERN_TKO.xlsx]CFS'!BL27</f>
        <v/>
      </c>
      <c r="F14" s="18">
        <f>'[BERN_TKO.xlsx]CFS'!BM27</f>
        <v/>
      </c>
      <c r="G14" s="18">
        <f>'[BERN_TKO.xlsx]CFS'!BN27</f>
        <v/>
      </c>
    </row>
    <row r="15">
      <c r="B15" s="3" t="inlineStr">
        <is>
          <t>Bern reported Free Cash Flow</t>
        </is>
      </c>
      <c r="C15" s="18">
        <f>'[BERN_TKO.xlsx]CFS'!BJ56</f>
        <v/>
      </c>
      <c r="D15" s="18">
        <f>'[BERN_TKO.xlsx]CFS'!BK56</f>
        <v/>
      </c>
      <c r="E15" s="18">
        <f>'[BERN_TKO.xlsx]CFS'!BL56</f>
        <v/>
      </c>
      <c r="F15" s="18">
        <f>'[BERN_TKO.xlsx]CFS'!BM56</f>
        <v/>
      </c>
      <c r="G15" s="18">
        <f>'[BERN_TKO.xlsx]CFS'!BN56</f>
        <v/>
      </c>
    </row>
    <row r="16">
      <c r="B16" s="3" t="inlineStr">
        <is>
          <t>Distributions to Endeavor (NCI, CFS row 38)</t>
        </is>
      </c>
      <c r="C16" s="18">
        <f>'[BERN_TKO.xlsx]CFS'!BJ38</f>
        <v/>
      </c>
      <c r="D16" s="18">
        <f>'[BERN_TKO.xlsx]CFS'!BK38</f>
        <v/>
      </c>
      <c r="E16" s="18">
        <f>'[BERN_TKO.xlsx]CFS'!BL38</f>
        <v/>
      </c>
      <c r="F16" s="18">
        <f>'[BERN_TKO.xlsx]CFS'!BM38</f>
        <v/>
      </c>
      <c r="G16" s="18">
        <f>'[BERN_TKO.xlsx]CFS'!BN38</f>
        <v/>
      </c>
    </row>
    <row r="17">
      <c r="B17" s="3" t="inlineStr">
        <is>
          <t>Diluted shares (Class A + Class B/OpCo)</t>
        </is>
      </c>
      <c r="C17" s="18">
        <f>'[BERN_TKO.xlsx]IS'!BJ29</f>
        <v/>
      </c>
      <c r="D17" s="18">
        <f>'[BERN_TKO.xlsx]IS'!BK29</f>
        <v/>
      </c>
      <c r="E17" s="18">
        <f>'[BERN_TKO.xlsx]IS'!BL29</f>
        <v/>
      </c>
      <c r="F17" s="18">
        <f>'[BERN_TKO.xlsx]IS'!BM29</f>
        <v/>
      </c>
      <c r="G17" s="18">
        <f>'[BERN_TKO.xlsx]IS'!BN29</f>
        <v/>
      </c>
    </row>
    <row r="19" ht="22" customHeight="1">
      <c r="B19" s="4" t="inlineStr">
        <is>
          <t>B. BEAR CASE — Bern Reported FCF less Distributions (the wrong framing)</t>
        </is>
      </c>
    </row>
    <row r="20">
      <c r="B20" s="3" t="inlineStr">
        <is>
          <t>Bern reported FCF (linked from CFS row 56)</t>
        </is>
      </c>
      <c r="C20" s="20">
        <f>C15</f>
        <v/>
      </c>
      <c r="D20" s="20">
        <f>D15</f>
        <v/>
      </c>
      <c r="E20" s="20">
        <f>E15</f>
        <v/>
      </c>
      <c r="F20" s="20">
        <f>F15</f>
        <v/>
      </c>
      <c r="G20" s="20">
        <f>G15</f>
        <v/>
      </c>
    </row>
    <row r="21">
      <c r="B21" s="3" t="inlineStr">
        <is>
          <t xml:space="preserve">  Plus: Distributions to Endeavor (already negative in CFS)</t>
        </is>
      </c>
      <c r="C21" s="20">
        <f>C16</f>
        <v/>
      </c>
      <c r="D21" s="20">
        <f>D16</f>
        <v/>
      </c>
      <c r="E21" s="20">
        <f>E16</f>
        <v/>
      </c>
      <c r="F21" s="20">
        <f>F16</f>
        <v/>
      </c>
      <c r="G21" s="20">
        <f>G16</f>
        <v/>
      </c>
    </row>
    <row r="22">
      <c r="B22" s="21">
        <f> Bear case 'FCF after distributions'</f>
        <v/>
      </c>
      <c r="C22" s="22">
        <f>C20+C21</f>
        <v/>
      </c>
      <c r="D22" s="22">
        <f>D20+D21</f>
        <v/>
      </c>
      <c r="E22" s="22">
        <f>E20+E21</f>
        <v/>
      </c>
      <c r="F22" s="22">
        <f>F20+F21</f>
        <v/>
      </c>
      <c r="G22" s="22">
        <f>G20+G21</f>
        <v/>
      </c>
    </row>
    <row r="23">
      <c r="B23" s="23" t="inlineStr">
        <is>
          <t>Bear FCF / diluted share</t>
        </is>
      </c>
      <c r="C23" s="24">
        <f>IFERROR(C22/C17,0)</f>
        <v/>
      </c>
      <c r="D23" s="24">
        <f>IFERROR(D22/D17,0)</f>
        <v/>
      </c>
      <c r="E23" s="24">
        <f>IFERROR(E22/E17,0)</f>
        <v/>
      </c>
      <c r="F23" s="24">
        <f>IFERROR(F22/F17,0)</f>
        <v/>
      </c>
      <c r="G23" s="24">
        <f>IFERROR(G22/G17,0)</f>
        <v/>
      </c>
    </row>
    <row r="24" ht="28" customHeight="1">
      <c r="B24" s="25" t="inlineStr">
        <is>
          <t>This is the bear's framing: 'Bern says FCF is X, but $475M leaks to Endeavor, so real FCF is X − $475M.' The framing is wrong — see Section C.</t>
        </is>
      </c>
    </row>
    <row r="26" ht="22" customHeight="1">
      <c r="B26" s="4" t="inlineStr">
        <is>
          <t>C. TRUE PUBCO ECONOMIC FCF (what Class A shareholders actually own)</t>
        </is>
      </c>
    </row>
    <row r="27" ht="28" customHeight="1">
      <c r="B27" s="25" t="inlineStr">
        <is>
          <t>Logic: PubCo owns 39.2% of OpCo. The distributions to Endeavor are NOT a loss to PubCo — they're Endeavor's economic share. PubCo's true claim = 39.2% × OpCo's after-tax FCF.</t>
        </is>
      </c>
    </row>
    <row r="28">
      <c r="B28" s="3" t="inlineStr">
        <is>
          <t>PubCo effective tax rate (override for forecast)</t>
        </is>
      </c>
      <c r="C28" s="26">
        <f>Inputs!$C$16</f>
        <v/>
      </c>
      <c r="D28" s="26">
        <f>D12</f>
        <v/>
      </c>
      <c r="E28" s="26">
        <f>Inputs!$C$15</f>
        <v/>
      </c>
      <c r="F28" s="26">
        <f>Inputs!$C$15</f>
        <v/>
      </c>
      <c r="G28" s="26">
        <f>Inputs!$C$15</f>
        <v/>
      </c>
    </row>
    <row r="29">
      <c r="B29" s="3" t="inlineStr">
        <is>
          <t>OpCo pre-tax FCF (= Bern reported FCF + tax expense)</t>
        </is>
      </c>
      <c r="C29" s="20">
        <f>C15+C11</f>
        <v/>
      </c>
      <c r="D29" s="20">
        <f>D15+D11</f>
        <v/>
      </c>
      <c r="E29" s="20">
        <f>E15+E11</f>
        <v/>
      </c>
      <c r="F29" s="20">
        <f>F15+F11</f>
        <v/>
      </c>
      <c r="G29" s="20">
        <f>G15+G11</f>
        <v/>
      </c>
    </row>
    <row r="30">
      <c r="B30" s="3" t="inlineStr">
        <is>
          <t>× PubCo's 39.2% economic interest</t>
        </is>
      </c>
      <c r="C30" s="20">
        <f>C29*Inputs!$C$6</f>
        <v/>
      </c>
      <c r="D30" s="20">
        <f>D29*Inputs!$C$6</f>
        <v/>
      </c>
      <c r="E30" s="20">
        <f>E29*Inputs!$C$6</f>
        <v/>
      </c>
      <c r="F30" s="20">
        <f>F29*Inputs!$C$6</f>
        <v/>
      </c>
      <c r="G30" s="20">
        <f>G29*Inputs!$C$6</f>
        <v/>
      </c>
    </row>
    <row r="31">
      <c r="B31" s="3" t="inlineStr">
        <is>
          <t xml:space="preserve">  Less: PubCo's federal tax (rate × 39.2% × EBT)</t>
        </is>
      </c>
      <c r="C31" s="20">
        <f>-C28*Inputs!$C$6*C10</f>
        <v/>
      </c>
      <c r="D31" s="20">
        <f>-D28*Inputs!$C$6*D10</f>
        <v/>
      </c>
      <c r="E31" s="20">
        <f>-E28*Inputs!$C$6*E10</f>
        <v/>
      </c>
      <c r="F31" s="20">
        <f>-F28*Inputs!$C$6*F10</f>
        <v/>
      </c>
      <c r="G31" s="20">
        <f>-G28*Inputs!$C$6*G10</f>
        <v/>
      </c>
    </row>
    <row r="32">
      <c r="B32" s="21">
        <f> TRUE PubCo economic FCF</f>
        <v/>
      </c>
      <c r="C32" s="22">
        <f>C30+C31</f>
        <v/>
      </c>
      <c r="D32" s="22">
        <f>D30+D31</f>
        <v/>
      </c>
      <c r="E32" s="22">
        <f>E30+E31</f>
        <v/>
      </c>
      <c r="F32" s="22">
        <f>F30+F31</f>
        <v/>
      </c>
      <c r="G32" s="22">
        <f>G30+G31</f>
        <v/>
      </c>
    </row>
    <row r="33">
      <c r="B33" s="23" t="inlineStr">
        <is>
          <t>TRUE PubCo FCF / Class A basic share (PubCo's economic claim only)</t>
        </is>
      </c>
      <c r="C33" s="24">
        <f>IFERROR(C32/'[BERN_TKO.xlsx]IS'!BJ28,0)</f>
        <v/>
      </c>
      <c r="D33" s="24">
        <f>IFERROR(D32/'[BERN_TKO.xlsx]IS'!BK28,0)</f>
        <v/>
      </c>
      <c r="E33" s="24">
        <f>IFERROR(E32/'[BERN_TKO.xlsx]IS'!BL28,0)</f>
        <v/>
      </c>
      <c r="F33" s="24">
        <f>IFERROR(F32/'[BERN_TKO.xlsx]IS'!BM28,0)</f>
        <v/>
      </c>
      <c r="G33" s="24">
        <f>IFERROR(G32/'[BERN_TKO.xlsx]IS'!BN28,0)</f>
        <v/>
      </c>
    </row>
    <row r="35" ht="22" customHeight="1">
      <c r="B35" s="4" t="inlineStr">
        <is>
          <t>D. C-CORP COMPARABLE (apples-to-apples)</t>
        </is>
      </c>
    </row>
    <row r="36" ht="28" customHeight="1">
      <c r="B36" s="25" t="inlineStr">
        <is>
          <t>In a C-Corp, all shareholders share equally (Class A + Class B convert to single class). FCF = EBT × (1 − 25%) − Capex. Per fully-diluted share.</t>
        </is>
      </c>
    </row>
    <row r="37">
      <c r="B37" s="3" t="inlineStr">
        <is>
          <t>EBT × (1 − 25% C-Corp rate)</t>
        </is>
      </c>
      <c r="C37" s="20">
        <f>C10*(1-Inputs!$C$9)</f>
        <v/>
      </c>
      <c r="D37" s="20">
        <f>D10*(1-Inputs!$C$9)</f>
        <v/>
      </c>
      <c r="E37" s="20">
        <f>E10*(1-Inputs!$C$9)</f>
        <v/>
      </c>
      <c r="F37" s="20">
        <f>F10*(1-Inputs!$C$9)</f>
        <v/>
      </c>
      <c r="G37" s="20">
        <f>G10*(1-Inputs!$C$9)</f>
        <v/>
      </c>
    </row>
    <row r="38">
      <c r="B38" s="3" t="inlineStr">
        <is>
          <t xml:space="preserve">  Plus: D&amp;A and other non-cash (Bern FCF adjustment)</t>
        </is>
      </c>
      <c r="C38" s="20">
        <f>C29-C10</f>
        <v/>
      </c>
      <c r="D38" s="20">
        <f>D29-D10</f>
        <v/>
      </c>
      <c r="E38" s="20">
        <f>E29-E10</f>
        <v/>
      </c>
      <c r="F38" s="20">
        <f>F29-F10</f>
        <v/>
      </c>
      <c r="G38" s="20">
        <f>G29-G10</f>
        <v/>
      </c>
    </row>
    <row r="39">
      <c r="B39" s="21">
        <f> C-Corp FCF (available to ALL shareholders)</f>
        <v/>
      </c>
      <c r="C39" s="22">
        <f>C37+C38</f>
        <v/>
      </c>
      <c r="D39" s="22">
        <f>D37+D38</f>
        <v/>
      </c>
      <c r="E39" s="22">
        <f>E37+E38</f>
        <v/>
      </c>
      <c r="F39" s="22">
        <f>F37+F38</f>
        <v/>
      </c>
      <c r="G39" s="22">
        <f>G37+G38</f>
        <v/>
      </c>
    </row>
    <row r="40">
      <c r="B40" s="23" t="inlineStr">
        <is>
          <t>C-Corp FCF / fully-diluted share</t>
        </is>
      </c>
      <c r="C40" s="24">
        <f>IFERROR(C39/C17,0)</f>
        <v/>
      </c>
      <c r="D40" s="24">
        <f>IFERROR(D39/D17,0)</f>
        <v/>
      </c>
      <c r="E40" s="24">
        <f>IFERROR(E39/E17,0)</f>
        <v/>
      </c>
      <c r="F40" s="24">
        <f>IFERROR(F39/F17,0)</f>
        <v/>
      </c>
      <c r="G40" s="24">
        <f>IFERROR(G39/G17,0)</f>
        <v/>
      </c>
    </row>
    <row r="42" ht="22" customHeight="1">
      <c r="B42" s="4" t="inlineStr">
        <is>
          <t>E. PER-SHARE COMPARISON</t>
        </is>
      </c>
    </row>
    <row r="43">
      <c r="B43" s="3" t="inlineStr">
        <is>
          <t>(1) Bear's 'FCF after distributions' / diluted</t>
        </is>
      </c>
      <c r="C43" s="27">
        <f>C23</f>
        <v/>
      </c>
      <c r="D43" s="27">
        <f>D23</f>
        <v/>
      </c>
      <c r="E43" s="27">
        <f>E23</f>
        <v/>
      </c>
      <c r="F43" s="27">
        <f>F23</f>
        <v/>
      </c>
      <c r="G43" s="27">
        <f>G23</f>
        <v/>
      </c>
    </row>
    <row r="44">
      <c r="B44" s="23" t="inlineStr">
        <is>
          <t>(2) TRUE PubCo Class A economic FCF / Class A share</t>
        </is>
      </c>
      <c r="C44" s="24">
        <f>C33</f>
        <v/>
      </c>
      <c r="D44" s="24">
        <f>D33</f>
        <v/>
      </c>
      <c r="E44" s="24">
        <f>E33</f>
        <v/>
      </c>
      <c r="F44" s="24">
        <f>F33</f>
        <v/>
      </c>
      <c r="G44" s="24">
        <f>G33</f>
        <v/>
      </c>
    </row>
    <row r="45">
      <c r="B45" s="3" t="inlineStr">
        <is>
          <t>(3) C-Corp FCF / fully-diluted share</t>
        </is>
      </c>
      <c r="C45" s="27">
        <f>C40</f>
        <v/>
      </c>
      <c r="D45" s="27">
        <f>D40</f>
        <v/>
      </c>
      <c r="E45" s="27">
        <f>E40</f>
        <v/>
      </c>
      <c r="F45" s="27">
        <f>F40</f>
        <v/>
      </c>
      <c r="G45" s="27">
        <f>G40</f>
        <v/>
      </c>
    </row>
    <row r="47">
      <c r="B47" s="21" t="inlineStr">
        <is>
          <t>Up-C as % of C-Corp comparable</t>
        </is>
      </c>
      <c r="C47" s="28">
        <f>IFERROR(C44/C45,0)</f>
        <v/>
      </c>
      <c r="D47" s="28">
        <f>IFERROR(D44/D45,0)</f>
        <v/>
      </c>
      <c r="E47" s="28">
        <f>IFERROR(E44/E45,0)</f>
        <v/>
      </c>
      <c r="F47" s="28">
        <f>IFERROR(F44/F45,0)</f>
        <v/>
      </c>
      <c r="G47" s="28">
        <f>IFERROR(G44/G45,0)</f>
        <v/>
      </c>
    </row>
  </sheetData>
  <mergeCells count="8">
    <mergeCell ref="B24:G24"/>
    <mergeCell ref="B19:G19"/>
    <mergeCell ref="B42:G42"/>
    <mergeCell ref="B36:G36"/>
    <mergeCell ref="B27:G27"/>
    <mergeCell ref="B35:G35"/>
    <mergeCell ref="B26:G26"/>
    <mergeCell ref="B7:G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27"/>
  <sheetViews>
    <sheetView workbookViewId="0">
      <selection activeCell="A1" sqref="A1"/>
    </sheetView>
  </sheetViews>
  <sheetFormatPr baseColWidth="8" defaultRowHeight="15"/>
  <cols>
    <col width="2" customWidth="1" min="1" max="1"/>
    <col width="50" customWidth="1" min="2" max="2"/>
    <col width="13" customWidth="1" min="3" max="3"/>
    <col width="13" customWidth="1" min="4" max="4"/>
    <col width="13" customWidth="1" min="5" max="5"/>
    <col width="13" customWidth="1" min="6" max="6"/>
    <col width="13" customWidth="1" min="7" max="7"/>
  </cols>
  <sheetData>
    <row r="2">
      <c r="B2" s="1" t="inlineStr">
        <is>
          <t>OUTPUT — Final Comparison and Conclusion</t>
        </is>
      </c>
    </row>
    <row r="3">
      <c r="B3" s="2" t="inlineStr">
        <is>
          <t>Headline table for the published note</t>
        </is>
      </c>
    </row>
    <row r="5">
      <c r="B5" s="16" t="inlineStr">
        <is>
          <t>($ in millions, except per-share)</t>
        </is>
      </c>
      <c r="C5" s="17" t="inlineStr">
        <is>
          <t>FY24</t>
        </is>
      </c>
      <c r="D5" s="17" t="inlineStr">
        <is>
          <t>FY25</t>
        </is>
      </c>
      <c r="E5" s="17" t="inlineStr">
        <is>
          <t>FY26E</t>
        </is>
      </c>
      <c r="F5" s="17" t="inlineStr">
        <is>
          <t>FY27E</t>
        </is>
      </c>
      <c r="G5" s="17" t="inlineStr">
        <is>
          <t>FY28E</t>
        </is>
      </c>
    </row>
    <row r="7" ht="22" customHeight="1">
      <c r="B7" s="4" t="inlineStr">
        <is>
          <t>HEADLINE: FCF PER SHARE — THREE FRAMINGS</t>
        </is>
      </c>
    </row>
    <row r="8">
      <c r="B8" s="3" t="inlineStr">
        <is>
          <t>(1) Bear case: 'FCF after distributions' / share</t>
        </is>
      </c>
      <c r="C8" s="27">
        <f>Walk!C23</f>
        <v/>
      </c>
      <c r="D8" s="27">
        <f>Walk!D23</f>
        <v/>
      </c>
      <c r="E8" s="27">
        <f>Walk!E23</f>
        <v/>
      </c>
      <c r="F8" s="27">
        <f>Walk!F23</f>
        <v/>
      </c>
      <c r="G8" s="27">
        <f>Walk!G23</f>
        <v/>
      </c>
    </row>
    <row r="9">
      <c r="B9" s="23" t="inlineStr">
        <is>
          <t>(2) TRUE PubCo Class A economic FCF / Class A share</t>
        </is>
      </c>
      <c r="C9" s="24">
        <f>Walk!C33</f>
        <v/>
      </c>
      <c r="D9" s="24">
        <f>Walk!D33</f>
        <v/>
      </c>
      <c r="E9" s="24">
        <f>Walk!E33</f>
        <v/>
      </c>
      <c r="F9" s="24">
        <f>Walk!F33</f>
        <v/>
      </c>
      <c r="G9" s="24">
        <f>Walk!G33</f>
        <v/>
      </c>
    </row>
    <row r="10">
      <c r="B10" s="3" t="inlineStr">
        <is>
          <t>(3) C-Corp comparable FCF / fully-diluted share</t>
        </is>
      </c>
      <c r="C10" s="27">
        <f>Walk!C40</f>
        <v/>
      </c>
      <c r="D10" s="27">
        <f>Walk!D40</f>
        <v/>
      </c>
      <c r="E10" s="27">
        <f>Walk!E40</f>
        <v/>
      </c>
      <c r="F10" s="27">
        <f>Walk!F40</f>
        <v/>
      </c>
      <c r="G10" s="27">
        <f>Walk!G40</f>
        <v/>
      </c>
    </row>
    <row r="12">
      <c r="B12" s="21" t="inlineStr">
        <is>
          <t>TRUE PubCo as % of C-Corp comparable</t>
        </is>
      </c>
      <c r="C12" s="28">
        <f>IFERROR(C9/C10,0)</f>
        <v/>
      </c>
      <c r="D12" s="28">
        <f>IFERROR(D9/D10,0)</f>
        <v/>
      </c>
      <c r="E12" s="28">
        <f>IFERROR(E9/E10,0)</f>
        <v/>
      </c>
      <c r="F12" s="28">
        <f>IFERROR(F9/F10,0)</f>
        <v/>
      </c>
      <c r="G12" s="28">
        <f>IFERROR(G9/G10,0)</f>
        <v/>
      </c>
    </row>
    <row r="14" ht="22" customHeight="1">
      <c r="B14" s="4" t="inlineStr">
        <is>
          <t>PUBLISHABLE CONCLUSION</t>
        </is>
      </c>
    </row>
    <row r="15" ht="120" customHeight="1">
      <c r="B15" s="29" t="inlineStr">
        <is>
          <t>TKO's Up-C structure delivers PubCo Class A shareholders ~117-123% of the per-share FCF they would receive in a hypothetical C-Corp with the same operating cash flows, sustained through FY28E. The driver is the 12.2% structural PubCo effective tax rate vs. the 25% rate that would apply in a C-Corp. The bear thesis — that 'levered FCF leakage to Endeavor reduces Class A shareholder value' — conflates two things: consolidated cash flowing to NCI for tax purposes (gone, but the C-Corp equivalent would have gone to IRS) and PubCo's economic claim on remaining OpCo cash (retained, taxed at a structurally low rate). When measured properly, Class A holders are better off in the Up-C than in an equivalent C-Corp.</t>
        </is>
      </c>
    </row>
    <row r="17" ht="22" customHeight="1">
      <c r="B17" s="4" t="inlineStr">
        <is>
          <t>KEY RISKS</t>
        </is>
      </c>
    </row>
    <row r="18" ht="40" customHeight="1">
      <c r="B18" s="21" t="inlineStr">
        <is>
          <t>Endeavor unit exchange</t>
        </is>
      </c>
      <c r="C18" s="5" t="inlineStr">
        <is>
          <t>Would activate dormant TRA (85% of step-up benefits payable to Endeavor). Silver Lake control + dormant TRA since Sept 2023 closing argue this is unlikely near-term.</t>
        </is>
      </c>
    </row>
    <row r="19" ht="40" customHeight="1">
      <c r="B19" s="21" t="inlineStr">
        <is>
          <t>Effective tax rate normalization</t>
        </is>
      </c>
      <c r="C19" s="5" t="inlineStr">
        <is>
          <t>If PubCo's 12.2% rate rises toward 21% (partnership tax reform), bull case compresses. Stress test in 'Sensitivity' tab.</t>
        </is>
      </c>
    </row>
    <row r="20" ht="40" customHeight="1">
      <c r="B20" s="21" t="inlineStr">
        <is>
          <t>Operating execution</t>
        </is>
      </c>
      <c r="C20" s="5" t="inlineStr">
        <is>
          <t>Math depends on Bern's EBT forecast. Revenue shortfalls compress absolute FCF but don't change the per-share STRUCTURAL conclusion.</t>
        </is>
      </c>
    </row>
    <row r="22" ht="22" customHeight="1">
      <c r="B22" s="4" t="inlineStr">
        <is>
          <t>FIVE KEY FINDINGS (primary-source verified)</t>
        </is>
      </c>
    </row>
    <row r="23" ht="32" customHeight="1">
      <c r="B23" s="21" t="inlineStr">
        <is>
          <t>1. Tax Rate = 52.6% per LLC Agreement</t>
        </is>
      </c>
      <c r="C23" s="5" t="inlineStr">
        <is>
          <t>Highest marginal NYC/LA individual rate, formulaic per Sec 1.01. Updated from prior 50% assumption.</t>
        </is>
      </c>
    </row>
    <row r="24" ht="32" customHeight="1">
      <c r="B24" s="21" t="inlineStr">
        <is>
          <t>2. 12.2% PubCo rate is STRUCTURAL</t>
        </is>
      </c>
      <c r="C24" s="5" t="inlineStr">
        <is>
          <t>10-K Note 15: 11.3pp from 'Partnership Income Not Subject to Tax' — mechanical Up-C feature. Sustainable through FY28E.</t>
        </is>
      </c>
    </row>
    <row r="25" ht="32" customHeight="1">
      <c r="B25" s="21" t="inlineStr">
        <is>
          <t>3. TRA confirmed dormant</t>
        </is>
      </c>
      <c r="C25" s="5" t="inlineStr">
        <is>
          <t>No TRA disclosure in 10-K Note 15. No payments, no liability, no triggers since Sept 2023 closing.</t>
        </is>
      </c>
    </row>
    <row r="26" ht="32" customHeight="1">
      <c r="B26" s="21" t="inlineStr">
        <is>
          <t>4. Tax distributions pro-rata</t>
        </is>
      </c>
      <c r="C26" s="5" t="inlineStr">
        <is>
          <t>Per LLC Agreement Sec 5.03(e)(i). PubCo receives its share alongside Endeavor's — only Endeavor's share leaves consolidated.</t>
        </is>
      </c>
    </row>
    <row r="27" ht="32" customHeight="1">
      <c r="B27" s="21" t="inlineStr">
        <is>
          <t>5. Quarterly dividend is Excluded Distribution</t>
        </is>
      </c>
      <c r="C27" s="5" t="inlineStr">
        <is>
          <t>Per LLC Agreement Sec 1.01. Does NOT reduce Endeavor's tax distribution entitlement — Endeavor gets both.</t>
        </is>
      </c>
    </row>
  </sheetData>
  <mergeCells count="13">
    <mergeCell ref="C20:G20"/>
    <mergeCell ref="B22:G22"/>
    <mergeCell ref="B14:G14"/>
    <mergeCell ref="C24:G24"/>
    <mergeCell ref="B17:G17"/>
    <mergeCell ref="C25:G25"/>
    <mergeCell ref="C27:G27"/>
    <mergeCell ref="C19:G19"/>
    <mergeCell ref="C23:G23"/>
    <mergeCell ref="C18:G18"/>
    <mergeCell ref="B15:G15"/>
    <mergeCell ref="B7:G7"/>
    <mergeCell ref="C26:G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26"/>
  <sheetViews>
    <sheetView workbookViewId="0">
      <selection activeCell="A1" sqref="A1"/>
    </sheetView>
  </sheetViews>
  <sheetFormatPr baseColWidth="8" defaultRowHeight="15"/>
  <cols>
    <col width="2" customWidth="1" min="1" max="1"/>
    <col width="35" customWidth="1" min="2" max="2"/>
    <col width="13" customWidth="1" min="3" max="3"/>
    <col width="13" customWidth="1" min="4" max="4"/>
    <col width="13" customWidth="1" min="5" max="5"/>
    <col width="13" customWidth="1" min="6" max="6"/>
    <col width="13" customWidth="1" min="7" max="7"/>
    <col width="13" customWidth="1" min="8" max="8"/>
  </cols>
  <sheetData>
    <row r="2">
      <c r="B2" s="1" t="inlineStr">
        <is>
          <t>SENSITIVITY — Up-C as % of C-Corp comparable</t>
        </is>
      </c>
    </row>
    <row r="3">
      <c r="B3" s="2" t="inlineStr">
        <is>
          <t>Two-variable stress test: PubCo effective tax rate × Tax distribution rate (FY26E)</t>
        </is>
      </c>
    </row>
    <row r="5">
      <c r="B5" s="16" t="inlineStr">
        <is>
          <t>All values show: (TRUE PubCo FCF/Class A) / (C-Corp FCF/diluted) for FY26E</t>
        </is>
      </c>
    </row>
    <row r="7" ht="22" customHeight="1">
      <c r="B7" s="4" t="inlineStr">
        <is>
          <t>FY26E SENSITIVITY: % of C-Corp comparable</t>
        </is>
      </c>
    </row>
    <row r="8">
      <c r="D8" s="30" t="inlineStr">
        <is>
          <t>Tax Distribution Rate →</t>
        </is>
      </c>
    </row>
    <row r="9">
      <c r="B9" s="9" t="inlineStr">
        <is>
          <t>PubCo eff. tax rate ↓</t>
        </is>
      </c>
      <c r="C9" s="31" t="n">
        <v>0.45</v>
      </c>
      <c r="D9" s="31" t="n">
        <v>0.5</v>
      </c>
      <c r="E9" s="31" t="n">
        <v>0.526</v>
      </c>
      <c r="F9" s="31" t="n">
        <v>0.55</v>
      </c>
      <c r="G9" s="31" t="n">
        <v>0.6</v>
      </c>
    </row>
    <row r="10">
      <c r="B10" s="31" t="n">
        <v>0.08</v>
      </c>
      <c r="C10" s="32">
        <f>IFERROR((((Inputs!$C$6 * ('[BERN_TKO.xlsx]CFS'!BL56 + '[BERN_TKO.xlsx]IS'!BL17)) - (0.08 * Inputs!$C$6 * '[BERN_TKO.xlsx]IS'!BL15)) / '[BERN_TKO.xlsx]IS'!BL28)/(('[BERN_TKO.xlsx]IS'!BL15*(1-Inputs!$C$9) + ('[BERN_TKO.xlsx]CFS'!BL56 + '[BERN_TKO.xlsx]IS'!BL17 - '[BERN_TKO.xlsx]IS'!BL15)) / '[BERN_TKO.xlsx]IS'!BL29),0)</f>
        <v/>
      </c>
      <c r="D10" s="32">
        <f>IFERROR((((Inputs!$C$6 * ('[BERN_TKO.xlsx]CFS'!BL56 + '[BERN_TKO.xlsx]IS'!BL17)) - (0.08 * Inputs!$C$6 * '[BERN_TKO.xlsx]IS'!BL15)) / '[BERN_TKO.xlsx]IS'!BL28)/(('[BERN_TKO.xlsx]IS'!BL15*(1-Inputs!$C$9) + ('[BERN_TKO.xlsx]CFS'!BL56 + '[BERN_TKO.xlsx]IS'!BL17 - '[BERN_TKO.xlsx]IS'!BL15)) / '[BERN_TKO.xlsx]IS'!BL29),0)</f>
        <v/>
      </c>
      <c r="E10" s="32">
        <f>IFERROR((((Inputs!$C$6 * ('[BERN_TKO.xlsx]CFS'!BL56 + '[BERN_TKO.xlsx]IS'!BL17)) - (0.08 * Inputs!$C$6 * '[BERN_TKO.xlsx]IS'!BL15)) / '[BERN_TKO.xlsx]IS'!BL28)/(('[BERN_TKO.xlsx]IS'!BL15*(1-Inputs!$C$9) + ('[BERN_TKO.xlsx]CFS'!BL56 + '[BERN_TKO.xlsx]IS'!BL17 - '[BERN_TKO.xlsx]IS'!BL15)) / '[BERN_TKO.xlsx]IS'!BL29),0)</f>
        <v/>
      </c>
      <c r="F10" s="32">
        <f>IFERROR((((Inputs!$C$6 * ('[BERN_TKO.xlsx]CFS'!BL56 + '[BERN_TKO.xlsx]IS'!BL17)) - (0.08 * Inputs!$C$6 * '[BERN_TKO.xlsx]IS'!BL15)) / '[BERN_TKO.xlsx]IS'!BL28)/(('[BERN_TKO.xlsx]IS'!BL15*(1-Inputs!$C$9) + ('[BERN_TKO.xlsx]CFS'!BL56 + '[BERN_TKO.xlsx]IS'!BL17 - '[BERN_TKO.xlsx]IS'!BL15)) / '[BERN_TKO.xlsx]IS'!BL29),0)</f>
        <v/>
      </c>
      <c r="G10" s="32">
        <f>IFERROR((((Inputs!$C$6 * ('[BERN_TKO.xlsx]CFS'!BL56 + '[BERN_TKO.xlsx]IS'!BL17)) - (0.08 * Inputs!$C$6 * '[BERN_TKO.xlsx]IS'!BL15)) / '[BERN_TKO.xlsx]IS'!BL28)/(('[BERN_TKO.xlsx]IS'!BL15*(1-Inputs!$C$9) + ('[BERN_TKO.xlsx]CFS'!BL56 + '[BERN_TKO.xlsx]IS'!BL17 - '[BERN_TKO.xlsx]IS'!BL15)) / '[BERN_TKO.xlsx]IS'!BL29),0)</f>
        <v/>
      </c>
    </row>
    <row r="11">
      <c r="B11" s="31" t="n">
        <v>0.12</v>
      </c>
      <c r="C11" s="32">
        <f>IFERROR((((Inputs!$C$6 * ('[BERN_TKO.xlsx]CFS'!BL56 + '[BERN_TKO.xlsx]IS'!BL17)) - (0.12 * Inputs!$C$6 * '[BERN_TKO.xlsx]IS'!BL15)) / '[BERN_TKO.xlsx]IS'!BL28)/(('[BERN_TKO.xlsx]IS'!BL15*(1-Inputs!$C$9) + ('[BERN_TKO.xlsx]CFS'!BL56 + '[BERN_TKO.xlsx]IS'!BL17 - '[BERN_TKO.xlsx]IS'!BL15)) / '[BERN_TKO.xlsx]IS'!BL29),0)</f>
        <v/>
      </c>
      <c r="D11" s="32">
        <f>IFERROR((((Inputs!$C$6 * ('[BERN_TKO.xlsx]CFS'!BL56 + '[BERN_TKO.xlsx]IS'!BL17)) - (0.12 * Inputs!$C$6 * '[BERN_TKO.xlsx]IS'!BL15)) / '[BERN_TKO.xlsx]IS'!BL28)/(('[BERN_TKO.xlsx]IS'!BL15*(1-Inputs!$C$9) + ('[BERN_TKO.xlsx]CFS'!BL56 + '[BERN_TKO.xlsx]IS'!BL17 - '[BERN_TKO.xlsx]IS'!BL15)) / '[BERN_TKO.xlsx]IS'!BL29),0)</f>
        <v/>
      </c>
      <c r="E11" s="32">
        <f>IFERROR((((Inputs!$C$6 * ('[BERN_TKO.xlsx]CFS'!BL56 + '[BERN_TKO.xlsx]IS'!BL17)) - (0.12 * Inputs!$C$6 * '[BERN_TKO.xlsx]IS'!BL15)) / '[BERN_TKO.xlsx]IS'!BL28)/(('[BERN_TKO.xlsx]IS'!BL15*(1-Inputs!$C$9) + ('[BERN_TKO.xlsx]CFS'!BL56 + '[BERN_TKO.xlsx]IS'!BL17 - '[BERN_TKO.xlsx]IS'!BL15)) / '[BERN_TKO.xlsx]IS'!BL29),0)</f>
        <v/>
      </c>
      <c r="F11" s="32">
        <f>IFERROR((((Inputs!$C$6 * ('[BERN_TKO.xlsx]CFS'!BL56 + '[BERN_TKO.xlsx]IS'!BL17)) - (0.12 * Inputs!$C$6 * '[BERN_TKO.xlsx]IS'!BL15)) / '[BERN_TKO.xlsx]IS'!BL28)/(('[BERN_TKO.xlsx]IS'!BL15*(1-Inputs!$C$9) + ('[BERN_TKO.xlsx]CFS'!BL56 + '[BERN_TKO.xlsx]IS'!BL17 - '[BERN_TKO.xlsx]IS'!BL15)) / '[BERN_TKO.xlsx]IS'!BL29),0)</f>
        <v/>
      </c>
      <c r="G11" s="32">
        <f>IFERROR((((Inputs!$C$6 * ('[BERN_TKO.xlsx]CFS'!BL56 + '[BERN_TKO.xlsx]IS'!BL17)) - (0.12 * Inputs!$C$6 * '[BERN_TKO.xlsx]IS'!BL15)) / '[BERN_TKO.xlsx]IS'!BL28)/(('[BERN_TKO.xlsx]IS'!BL15*(1-Inputs!$C$9) + ('[BERN_TKO.xlsx]CFS'!BL56 + '[BERN_TKO.xlsx]IS'!BL17 - '[BERN_TKO.xlsx]IS'!BL15)) / '[BERN_TKO.xlsx]IS'!BL29),0)</f>
        <v/>
      </c>
    </row>
    <row r="12">
      <c r="B12" s="31" t="n">
        <v>0.15</v>
      </c>
      <c r="C12" s="32">
        <f>IFERROR((((Inputs!$C$6 * ('[BERN_TKO.xlsx]CFS'!BL56 + '[BERN_TKO.xlsx]IS'!BL17)) - (0.15 * Inputs!$C$6 * '[BERN_TKO.xlsx]IS'!BL15)) / '[BERN_TKO.xlsx]IS'!BL28)/(('[BERN_TKO.xlsx]IS'!BL15*(1-Inputs!$C$9) + ('[BERN_TKO.xlsx]CFS'!BL56 + '[BERN_TKO.xlsx]IS'!BL17 - '[BERN_TKO.xlsx]IS'!BL15)) / '[BERN_TKO.xlsx]IS'!BL29),0)</f>
        <v/>
      </c>
      <c r="D12" s="32">
        <f>IFERROR((((Inputs!$C$6 * ('[BERN_TKO.xlsx]CFS'!BL56 + '[BERN_TKO.xlsx]IS'!BL17)) - (0.15 * Inputs!$C$6 * '[BERN_TKO.xlsx]IS'!BL15)) / '[BERN_TKO.xlsx]IS'!BL28)/(('[BERN_TKO.xlsx]IS'!BL15*(1-Inputs!$C$9) + ('[BERN_TKO.xlsx]CFS'!BL56 + '[BERN_TKO.xlsx]IS'!BL17 - '[BERN_TKO.xlsx]IS'!BL15)) / '[BERN_TKO.xlsx]IS'!BL29),0)</f>
        <v/>
      </c>
      <c r="E12" s="32">
        <f>IFERROR((((Inputs!$C$6 * ('[BERN_TKO.xlsx]CFS'!BL56 + '[BERN_TKO.xlsx]IS'!BL17)) - (0.15 * Inputs!$C$6 * '[BERN_TKO.xlsx]IS'!BL15)) / '[BERN_TKO.xlsx]IS'!BL28)/(('[BERN_TKO.xlsx]IS'!BL15*(1-Inputs!$C$9) + ('[BERN_TKO.xlsx]CFS'!BL56 + '[BERN_TKO.xlsx]IS'!BL17 - '[BERN_TKO.xlsx]IS'!BL15)) / '[BERN_TKO.xlsx]IS'!BL29),0)</f>
        <v/>
      </c>
      <c r="F12" s="32">
        <f>IFERROR((((Inputs!$C$6 * ('[BERN_TKO.xlsx]CFS'!BL56 + '[BERN_TKO.xlsx]IS'!BL17)) - (0.15 * Inputs!$C$6 * '[BERN_TKO.xlsx]IS'!BL15)) / '[BERN_TKO.xlsx]IS'!BL28)/(('[BERN_TKO.xlsx]IS'!BL15*(1-Inputs!$C$9) + ('[BERN_TKO.xlsx]CFS'!BL56 + '[BERN_TKO.xlsx]IS'!BL17 - '[BERN_TKO.xlsx]IS'!BL15)) / '[BERN_TKO.xlsx]IS'!BL29),0)</f>
        <v/>
      </c>
      <c r="G12" s="32">
        <f>IFERROR((((Inputs!$C$6 * ('[BERN_TKO.xlsx]CFS'!BL56 + '[BERN_TKO.xlsx]IS'!BL17)) - (0.15 * Inputs!$C$6 * '[BERN_TKO.xlsx]IS'!BL15)) / '[BERN_TKO.xlsx]IS'!BL28)/(('[BERN_TKO.xlsx]IS'!BL15*(1-Inputs!$C$9) + ('[BERN_TKO.xlsx]CFS'!BL56 + '[BERN_TKO.xlsx]IS'!BL17 - '[BERN_TKO.xlsx]IS'!BL15)) / '[BERN_TKO.xlsx]IS'!BL29),0)</f>
        <v/>
      </c>
    </row>
    <row r="13">
      <c r="B13" s="31" t="n">
        <v>0.2</v>
      </c>
      <c r="C13" s="32">
        <f>IFERROR((((Inputs!$C$6 * ('[BERN_TKO.xlsx]CFS'!BL56 + '[BERN_TKO.xlsx]IS'!BL17)) - (0.2 * Inputs!$C$6 * '[BERN_TKO.xlsx]IS'!BL15)) / '[BERN_TKO.xlsx]IS'!BL28)/(('[BERN_TKO.xlsx]IS'!BL15*(1-Inputs!$C$9) + ('[BERN_TKO.xlsx]CFS'!BL56 + '[BERN_TKO.xlsx]IS'!BL17 - '[BERN_TKO.xlsx]IS'!BL15)) / '[BERN_TKO.xlsx]IS'!BL29),0)</f>
        <v/>
      </c>
      <c r="D13" s="32">
        <f>IFERROR((((Inputs!$C$6 * ('[BERN_TKO.xlsx]CFS'!BL56 + '[BERN_TKO.xlsx]IS'!BL17)) - (0.2 * Inputs!$C$6 * '[BERN_TKO.xlsx]IS'!BL15)) / '[BERN_TKO.xlsx]IS'!BL28)/(('[BERN_TKO.xlsx]IS'!BL15*(1-Inputs!$C$9) + ('[BERN_TKO.xlsx]CFS'!BL56 + '[BERN_TKO.xlsx]IS'!BL17 - '[BERN_TKO.xlsx]IS'!BL15)) / '[BERN_TKO.xlsx]IS'!BL29),0)</f>
        <v/>
      </c>
      <c r="E13" s="32">
        <f>IFERROR((((Inputs!$C$6 * ('[BERN_TKO.xlsx]CFS'!BL56 + '[BERN_TKO.xlsx]IS'!BL17)) - (0.2 * Inputs!$C$6 * '[BERN_TKO.xlsx]IS'!BL15)) / '[BERN_TKO.xlsx]IS'!BL28)/(('[BERN_TKO.xlsx]IS'!BL15*(1-Inputs!$C$9) + ('[BERN_TKO.xlsx]CFS'!BL56 + '[BERN_TKO.xlsx]IS'!BL17 - '[BERN_TKO.xlsx]IS'!BL15)) / '[BERN_TKO.xlsx]IS'!BL29),0)</f>
        <v/>
      </c>
      <c r="F13" s="32">
        <f>IFERROR((((Inputs!$C$6 * ('[BERN_TKO.xlsx]CFS'!BL56 + '[BERN_TKO.xlsx]IS'!BL17)) - (0.2 * Inputs!$C$6 * '[BERN_TKO.xlsx]IS'!BL15)) / '[BERN_TKO.xlsx]IS'!BL28)/(('[BERN_TKO.xlsx]IS'!BL15*(1-Inputs!$C$9) + ('[BERN_TKO.xlsx]CFS'!BL56 + '[BERN_TKO.xlsx]IS'!BL17 - '[BERN_TKO.xlsx]IS'!BL15)) / '[BERN_TKO.xlsx]IS'!BL29),0)</f>
        <v/>
      </c>
      <c r="G13" s="32">
        <f>IFERROR((((Inputs!$C$6 * ('[BERN_TKO.xlsx]CFS'!BL56 + '[BERN_TKO.xlsx]IS'!BL17)) - (0.2 * Inputs!$C$6 * '[BERN_TKO.xlsx]IS'!BL15)) / '[BERN_TKO.xlsx]IS'!BL28)/(('[BERN_TKO.xlsx]IS'!BL15*(1-Inputs!$C$9) + ('[BERN_TKO.xlsx]CFS'!BL56 + '[BERN_TKO.xlsx]IS'!BL17 - '[BERN_TKO.xlsx]IS'!BL15)) / '[BERN_TKO.xlsx]IS'!BL29),0)</f>
        <v/>
      </c>
    </row>
    <row r="14">
      <c r="B14" s="31" t="n">
        <v>0.25</v>
      </c>
      <c r="C14" s="32">
        <f>IFERROR((((Inputs!$C$6 * ('[BERN_TKO.xlsx]CFS'!BL56 + '[BERN_TKO.xlsx]IS'!BL17)) - (0.25 * Inputs!$C$6 * '[BERN_TKO.xlsx]IS'!BL15)) / '[BERN_TKO.xlsx]IS'!BL28)/(('[BERN_TKO.xlsx]IS'!BL15*(1-Inputs!$C$9) + ('[BERN_TKO.xlsx]CFS'!BL56 + '[BERN_TKO.xlsx]IS'!BL17 - '[BERN_TKO.xlsx]IS'!BL15)) / '[BERN_TKO.xlsx]IS'!BL29),0)</f>
        <v/>
      </c>
      <c r="D14" s="32">
        <f>IFERROR((((Inputs!$C$6 * ('[BERN_TKO.xlsx]CFS'!BL56 + '[BERN_TKO.xlsx]IS'!BL17)) - (0.25 * Inputs!$C$6 * '[BERN_TKO.xlsx]IS'!BL15)) / '[BERN_TKO.xlsx]IS'!BL28)/(('[BERN_TKO.xlsx]IS'!BL15*(1-Inputs!$C$9) + ('[BERN_TKO.xlsx]CFS'!BL56 + '[BERN_TKO.xlsx]IS'!BL17 - '[BERN_TKO.xlsx]IS'!BL15)) / '[BERN_TKO.xlsx]IS'!BL29),0)</f>
        <v/>
      </c>
      <c r="E14" s="32">
        <f>IFERROR((((Inputs!$C$6 * ('[BERN_TKO.xlsx]CFS'!BL56 + '[BERN_TKO.xlsx]IS'!BL17)) - (0.25 * Inputs!$C$6 * '[BERN_TKO.xlsx]IS'!BL15)) / '[BERN_TKO.xlsx]IS'!BL28)/(('[BERN_TKO.xlsx]IS'!BL15*(1-Inputs!$C$9) + ('[BERN_TKO.xlsx]CFS'!BL56 + '[BERN_TKO.xlsx]IS'!BL17 - '[BERN_TKO.xlsx]IS'!BL15)) / '[BERN_TKO.xlsx]IS'!BL29),0)</f>
        <v/>
      </c>
      <c r="F14" s="32">
        <f>IFERROR((((Inputs!$C$6 * ('[BERN_TKO.xlsx]CFS'!BL56 + '[BERN_TKO.xlsx]IS'!BL17)) - (0.25 * Inputs!$C$6 * '[BERN_TKO.xlsx]IS'!BL15)) / '[BERN_TKO.xlsx]IS'!BL28)/(('[BERN_TKO.xlsx]IS'!BL15*(1-Inputs!$C$9) + ('[BERN_TKO.xlsx]CFS'!BL56 + '[BERN_TKO.xlsx]IS'!BL17 - '[BERN_TKO.xlsx]IS'!BL15)) / '[BERN_TKO.xlsx]IS'!BL29),0)</f>
        <v/>
      </c>
      <c r="G14" s="32">
        <f>IFERROR((((Inputs!$C$6 * ('[BERN_TKO.xlsx]CFS'!BL56 + '[BERN_TKO.xlsx]IS'!BL17)) - (0.25 * Inputs!$C$6 * '[BERN_TKO.xlsx]IS'!BL15)) / '[BERN_TKO.xlsx]IS'!BL28)/(('[BERN_TKO.xlsx]IS'!BL15*(1-Inputs!$C$9) + ('[BERN_TKO.xlsx]CFS'!BL56 + '[BERN_TKO.xlsx]IS'!BL17 - '[BERN_TKO.xlsx]IS'!BL15)) / '[BERN_TKO.xlsx]IS'!BL29),0)</f>
        <v/>
      </c>
    </row>
    <row r="17" ht="22" customHeight="1">
      <c r="B17" s="4" t="inlineStr">
        <is>
          <t>INTERPRETATION</t>
        </is>
      </c>
    </row>
    <row r="18">
      <c r="B18" s="21" t="inlineStr">
        <is>
          <t>Key insight: distribution rate has NO effect on TRUE PubCo / C-Corp ratio.</t>
        </is>
      </c>
    </row>
    <row r="19" ht="50" customHeight="1">
      <c r="B19" s="5" t="inlineStr">
        <is>
          <t>This is because: (1) PubCo receives its pro-rata share alongside Endeavor's, and (2) the Endeavor distribution is Endeavor's economic share regardless. The ratio is invariant to the distribution rate within the LLC Agreement framework. What matters is the gap between PubCo's effective tax rate (12.2% structural) and the C-Corp rate (25%).</t>
        </is>
      </c>
    </row>
    <row r="21">
      <c r="B21" s="21" t="inlineStr">
        <is>
          <t>Breakpoint analysis:</t>
        </is>
      </c>
    </row>
    <row r="22">
      <c r="B22" s="3" t="inlineStr">
        <is>
          <t>• At 8% PubCo rate: ~131% of C-Corp (very bull)</t>
        </is>
      </c>
    </row>
    <row r="23">
      <c r="B23" s="3" t="inlineStr">
        <is>
          <t>• At 12% PubCo rate (current actual): ~121% of C-Corp (base case)</t>
        </is>
      </c>
    </row>
    <row r="24">
      <c r="B24" s="3" t="inlineStr">
        <is>
          <t>• At 15% PubCo rate: ~115% of C-Corp</t>
        </is>
      </c>
    </row>
    <row r="25">
      <c r="B25" s="3" t="inlineStr">
        <is>
          <t>• At 20% PubCo rate: ~106% of C-Corp</t>
        </is>
      </c>
    </row>
    <row r="26">
      <c r="B26" s="3" t="inlineStr">
        <is>
          <t>• At 25% PubCo rate: ~98% of C-Corp (breakeven — Up-C provides no advantage)</t>
        </is>
      </c>
    </row>
  </sheetData>
  <mergeCells count="8">
    <mergeCell ref="B22:H22"/>
    <mergeCell ref="B17:H17"/>
    <mergeCell ref="B26:H26"/>
    <mergeCell ref="B24:H24"/>
    <mergeCell ref="B7:H7"/>
    <mergeCell ref="B25:H25"/>
    <mergeCell ref="B19:H19"/>
    <mergeCell ref="B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2026-05-11T22:23:21Z</dcterms:created>
  <dcterms:modified xmlns:dcterms="http://purl.org/dc/terms/" xmlns:xsi="http://www.w3.org/2001/XMLSchema-instance" xsi:type="dcterms:W3CDTF">2026-05-11T22:23:21Z</dcterms:modified>
</cp:coreProperties>
</file>