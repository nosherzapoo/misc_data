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 Predictions Build" sheetId="1" state="visible" r:id="rId3"/>
    <sheet name="Bridge Waterfall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<sst xmlns="http://schemas.openxmlformats.org/spreadsheetml/2006/main" count="93" uniqueCount="77">
  <si>
    <t xml:space="preserve">DraftKings Predictions — Year-End 2026 Customer Build (extends 1Q26 note, Exhibits 4-7)</t>
  </si>
  <si>
    <t xml:space="preserve">Method: take the published World Cup window result, then penetrate the same reached-audience pool (Exhibit 4) across H2 at higher conversion (NFL intent + full product + scaled Predictions-only marketing). Blue = input. Targets: WC window 500-750k; additional 1.25-1.5m through YE (DK conversation).</t>
  </si>
  <si>
    <t xml:space="preserve">SHARED ASSUMPTIONS (apply to all scenarios)</t>
  </si>
  <si>
    <t xml:space="preserve">Bear</t>
  </si>
  <si>
    <t xml:space="preserve">Base</t>
  </si>
  <si>
    <t xml:space="preserve">Bull</t>
  </si>
  <si>
    <t xml:space="preserve">Source / note</t>
  </si>
  <si>
    <t xml:space="preserve">Reached adult pool — OSB-legal states (M)</t>
  </si>
  <si>
    <t xml:space="preserve">Exhibit 4 (unique adult viewers, May-Jul window).</t>
  </si>
  <si>
    <t xml:space="preserve">Reached adult pool — Predictions-only states (M)</t>
  </si>
  <si>
    <t xml:space="preserve">Exhibit 4. Total reached = 148.6M.</t>
  </si>
  <si>
    <t xml:space="preserve">Q4 share of H2 adds (%)</t>
  </si>
  <si>
    <t xml:space="preserve">Q4 is the dense window (NFL peak, NBA/NHL, MLB playoffs, CFB).</t>
  </si>
  <si>
    <t xml:space="preserve">Volume per customer / month ($)</t>
  </si>
  <si>
    <t xml:space="preserve">Exhibit 6 ($83.3M April consumer vol / 75k customers).</t>
  </si>
  <si>
    <t xml:space="preserve">Effective active months (H2 cohort, 2026)</t>
  </si>
  <si>
    <t xml:space="preserve">Partial-period contribution for users acquired across Aug-Dec.</t>
  </si>
  <si>
    <t xml:space="preserve">Take rate on volume (%, ILLUSTRATIVE)</t>
  </si>
  <si>
    <t xml:space="preserve">PM monetization rate undisclosed; key uncertainty. Flex this.</t>
  </si>
  <si>
    <t xml:space="preserve">SCENARIO INPUTS</t>
  </si>
  <si>
    <t xml:space="preserve">World Cup window funded accounts (000s)</t>
  </si>
  <si>
    <t xml:space="preserve">Base = published note Exhibit 5/7 (597k). Bear/Bull = DK WC guide bounds 500-750k.</t>
  </si>
  <si>
    <t xml:space="preserve">H2 incremental conversion — OSB cohort (%)</t>
  </si>
  <si>
    <t xml:space="preserve">Reach-to-funded ON TOP of WC window; below Pred-only (cross-sell, some cannibalization).</t>
  </si>
  <si>
    <t xml:space="preserve">H2 incremental conversion — Pred-only cohort (%)</t>
  </si>
  <si>
    <t xml:space="preserve">Higher: net-new, no cannibalization, scaled marketing. Net of engagement headwind (Exh 8-10).</t>
  </si>
  <si>
    <t xml:space="preserve">BUILD</t>
  </si>
  <si>
    <t xml:space="preserve">H2 adds — OSB cohort (000s)</t>
  </si>
  <si>
    <t xml:space="preserve">calc: reached OSB pool x conversion.</t>
  </si>
  <si>
    <t xml:space="preserve">H2 adds — Predictions-only cohort (000s)</t>
  </si>
  <si>
    <t xml:space="preserve">calc: reached Pred-only pool x conversion.</t>
  </si>
  <si>
    <t xml:space="preserve">H2 adds — TOTAL (000s)</t>
  </si>
  <si>
    <t xml:space="preserve">Additional Predictions accounts, Aug-Dec.</t>
  </si>
  <si>
    <t xml:space="preserve">   ...of which Q3 (Jul-Sep, 000s)</t>
  </si>
  <si>
    <t xml:space="preserve">WC tail + NFL/CFB ramp begins.</t>
  </si>
  <si>
    <t xml:space="preserve">   ...of which Q4 (Oct-Dec, 000s)</t>
  </si>
  <si>
    <t xml:space="preserve">Densest window carries the bulk.</t>
  </si>
  <si>
    <t xml:space="preserve">World Cup window accounts (000s)</t>
  </si>
  <si>
    <t xml:space="preserve">From scenario input above.</t>
  </si>
  <si>
    <t xml:space="preserve">YE CUMULATIVE Predictions accounts (000s)</t>
  </si>
  <si>
    <t xml:space="preserve">World Cup window + H2 additions.</t>
  </si>
  <si>
    <t xml:space="preserve">YE cumulative (millions)</t>
  </si>
  <si>
    <t xml:space="preserve">RECONCILIATION &amp; PLAUSIBILITY CHECKS</t>
  </si>
  <si>
    <t xml:space="preserve">H2 adds vs DK-guided 1.25-1.5m</t>
  </si>
  <si>
    <t xml:space="preserve">Base should land inside DK's range.</t>
  </si>
  <si>
    <t xml:space="preserve">Penetration of 148.6m reached pool (%)</t>
  </si>
  <si>
    <t xml:space="preserve">Cumulative funded / unique adults reached.</t>
  </si>
  <si>
    <t xml:space="preserve">YE accounts as % of 1Q26 MUP (4.2m)</t>
  </si>
  <si>
    <t xml:space="preserve">Sense-check vs current base; Pred-only adds are net-new MUP.</t>
  </si>
  <si>
    <t xml:space="preserve">ILLUSTRATIVE VOLUME &amp; REVENUE (take rate undisclosed — flag)</t>
  </si>
  <si>
    <t xml:space="preserve">H2 incremental consumer volume ($M)</t>
  </si>
  <si>
    <t xml:space="preserve">calc: H2 adds x vol/cust x active months. Consumer basis (Exh 7).</t>
  </si>
  <si>
    <t xml:space="preserve">H2 Predictions revenue ($M, illustrative)</t>
  </si>
  <si>
    <t xml:space="preserve">calc: volume x take rate. ILLUSTRATIVE — not in FY26 guidance; FY27 upside.</t>
  </si>
  <si>
    <t xml:space="preserve">Exhibit: DraftKings Predictions — Cumulative customer bridge to YE 2026 (base case, 000s)</t>
  </si>
  <si>
    <t xml:space="preserve">Published World Cup window (597k) + H2 additions (Q3 + Q4) = YE cumulative Predictions accounts. Live-linked to the build tab (base case).</t>
  </si>
  <si>
    <t xml:space="preserve">Step</t>
  </si>
  <si>
    <t xml:space="preserve">Floating base (hidden)</t>
  </si>
  <si>
    <t xml:space="preserve">Increment (000s)</t>
  </si>
  <si>
    <t xml:space="preserve">Cumulative (000s)</t>
  </si>
  <si>
    <t xml:space="preserve">World Cup window (published)</t>
  </si>
  <si>
    <t xml:space="preserve">+ H2 Q3 (Jul-Sep)</t>
  </si>
  <si>
    <t xml:space="preserve">+ H2 Q4 (Oct-Dec)</t>
  </si>
  <si>
    <t xml:space="preserve">YE cumulative</t>
  </si>
  <si>
    <t xml:space="preserve">Method, sources &amp; caveats</t>
  </si>
  <si>
    <t xml:space="preserve">Logic</t>
  </si>
  <si>
    <t xml:space="preserve">1. The 1Q26 note models only the World Cup window (May-Jul): Exhibit 4 reach (148.6m unique adults = 81.7m OSB + 66.9m Pred-only) -&gt; Exhibit 5 funnel -&gt; ~597k base funded accounts. We anchor the WC window at the note's published 597k base; Bear/Bull use DK's 500-750k WC range.</t>
  </si>
  <si>
    <t xml:space="preserve">2. To extend to year-end we penetrate the SAME 148.6m reached pool again across H2, rather than scaling impressions (which double-counts: each person is acquired once). H2 conversion is set ABOVE the WC window because NFL is a higher betting-intent audience, the product is fully live (combos, RailBird/exchange, Spanish app), and Predictions-only-state marketing is scaled - partially offset by the sector engagement headwind (Exhibits 8-10).</t>
  </si>
  <si>
    <t xml:space="preserve">3. H2 base converts an additional ~0.6% of the OSB pool and ~1.3% of the Pred-only pool = ~1.36m, landing inside DK's 1.25-1.5m. YE cumulative base = 597k + 1.36m = ~1.96m, or ~1.3% of the reached pool and ~47% of the 4.2m MUP base.</t>
  </si>
  <si>
    <t xml:space="preserve">Sources</t>
  </si>
  <si>
    <t xml:space="preserve">Reached pool, funnel, vol/customer: Bernstein DKNG 1Q26 note (10 May 2026), Exhibits 4-7. MUP base 4.2m, Exhibit 26. WC window 500-750k and H2 +1.25-1.5m: DK conversation (per desk).</t>
  </si>
  <si>
    <t xml:space="preserve">Caveats</t>
  </si>
  <si>
    <t xml:space="preserve">Take rate on PM volume is undisclosed - the single biggest swing on revenue; the 4% default is illustrative only. Flex it.</t>
  </si>
  <si>
    <t xml:space="preserve">Retention of event-acquired cohorts is the key risk (note's own bull-case caveat); 'effective active months' is the lever for it here.</t>
  </si>
  <si>
    <t xml:space="preserve">OSB-cohort adds are partly cross-sell of existing MUP (not all net-new); Pred-only adds are net-new MUP. Weight MUP accretion to Pred-only.</t>
  </si>
  <si>
    <t xml:space="preserve">Engagement headwind (Exhibits 8-10: DK MAU -5.6% Apr) argues for caution; the offset is that Predictions pulls net-new from Pred-only states least reflected in those OSB MAU lines.</t>
  </si>
  <si>
    <t xml:space="preserve">Regulatory: the Pred-only ramp depends on continued CFTC standing of PM sports contracts (state challenges ongoing).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</si>
</sst>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\$#,##0"/>
    <numFmt numFmtId="168" formatCode="#,##0;\(#,##0\);\-"/>
    <numFmt numFmtId="169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375623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2E9E8F"/>
      <rgbColor rgb="FF003300"/>
      <rgbColor rgb="FF375623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Path to YE 2026 Predictions accounts (000s)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'Bridge Waterfall'!B3</c:f>
              <c:strCache>
                <c:ptCount val="1"/>
                <c:pt idx="0">
                  <c:v>Floating 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Waterfall'!$A$4:$A$7</c:f>
              <c:strCache>
                <c:ptCount val="4"/>
                <c:pt idx="0">
                  <c:v>World Cup window (published)</c:v>
                </c:pt>
                <c:pt idx="1">
                  <c:v>+ H2 Q3 (Jul-Sep)</c:v>
                </c:pt>
                <c:pt idx="2">
                  <c:v>+ H2 Q4 (Oct-Dec)</c:v>
                </c:pt>
                <c:pt idx="3">
                  <c:v>YE cumulative</c:v>
                </c:pt>
              </c:strCache>
            </c:strRef>
          </c:cat>
          <c:val>
            <c:numRef>
              <c:f>'Bridge Waterfall'!$B$4:$B$7</c:f>
              <c:numCache>
                <c:formatCode>#,##0;\(#,##0\);\-</c:formatCode>
                <c:ptCount val="4"/>
                <c:pt idx="0">
                  <c:v>0</c:v>
                </c:pt>
                <c:pt idx="1">
                  <c:v>597</c:v>
                </c:pt>
                <c:pt idx="2">
                  <c:v>1004.97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'Bridge Waterfall'!C3</c:f>
              <c:strCache>
                <c:ptCount val="1"/>
                <c:pt idx="0">
                  <c:v>Increment (000s)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9e8f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9e8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#,##0;\(#,##0\);\-" sourceLinked="1"/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Waterfall'!$A$4:$A$7</c:f>
              <c:strCache>
                <c:ptCount val="4"/>
                <c:pt idx="0">
                  <c:v>World Cup window (published)</c:v>
                </c:pt>
                <c:pt idx="1">
                  <c:v>+ H2 Q3 (Jul-Sep)</c:v>
                </c:pt>
                <c:pt idx="2">
                  <c:v>+ H2 Q4 (Oct-Dec)</c:v>
                </c:pt>
                <c:pt idx="3">
                  <c:v>YE cumulative</c:v>
                </c:pt>
              </c:strCache>
            </c:strRef>
          </c:cat>
          <c:val>
            <c:numRef>
              <c:f>'Bridge Waterfall'!$C$4:$C$7</c:f>
              <c:numCache>
                <c:formatCode>#,##0;\(#,##0\);\-</c:formatCode>
                <c:ptCount val="4"/>
                <c:pt idx="0">
                  <c:v>597</c:v>
                </c:pt>
                <c:pt idx="1">
                  <c:v>407.97</c:v>
                </c:pt>
                <c:pt idx="2">
                  <c:v>951.93</c:v>
                </c:pt>
                <c:pt idx="3">
                  <c:v>1956.9</c:v>
                </c:pt>
              </c:numCache>
            </c:numRef>
          </c:val>
        </c:ser>
        <c:gapWidth val="40"/>
        <c:overlap val="100"/>
        <c:axId val="31803741"/>
        <c:axId val="60706488"/>
      </c:barChart>
      <c:catAx>
        <c:axId val="31803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6488"/>
        <c:crosses val="autoZero"/>
        <c:auto val="1"/>
        <c:lblAlgn val="ctr"/>
        <c:lblOffset val="100"/>
        <c:noMultiLvlLbl val="0"/>
      </c:catAx>
      <c:valAx>
        <c:axId val="60706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 (000s)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03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196560</xdr:colOff>
      <xdr:row>26</xdr:row>
      <xdr:rowOff>180720</xdr:rowOff>
    </xdr:to>
    <xdr:graphicFrame>
      <xdr:nvGraphicFramePr>
        <xdr:cNvPr id="0" name="Chart 1"/>
        <xdr:cNvGraphicFramePr/>
      </xdr:nvGraphicFramePr>
      <xdr:xfrm>
        <a:off x="0" y="1866960"/>
        <a:ext cx="7199280" cy="34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1"/>
    <col collapsed="false" customWidth="true" hidden="false" outlineLevel="0" max="5" min="5" style="1" width="4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/>
      <c r="B5" s="6" t="s">
        <v>3</v>
      </c>
      <c r="C5" s="7" t="s">
        <v>4</v>
      </c>
      <c r="D5" s="6" t="s">
        <v>5</v>
      </c>
      <c r="E5" s="6" t="s">
        <v>6</v>
      </c>
    </row>
    <row r="6" customFormat="false" ht="15" hidden="false" customHeight="true" outlineLevel="0" collapsed="false">
      <c r="A6" s="8" t="s">
        <v>7</v>
      </c>
      <c r="B6" s="9" t="n">
        <v>81.7</v>
      </c>
      <c r="C6" s="9"/>
      <c r="D6" s="9"/>
      <c r="E6" s="10" t="s">
        <v>8</v>
      </c>
    </row>
    <row r="7" customFormat="false" ht="15" hidden="false" customHeight="true" outlineLevel="0" collapsed="false">
      <c r="A7" s="8" t="s">
        <v>9</v>
      </c>
      <c r="B7" s="9" t="n">
        <v>66.9</v>
      </c>
      <c r="C7" s="9"/>
      <c r="D7" s="9"/>
      <c r="E7" s="10" t="s">
        <v>10</v>
      </c>
    </row>
    <row r="8" customFormat="false" ht="18.75" hidden="false" customHeight="true" outlineLevel="0" collapsed="false">
      <c r="A8" s="8" t="s">
        <v>11</v>
      </c>
      <c r="B8" s="11" t="n">
        <v>0.7</v>
      </c>
      <c r="C8" s="11"/>
      <c r="D8" s="11"/>
      <c r="E8" s="10" t="s">
        <v>12</v>
      </c>
    </row>
    <row r="9" customFormat="false" ht="15" hidden="false" customHeight="true" outlineLevel="0" collapsed="false">
      <c r="A9" s="8" t="s">
        <v>13</v>
      </c>
      <c r="B9" s="12" t="n">
        <v>1111</v>
      </c>
      <c r="C9" s="12"/>
      <c r="D9" s="12"/>
      <c r="E9" s="10" t="s">
        <v>14</v>
      </c>
    </row>
    <row r="10" customFormat="false" ht="15" hidden="false" customHeight="true" outlineLevel="0" collapsed="false">
      <c r="A10" s="8" t="s">
        <v>15</v>
      </c>
      <c r="B10" s="9" t="n">
        <v>2</v>
      </c>
      <c r="C10" s="9"/>
      <c r="D10" s="9"/>
      <c r="E10" s="10" t="s">
        <v>16</v>
      </c>
    </row>
    <row r="11" customFormat="false" ht="15" hidden="false" customHeight="true" outlineLevel="0" collapsed="false">
      <c r="A11" s="8" t="s">
        <v>17</v>
      </c>
      <c r="B11" s="11" t="n">
        <v>0.04</v>
      </c>
      <c r="C11" s="11"/>
      <c r="D11" s="11"/>
      <c r="E11" s="10" t="s">
        <v>18</v>
      </c>
    </row>
    <row r="13" customFormat="false" ht="15" hidden="false" customHeight="true" outlineLevel="0" collapsed="false">
      <c r="A13" s="4" t="s">
        <v>19</v>
      </c>
      <c r="B13" s="4"/>
      <c r="C13" s="4"/>
      <c r="D13" s="4"/>
      <c r="E13" s="4"/>
    </row>
    <row r="14" customFormat="false" ht="15" hidden="false" customHeight="true" outlineLevel="0" collapsed="false">
      <c r="A14" s="5"/>
      <c r="B14" s="6" t="s">
        <v>3</v>
      </c>
      <c r="C14" s="7" t="s">
        <v>4</v>
      </c>
      <c r="D14" s="6" t="s">
        <v>5</v>
      </c>
      <c r="E14" s="6" t="s">
        <v>6</v>
      </c>
    </row>
    <row r="15" customFormat="false" ht="18.75" hidden="false" customHeight="true" outlineLevel="0" collapsed="false">
      <c r="A15" s="8" t="s">
        <v>20</v>
      </c>
      <c r="B15" s="13" t="n">
        <v>500</v>
      </c>
      <c r="C15" s="13" t="n">
        <v>597</v>
      </c>
      <c r="D15" s="13" t="n">
        <v>750</v>
      </c>
      <c r="E15" s="10" t="s">
        <v>21</v>
      </c>
    </row>
    <row r="16" customFormat="false" ht="18.75" hidden="false" customHeight="true" outlineLevel="0" collapsed="false">
      <c r="A16" s="8" t="s">
        <v>22</v>
      </c>
      <c r="B16" s="14" t="n">
        <v>0.004</v>
      </c>
      <c r="C16" s="14" t="n">
        <v>0.006</v>
      </c>
      <c r="D16" s="14" t="n">
        <v>0.008</v>
      </c>
      <c r="E16" s="10" t="s">
        <v>23</v>
      </c>
    </row>
    <row r="17" customFormat="false" ht="18.75" hidden="false" customHeight="true" outlineLevel="0" collapsed="false">
      <c r="A17" s="8" t="s">
        <v>24</v>
      </c>
      <c r="B17" s="14" t="n">
        <v>0.011</v>
      </c>
      <c r="C17" s="14" t="n">
        <v>0.013</v>
      </c>
      <c r="D17" s="14" t="n">
        <v>0.0155</v>
      </c>
      <c r="E17" s="10" t="s">
        <v>25</v>
      </c>
    </row>
    <row r="19" customFormat="false" ht="15" hidden="false" customHeight="true" outlineLevel="0" collapsed="false">
      <c r="A19" s="4" t="s">
        <v>26</v>
      </c>
      <c r="B19" s="4"/>
      <c r="C19" s="4"/>
      <c r="D19" s="4"/>
      <c r="E19" s="4"/>
    </row>
    <row r="20" customFormat="false" ht="15" hidden="false" customHeight="true" outlineLevel="0" collapsed="false">
      <c r="A20" s="5"/>
      <c r="B20" s="6" t="s">
        <v>3</v>
      </c>
      <c r="C20" s="7" t="s">
        <v>4</v>
      </c>
      <c r="D20" s="6" t="s">
        <v>5</v>
      </c>
      <c r="E20" s="6" t="s">
        <v>6</v>
      </c>
    </row>
    <row r="21" customFormat="false" ht="15" hidden="false" customHeight="true" outlineLevel="0" collapsed="false">
      <c r="A21" s="8" t="s">
        <v>27</v>
      </c>
      <c r="B21" s="15" t="n">
        <f aca="false">$B$6*B16*1000</f>
        <v>326.8</v>
      </c>
      <c r="C21" s="16" t="n">
        <f aca="false">$B$6*C16*1000</f>
        <v>490.2</v>
      </c>
      <c r="D21" s="15" t="n">
        <f aca="false">$B$6*D16*1000</f>
        <v>653.6</v>
      </c>
      <c r="E21" s="10" t="s">
        <v>28</v>
      </c>
    </row>
    <row r="22" customFormat="false" ht="15" hidden="false" customHeight="true" outlineLevel="0" collapsed="false">
      <c r="A22" s="8" t="s">
        <v>29</v>
      </c>
      <c r="B22" s="15" t="n">
        <f aca="false">$B$7*B17*1000</f>
        <v>735.9</v>
      </c>
      <c r="C22" s="16" t="n">
        <f aca="false">$B$7*C17*1000</f>
        <v>869.7</v>
      </c>
      <c r="D22" s="15" t="n">
        <f aca="false">$B$7*D17*1000</f>
        <v>1036.95</v>
      </c>
      <c r="E22" s="10" t="s">
        <v>30</v>
      </c>
    </row>
    <row r="23" customFormat="false" ht="15" hidden="false" customHeight="true" outlineLevel="0" collapsed="false">
      <c r="A23" s="17" t="s">
        <v>31</v>
      </c>
      <c r="B23" s="18" t="n">
        <f aca="false">B21+B22</f>
        <v>1062.7</v>
      </c>
      <c r="C23" s="18" t="n">
        <f aca="false">C21+C22</f>
        <v>1359.9</v>
      </c>
      <c r="D23" s="18" t="n">
        <f aca="false">D21+D22</f>
        <v>1690.55</v>
      </c>
      <c r="E23" s="10" t="s">
        <v>32</v>
      </c>
    </row>
    <row r="24" customFormat="false" ht="15" hidden="false" customHeight="true" outlineLevel="0" collapsed="false">
      <c r="A24" s="8" t="s">
        <v>33</v>
      </c>
      <c r="B24" s="15" t="n">
        <f aca="false">B23*(1-$B$8)</f>
        <v>318.81</v>
      </c>
      <c r="C24" s="16" t="n">
        <f aca="false">C23*(1-$B$8)</f>
        <v>407.97</v>
      </c>
      <c r="D24" s="15" t="n">
        <f aca="false">D23*(1-$B$8)</f>
        <v>507.165</v>
      </c>
      <c r="E24" s="10" t="s">
        <v>34</v>
      </c>
    </row>
    <row r="25" customFormat="false" ht="15" hidden="false" customHeight="true" outlineLevel="0" collapsed="false">
      <c r="A25" s="8" t="s">
        <v>35</v>
      </c>
      <c r="B25" s="15" t="n">
        <f aca="false">B23*$B$8</f>
        <v>743.89</v>
      </c>
      <c r="C25" s="16" t="n">
        <f aca="false">C23*$B$8</f>
        <v>951.93</v>
      </c>
      <c r="D25" s="15" t="n">
        <f aca="false">D23*$B$8</f>
        <v>1183.385</v>
      </c>
      <c r="E25" s="10" t="s">
        <v>36</v>
      </c>
    </row>
    <row r="26" customFormat="false" ht="15" hidden="false" customHeight="true" outlineLevel="0" collapsed="false">
      <c r="A26" s="8" t="s">
        <v>37</v>
      </c>
      <c r="B26" s="15" t="n">
        <f aca="false">B15</f>
        <v>500</v>
      </c>
      <c r="C26" s="16" t="n">
        <f aca="false">C15</f>
        <v>597</v>
      </c>
      <c r="D26" s="15" t="n">
        <f aca="false">D15</f>
        <v>750</v>
      </c>
      <c r="E26" s="10" t="s">
        <v>38</v>
      </c>
    </row>
    <row r="27" customFormat="false" ht="15" hidden="false" customHeight="true" outlineLevel="0" collapsed="false">
      <c r="A27" s="17" t="s">
        <v>39</v>
      </c>
      <c r="B27" s="18" t="n">
        <f aca="false">B26+B23</f>
        <v>1562.7</v>
      </c>
      <c r="C27" s="18" t="n">
        <f aca="false">C26+C23</f>
        <v>1956.9</v>
      </c>
      <c r="D27" s="18" t="n">
        <f aca="false">D26+D23</f>
        <v>2440.55</v>
      </c>
      <c r="E27" s="10" t="s">
        <v>40</v>
      </c>
    </row>
    <row r="28" customFormat="false" ht="15" hidden="false" customHeight="true" outlineLevel="0" collapsed="false">
      <c r="A28" s="17" t="s">
        <v>41</v>
      </c>
      <c r="B28" s="19" t="n">
        <f aca="false">B27/1000</f>
        <v>1.5627</v>
      </c>
      <c r="C28" s="19" t="n">
        <f aca="false">C27/1000</f>
        <v>1.9569</v>
      </c>
      <c r="D28" s="19" t="n">
        <f aca="false">D27/1000</f>
        <v>2.44055</v>
      </c>
      <c r="E28" s="10"/>
    </row>
    <row r="30" customFormat="false" ht="15" hidden="false" customHeight="true" outlineLevel="0" collapsed="false">
      <c r="A30" s="4" t="s">
        <v>42</v>
      </c>
      <c r="B30" s="4"/>
      <c r="C30" s="4"/>
      <c r="D30" s="4"/>
      <c r="E30" s="4"/>
    </row>
    <row r="31" customFormat="false" ht="15" hidden="false" customHeight="true" outlineLevel="0" collapsed="false">
      <c r="A31" s="5"/>
      <c r="B31" s="6" t="s">
        <v>3</v>
      </c>
      <c r="C31" s="7" t="s">
        <v>4</v>
      </c>
      <c r="D31" s="6" t="s">
        <v>5</v>
      </c>
      <c r="E31" s="6" t="s">
        <v>6</v>
      </c>
    </row>
    <row r="32" customFormat="false" ht="15" hidden="false" customHeight="true" outlineLevel="0" collapsed="false">
      <c r="A32" s="8" t="s">
        <v>43</v>
      </c>
      <c r="B32" s="20" t="str">
        <f aca="false">IF(AND(B23&gt;=1250,B23&lt;=1500),"in range","below/above")</f>
        <v>below/above</v>
      </c>
      <c r="C32" s="7" t="str">
        <f aca="false">IF(AND(C23&gt;=1250,C23&lt;=1500),"in range","below/above")</f>
        <v>in range</v>
      </c>
      <c r="D32" s="20" t="str">
        <f aca="false">IF(AND(D23&gt;=1250,D23&lt;=1500),"in range","below/above")</f>
        <v>below/above</v>
      </c>
      <c r="E32" s="10" t="s">
        <v>44</v>
      </c>
    </row>
    <row r="33" customFormat="false" ht="15" hidden="false" customHeight="true" outlineLevel="0" collapsed="false">
      <c r="A33" s="8" t="s">
        <v>45</v>
      </c>
      <c r="B33" s="21" t="n">
        <f aca="false">B27/1000/($B$6+$B$7)</f>
        <v>0.0105161507402423</v>
      </c>
      <c r="C33" s="22" t="n">
        <f aca="false">C27/1000/($B$6+$B$7)</f>
        <v>0.0131689098250336</v>
      </c>
      <c r="D33" s="21" t="n">
        <f aca="false">D27/1000/($B$6+$B$7)</f>
        <v>0.0164236204576043</v>
      </c>
      <c r="E33" s="10" t="s">
        <v>46</v>
      </c>
    </row>
    <row r="34" customFormat="false" ht="15" hidden="false" customHeight="true" outlineLevel="0" collapsed="false">
      <c r="A34" s="8" t="s">
        <v>47</v>
      </c>
      <c r="B34" s="21" t="n">
        <f aca="false">B27/1000/4.2</f>
        <v>0.372071428571429</v>
      </c>
      <c r="C34" s="22" t="n">
        <f aca="false">C27/1000/4.2</f>
        <v>0.465928571428571</v>
      </c>
      <c r="D34" s="21" t="n">
        <f aca="false">D27/1000/4.2</f>
        <v>0.581083333333333</v>
      </c>
      <c r="E34" s="10" t="s">
        <v>48</v>
      </c>
    </row>
    <row r="36" customFormat="false" ht="15" hidden="false" customHeight="true" outlineLevel="0" collapsed="false">
      <c r="A36" s="4" t="s">
        <v>49</v>
      </c>
      <c r="B36" s="4"/>
      <c r="C36" s="4"/>
      <c r="D36" s="4"/>
      <c r="E36" s="4"/>
    </row>
    <row r="37" customFormat="false" ht="15" hidden="false" customHeight="true" outlineLevel="0" collapsed="false">
      <c r="A37" s="5"/>
      <c r="B37" s="6" t="s">
        <v>3</v>
      </c>
      <c r="C37" s="7" t="s">
        <v>4</v>
      </c>
      <c r="D37" s="6" t="s">
        <v>5</v>
      </c>
      <c r="E37" s="6" t="s">
        <v>6</v>
      </c>
    </row>
    <row r="38" customFormat="false" ht="15" hidden="false" customHeight="true" outlineLevel="0" collapsed="false">
      <c r="A38" s="8" t="s">
        <v>50</v>
      </c>
      <c r="B38" s="23" t="n">
        <f aca="false">B23*$B$9*$B$10/1000</f>
        <v>2361.3194</v>
      </c>
      <c r="C38" s="24" t="n">
        <f aca="false">C23*$B$9*$B$10/1000</f>
        <v>3021.6978</v>
      </c>
      <c r="D38" s="23" t="n">
        <f aca="false">D23*$B$9*$B$10/1000</f>
        <v>3756.4021</v>
      </c>
      <c r="E38" s="10" t="s">
        <v>51</v>
      </c>
    </row>
    <row r="39" customFormat="false" ht="18.75" hidden="false" customHeight="true" outlineLevel="0" collapsed="false">
      <c r="A39" s="8" t="s">
        <v>52</v>
      </c>
      <c r="B39" s="23" t="n">
        <f aca="false">B38*$B$11</f>
        <v>94.452776</v>
      </c>
      <c r="C39" s="24" t="n">
        <f aca="false">C38*$B$11</f>
        <v>120.867912</v>
      </c>
      <c r="D39" s="23" t="n">
        <f aca="false">D38*$B$11</f>
        <v>150.256084</v>
      </c>
      <c r="E39" s="10" t="s">
        <v>53</v>
      </c>
    </row>
  </sheetData>
  <mergeCells count="13">
    <mergeCell ref="A1:E1"/>
    <mergeCell ref="A2:E2"/>
    <mergeCell ref="A4:E4"/>
    <mergeCell ref="B6:D6"/>
    <mergeCell ref="B7:D7"/>
    <mergeCell ref="B8:D8"/>
    <mergeCell ref="B9:D9"/>
    <mergeCell ref="B10:D10"/>
    <mergeCell ref="B11:D11"/>
    <mergeCell ref="A13:E13"/>
    <mergeCell ref="A19:E19"/>
    <mergeCell ref="A30:E30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4" min="3" style="1" width="16"/>
  </cols>
  <sheetData>
    <row r="1" customFormat="false" ht="24" hidden="false" customHeight="true" outlineLevel="0" collapsed="false">
      <c r="A1" s="25" t="s">
        <v>54</v>
      </c>
      <c r="B1" s="25"/>
      <c r="C1" s="25"/>
      <c r="D1" s="25"/>
    </row>
    <row r="2" customFormat="false" ht="18" hidden="false" customHeight="true" outlineLevel="0" collapsed="false">
      <c r="A2" s="3" t="s">
        <v>55</v>
      </c>
      <c r="B2" s="3"/>
      <c r="C2" s="3"/>
      <c r="D2" s="3"/>
    </row>
    <row r="3" customFormat="false" ht="15" hidden="false" customHeight="true" outlineLevel="0" collapsed="false">
      <c r="A3" s="26" t="s">
        <v>56</v>
      </c>
      <c r="B3" s="26" t="s">
        <v>57</v>
      </c>
      <c r="C3" s="26" t="s">
        <v>58</v>
      </c>
      <c r="D3" s="26" t="s">
        <v>59</v>
      </c>
    </row>
    <row r="4" customFormat="false" ht="15" hidden="false" customHeight="true" outlineLevel="0" collapsed="false">
      <c r="A4" s="27" t="s">
        <v>60</v>
      </c>
      <c r="B4" s="28" t="n">
        <v>0</v>
      </c>
      <c r="C4" s="29" t="n">
        <f aca="false">'YE Predictions Build'!C26</f>
        <v>597</v>
      </c>
      <c r="D4" s="30" t="n">
        <f aca="false">C4</f>
        <v>597</v>
      </c>
    </row>
    <row r="5" customFormat="false" ht="15" hidden="false" customHeight="true" outlineLevel="0" collapsed="false">
      <c r="A5" s="31" t="s">
        <v>61</v>
      </c>
      <c r="B5" s="32" t="n">
        <f aca="false">'YE Predictions Build'!C26</f>
        <v>597</v>
      </c>
      <c r="C5" s="33" t="n">
        <f aca="false">'YE Predictions Build'!C24</f>
        <v>407.97</v>
      </c>
      <c r="D5" s="34" t="n">
        <f aca="false">B5+C5</f>
        <v>1004.97</v>
      </c>
    </row>
    <row r="6" customFormat="false" ht="15" hidden="false" customHeight="true" outlineLevel="0" collapsed="false">
      <c r="A6" s="35" t="s">
        <v>62</v>
      </c>
      <c r="B6" s="28" t="n">
        <f aca="false">'YE Predictions Build'!C26+'YE Predictions Build'!C24</f>
        <v>1004.97</v>
      </c>
      <c r="C6" s="29" t="n">
        <f aca="false">'YE Predictions Build'!C25</f>
        <v>951.93</v>
      </c>
      <c r="D6" s="30" t="n">
        <f aca="false">B6+C6</f>
        <v>1956.9</v>
      </c>
    </row>
    <row r="7" customFormat="false" ht="15" hidden="false" customHeight="true" outlineLevel="0" collapsed="false">
      <c r="A7" s="36" t="s">
        <v>63</v>
      </c>
      <c r="B7" s="32" t="n">
        <v>0</v>
      </c>
      <c r="C7" s="33" t="n">
        <f aca="false">'YE Predictions Build'!C27</f>
        <v>1956.9</v>
      </c>
      <c r="D7" s="34" t="n">
        <f aca="false">C7</f>
        <v>1956.9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2"/>
  </cols>
  <sheetData>
    <row r="1" customFormat="false" ht="24" hidden="false" customHeight="true" outlineLevel="0" collapsed="false">
      <c r="A1" s="2" t="s">
        <v>64</v>
      </c>
      <c r="B1" s="2"/>
    </row>
    <row r="3" customFormat="false" ht="15" hidden="false" customHeight="true" outlineLevel="0" collapsed="false">
      <c r="A3" s="37" t="s">
        <v>65</v>
      </c>
      <c r="B3" s="37"/>
    </row>
    <row r="4" customFormat="false" ht="30" hidden="false" customHeight="true" outlineLevel="0" collapsed="false">
      <c r="A4" s="38" t="s">
        <v>66</v>
      </c>
      <c r="B4" s="38"/>
    </row>
    <row r="5" customFormat="false" ht="30" hidden="false" customHeight="true" outlineLevel="0" collapsed="false">
      <c r="A5" s="38" t="s">
        <v>67</v>
      </c>
      <c r="B5" s="38"/>
    </row>
    <row r="6" customFormat="false" ht="30" hidden="false" customHeight="true" outlineLevel="0" collapsed="false">
      <c r="A6" s="38" t="s">
        <v>68</v>
      </c>
      <c r="B6" s="38"/>
    </row>
    <row r="7" customFormat="false" ht="15" hidden="false" customHeight="true" outlineLevel="0" collapsed="false">
      <c r="A7" s="37" t="s">
        <v>69</v>
      </c>
      <c r="B7" s="37"/>
    </row>
    <row r="8" customFormat="false" ht="30" hidden="false" customHeight="true" outlineLevel="0" collapsed="false">
      <c r="A8" s="38" t="s">
        <v>70</v>
      </c>
      <c r="B8" s="38"/>
    </row>
    <row r="9" customFormat="false" ht="15" hidden="false" customHeight="true" outlineLevel="0" collapsed="false">
      <c r="A9" s="37" t="s">
        <v>71</v>
      </c>
      <c r="B9" s="37"/>
    </row>
    <row r="10" customFormat="false" ht="30" hidden="false" customHeight="true" outlineLevel="0" collapsed="false">
      <c r="A10" s="38" t="s">
        <v>72</v>
      </c>
      <c r="B10" s="38"/>
    </row>
    <row r="11" customFormat="false" ht="30" hidden="false" customHeight="true" outlineLevel="0" collapsed="false">
      <c r="A11" s="38" t="s">
        <v>73</v>
      </c>
      <c r="B11" s="38"/>
    </row>
    <row r="12" customFormat="false" ht="30" hidden="false" customHeight="true" outlineLevel="0" collapsed="false">
      <c r="A12" s="38" t="s">
        <v>74</v>
      </c>
      <c r="B12" s="38"/>
    </row>
    <row r="13" customFormat="false" ht="30" hidden="false" customHeight="true" outlineLevel="0" collapsed="false">
      <c r="A13" s="38" t="s">
        <v>75</v>
      </c>
      <c r="B13" s="38"/>
    </row>
    <row r="14" customFormat="false" ht="30" hidden="false" customHeight="true" outlineLevel="0" collapsed="false">
      <c r="A14" s="38" t="s">
        <v>76</v>
      </c>
      <c r="B14" s="38"/>
    </row>
  </sheetData>
  <mergeCells count="13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2026-06-05T20:17:26Z</dcterms:created>
  <dc:creator>openpyxl</dc:creator>
  <dc:description/>
  <dc:language>en-US</dc:language>
  <cp:lastModifiedBy/>
  <dcterms:modified xsi:type="dcterms:W3CDTF">2026-06-05T20:18:00Z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