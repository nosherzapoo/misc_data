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Tailwin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<sst xmlns="http://schemas.openxmlformats.org/spreadsheetml/2006/main" count="113" uniqueCount="96">
  <si>
    <t xml:space="preserve">AI Tailwind Quantification: Sizing Suno-Driven Subscription Streaming Contribution</t>
  </si>
  <si>
    <t xml:space="preserve">First quantified estimate of AI contribution to WMG sub streaming. Conservative assumptions yield ~$6M FQ2 26 contribution = ~1pp of growth. Material but small; FY27 step-up still ahead per mgmt commentary. ALL inputs in blue are flexible — sensitivity tables update live.</t>
  </si>
  <si>
    <t xml:space="preserve">Color key:</t>
  </si>
  <si>
    <t xml:space="preserve">Hardcode input</t>
  </si>
  <si>
    <t xml:space="preserve">Formula</t>
  </si>
  <si>
    <t xml:space="preserve">Output</t>
  </si>
  <si>
    <t xml:space="preserve">Block 1: Suno → WMG Subscription Streaming Bridge (FQ2 26)</t>
  </si>
  <si>
    <t xml:space="preserve">Step</t>
  </si>
  <si>
    <t xml:space="preserve">Value</t>
  </si>
  <si>
    <t xml:space="preserve">Unit</t>
  </si>
  <si>
    <t xml:space="preserve">Notes / Source</t>
  </si>
  <si>
    <t xml:space="preserve">(1) Suno annualized revenue (disclosed)</t>
  </si>
  <si>
    <t xml:space="preserve">$M</t>
  </si>
  <si>
    <t xml:space="preserve">FQ2 26 earnings call (May 7 2026)</t>
  </si>
  <si>
    <t xml:space="preserve">(2) FQ2 quarterly contribution (assumption: below exit run-rate)</t>
  </si>
  <si>
    <t xml:space="preserve">Conservative; $300M/4 = $75M run-rate, FQ2 likely below given growth trajectory</t>
  </si>
  <si>
    <t xml:space="preserve">(3) WMG share of Suno revenue</t>
  </si>
  <si>
    <t xml:space="preserve">%</t>
  </si>
  <si>
    <t xml:space="preserve">Analyst assumption; below WMG's ~16-17% global share to be conservative</t>
  </si>
  <si>
    <t xml:space="preserve">(4) WMG contribution from Suno in FQ2</t>
  </si>
  <si>
    <t xml:space="preserve">Output: ~$6M based on central assumptions</t>
  </si>
  <si>
    <t xml:space="preserve">(5) WMG FQ2 subscription streaming revenue</t>
  </si>
  <si>
    <t xml:space="preserve">WMG FQ2 26 press release (Figure 4)</t>
  </si>
  <si>
    <t xml:space="preserve">(6) PY FQ2 25 subscription streaming revenue</t>
  </si>
  <si>
    <t xml:space="preserve">(7) FQ2 sub streaming Y/Y dollar growth</t>
  </si>
  <si>
    <t xml:space="preserve">Reported, +18% Y/Y</t>
  </si>
  <si>
    <t xml:space="preserve">(8) Suno contribution as % of $ growth</t>
  </si>
  <si>
    <t xml:space="preserve">Suno = ~5% of the dollar growth in the quarter</t>
  </si>
  <si>
    <t xml:space="preserve">(9) FQ2 reported sub streaming growth rate</t>
  </si>
  <si>
    <t xml:space="preserve">Cross-check: should equal ~18%</t>
  </si>
  <si>
    <t xml:space="preserve">(10) Suno tailwind in pp of sub streaming growth</t>
  </si>
  <si>
    <t xml:space="preserve">pp</t>
  </si>
  <si>
    <t xml:space="preserve">Output: ~1pp of the 18% reported growth</t>
  </si>
  <si>
    <t xml:space="preserve">Block 2a: Sensitivity — WMG Suno Contribution ($M, FQ2 26)</t>
  </si>
  <si>
    <t xml:space="preserve">Rows: Suno FQ2 quarterly revenue ($M). Cols: WMG share of Suno revenue. All cells are LIVE FORMULAS — change any input in Block 1 and these update.</t>
  </si>
  <si>
    <t xml:space="preserve">Suno $M / WMG Share</t>
  </si>
  <si>
    <t xml:space="preserve">Central case ($60M × 10%) = $6M FQ2 contribution. Range across reasonable assumptions: $2.5M-$13.5M.</t>
  </si>
  <si>
    <t xml:space="preserve">Block 2b: Sensitivity — Same as % of Y/Y sub streaming growth (pp)</t>
  </si>
  <si>
    <t xml:space="preserve">Same grid, divided by PY sub streaming base (Block 1, row 13). Formulas dynamically reference the base — change PY assumption and grid updates.</t>
  </si>
  <si>
    <t xml:space="preserve">Central case = ~1pp of FQ2 sub streaming growth. Range: 0.4pp-2.2pp depending on Suno revenue and WMG share assumptions.</t>
  </si>
  <si>
    <t xml:space="preserve">Block 3: The No-Headwind Side — AI Dilution Check</t>
  </si>
  <si>
    <t xml:space="preserve">Per Kyncl on FQ2 call citing public Spotify and Apple data: AI uploads massive vs. streaming impact tiny. WMG share has expanded for 4 consecutive quarters across this period — empirical evidence of no dilution.</t>
  </si>
  <si>
    <t xml:space="preserve">Metric</t>
  </si>
  <si>
    <t xml:space="preserve">Spotify</t>
  </si>
  <si>
    <t xml:space="preserve">Apple</t>
  </si>
  <si>
    <t xml:space="preserve">Source</t>
  </si>
  <si>
    <t xml:space="preserve">Implication</t>
  </si>
  <si>
    <t xml:space="preserve">AI tracks daily uploads</t>
  </si>
  <si>
    <t xml:space="preserve">~75,000/day</t>
  </si>
  <si>
    <t xml:space="preserve">NA</t>
  </si>
  <si>
    <t xml:space="preserve">Kyncl FQ2 call (public Spotify data)</t>
  </si>
  <si>
    <t xml:space="preserve">Massive supply growth</t>
  </si>
  <si>
    <t xml:space="preserve">AI tracks % of daily uploads</t>
  </si>
  <si>
    <t xml:space="preserve">~44%</t>
  </si>
  <si>
    <t xml:space="preserve">Kyncl FQ2 call</t>
  </si>
  <si>
    <t xml:space="preserve">Nearly half of new content is AI</t>
  </si>
  <si>
    <t xml:space="preserve">AI tracks % of streams</t>
  </si>
  <si>
    <t xml:space="preserve">1-3%</t>
  </si>
  <si>
    <t xml:space="preserve">&lt;0.5% of listening</t>
  </si>
  <si>
    <t xml:space="preserve">Demand barely registers</t>
  </si>
  <si>
    <t xml:space="preserve">AI streams flagged fraudulent</t>
  </si>
  <si>
    <t xml:space="preserve">~85%</t>
  </si>
  <si>
    <t xml:space="preserve">Most "AI streaming" is bot activity</t>
  </si>
  <si>
    <t xml:space="preserve">AI tracks % of royalties</t>
  </si>
  <si>
    <t xml:space="preserve">Tiny / much smaller fraction</t>
  </si>
  <si>
    <t xml:space="preserve">Tiny</t>
  </si>
  <si>
    <t xml:space="preserve">No measurable dilution to label economics</t>
  </si>
  <si>
    <t xml:space="preserve">Conclusion: The dilution-from-AI-uploads bear narrative is empirically weak. AI = ~half of new uploads but a tiny fraction of streams and an even smaller fraction of royalties.</t>
  </si>
  <si>
    <t xml:space="preserve">Block 4: Assumptions, Caveats, and What We Are NOT Assuming</t>
  </si>
  <si>
    <t xml:space="preserve">Item</t>
  </si>
  <si>
    <t xml:space="preserve">Our Assumption</t>
  </si>
  <si>
    <t xml:space="preserve">Disclosed?</t>
  </si>
  <si>
    <t xml:space="preserve">Why Conservative</t>
  </si>
  <si>
    <t xml:space="preserve">Suno annualized revenue</t>
  </si>
  <si>
    <t xml:space="preserve">$300M</t>
  </si>
  <si>
    <t xml:space="preserve">Yes (FQ2 call)</t>
  </si>
  <si>
    <t xml:space="preserve">Direct from mgmt; not a Bernstein assumption</t>
  </si>
  <si>
    <t xml:space="preserve">FQ2 quarterly revenue</t>
  </si>
  <si>
    <t xml:space="preserve">$60M</t>
  </si>
  <si>
    <t xml:space="preserve">No</t>
  </si>
  <si>
    <t xml:space="preserve">Below $75M run-rate; Suno was scaling through 2025-2026 so FQ2 likely ran below exit</t>
  </si>
  <si>
    <t xml:space="preserve">WMG share of Suno revenue</t>
  </si>
  <si>
    <t xml:space="preserve">10%</t>
  </si>
  <si>
    <t xml:space="preserve">Below WMG's 16-17% global share; reflects that Suno catalog usage may skew toward UMG/Sony heavyweights</t>
  </si>
  <si>
    <t xml:space="preserve">Other AI partners revenue</t>
  </si>
  <si>
    <t xml:space="preserve">$0</t>
  </si>
  <si>
    <t xml:space="preserve">We exclude any other AI license deals; this is Suno-only</t>
  </si>
  <si>
    <t xml:space="preserve">FY27 step-up</t>
  </si>
  <si>
    <t xml:space="preserve">Not in this number</t>
  </si>
  <si>
    <t xml:space="preserve">Mgmt cited "material" in FY27</t>
  </si>
  <si>
    <t xml:space="preserve">Suno fully-licensed offering launches "later this year" per Zerza; not yet in run-rate</t>
  </si>
  <si>
    <t xml:space="preserve">Premium AI tier from DSPs</t>
  </si>
  <si>
    <t xml:space="preserve">Mgmt cited active discussions</t>
  </si>
  <si>
    <t xml:space="preserve">Spotify/Apple AI-centric premium tiers not yet launched</t>
  </si>
  <si>
    <t xml:space="preserve">Net: This is a conservative, Suno-only quantification. The "true" AI tailwind to subscription streaming may be larger if other AI partners or Spotify/Apple AI tiers have begun contributing. We err low to make this a defensible analyst estimate, not a target.</t>
  </si>
  <si>
    <t xml:space="preserve">Sources: WMG FQ2 2026 earnings call transcript (May 7 2026); WMG FQ2 2026 press release (Figure 4 — Digital Revenue Summary); Bernstein analyst assumptions where flagged. Color coding: blue = hardcode input; black = formula; green = highlighted output.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</si>
</sst>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\$#,##0.0;&quot;($&quot;#,##0.0\);\-"/>
    <numFmt numFmtId="168" formatCode="\$#,##0"/>
    <numFmt numFmtId="169" formatCode="\$#,##0.0"/>
    <numFmt numFmtId="170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8E6C9"/>
      </patternFill>
    </fill>
    <fill>
      <patternFill patternType="solid">
        <fgColor rgb="FF1F3864"/>
        <bgColor rgb="FF333333"/>
      </patternFill>
    </fill>
    <fill>
      <patternFill patternType="solid">
        <fgColor rgb="FFC8E6C9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4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  <c r="D4" s="6" t="s">
        <v>5</v>
      </c>
    </row>
    <row r="6" customFormat="false" ht="21.75" hidden="false" customHeight="true" outlineLevel="0" collapsed="false">
      <c r="A6" s="7" t="s">
        <v>6</v>
      </c>
      <c r="B6" s="7"/>
      <c r="C6" s="7"/>
      <c r="D6" s="7"/>
      <c r="E6" s="7"/>
      <c r="F6" s="7"/>
      <c r="G6" s="7"/>
    </row>
    <row r="7" customFormat="false" ht="25.5" hidden="false" customHeight="true" outlineLevel="0" collapsed="false">
      <c r="A7" s="8" t="s">
        <v>7</v>
      </c>
      <c r="B7" s="8" t="s">
        <v>8</v>
      </c>
      <c r="C7" s="8" t="s">
        <v>9</v>
      </c>
      <c r="D7" s="8"/>
      <c r="E7" s="8"/>
      <c r="F7" s="8"/>
      <c r="G7" s="8" t="s">
        <v>10</v>
      </c>
    </row>
    <row r="8" customFormat="false" ht="21.75" hidden="false" customHeight="true" outlineLevel="0" collapsed="false">
      <c r="A8" s="9" t="s">
        <v>11</v>
      </c>
      <c r="B8" s="10" t="n">
        <v>300</v>
      </c>
      <c r="C8" s="9" t="s">
        <v>12</v>
      </c>
      <c r="D8" s="11"/>
      <c r="E8" s="11"/>
      <c r="F8" s="11"/>
      <c r="G8" s="12" t="s">
        <v>13</v>
      </c>
    </row>
    <row r="9" customFormat="false" ht="21.75" hidden="false" customHeight="true" outlineLevel="0" collapsed="false">
      <c r="A9" s="9" t="s">
        <v>14</v>
      </c>
      <c r="B9" s="10" t="n">
        <v>60</v>
      </c>
      <c r="C9" s="9" t="s">
        <v>12</v>
      </c>
      <c r="D9" s="11"/>
      <c r="E9" s="11"/>
      <c r="F9" s="11"/>
      <c r="G9" s="12" t="s">
        <v>15</v>
      </c>
    </row>
    <row r="10" customFormat="false" ht="21.75" hidden="false" customHeight="true" outlineLevel="0" collapsed="false">
      <c r="A10" s="9" t="s">
        <v>16</v>
      </c>
      <c r="B10" s="13" t="n">
        <v>0.1</v>
      </c>
      <c r="C10" s="9" t="s">
        <v>17</v>
      </c>
      <c r="D10" s="11"/>
      <c r="E10" s="11"/>
      <c r="F10" s="11"/>
      <c r="G10" s="12" t="s">
        <v>18</v>
      </c>
    </row>
    <row r="11" customFormat="false" ht="21.75" hidden="false" customHeight="true" outlineLevel="0" collapsed="false">
      <c r="A11" s="14" t="s">
        <v>19</v>
      </c>
      <c r="B11" s="15" t="n">
        <f aca="false">B9*B10</f>
        <v>6</v>
      </c>
      <c r="C11" s="14" t="s">
        <v>12</v>
      </c>
      <c r="D11" s="11"/>
      <c r="E11" s="11"/>
      <c r="F11" s="11"/>
      <c r="G11" s="12" t="s">
        <v>20</v>
      </c>
    </row>
    <row r="12" customFormat="false" ht="21.75" hidden="false" customHeight="true" outlineLevel="0" collapsed="false">
      <c r="A12" s="9" t="s">
        <v>21</v>
      </c>
      <c r="B12" s="10" t="n">
        <v>734</v>
      </c>
      <c r="C12" s="9" t="s">
        <v>12</v>
      </c>
      <c r="D12" s="11"/>
      <c r="E12" s="11"/>
      <c r="F12" s="11"/>
      <c r="G12" s="12" t="s">
        <v>22</v>
      </c>
    </row>
    <row r="13" customFormat="false" ht="21.75" hidden="false" customHeight="true" outlineLevel="0" collapsed="false">
      <c r="A13" s="9" t="s">
        <v>23</v>
      </c>
      <c r="B13" s="10" t="n">
        <v>622</v>
      </c>
      <c r="C13" s="9" t="s">
        <v>12</v>
      </c>
      <c r="D13" s="11"/>
      <c r="E13" s="11"/>
      <c r="F13" s="11"/>
      <c r="G13" s="12" t="s">
        <v>22</v>
      </c>
    </row>
    <row r="14" customFormat="false" ht="21.75" hidden="false" customHeight="true" outlineLevel="0" collapsed="false">
      <c r="A14" s="9" t="s">
        <v>24</v>
      </c>
      <c r="B14" s="16" t="n">
        <f aca="false">B12-B13</f>
        <v>112</v>
      </c>
      <c r="C14" s="9" t="s">
        <v>12</v>
      </c>
      <c r="D14" s="11"/>
      <c r="E14" s="11"/>
      <c r="F14" s="11"/>
      <c r="G14" s="12" t="s">
        <v>25</v>
      </c>
    </row>
    <row r="15" customFormat="false" ht="21.75" hidden="false" customHeight="true" outlineLevel="0" collapsed="false">
      <c r="A15" s="9" t="s">
        <v>26</v>
      </c>
      <c r="B15" s="17" t="n">
        <f aca="false">B11/B14</f>
        <v>0.0535714285714286</v>
      </c>
      <c r="C15" s="9" t="s">
        <v>17</v>
      </c>
      <c r="D15" s="11"/>
      <c r="E15" s="11"/>
      <c r="F15" s="11"/>
      <c r="G15" s="12" t="s">
        <v>27</v>
      </c>
    </row>
    <row r="16" customFormat="false" ht="21.75" hidden="false" customHeight="true" outlineLevel="0" collapsed="false">
      <c r="A16" s="9" t="s">
        <v>28</v>
      </c>
      <c r="B16" s="17" t="n">
        <f aca="false">B14/B13</f>
        <v>0.180064308681672</v>
      </c>
      <c r="C16" s="9" t="s">
        <v>17</v>
      </c>
      <c r="D16" s="11"/>
      <c r="E16" s="11"/>
      <c r="F16" s="11"/>
      <c r="G16" s="12" t="s">
        <v>29</v>
      </c>
    </row>
    <row r="17" customFormat="false" ht="21.75" hidden="false" customHeight="true" outlineLevel="0" collapsed="false">
      <c r="A17" s="14" t="s">
        <v>30</v>
      </c>
      <c r="B17" s="18" t="n">
        <f aca="false">B11/B13</f>
        <v>0.00964630225080386</v>
      </c>
      <c r="C17" s="14" t="s">
        <v>31</v>
      </c>
      <c r="D17" s="11"/>
      <c r="E17" s="11"/>
      <c r="F17" s="11"/>
      <c r="G17" s="12" t="s">
        <v>32</v>
      </c>
    </row>
    <row r="19" customFormat="false" ht="21.75" hidden="false" customHeight="true" outlineLevel="0" collapsed="false">
      <c r="A19" s="7" t="s">
        <v>33</v>
      </c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2" t="s">
        <v>34</v>
      </c>
      <c r="B20" s="2"/>
      <c r="C20" s="2"/>
      <c r="D20" s="2"/>
      <c r="E20" s="2"/>
      <c r="F20" s="2"/>
      <c r="G20" s="2"/>
    </row>
    <row r="21" customFormat="false" ht="24" hidden="false" customHeight="true" outlineLevel="0" collapsed="false">
      <c r="A21" s="8" t="s">
        <v>35</v>
      </c>
      <c r="B21" s="19" t="n">
        <v>0.05</v>
      </c>
      <c r="C21" s="19" t="n">
        <v>0.075</v>
      </c>
      <c r="D21" s="19" t="n">
        <v>0.1</v>
      </c>
      <c r="E21" s="19" t="n">
        <v>0.125</v>
      </c>
      <c r="F21" s="19" t="n">
        <v>0.15</v>
      </c>
    </row>
    <row r="22" customFormat="false" ht="21.75" hidden="false" customHeight="true" outlineLevel="0" collapsed="false">
      <c r="A22" s="20" t="n">
        <v>50</v>
      </c>
      <c r="B22" s="21" t="n">
        <f aca="false">$A22*B$21</f>
        <v>2.5</v>
      </c>
      <c r="C22" s="21" t="n">
        <f aca="false">$A22*C$21</f>
        <v>3.75</v>
      </c>
      <c r="D22" s="21" t="n">
        <f aca="false">$A22*D$21</f>
        <v>5</v>
      </c>
      <c r="E22" s="21" t="n">
        <f aca="false">$A22*E$21</f>
        <v>6.25</v>
      </c>
      <c r="F22" s="21" t="n">
        <f aca="false">$A22*F$21</f>
        <v>7.5</v>
      </c>
    </row>
    <row r="23" customFormat="false" ht="21.75" hidden="false" customHeight="true" outlineLevel="0" collapsed="false">
      <c r="A23" s="20" t="n">
        <v>60</v>
      </c>
      <c r="B23" s="21" t="n">
        <f aca="false">$A23*B$21</f>
        <v>3</v>
      </c>
      <c r="C23" s="21" t="n">
        <f aca="false">$A23*C$21</f>
        <v>4.5</v>
      </c>
      <c r="D23" s="22" t="n">
        <f aca="false">$A23*D$21</f>
        <v>6</v>
      </c>
      <c r="E23" s="21" t="n">
        <f aca="false">$A23*E$21</f>
        <v>7.5</v>
      </c>
      <c r="F23" s="21" t="n">
        <f aca="false">$A23*F$21</f>
        <v>9</v>
      </c>
    </row>
    <row r="24" customFormat="false" ht="21.75" hidden="false" customHeight="true" outlineLevel="0" collapsed="false">
      <c r="A24" s="20" t="n">
        <v>75</v>
      </c>
      <c r="B24" s="21" t="n">
        <f aca="false">$A24*B$21</f>
        <v>3.75</v>
      </c>
      <c r="C24" s="21" t="n">
        <f aca="false">$A24*C$21</f>
        <v>5.625</v>
      </c>
      <c r="D24" s="21" t="n">
        <f aca="false">$A24*D$21</f>
        <v>7.5</v>
      </c>
      <c r="E24" s="21" t="n">
        <f aca="false">$A24*E$21</f>
        <v>9.375</v>
      </c>
      <c r="F24" s="21" t="n">
        <f aca="false">$A24*F$21</f>
        <v>11.25</v>
      </c>
    </row>
    <row r="25" customFormat="false" ht="21.75" hidden="false" customHeight="true" outlineLevel="0" collapsed="false">
      <c r="A25" s="20" t="n">
        <v>90</v>
      </c>
      <c r="B25" s="21" t="n">
        <f aca="false">$A25*B$21</f>
        <v>4.5</v>
      </c>
      <c r="C25" s="21" t="n">
        <f aca="false">$A25*C$21</f>
        <v>6.75</v>
      </c>
      <c r="D25" s="21" t="n">
        <f aca="false">$A25*D$21</f>
        <v>9</v>
      </c>
      <c r="E25" s="21" t="n">
        <f aca="false">$A25*E$21</f>
        <v>11.25</v>
      </c>
      <c r="F25" s="21" t="n">
        <f aca="false">$A25*F$21</f>
        <v>13.5</v>
      </c>
    </row>
    <row r="27" customFormat="false" ht="21.75" hidden="false" customHeight="true" outlineLevel="0" collapsed="false">
      <c r="A27" s="23" t="s">
        <v>36</v>
      </c>
      <c r="B27" s="23"/>
      <c r="C27" s="23"/>
      <c r="D27" s="23"/>
      <c r="E27" s="23"/>
      <c r="F27" s="23"/>
      <c r="G27" s="23"/>
    </row>
    <row r="29" customFormat="false" ht="21.75" hidden="false" customHeight="true" outlineLevel="0" collapsed="false">
      <c r="A29" s="7" t="s">
        <v>37</v>
      </c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2" t="s">
        <v>38</v>
      </c>
      <c r="B30" s="2"/>
      <c r="C30" s="2"/>
      <c r="D30" s="2"/>
      <c r="E30" s="2"/>
      <c r="F30" s="2"/>
      <c r="G30" s="2"/>
    </row>
    <row r="31" customFormat="false" ht="24" hidden="false" customHeight="true" outlineLevel="0" collapsed="false">
      <c r="A31" s="8" t="s">
        <v>35</v>
      </c>
      <c r="B31" s="19" t="n">
        <v>0.05</v>
      </c>
      <c r="C31" s="19" t="n">
        <v>0.075</v>
      </c>
      <c r="D31" s="19" t="n">
        <v>0.1</v>
      </c>
      <c r="E31" s="19" t="n">
        <v>0.125</v>
      </c>
      <c r="F31" s="19" t="n">
        <v>0.15</v>
      </c>
    </row>
    <row r="32" customFormat="false" ht="21.75" hidden="false" customHeight="true" outlineLevel="0" collapsed="false">
      <c r="A32" s="20" t="n">
        <v>50</v>
      </c>
      <c r="B32" s="24" t="n">
        <f aca="false">($A32*B$31)/$B$13</f>
        <v>0.00401929260450161</v>
      </c>
      <c r="C32" s="24" t="n">
        <f aca="false">($A32*C$31)/$B$13</f>
        <v>0.00602893890675241</v>
      </c>
      <c r="D32" s="24" t="n">
        <f aca="false">($A32*D$31)/$B$13</f>
        <v>0.00803858520900322</v>
      </c>
      <c r="E32" s="24" t="n">
        <f aca="false">($A32*E$31)/$B$13</f>
        <v>0.010048231511254</v>
      </c>
      <c r="F32" s="24" t="n">
        <f aca="false">($A32*F$31)/$B$13</f>
        <v>0.0120578778135048</v>
      </c>
    </row>
    <row r="33" customFormat="false" ht="21.75" hidden="false" customHeight="true" outlineLevel="0" collapsed="false">
      <c r="A33" s="20" t="n">
        <v>60</v>
      </c>
      <c r="B33" s="24" t="n">
        <f aca="false">($A33*B$31)/$B$13</f>
        <v>0.00482315112540193</v>
      </c>
      <c r="C33" s="24" t="n">
        <f aca="false">($A33*C$31)/$B$13</f>
        <v>0.00723472668810289</v>
      </c>
      <c r="D33" s="25" t="n">
        <f aca="false">($A33*D$31)/$B$13</f>
        <v>0.00964630225080386</v>
      </c>
      <c r="E33" s="24" t="n">
        <f aca="false">($A33*E$31)/$B$13</f>
        <v>0.0120578778135048</v>
      </c>
      <c r="F33" s="24" t="n">
        <f aca="false">($A33*F$31)/$B$13</f>
        <v>0.0144694533762058</v>
      </c>
    </row>
    <row r="34" customFormat="false" ht="21.75" hidden="false" customHeight="true" outlineLevel="0" collapsed="false">
      <c r="A34" s="20" t="n">
        <v>75</v>
      </c>
      <c r="B34" s="24" t="n">
        <f aca="false">($A34*B$31)/$B$13</f>
        <v>0.00602893890675241</v>
      </c>
      <c r="C34" s="24" t="n">
        <f aca="false">($A34*C$31)/$B$13</f>
        <v>0.00904340836012862</v>
      </c>
      <c r="D34" s="24" t="n">
        <f aca="false">($A34*D$31)/$B$13</f>
        <v>0.0120578778135048</v>
      </c>
      <c r="E34" s="24" t="n">
        <f aca="false">($A34*E$31)/$B$13</f>
        <v>0.015072347266881</v>
      </c>
      <c r="F34" s="24" t="n">
        <f aca="false">($A34*F$31)/$B$13</f>
        <v>0.0180868167202572</v>
      </c>
    </row>
    <row r="35" customFormat="false" ht="21.75" hidden="false" customHeight="true" outlineLevel="0" collapsed="false">
      <c r="A35" s="20" t="n">
        <v>90</v>
      </c>
      <c r="B35" s="24" t="n">
        <f aca="false">($A35*B$31)/$B$13</f>
        <v>0.00723472668810289</v>
      </c>
      <c r="C35" s="24" t="n">
        <f aca="false">($A35*C$31)/$B$13</f>
        <v>0.0108520900321543</v>
      </c>
      <c r="D35" s="24" t="n">
        <f aca="false">($A35*D$31)/$B$13</f>
        <v>0.0144694533762058</v>
      </c>
      <c r="E35" s="24" t="n">
        <f aca="false">($A35*E$31)/$B$13</f>
        <v>0.0180868167202572</v>
      </c>
      <c r="F35" s="24" t="n">
        <f aca="false">($A35*F$31)/$B$13</f>
        <v>0.0217041800643087</v>
      </c>
    </row>
    <row r="37" customFormat="false" ht="21.75" hidden="false" customHeight="true" outlineLevel="0" collapsed="false">
      <c r="A37" s="23" t="s">
        <v>39</v>
      </c>
      <c r="B37" s="23"/>
      <c r="C37" s="23"/>
      <c r="D37" s="23"/>
      <c r="E37" s="23"/>
      <c r="F37" s="23"/>
      <c r="G37" s="23"/>
    </row>
    <row r="39" customFormat="false" ht="21.75" hidden="false" customHeight="true" outlineLevel="0" collapsed="false">
      <c r="A39" s="7" t="s">
        <v>40</v>
      </c>
      <c r="B39" s="7"/>
      <c r="C39" s="7"/>
      <c r="D39" s="7"/>
      <c r="E39" s="7"/>
      <c r="F39" s="7"/>
      <c r="G39" s="7"/>
    </row>
    <row r="40" customFormat="false" ht="36" hidden="false" customHeight="true" outlineLevel="0" collapsed="false">
      <c r="A40" s="23" t="s">
        <v>41</v>
      </c>
      <c r="B40" s="23"/>
      <c r="C40" s="23"/>
      <c r="D40" s="23"/>
      <c r="E40" s="23"/>
      <c r="F40" s="23"/>
      <c r="G40" s="23"/>
    </row>
    <row r="41" customFormat="false" ht="24" hidden="false" customHeight="true" outlineLevel="0" collapsed="false">
      <c r="A41" s="8" t="s">
        <v>42</v>
      </c>
      <c r="B41" s="8" t="s">
        <v>43</v>
      </c>
      <c r="C41" s="8" t="s">
        <v>44</v>
      </c>
      <c r="D41" s="8" t="s">
        <v>45</v>
      </c>
      <c r="E41" s="8"/>
      <c r="F41" s="8"/>
      <c r="G41" s="8" t="s">
        <v>46</v>
      </c>
    </row>
    <row r="42" customFormat="false" ht="25.5" hidden="false" customHeight="true" outlineLevel="0" collapsed="false">
      <c r="A42" s="14" t="s">
        <v>47</v>
      </c>
      <c r="B42" s="9" t="s">
        <v>48</v>
      </c>
      <c r="C42" s="9" t="s">
        <v>49</v>
      </c>
      <c r="D42" s="9" t="s">
        <v>50</v>
      </c>
      <c r="E42" s="9"/>
      <c r="F42" s="9"/>
      <c r="G42" s="9" t="s">
        <v>51</v>
      </c>
    </row>
    <row r="43" customFormat="false" ht="25.5" hidden="false" customHeight="true" outlineLevel="0" collapsed="false">
      <c r="A43" s="14" t="s">
        <v>52</v>
      </c>
      <c r="B43" s="9" t="s">
        <v>53</v>
      </c>
      <c r="C43" s="9" t="s">
        <v>49</v>
      </c>
      <c r="D43" s="9" t="s">
        <v>54</v>
      </c>
      <c r="E43" s="9"/>
      <c r="F43" s="9"/>
      <c r="G43" s="9" t="s">
        <v>55</v>
      </c>
    </row>
    <row r="44" customFormat="false" ht="25.5" hidden="false" customHeight="true" outlineLevel="0" collapsed="false">
      <c r="A44" s="14" t="s">
        <v>56</v>
      </c>
      <c r="B44" s="9" t="s">
        <v>57</v>
      </c>
      <c r="C44" s="9" t="s">
        <v>58</v>
      </c>
      <c r="D44" s="9" t="s">
        <v>54</v>
      </c>
      <c r="E44" s="9"/>
      <c r="F44" s="9"/>
      <c r="G44" s="9" t="s">
        <v>59</v>
      </c>
    </row>
    <row r="45" customFormat="false" ht="25.5" hidden="false" customHeight="true" outlineLevel="0" collapsed="false">
      <c r="A45" s="14" t="s">
        <v>60</v>
      </c>
      <c r="B45" s="9" t="s">
        <v>61</v>
      </c>
      <c r="C45" s="9" t="s">
        <v>49</v>
      </c>
      <c r="D45" s="9" t="s">
        <v>54</v>
      </c>
      <c r="E45" s="9"/>
      <c r="F45" s="9"/>
      <c r="G45" s="9" t="s">
        <v>62</v>
      </c>
    </row>
    <row r="46" customFormat="false" ht="25.5" hidden="false" customHeight="true" outlineLevel="0" collapsed="false">
      <c r="A46" s="14" t="s">
        <v>63</v>
      </c>
      <c r="B46" s="9" t="s">
        <v>64</v>
      </c>
      <c r="C46" s="9" t="s">
        <v>65</v>
      </c>
      <c r="D46" s="9" t="s">
        <v>54</v>
      </c>
      <c r="E46" s="9"/>
      <c r="F46" s="9"/>
      <c r="G46" s="9" t="s">
        <v>66</v>
      </c>
    </row>
    <row r="48" customFormat="false" ht="30" hidden="false" customHeight="true" outlineLevel="0" collapsed="false">
      <c r="A48" s="23" t="s">
        <v>67</v>
      </c>
      <c r="B48" s="23"/>
      <c r="C48" s="23"/>
      <c r="D48" s="23"/>
      <c r="E48" s="23"/>
      <c r="F48" s="23"/>
      <c r="G48" s="23"/>
    </row>
    <row r="50" customFormat="false" ht="21.75" hidden="false" customHeight="true" outlineLevel="0" collapsed="false">
      <c r="A50" s="7" t="s">
        <v>68</v>
      </c>
      <c r="B50" s="7"/>
      <c r="C50" s="7"/>
      <c r="D50" s="7"/>
      <c r="E50" s="7"/>
      <c r="F50" s="7"/>
      <c r="G50" s="7"/>
    </row>
    <row r="51" customFormat="false" ht="24" hidden="false" customHeight="true" outlineLevel="0" collapsed="false">
      <c r="A51" s="8" t="s">
        <v>69</v>
      </c>
      <c r="B51" s="8" t="s">
        <v>70</v>
      </c>
      <c r="C51" s="8" t="s">
        <v>71</v>
      </c>
      <c r="D51" s="8"/>
      <c r="E51" s="8"/>
      <c r="F51" s="8"/>
      <c r="G51" s="8" t="s">
        <v>72</v>
      </c>
    </row>
    <row r="52" customFormat="false" ht="31.5" hidden="false" customHeight="true" outlineLevel="0" collapsed="false">
      <c r="A52" s="14" t="s">
        <v>73</v>
      </c>
      <c r="B52" s="9" t="s">
        <v>74</v>
      </c>
      <c r="C52" s="9" t="s">
        <v>75</v>
      </c>
      <c r="D52" s="9"/>
      <c r="E52" s="9"/>
      <c r="F52" s="9"/>
      <c r="G52" s="9" t="s">
        <v>76</v>
      </c>
    </row>
    <row r="53" customFormat="false" ht="31.5" hidden="false" customHeight="true" outlineLevel="0" collapsed="false">
      <c r="A53" s="14" t="s">
        <v>77</v>
      </c>
      <c r="B53" s="9" t="s">
        <v>78</v>
      </c>
      <c r="C53" s="9" t="s">
        <v>79</v>
      </c>
      <c r="D53" s="9"/>
      <c r="E53" s="9"/>
      <c r="F53" s="9"/>
      <c r="G53" s="9" t="s">
        <v>80</v>
      </c>
    </row>
    <row r="54" customFormat="false" ht="31.5" hidden="false" customHeight="true" outlineLevel="0" collapsed="false">
      <c r="A54" s="14" t="s">
        <v>81</v>
      </c>
      <c r="B54" s="9" t="s">
        <v>82</v>
      </c>
      <c r="C54" s="9" t="s">
        <v>79</v>
      </c>
      <c r="D54" s="9"/>
      <c r="E54" s="9"/>
      <c r="F54" s="9"/>
      <c r="G54" s="9" t="s">
        <v>83</v>
      </c>
    </row>
    <row r="55" customFormat="false" ht="31.5" hidden="false" customHeight="true" outlineLevel="0" collapsed="false">
      <c r="A55" s="14" t="s">
        <v>84</v>
      </c>
      <c r="B55" s="9" t="s">
        <v>85</v>
      </c>
      <c r="C55" s="9" t="s">
        <v>49</v>
      </c>
      <c r="D55" s="9"/>
      <c r="E55" s="9"/>
      <c r="F55" s="9"/>
      <c r="G55" s="9" t="s">
        <v>86</v>
      </c>
    </row>
    <row r="56" customFormat="false" ht="31.5" hidden="false" customHeight="true" outlineLevel="0" collapsed="false">
      <c r="A56" s="14" t="s">
        <v>87</v>
      </c>
      <c r="B56" s="9" t="s">
        <v>88</v>
      </c>
      <c r="C56" s="9" t="s">
        <v>89</v>
      </c>
      <c r="D56" s="9"/>
      <c r="E56" s="9"/>
      <c r="F56" s="9"/>
      <c r="G56" s="9" t="s">
        <v>90</v>
      </c>
    </row>
    <row r="57" customFormat="false" ht="31.5" hidden="false" customHeight="true" outlineLevel="0" collapsed="false">
      <c r="A57" s="14" t="s">
        <v>91</v>
      </c>
      <c r="B57" s="9" t="s">
        <v>88</v>
      </c>
      <c r="C57" s="9" t="s">
        <v>92</v>
      </c>
      <c r="D57" s="9"/>
      <c r="E57" s="9"/>
      <c r="F57" s="9"/>
      <c r="G57" s="9" t="s">
        <v>93</v>
      </c>
    </row>
    <row r="59" customFormat="false" ht="36" hidden="false" customHeight="true" outlineLevel="0" collapsed="false">
      <c r="A59" s="23" t="s">
        <v>94</v>
      </c>
      <c r="B59" s="23"/>
      <c r="C59" s="23"/>
      <c r="D59" s="23"/>
      <c r="E59" s="23"/>
      <c r="F59" s="23"/>
      <c r="G59" s="23"/>
    </row>
    <row r="61" customFormat="false" ht="37.5" hidden="false" customHeight="true" outlineLevel="0" collapsed="false">
      <c r="A61" s="26" t="s">
        <v>95</v>
      </c>
      <c r="B61" s="26"/>
      <c r="C61" s="26"/>
      <c r="D61" s="26"/>
      <c r="E61" s="26"/>
      <c r="F61" s="26"/>
      <c r="G61" s="26"/>
    </row>
  </sheetData>
  <mergeCells count="15">
    <mergeCell ref="A1:G1"/>
    <mergeCell ref="A2:G2"/>
    <mergeCell ref="A6:G6"/>
    <mergeCell ref="A19:G19"/>
    <mergeCell ref="A20:G20"/>
    <mergeCell ref="A27:G27"/>
    <mergeCell ref="A29:G29"/>
    <mergeCell ref="A30:G30"/>
    <mergeCell ref="A37:G37"/>
    <mergeCell ref="A39:G39"/>
    <mergeCell ref="A40:G40"/>
    <mergeCell ref="A48:G48"/>
    <mergeCell ref="A50:G50"/>
    <mergeCell ref="A59:G59"/>
    <mergeCell ref="A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2026-05-08T02:31:39Z</dcterms:created>
  <dc:creator>openpyxl</dc:creator>
  <dc:description/>
  <dc:language>en-US</dc:language>
  <cp:lastModifiedBy/>
  <dcterms:modified xsi:type="dcterms:W3CDTF">2026-05-08T02:31:39Z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