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 Calendar" sheetId="1" state="visible" r:id="rId3"/>
  </sheets>
  <definedNames>
    <definedName function="false" hidden="false" localSheetId="0" name="_xlnm.Print_Area" vbProcedure="false">'ME Calendar'!$B$2:$J$62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<sst xmlns="http://schemas.openxmlformats.org/spreadsheetml/2006/main" count="117" uniqueCount="98">
  <si>
    <t xml:space="preserve">Exhibit 3: TKO 2026 Saudi/ME event calendar</t>
  </si>
  <si>
    <t xml:space="preserve">$322M of 2026E at-risk revenue (~5.6%) / $226M of 2026E EBITDA (~9.9%); consistent with Mar 26 disruption model</t>
  </si>
  <si>
    <t xml:space="preserve">INPUTS  (blue = editable; tied to published Mar 26 disruption model)</t>
  </si>
  <si>
    <t xml:space="preserve">2026E</t>
  </si>
  <si>
    <t xml:space="preserve">2027E</t>
  </si>
  <si>
    <t xml:space="preserve">Source</t>
  </si>
  <si>
    <t xml:space="preserve">TKO Revenue ($M)</t>
  </si>
  <si>
    <t xml:space="preserve">Bernstein Feb 26, 2026 note</t>
  </si>
  <si>
    <t xml:space="preserve">TKO Adj. EBITDA ($M)</t>
  </si>
  <si>
    <t xml:space="preserve">Q1 2026 BANKED  (flows through May 6 print regardless of disruption)</t>
  </si>
  <si>
    <t xml:space="preserve">Property</t>
  </si>
  <si>
    <t xml:space="preserve">Event</t>
  </si>
  <si>
    <t xml:space="preserve">Date</t>
  </si>
  <si>
    <t xml:space="preserve">Location</t>
  </si>
  <si>
    <t xml:space="preserve">Revenue
($M)</t>
  </si>
  <si>
    <t xml:space="preserve">Prod. Cost
($M)</t>
  </si>
  <si>
    <t xml:space="preserve">EBITDA
($M)</t>
  </si>
  <si>
    <t xml:space="preserve">Repl.
Recovery</t>
  </si>
  <si>
    <t xml:space="preserve">Status</t>
  </si>
  <si>
    <t xml:space="preserve">WWE</t>
  </si>
  <si>
    <t xml:space="preserve">Royal Rumble 2026</t>
  </si>
  <si>
    <t xml:space="preserve">Jan 31</t>
  </si>
  <si>
    <t xml:space="preserve">Riyadh (Riyadh Season Stadium)</t>
  </si>
  <si>
    <t xml:space="preserve">n/a</t>
  </si>
  <si>
    <t xml:space="preserve">Banked (Q1)</t>
  </si>
  <si>
    <t xml:space="preserve">2026 AT-RISK EVENTS  (composition of the $322M / $226M total in Mar 26 model)</t>
  </si>
  <si>
    <t xml:space="preserve">Night of Champions</t>
  </si>
  <si>
    <t xml:space="preserve">Jun 27</t>
  </si>
  <si>
    <t xml:space="preserve">Riyadh (Kingdom Arena)</t>
  </si>
  <si>
    <t xml:space="preserve">Confirmed Apr 23</t>
  </si>
  <si>
    <t xml:space="preserve">Nov Saudi PLE (Crown Jewel proj.)</t>
  </si>
  <si>
    <t xml:space="preserve">Oct/Nov</t>
  </si>
  <si>
    <t xml:space="preserve">Riyadh (TBD)</t>
  </si>
  <si>
    <t xml:space="preserve">Projected (3rd PLE)</t>
  </si>
  <si>
    <t xml:space="preserve">UFC</t>
  </si>
  <si>
    <t xml:space="preserve">Abu Dhabi Numbered Event</t>
  </si>
  <si>
    <t xml:space="preserve">Oct (proj.)</t>
  </si>
  <si>
    <t xml:space="preserve">Abu Dhabi (Etihad Arena)</t>
  </si>
  <si>
    <t xml:space="preserve">Projected (per DCT)</t>
  </si>
  <si>
    <t xml:space="preserve">Fight Night - Saudi Arabia</t>
  </si>
  <si>
    <t xml:space="preserve">TBD 2026</t>
  </si>
  <si>
    <t xml:space="preserve">Riyadh</t>
  </si>
  <si>
    <t xml:space="preserve">Per DCT MENA</t>
  </si>
  <si>
    <t xml:space="preserve">Fight Night - Abu Dhabi</t>
  </si>
  <si>
    <t xml:space="preserve">Jul 26</t>
  </si>
  <si>
    <t xml:space="preserve">Scheduled</t>
  </si>
  <si>
    <t xml:space="preserve">Fight Night - Qatar</t>
  </si>
  <si>
    <t xml:space="preserve">Doha</t>
  </si>
  <si>
    <t xml:space="preserve">Zuffa</t>
  </si>
  <si>
    <t xml:space="preserve">Saudi Boxing Cards</t>
  </si>
  <si>
    <t xml:space="preserve">FY 2026</t>
  </si>
  <si>
    <t xml:space="preserve">Contracted</t>
  </si>
  <si>
    <t xml:space="preserve">TOTAL</t>
  </si>
  <si>
    <t xml:space="preserve">Total 2026 at-risk (7 events, ex. Royal Rumble)</t>
  </si>
  <si>
    <t xml:space="preserve">7 at-risk events</t>
  </si>
  <si>
    <t xml:space="preserve">  WWE PLEs only (2 at-risk Saudi events, ex. banked Rumble)</t>
  </si>
  <si>
    <t xml:space="preserve">  UFC only (4 events: Numbered + 3 Fight Nights)</t>
  </si>
  <si>
    <t xml:space="preserve">  Zuffa Boxing only (1 event stream)</t>
  </si>
  <si>
    <t xml:space="preserve">At-risk total as % of Bernstein 2026E Revenue / EBITDA</t>
  </si>
  <si>
    <t xml:space="preserve">AT MAY 6 ANNOUNCEMENT RISK (Ian's Jun 27 + Jul 26 scenario)</t>
  </si>
  <si>
    <t xml:space="preserve">Jun 27 Night of Champions + Jul 26 UFC Abu Dhabi Fight Night</t>
  </si>
  <si>
    <t xml:space="preserve">Ian's scenario</t>
  </si>
  <si>
    <t xml:space="preserve">As % of total at-risk ME exposure</t>
  </si>
  <si>
    <t xml:space="preserve">As % of Bernstein 2026E</t>
  </si>
  <si>
    <t xml:space="preserve">SCENARIO ROLLFORWARD  (ties to published Mar 26 model)</t>
  </si>
  <si>
    <t xml:space="preserve">Base</t>
  </si>
  <si>
    <t xml:space="preserve">Scenario A
(Bear)</t>
  </si>
  <si>
    <t xml:space="preserve">Scenario B
(Replaced)</t>
  </si>
  <si>
    <t xml:space="preserve">Scenario C
(Unmitigated)</t>
  </si>
  <si>
    <t xml:space="preserve">Ian's Jun 27
+ Jul 26</t>
  </si>
  <si>
    <t xml:space="preserve">Scenario description</t>
  </si>
  <si>
    <t xml:space="preserve">No disruption</t>
  </si>
  <si>
    <t xml:space="preserve">2 WWE PLEs only</t>
  </si>
  <si>
    <t xml:space="preserve">Full ME, US repl</t>
  </si>
  <si>
    <t xml:space="preserve">Full ME, no repl</t>
  </si>
  <si>
    <t xml:space="preserve">2-event move</t>
  </si>
  <si>
    <t xml:space="preserve">Revenue impact ($M)</t>
  </si>
  <si>
    <t xml:space="preserve">EBITDA impact ($M)</t>
  </si>
  <si>
    <t xml:space="preserve">Adjusted 2026E Revenue ($M)</t>
  </si>
  <si>
    <t xml:space="preserve">Adjusted 2026E EBITDA ($M)</t>
  </si>
  <si>
    <t xml:space="preserve">EBITDA hit as % of base</t>
  </si>
  <si>
    <t xml:space="preserve">KEY OBSERVATIONS</t>
  </si>
  <si>
    <t xml:space="preserve">1. Total 2026 at-risk Saudi/ME exposure is $322M revenue and $226M EBITDA - 5.6% and 9.9% of Bernstein 2026E base respectively. These numbers tie exactly to the Mar 26 Unmitigated Bear scenario.</t>
  </si>
  <si>
    <t xml:space="preserve">2. Royal Rumble (Jan 31, $55M rev / $44M EBITDA) is BANKED in Q1 and flows through May 6 regardless of forward-looking disruption. Separated above because it's not at-risk.</t>
  </si>
  <si>
    <t xml:space="preserve">3. Ian's May 6 scenario (Jun 27 NoC + Jul 26 UFC AD FN) represents $95M rev / $69M EBITDA, or ~30% of total at-risk exposure and ~3.0% of 2026E EBITDA.</t>
  </si>
  <si>
    <t xml:space="preserve">4. UFC Abu Dhabi Numbered event ($70M rev, $50M EBITDA) is the largest single at-risk event. DCT-Abu Dhabi is UAE-sovereign (not PIF), so the LIV read-across technically should not affect it.</t>
  </si>
  <si>
    <t xml:space="preserve">5. UFC is the largest property exposure: 4 at-risk events totaling $190M rev / $125M EBITDA, vs. WWE's 2 at-risk PLEs at $110M / $88M. UFC ME is the biggest line item, not WWE.</t>
  </si>
  <si>
    <t xml:space="preserve">6. The 'realistic' scenario remains Scenario A (-$88M, -3.9% of EBITDA): 2 WWE PLEs cancelled only, UFC/Zuffa continuing. Ian's sub-scenario (-$69M) sits inside this.</t>
  </si>
  <si>
    <t xml:space="preserve">SOURCES</t>
  </si>
  <si>
    <t xml:space="preserve">Event-level economics ($322M / $96M / $226M / $56M) and all per-event line items: Bernstein Mar 26, 2026 TKO_ME_Disruption_Model</t>
  </si>
  <si>
    <t xml:space="preserve">Royal Rumble 2026 Jan 31 / $55M: Shapiro Q4 25 earnings call (per WON / 411Mania Feb 28, 2026)</t>
  </si>
  <si>
    <t xml:space="preserve">Night of Champions Jun 27, 2026 Riyadh: WWE corporate press release Apr 23, 2026; confirmed by SI, Wrestletalk, F4W, 411Mania</t>
  </si>
  <si>
    <t xml:space="preserve">UFC Fight Night Jul 26, 2026 Abu Dhabi (Etihad Arena): Experience Abu Dhabi, Etihad Arena, Yas Island official event listings</t>
  </si>
  <si>
    <t xml:space="preserve">DCT-Abu Dhabi partnership: UFC press release Oct 2023; extended through 2028 with one numbered event + Fight Nights in MENA</t>
  </si>
  <si>
    <t xml:space="preserve">Nov Saudi PLE (Crown Jewel projected): TKO Q4 2024 earnings call (Schleimer) - 3 Saudi PLEs guided for 2026</t>
  </si>
  <si>
    <t xml:space="preserve">UFC Qatar: per DCT MENA regional expansion; sizing per Bernstein internal estimates</t>
  </si>
  <si>
    <t xml:space="preserve">Zuffa Boxing Saudi cards: per Shapiro on Zuffa announcement call; $10M mgmt fee + ~$10M per super fight</t>
  </si>
  <si>
    <t xml:space="preserve">TKO 2026E Revenue $5,773M / EBITDA $2,281M; 2027E $5,890M / $2,503M: Bernstein Feb 26, 2026 note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</si>
</sst>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E7E6E6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8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8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8" fillId="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7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9"/>
    <col collapsed="false" customWidth="true" hidden="false" outlineLevel="0" max="3" min="3" style="1" width="32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9" min="6" style="1" width="10"/>
    <col collapsed="false" customWidth="true" hidden="false" outlineLevel="0" max="10" min="10" style="1" width="22"/>
  </cols>
  <sheetData>
    <row r="2" customFormat="false" ht="17.3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  <c r="J5" s="4"/>
    </row>
    <row r="6" customFormat="false" ht="15" hidden="false" customHeight="true" outlineLevel="0" collapsed="false">
      <c r="F6" s="5" t="s">
        <v>3</v>
      </c>
      <c r="G6" s="5" t="s">
        <v>4</v>
      </c>
      <c r="H6" s="6" t="s">
        <v>5</v>
      </c>
      <c r="I6" s="6"/>
      <c r="J6" s="6"/>
    </row>
    <row r="7" customFormat="false" ht="15" hidden="false" customHeight="true" outlineLevel="0" collapsed="false">
      <c r="B7" s="7" t="s">
        <v>6</v>
      </c>
      <c r="C7" s="7"/>
      <c r="D7" s="7"/>
      <c r="E7" s="7"/>
      <c r="F7" s="8" t="n">
        <v>5773</v>
      </c>
      <c r="G7" s="8" t="n">
        <v>5890</v>
      </c>
      <c r="H7" s="9" t="s">
        <v>7</v>
      </c>
      <c r="I7" s="9"/>
      <c r="J7" s="9"/>
    </row>
    <row r="8" customFormat="false" ht="15" hidden="false" customHeight="true" outlineLevel="0" collapsed="false">
      <c r="B8" s="7" t="s">
        <v>8</v>
      </c>
      <c r="C8" s="7"/>
      <c r="D8" s="7"/>
      <c r="E8" s="7"/>
      <c r="F8" s="8" t="n">
        <v>2281</v>
      </c>
      <c r="G8" s="8" t="n">
        <v>2503</v>
      </c>
      <c r="H8" s="9" t="s">
        <v>7</v>
      </c>
      <c r="I8" s="9"/>
      <c r="J8" s="9"/>
    </row>
    <row r="10" customFormat="false" ht="15" hidden="false" customHeight="true" outlineLevel="0" collapsed="false">
      <c r="B10" s="4" t="s">
        <v>9</v>
      </c>
      <c r="C10" s="4"/>
      <c r="D10" s="4"/>
      <c r="E10" s="4"/>
      <c r="F10" s="4"/>
      <c r="G10" s="4"/>
      <c r="H10" s="4"/>
      <c r="I10" s="4"/>
      <c r="J10" s="4"/>
    </row>
    <row r="11" customFormat="false" ht="31.5" hidden="false" customHeight="true" outlineLevel="0" collapsed="false">
      <c r="B11" s="10" t="s">
        <v>10</v>
      </c>
      <c r="C11" s="10" t="s">
        <v>11</v>
      </c>
      <c r="D11" s="10" t="s">
        <v>12</v>
      </c>
      <c r="E11" s="10" t="s">
        <v>13</v>
      </c>
      <c r="F11" s="10" t="s">
        <v>14</v>
      </c>
      <c r="G11" s="10" t="s">
        <v>15</v>
      </c>
      <c r="H11" s="10" t="s">
        <v>16</v>
      </c>
      <c r="I11" s="10" t="s">
        <v>17</v>
      </c>
      <c r="J11" s="10" t="s">
        <v>18</v>
      </c>
    </row>
    <row r="12" customFormat="false" ht="23.85" hidden="false" customHeight="false" outlineLevel="0" collapsed="false">
      <c r="B12" s="11" t="s">
        <v>19</v>
      </c>
      <c r="C12" s="12" t="s">
        <v>20</v>
      </c>
      <c r="D12" s="13" t="s">
        <v>21</v>
      </c>
      <c r="E12" s="12" t="s">
        <v>22</v>
      </c>
      <c r="F12" s="14" t="n">
        <v>55</v>
      </c>
      <c r="G12" s="14" t="n">
        <v>11</v>
      </c>
      <c r="H12" s="14" t="n">
        <v>44</v>
      </c>
      <c r="I12" s="15" t="s">
        <v>23</v>
      </c>
      <c r="J12" s="16" t="s">
        <v>24</v>
      </c>
    </row>
    <row r="14" customFormat="false" ht="15" hidden="false" customHeight="true" outlineLevel="0" collapsed="false">
      <c r="B14" s="4" t="s">
        <v>25</v>
      </c>
      <c r="C14" s="4"/>
      <c r="D14" s="4"/>
      <c r="E14" s="4"/>
      <c r="F14" s="4"/>
      <c r="G14" s="4"/>
      <c r="H14" s="4"/>
      <c r="I14" s="4"/>
      <c r="J14" s="4"/>
    </row>
    <row r="15" customFormat="false" ht="31.5" hidden="false" customHeight="true" outlineLevel="0" collapsed="false">
      <c r="B15" s="10" t="s">
        <v>10</v>
      </c>
      <c r="C15" s="10" t="s">
        <v>11</v>
      </c>
      <c r="D15" s="10" t="s">
        <v>12</v>
      </c>
      <c r="E15" s="10" t="s">
        <v>13</v>
      </c>
      <c r="F15" s="10" t="s">
        <v>14</v>
      </c>
      <c r="G15" s="10" t="s">
        <v>15</v>
      </c>
      <c r="H15" s="10" t="s">
        <v>16</v>
      </c>
      <c r="I15" s="10" t="s">
        <v>17</v>
      </c>
      <c r="J15" s="10" t="s">
        <v>18</v>
      </c>
    </row>
    <row r="16" customFormat="false" ht="15" hidden="false" customHeight="false" outlineLevel="0" collapsed="false">
      <c r="B16" s="17" t="s">
        <v>19</v>
      </c>
      <c r="C16" s="18" t="s">
        <v>26</v>
      </c>
      <c r="D16" s="19" t="s">
        <v>27</v>
      </c>
      <c r="E16" s="18" t="s">
        <v>28</v>
      </c>
      <c r="F16" s="20" t="n">
        <v>55</v>
      </c>
      <c r="G16" s="20" t="n">
        <v>11</v>
      </c>
      <c r="H16" s="20" t="n">
        <v>44</v>
      </c>
      <c r="I16" s="20" t="n">
        <v>13</v>
      </c>
      <c r="J16" s="21" t="s">
        <v>29</v>
      </c>
    </row>
    <row r="17" customFormat="false" ht="15" hidden="false" customHeight="false" outlineLevel="0" collapsed="false">
      <c r="B17" s="22" t="s">
        <v>19</v>
      </c>
      <c r="C17" s="23" t="s">
        <v>30</v>
      </c>
      <c r="D17" s="24" t="s">
        <v>31</v>
      </c>
      <c r="E17" s="23" t="s">
        <v>32</v>
      </c>
      <c r="F17" s="25" t="n">
        <v>55</v>
      </c>
      <c r="G17" s="25" t="n">
        <v>11</v>
      </c>
      <c r="H17" s="25" t="n">
        <v>44</v>
      </c>
      <c r="I17" s="25" t="n">
        <v>13</v>
      </c>
      <c r="J17" s="26" t="s">
        <v>33</v>
      </c>
    </row>
    <row r="18" customFormat="false" ht="15" hidden="false" customHeight="false" outlineLevel="0" collapsed="false">
      <c r="B18" s="27" t="s">
        <v>34</v>
      </c>
      <c r="C18" s="28" t="s">
        <v>35</v>
      </c>
      <c r="D18" s="29" t="s">
        <v>36</v>
      </c>
      <c r="E18" s="28" t="s">
        <v>37</v>
      </c>
      <c r="F18" s="30" t="n">
        <v>70</v>
      </c>
      <c r="G18" s="30" t="n">
        <v>20</v>
      </c>
      <c r="H18" s="30" t="n">
        <v>50</v>
      </c>
      <c r="I18" s="30" t="n">
        <v>15</v>
      </c>
      <c r="J18" s="31" t="s">
        <v>38</v>
      </c>
    </row>
    <row r="19" customFormat="false" ht="15" hidden="false" customHeight="false" outlineLevel="0" collapsed="false">
      <c r="B19" s="22" t="s">
        <v>34</v>
      </c>
      <c r="C19" s="23" t="s">
        <v>39</v>
      </c>
      <c r="D19" s="24" t="s">
        <v>40</v>
      </c>
      <c r="E19" s="23" t="s">
        <v>41</v>
      </c>
      <c r="F19" s="25" t="n">
        <v>40</v>
      </c>
      <c r="G19" s="25" t="n">
        <v>15</v>
      </c>
      <c r="H19" s="25" t="n">
        <v>25</v>
      </c>
      <c r="I19" s="25" t="n">
        <v>5</v>
      </c>
      <c r="J19" s="26" t="s">
        <v>42</v>
      </c>
    </row>
    <row r="20" customFormat="false" ht="15" hidden="false" customHeight="false" outlineLevel="0" collapsed="false">
      <c r="B20" s="17" t="s">
        <v>34</v>
      </c>
      <c r="C20" s="18" t="s">
        <v>43</v>
      </c>
      <c r="D20" s="19" t="s">
        <v>44</v>
      </c>
      <c r="E20" s="18" t="s">
        <v>37</v>
      </c>
      <c r="F20" s="20" t="n">
        <v>40</v>
      </c>
      <c r="G20" s="20" t="n">
        <v>15</v>
      </c>
      <c r="H20" s="20" t="n">
        <v>25</v>
      </c>
      <c r="I20" s="20" t="n">
        <v>5</v>
      </c>
      <c r="J20" s="21" t="s">
        <v>45</v>
      </c>
    </row>
    <row r="21" customFormat="false" ht="15" hidden="false" customHeight="false" outlineLevel="0" collapsed="false">
      <c r="B21" s="22" t="s">
        <v>34</v>
      </c>
      <c r="C21" s="23" t="s">
        <v>46</v>
      </c>
      <c r="D21" s="24" t="s">
        <v>40</v>
      </c>
      <c r="E21" s="23" t="s">
        <v>47</v>
      </c>
      <c r="F21" s="25" t="n">
        <v>40</v>
      </c>
      <c r="G21" s="25" t="n">
        <v>15</v>
      </c>
      <c r="H21" s="25" t="n">
        <v>25</v>
      </c>
      <c r="I21" s="25" t="n">
        <v>5</v>
      </c>
      <c r="J21" s="26" t="s">
        <v>42</v>
      </c>
    </row>
    <row r="22" customFormat="false" ht="15" hidden="false" customHeight="false" outlineLevel="0" collapsed="false">
      <c r="B22" s="27" t="s">
        <v>48</v>
      </c>
      <c r="C22" s="28" t="s">
        <v>49</v>
      </c>
      <c r="D22" s="29" t="s">
        <v>50</v>
      </c>
      <c r="E22" s="28" t="s">
        <v>41</v>
      </c>
      <c r="F22" s="30" t="n">
        <v>22</v>
      </c>
      <c r="G22" s="30" t="n">
        <v>9</v>
      </c>
      <c r="H22" s="30" t="n">
        <v>13</v>
      </c>
      <c r="I22" s="30" t="n">
        <v>0</v>
      </c>
      <c r="J22" s="32" t="s">
        <v>51</v>
      </c>
    </row>
    <row r="24" customFormat="false" ht="15" hidden="false" customHeight="true" outlineLevel="0" collapsed="false">
      <c r="B24" s="33" t="s">
        <v>52</v>
      </c>
      <c r="C24" s="34" t="s">
        <v>53</v>
      </c>
      <c r="D24" s="34"/>
      <c r="E24" s="34"/>
      <c r="F24" s="35" t="n">
        <f aca="false">SUM(F16:F22)</f>
        <v>322</v>
      </c>
      <c r="G24" s="35" t="n">
        <f aca="false">SUM(G16:G22)</f>
        <v>96</v>
      </c>
      <c r="H24" s="35" t="n">
        <f aca="false">SUM(H16:H22)</f>
        <v>226</v>
      </c>
      <c r="I24" s="35" t="n">
        <f aca="false">SUM(I16:I22)</f>
        <v>56</v>
      </c>
      <c r="J24" s="33" t="s">
        <v>54</v>
      </c>
    </row>
    <row r="25" customFormat="false" ht="15" hidden="false" customHeight="true" outlineLevel="0" collapsed="false">
      <c r="B25" s="7" t="s">
        <v>55</v>
      </c>
      <c r="C25" s="7"/>
      <c r="D25" s="7"/>
      <c r="E25" s="7"/>
      <c r="F25" s="30" t="n">
        <f aca="false">F16+F17</f>
        <v>110</v>
      </c>
      <c r="G25" s="30" t="n">
        <f aca="false">G16+G17</f>
        <v>22</v>
      </c>
      <c r="H25" s="30" t="n">
        <f aca="false">H16+H17</f>
        <v>88</v>
      </c>
      <c r="I25" s="30" t="n">
        <f aca="false">I16+I17</f>
        <v>26</v>
      </c>
    </row>
    <row r="26" customFormat="false" ht="15" hidden="false" customHeight="true" outlineLevel="0" collapsed="false">
      <c r="B26" s="7" t="s">
        <v>56</v>
      </c>
      <c r="C26" s="7"/>
      <c r="D26" s="7"/>
      <c r="E26" s="7"/>
      <c r="F26" s="30" t="n">
        <f aca="false">F18+F19+F20+F21</f>
        <v>190</v>
      </c>
      <c r="G26" s="30" t="n">
        <f aca="false">G18+G19+G20+G21</f>
        <v>65</v>
      </c>
      <c r="H26" s="30" t="n">
        <f aca="false">H18+H19+H20+H21</f>
        <v>125</v>
      </c>
      <c r="I26" s="30" t="n">
        <f aca="false">I18+I19+I20+I21</f>
        <v>30</v>
      </c>
    </row>
    <row r="27" customFormat="false" ht="15" hidden="false" customHeight="true" outlineLevel="0" collapsed="false">
      <c r="B27" s="7" t="s">
        <v>57</v>
      </c>
      <c r="C27" s="7"/>
      <c r="D27" s="7"/>
      <c r="E27" s="7"/>
      <c r="F27" s="30" t="n">
        <f aca="false">F22</f>
        <v>22</v>
      </c>
      <c r="G27" s="30" t="n">
        <f aca="false">G22</f>
        <v>9</v>
      </c>
      <c r="H27" s="30" t="n">
        <f aca="false">H22</f>
        <v>13</v>
      </c>
      <c r="I27" s="30" t="n">
        <f aca="false">I22</f>
        <v>0</v>
      </c>
    </row>
    <row r="28" customFormat="false" ht="15" hidden="false" customHeight="true" outlineLevel="0" collapsed="false">
      <c r="B28" s="36" t="s">
        <v>58</v>
      </c>
      <c r="C28" s="36"/>
      <c r="D28" s="36"/>
      <c r="E28" s="36"/>
      <c r="F28" s="37" t="n">
        <f aca="false">F24/$F$7</f>
        <v>0.0557768924302789</v>
      </c>
      <c r="H28" s="37" t="n">
        <f aca="false">H24/$F$8</f>
        <v>0.0990793511617712</v>
      </c>
    </row>
    <row r="30" customFormat="false" ht="15" hidden="false" customHeight="true" outlineLevel="0" collapsed="false">
      <c r="B30" s="4" t="s">
        <v>59</v>
      </c>
      <c r="C30" s="4"/>
      <c r="D30" s="4"/>
      <c r="E30" s="4"/>
      <c r="F30" s="4"/>
      <c r="G30" s="4"/>
      <c r="H30" s="4"/>
      <c r="I30" s="4"/>
      <c r="J30" s="4"/>
    </row>
    <row r="31" customFormat="false" ht="15" hidden="false" customHeight="true" outlineLevel="0" collapsed="false">
      <c r="B31" s="38" t="s">
        <v>60</v>
      </c>
      <c r="C31" s="38"/>
      <c r="D31" s="38"/>
      <c r="E31" s="38"/>
      <c r="F31" s="39" t="n">
        <f aca="false">F16+F20</f>
        <v>95</v>
      </c>
      <c r="G31" s="39" t="n">
        <f aca="false">G16+G20</f>
        <v>26</v>
      </c>
      <c r="H31" s="39" t="n">
        <f aca="false">H16+H20</f>
        <v>69</v>
      </c>
      <c r="I31" s="39" t="n">
        <f aca="false">I16+I20</f>
        <v>18</v>
      </c>
      <c r="J31" s="40" t="s">
        <v>61</v>
      </c>
    </row>
    <row r="32" customFormat="false" ht="15" hidden="false" customHeight="true" outlineLevel="0" collapsed="false">
      <c r="B32" s="7" t="s">
        <v>62</v>
      </c>
      <c r="C32" s="7"/>
      <c r="D32" s="7"/>
      <c r="E32" s="7"/>
      <c r="F32" s="41" t="n">
        <f aca="false">F31/F24</f>
        <v>0.295031055900621</v>
      </c>
      <c r="H32" s="41" t="n">
        <f aca="false">H31/H24</f>
        <v>0.305309734513274</v>
      </c>
    </row>
    <row r="33" customFormat="false" ht="15" hidden="false" customHeight="true" outlineLevel="0" collapsed="false">
      <c r="B33" s="7" t="s">
        <v>63</v>
      </c>
      <c r="C33" s="7"/>
      <c r="D33" s="7"/>
      <c r="E33" s="7"/>
      <c r="F33" s="41" t="n">
        <f aca="false">F31/$F$7</f>
        <v>0.0164559154685605</v>
      </c>
      <c r="H33" s="41" t="n">
        <f aca="false">H31/$F$8</f>
        <v>0.0302498903989478</v>
      </c>
    </row>
    <row r="35" customFormat="false" ht="15" hidden="false" customHeight="true" outlineLevel="0" collapsed="false">
      <c r="B35" s="4" t="s">
        <v>64</v>
      </c>
      <c r="C35" s="4"/>
      <c r="D35" s="4"/>
      <c r="E35" s="4"/>
      <c r="F35" s="4"/>
      <c r="G35" s="4"/>
      <c r="H35" s="4"/>
      <c r="I35" s="4"/>
      <c r="J35" s="4"/>
    </row>
    <row r="36" customFormat="false" ht="31.5" hidden="false" customHeight="true" outlineLevel="0" collapsed="false">
      <c r="B36" s="42"/>
      <c r="C36" s="43"/>
      <c r="D36" s="43"/>
      <c r="E36" s="5" t="s">
        <v>65</v>
      </c>
      <c r="F36" s="5" t="s">
        <v>66</v>
      </c>
      <c r="G36" s="5" t="s">
        <v>67</v>
      </c>
      <c r="H36" s="5" t="s">
        <v>68</v>
      </c>
      <c r="I36" s="5" t="s">
        <v>69</v>
      </c>
    </row>
    <row r="37" customFormat="false" ht="22.35" hidden="false" customHeight="true" outlineLevel="0" collapsed="false">
      <c r="B37" s="38" t="s">
        <v>70</v>
      </c>
      <c r="C37" s="38"/>
      <c r="D37" s="38"/>
      <c r="E37" s="44" t="s">
        <v>71</v>
      </c>
      <c r="F37" s="44" t="s">
        <v>72</v>
      </c>
      <c r="G37" s="44" t="s">
        <v>73</v>
      </c>
      <c r="H37" s="44" t="s">
        <v>74</v>
      </c>
      <c r="I37" s="44" t="s">
        <v>75</v>
      </c>
    </row>
    <row r="38" customFormat="false" ht="15" hidden="false" customHeight="true" outlineLevel="0" collapsed="false">
      <c r="B38" s="7" t="s">
        <v>76</v>
      </c>
      <c r="C38" s="7"/>
      <c r="D38" s="7"/>
      <c r="E38" s="30" t="n">
        <v>0</v>
      </c>
      <c r="F38" s="30" t="n">
        <f aca="false">-F25</f>
        <v>-110</v>
      </c>
      <c r="G38" s="30" t="n">
        <v>-296</v>
      </c>
      <c r="H38" s="30" t="n">
        <f aca="false">-F24</f>
        <v>-322</v>
      </c>
      <c r="I38" s="30" t="n">
        <f aca="false">-F31</f>
        <v>-95</v>
      </c>
    </row>
    <row r="39" customFormat="false" ht="15" hidden="false" customHeight="true" outlineLevel="0" collapsed="false">
      <c r="B39" s="7" t="s">
        <v>77</v>
      </c>
      <c r="C39" s="7"/>
      <c r="D39" s="7"/>
      <c r="E39" s="30" t="n">
        <v>0</v>
      </c>
      <c r="F39" s="30" t="n">
        <f aca="false">-H25</f>
        <v>-88</v>
      </c>
      <c r="G39" s="30" t="n">
        <v>-170</v>
      </c>
      <c r="H39" s="30" t="n">
        <f aca="false">-H24</f>
        <v>-226</v>
      </c>
      <c r="I39" s="30" t="n">
        <f aca="false">-H31</f>
        <v>-69</v>
      </c>
    </row>
    <row r="40" customFormat="false" ht="15" hidden="false" customHeight="true" outlineLevel="0" collapsed="false">
      <c r="B40" s="7" t="s">
        <v>78</v>
      </c>
      <c r="C40" s="7"/>
      <c r="D40" s="7"/>
      <c r="E40" s="30" t="n">
        <f aca="false">$F$7+E38</f>
        <v>5773</v>
      </c>
      <c r="F40" s="30" t="n">
        <f aca="false">$F$7+F38</f>
        <v>5663</v>
      </c>
      <c r="G40" s="30" t="n">
        <f aca="false">$F$7+G38</f>
        <v>5477</v>
      </c>
      <c r="H40" s="30" t="n">
        <f aca="false">$F$7+H38</f>
        <v>5451</v>
      </c>
      <c r="I40" s="30" t="n">
        <f aca="false">$F$7+I38</f>
        <v>5678</v>
      </c>
    </row>
    <row r="41" customFormat="false" ht="15" hidden="false" customHeight="true" outlineLevel="0" collapsed="false">
      <c r="B41" s="7" t="s">
        <v>79</v>
      </c>
      <c r="C41" s="7"/>
      <c r="D41" s="7"/>
      <c r="E41" s="30" t="n">
        <f aca="false">$F$8+E39</f>
        <v>2281</v>
      </c>
      <c r="F41" s="30" t="n">
        <f aca="false">$F$8+F39</f>
        <v>2193</v>
      </c>
      <c r="G41" s="30" t="n">
        <f aca="false">$F$8+G39</f>
        <v>2111</v>
      </c>
      <c r="H41" s="30" t="n">
        <f aca="false">$F$8+H39</f>
        <v>2055</v>
      </c>
      <c r="I41" s="30" t="n">
        <f aca="false">$F$8+I39</f>
        <v>2212</v>
      </c>
    </row>
    <row r="42" customFormat="false" ht="15" hidden="false" customHeight="true" outlineLevel="0" collapsed="false">
      <c r="B42" s="36" t="s">
        <v>80</v>
      </c>
      <c r="C42" s="36"/>
      <c r="D42" s="36"/>
      <c r="E42" s="37" t="n">
        <v>0</v>
      </c>
      <c r="F42" s="37" t="n">
        <f aca="false">F39/$F$8</f>
        <v>-0.0385795703638755</v>
      </c>
      <c r="G42" s="37" t="n">
        <f aca="false">G39/$F$8</f>
        <v>-0.0745287154756686</v>
      </c>
      <c r="H42" s="37" t="n">
        <f aca="false">H39/$F$8</f>
        <v>-0.0990793511617712</v>
      </c>
      <c r="I42" s="37" t="n">
        <f aca="false">I39/$F$8</f>
        <v>-0.0302498903989478</v>
      </c>
    </row>
    <row r="44" customFormat="false" ht="15" hidden="false" customHeight="true" outlineLevel="0" collapsed="false">
      <c r="B44" s="4" t="s">
        <v>81</v>
      </c>
      <c r="C44" s="4"/>
      <c r="D44" s="4"/>
      <c r="E44" s="4"/>
      <c r="F44" s="4"/>
      <c r="G44" s="4"/>
      <c r="H44" s="4"/>
      <c r="I44" s="4"/>
      <c r="J44" s="4"/>
    </row>
    <row r="45" customFormat="false" ht="31.5" hidden="false" customHeight="true" outlineLevel="0" collapsed="false">
      <c r="B45" s="45" t="s">
        <v>82</v>
      </c>
      <c r="C45" s="45"/>
      <c r="D45" s="45"/>
      <c r="E45" s="45"/>
      <c r="F45" s="45"/>
      <c r="G45" s="45"/>
      <c r="H45" s="45"/>
      <c r="I45" s="45"/>
      <c r="J45" s="45"/>
    </row>
    <row r="46" customFormat="false" ht="31.5" hidden="false" customHeight="true" outlineLevel="0" collapsed="false">
      <c r="B46" s="45" t="s">
        <v>83</v>
      </c>
      <c r="C46" s="45"/>
      <c r="D46" s="45"/>
      <c r="E46" s="45"/>
      <c r="F46" s="45"/>
      <c r="G46" s="45"/>
      <c r="H46" s="45"/>
      <c r="I46" s="45"/>
      <c r="J46" s="45"/>
    </row>
    <row r="47" customFormat="false" ht="31.5" hidden="false" customHeight="true" outlineLevel="0" collapsed="false">
      <c r="B47" s="45" t="s">
        <v>84</v>
      </c>
      <c r="C47" s="45"/>
      <c r="D47" s="45"/>
      <c r="E47" s="45"/>
      <c r="F47" s="45"/>
      <c r="G47" s="45"/>
      <c r="H47" s="45"/>
      <c r="I47" s="45"/>
      <c r="J47" s="45"/>
    </row>
    <row r="48" customFormat="false" ht="31.5" hidden="false" customHeight="true" outlineLevel="0" collapsed="false">
      <c r="B48" s="45" t="s">
        <v>85</v>
      </c>
      <c r="C48" s="45"/>
      <c r="D48" s="45"/>
      <c r="E48" s="45"/>
      <c r="F48" s="45"/>
      <c r="G48" s="45"/>
      <c r="H48" s="45"/>
      <c r="I48" s="45"/>
      <c r="J48" s="45"/>
    </row>
    <row r="49" customFormat="false" ht="31.5" hidden="false" customHeight="true" outlineLevel="0" collapsed="false">
      <c r="B49" s="45" t="s">
        <v>86</v>
      </c>
      <c r="C49" s="45"/>
      <c r="D49" s="45"/>
      <c r="E49" s="45"/>
      <c r="F49" s="45"/>
      <c r="G49" s="45"/>
      <c r="H49" s="45"/>
      <c r="I49" s="45"/>
      <c r="J49" s="45"/>
    </row>
    <row r="50" customFormat="false" ht="31.5" hidden="false" customHeight="true" outlineLevel="0" collapsed="false">
      <c r="B50" s="45" t="s">
        <v>87</v>
      </c>
      <c r="C50" s="45"/>
      <c r="D50" s="45"/>
      <c r="E50" s="45"/>
      <c r="F50" s="45"/>
      <c r="G50" s="45"/>
      <c r="H50" s="45"/>
      <c r="I50" s="45"/>
      <c r="J50" s="45"/>
    </row>
    <row r="52" customFormat="false" ht="15" hidden="false" customHeight="true" outlineLevel="0" collapsed="false">
      <c r="B52" s="38" t="s">
        <v>88</v>
      </c>
      <c r="C52" s="38"/>
      <c r="D52" s="38"/>
      <c r="E52" s="38"/>
      <c r="F52" s="38"/>
      <c r="G52" s="38"/>
      <c r="H52" s="38"/>
      <c r="I52" s="38"/>
      <c r="J52" s="38"/>
    </row>
    <row r="53" customFormat="false" ht="15.75" hidden="false" customHeight="true" outlineLevel="0" collapsed="false">
      <c r="B53" s="9" t="s">
        <v>89</v>
      </c>
      <c r="C53" s="9"/>
      <c r="D53" s="9"/>
      <c r="E53" s="9"/>
      <c r="F53" s="9"/>
      <c r="G53" s="9"/>
      <c r="H53" s="9"/>
      <c r="I53" s="9"/>
      <c r="J53" s="9"/>
    </row>
    <row r="54" customFormat="false" ht="15.75" hidden="false" customHeight="true" outlineLevel="0" collapsed="false">
      <c r="B54" s="9" t="s">
        <v>90</v>
      </c>
      <c r="C54" s="9"/>
      <c r="D54" s="9"/>
      <c r="E54" s="9"/>
      <c r="F54" s="9"/>
      <c r="G54" s="9"/>
      <c r="H54" s="9"/>
      <c r="I54" s="9"/>
      <c r="J54" s="9"/>
    </row>
    <row r="55" customFormat="false" ht="15.75" hidden="false" customHeight="true" outlineLevel="0" collapsed="false">
      <c r="B55" s="9" t="s">
        <v>91</v>
      </c>
      <c r="C55" s="9"/>
      <c r="D55" s="9"/>
      <c r="E55" s="9"/>
      <c r="F55" s="9"/>
      <c r="G55" s="9"/>
      <c r="H55" s="9"/>
      <c r="I55" s="9"/>
      <c r="J55" s="9"/>
    </row>
    <row r="56" customFormat="false" ht="15.75" hidden="false" customHeight="true" outlineLevel="0" collapsed="false">
      <c r="B56" s="9" t="s">
        <v>92</v>
      </c>
      <c r="C56" s="9"/>
      <c r="D56" s="9"/>
      <c r="E56" s="9"/>
      <c r="F56" s="9"/>
      <c r="G56" s="9"/>
      <c r="H56" s="9"/>
      <c r="I56" s="9"/>
      <c r="J56" s="9"/>
    </row>
    <row r="57" customFormat="false" ht="15.75" hidden="false" customHeight="true" outlineLevel="0" collapsed="false">
      <c r="B57" s="9" t="s">
        <v>93</v>
      </c>
      <c r="C57" s="9"/>
      <c r="D57" s="9"/>
      <c r="E57" s="9"/>
      <c r="F57" s="9"/>
      <c r="G57" s="9"/>
      <c r="H57" s="9"/>
      <c r="I57" s="9"/>
      <c r="J57" s="9"/>
    </row>
    <row r="58" customFormat="false" ht="15.75" hidden="false" customHeight="true" outlineLevel="0" collapsed="false">
      <c r="B58" s="9" t="s">
        <v>94</v>
      </c>
      <c r="C58" s="9"/>
      <c r="D58" s="9"/>
      <c r="E58" s="9"/>
      <c r="F58" s="9"/>
      <c r="G58" s="9"/>
      <c r="H58" s="9"/>
      <c r="I58" s="9"/>
      <c r="J58" s="9"/>
    </row>
    <row r="59" customFormat="false" ht="15.75" hidden="false" customHeight="true" outlineLevel="0" collapsed="false">
      <c r="B59" s="9" t="s">
        <v>95</v>
      </c>
      <c r="C59" s="9"/>
      <c r="D59" s="9"/>
      <c r="E59" s="9"/>
      <c r="F59" s="9"/>
      <c r="G59" s="9"/>
      <c r="H59" s="9"/>
      <c r="I59" s="9"/>
      <c r="J59" s="9"/>
    </row>
    <row r="60" customFormat="false" ht="15.75" hidden="false" customHeight="true" outlineLevel="0" collapsed="false">
      <c r="B60" s="9" t="s">
        <v>96</v>
      </c>
      <c r="C60" s="9"/>
      <c r="D60" s="9"/>
      <c r="E60" s="9"/>
      <c r="F60" s="9"/>
      <c r="G60" s="9"/>
      <c r="H60" s="9"/>
      <c r="I60" s="9"/>
      <c r="J60" s="9"/>
    </row>
    <row r="61" customFormat="false" ht="15.75" hidden="false" customHeight="true" outlineLevel="0" collapsed="false">
      <c r="B61" s="9" t="s">
        <v>97</v>
      </c>
      <c r="C61" s="9"/>
      <c r="D61" s="9"/>
      <c r="E61" s="9"/>
      <c r="F61" s="9"/>
      <c r="G61" s="9"/>
      <c r="H61" s="9"/>
      <c r="I61" s="9"/>
      <c r="J61" s="9"/>
    </row>
  </sheetData>
  <mergeCells count="44">
    <mergeCell ref="B2:J2"/>
    <mergeCell ref="B3:J3"/>
    <mergeCell ref="B5:J5"/>
    <mergeCell ref="H6:J6"/>
    <mergeCell ref="B7:E7"/>
    <mergeCell ref="H7:J7"/>
    <mergeCell ref="B8:E8"/>
    <mergeCell ref="H8:J8"/>
    <mergeCell ref="B10:J10"/>
    <mergeCell ref="B14:J14"/>
    <mergeCell ref="C24:E24"/>
    <mergeCell ref="B25:E25"/>
    <mergeCell ref="B26:E26"/>
    <mergeCell ref="B27:E27"/>
    <mergeCell ref="B28:E28"/>
    <mergeCell ref="B30:J30"/>
    <mergeCell ref="B31:E31"/>
    <mergeCell ref="B32:E32"/>
    <mergeCell ref="B33:E33"/>
    <mergeCell ref="B35:J35"/>
    <mergeCell ref="C36:D36"/>
    <mergeCell ref="B37:D37"/>
    <mergeCell ref="B38:D38"/>
    <mergeCell ref="B39:D39"/>
    <mergeCell ref="B40:D40"/>
    <mergeCell ref="B41:D41"/>
    <mergeCell ref="B42:D42"/>
    <mergeCell ref="B44:J44"/>
    <mergeCell ref="B45:J45"/>
    <mergeCell ref="B46:J46"/>
    <mergeCell ref="B47:J47"/>
    <mergeCell ref="B48:J48"/>
    <mergeCell ref="B49:J49"/>
    <mergeCell ref="B50:J50"/>
    <mergeCell ref="B52:J52"/>
    <mergeCell ref="B53:J53"/>
    <mergeCell ref="B54:J54"/>
    <mergeCell ref="B55:J55"/>
    <mergeCell ref="B56:J56"/>
    <mergeCell ref="B57:J57"/>
    <mergeCell ref="B58:J58"/>
    <mergeCell ref="B59:J59"/>
    <mergeCell ref="B60:J60"/>
    <mergeCell ref="B61:J61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2026-04-23T21:35:32Z</dcterms:created>
  <dc:creator>openpyxl</dc:creator>
  <dc:description/>
  <dc:language>en-US</dc:language>
  <cp:lastModifiedBy/>
  <dcterms:modified xsi:type="dcterms:W3CDTF">2026-04-23T21:35:32Z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