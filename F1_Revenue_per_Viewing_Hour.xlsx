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 &amp; Methodology" sheetId="1" state="visible" r:id="rId3"/>
    <sheet name="Inputs" sheetId="2" state="visible" r:id="rId4"/>
    <sheet name="Analysis - Global" sheetId="3" state="visible" r:id="rId5"/>
    <sheet name="Analysis - US" sheetId="4" state="visible" r:id="rId6"/>
    <sheet name="Char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<sst xmlns="http://schemas.openxmlformats.org/spreadsheetml/2006/main" count="164" uniqueCount="118">
  <si>
    <t xml:space="preserve">Revenue per Viewing Hour — Formula 1 vs. Major Sports</t>
  </si>
  <si>
    <t xml:space="preserve">How efficiently each sport converts audience attention into media-rights and total commercial revenue</t>
  </si>
  <si>
    <t xml:space="preserve">Prepared: June 2026  |  Currency: USD  |  All figures most-recent reported full season</t>
  </si>
  <si>
    <t xml:space="preserve">1.  THE QUESTION</t>
  </si>
  <si>
    <t xml:space="preserve">The client asked: for each dollar of media-rights revenue (and each dollar of total commercial revenue),</t>
  </si>
  <si>
    <t xml:space="preserve">how many hours of live audience attention does the sport generate?  Equivalently — what is revenue PER</t>
  </si>
  <si>
    <t xml:space="preserve">VIEWING HOUR?  A low $/hour means the sport delivers a great deal of attention relative to what it earns;</t>
  </si>
  <si>
    <t xml:space="preserve">a high $/hour means it monetizes each hour of attention very richly (scarce, premium inventory).</t>
  </si>
  <si>
    <t xml:space="preserve">2.  HOW 'VIEWING HOURS' ARE BUILT</t>
  </si>
  <si>
    <t xml:space="preserve">Live viewing hours  =  average live audience per event  ×  number of events  ×  live broadcast hours per event.</t>
  </si>
  <si>
    <t xml:space="preserve">This estimates total fan-hours of live attention across a season. Broadcast duration and event counts are</t>
  </si>
  <si>
    <t xml:space="preserve">ASSUMPTIONS (shaded yellow in the Inputs tab) — change them to flex the model. Where a league publishes a</t>
  </si>
  <si>
    <t xml:space="preserve">direct viewing-hours figure (e.g. the NBA's 920M national hours, 2025-26) the assumptions are calibrated to it.</t>
  </si>
  <si>
    <t xml:space="preserve">3.  TWO SCOPES — KEPT SEPARATE ON PURPOSE</t>
  </si>
  <si>
    <t xml:space="preserve">Revenue and audience must cover the SAME territory, or the ratio is meaningless. So we use two panels:</t>
  </si>
  <si>
    <t xml:space="preserve">   • GLOBAL panel  — single global rights properties measured worldwide: F1, MotoGP, Premier League,</t>
  </si>
  <si>
    <t xml:space="preserve">     UEFA Champions League. Global media rights ÷ global viewing hours.</t>
  </si>
  <si>
    <t xml:space="preserve">   • U.S. panel  — measured on U.S. NATIONAL telecasts only: NFL, NBA, MLB, NHL, plus F1's U.S. slice.</t>
  </si>
  <si>
    <t xml:space="preserve">     U.S. national media rights ÷ U.S. national viewing hours.</t>
  </si>
  <si>
    <t xml:space="preserve">F1 appears in BOTH panels (its global economics and its U.S.-only economics).</t>
  </si>
  <si>
    <t xml:space="preserve">4.  KEY CAVEATS  (read before quoting any number)</t>
  </si>
  <si>
    <t xml:space="preserve">a) U.S. team-sport LOCAL viewing is excluded. NBA, MLB and NHL sell most games on regional sports networks.</t>
  </si>
  <si>
    <t xml:space="preserve">   The U.S. panel captures only NATIONAL windows, so their media-rights-per-hour looks HIGH (lots of national</t>
  </si>
  <si>
    <t xml:space="preserve">   dollars over few national hours). Adding local games would raise viewing hours and lower these figures.</t>
  </si>
  <si>
    <t xml:space="preserve">b) 'Total revenue per hour' for U.S. team sports divides LEAGUE-WIDE revenue by NATIONAL-only hours — it is</t>
  </si>
  <si>
    <t xml:space="preserve">   directional only. Media-rights-per-hour is the cleaner, like-for-like headline metric.</t>
  </si>
  <si>
    <t xml:space="preserve">c) Global audience figures (F1 cumulative, EPL cumulative) mix linear + OTT and are promoter/Nielsen-reported;</t>
  </si>
  <si>
    <t xml:space="preserve">   methodology differs by sport. Treat cross-sport comparisons as DIRECTIONAL, not precise to the cent.</t>
  </si>
  <si>
    <t xml:space="preserve">d) Confidence is flagged per sport in the Inputs tab (High / Medium / Low). MotoGP audience (Nielsen 2020) and</t>
  </si>
  <si>
    <t xml:space="preserve">   the two football leagues' per-match global audience are the weakest data points.</t>
  </si>
  <si>
    <t xml:space="preserve">5.  COLOR KEY</t>
  </si>
  <si>
    <t xml:space="preserve">Blue text</t>
  </si>
  <si>
    <t xml:space="preserve">Hardcoded input (sourced)</t>
  </si>
  <si>
    <t xml:space="preserve">Black text</t>
  </si>
  <si>
    <t xml:space="preserve">Formula / calculation</t>
  </si>
  <si>
    <t xml:space="preserve">Green text</t>
  </si>
  <si>
    <t xml:space="preserve">Pulls from another worksheet</t>
  </si>
  <si>
    <t xml:space="preserve">Yellow cell</t>
  </si>
  <si>
    <t xml:space="preserve">Editable assumption (duration, event count)</t>
  </si>
  <si>
    <t xml:space="preserve">6.  PRIMARY SOURCES</t>
  </si>
  <si>
    <t xml:space="preserve">F1 &amp; MotoGP financials</t>
  </si>
  <si>
    <t xml:space="preserve">Liberty Media Corp. Q4/FY2025 results, 26 Feb 2026 (libertymedia.com). F1 media-rights = 31.3% of total F1 revenue; MotoGP media-rights = 41.2%.</t>
  </si>
  <si>
    <t xml:space="preserve">F1 global audience</t>
  </si>
  <si>
    <t xml:space="preserve">Nielsen via Broadcast/BlackBook Motorsport, Mar 2026: 1.83bn cumulative; 76.1M average per Grand Prix (2025, excl. YouTube).</t>
  </si>
  <si>
    <t xml:space="preserve">F1 U.S. rights</t>
  </si>
  <si>
    <t xml:space="preserve">Apple–F1 5-yr deal ~$140M/yr from 2026 (Sportcal, CNBC, Hollywood Reporter, Oct 2025); ESPN paid ~$85–90M/yr (2025).</t>
  </si>
  <si>
    <t xml:space="preserve">F1 U.S. audience</t>
  </si>
  <si>
    <t xml:space="preserve">ESPN / BlackBook: 1.32M average per race on U.S. TV (2025 season).</t>
  </si>
  <si>
    <t xml:space="preserve">MotoGP audience</t>
  </si>
  <si>
    <t xml:space="preserve">Nielsen Sport 2020 via RTR Sports: 24.2M average audience per race (dated — flagged Low confidence).</t>
  </si>
  <si>
    <t xml:space="preserve">NFL</t>
  </si>
  <si>
    <t xml:space="preserve">Front Office Sports / Nielsen: 17.5M avg per game (2024). Rights ~$10B/yr core (S&amp;P Kagan/Statista; up to ~$12.4B incl. Sunday Ticket). Revenue ~$23B (Sportsnaut).</t>
  </si>
  <si>
    <t xml:space="preserve">NBA</t>
  </si>
  <si>
    <t xml:space="preserve">NBA.com / ESPN, Apr 2026: 920M+ national viewing hours, 1.78M avg per game (2025-26); $76B / 11-yr rights = ~$6.9B/yr; total revenue ~$11B (est.).</t>
  </si>
  <si>
    <t xml:space="preserve">MLB</t>
  </si>
  <si>
    <t xml:space="preserve">CNBC / Sportico, Nov 2025: national rights ~$1.7B/yr; 1.8–2.28M avg per national game; total league revenue ~$12.1B (incl. local).</t>
  </si>
  <si>
    <t xml:space="preserve">NHL</t>
  </si>
  <si>
    <t xml:space="preserve">Sportico / Sports Media Watch: 435–504K avg per national game; ESPN+TNT U.S. rights ~$625M/yr; total league revenue ~$6.8B.</t>
  </si>
  <si>
    <t xml:space="preserve">Premier League</t>
  </si>
  <si>
    <t xml:space="preserve">arthnova / theesk / footballtransfers 2025-26: media rights ~£3.84B (~$4.8B)/yr; 380 matches; cumulative global audience ~3.2bn.</t>
  </si>
  <si>
    <t xml:space="preserve">Champions League</t>
  </si>
  <si>
    <t xml:space="preserve">Statista / GlobalData / businesstats: ~€3.3B media rights (2023/24) rising with 36-team format; total ~$4–5B; ~189 matches. Per-match global audience estimated.</t>
  </si>
  <si>
    <t xml:space="preserve">INPUTS — sourced figures &amp; editable assumptions</t>
  </si>
  <si>
    <t xml:space="preserve">Blue = sourced input.  Yellow = assumption you can change.  Revenue in $ millions; audience in millions.</t>
  </si>
  <si>
    <t xml:space="preserve">Sport</t>
  </si>
  <si>
    <t xml:space="preserve">Year</t>
  </si>
  <si>
    <t xml:space="preserve">Media rights
($mm)</t>
  </si>
  <si>
    <t xml:space="preserve">Core/primary
revenue ($mm)</t>
  </si>
  <si>
    <t xml:space="preserve">Total revenue
($mm)</t>
  </si>
  <si>
    <t xml:space="preserve">Avg live aud.
per event (mm)</t>
  </si>
  <si>
    <t xml:space="preserve">Events
(#)</t>
  </si>
  <si>
    <t xml:space="preserve">Bcast hrs
per event</t>
  </si>
  <si>
    <t xml:space="preserve">VH
conf.</t>
  </si>
  <si>
    <t xml:space="preserve">Scope</t>
  </si>
  <si>
    <t xml:space="preserve">Source / notes</t>
  </si>
  <si>
    <t xml:space="preserve">GLOBAL  (worldwide rights &amp; audience)</t>
  </si>
  <si>
    <t xml:space="preserve">Formula 1</t>
  </si>
  <si>
    <t xml:space="preserve">2025</t>
  </si>
  <si>
    <t xml:space="preserve">Med</t>
  </si>
  <si>
    <t xml:space="preserve">Global</t>
  </si>
  <si>
    <t xml:space="preserve">Liberty FY2025: total F1 rev $3,873M; media 31.3%=$1,212M; primary $3,086M. Nielsen 2025: 76.1M avg/GP.</t>
  </si>
  <si>
    <t xml:space="preserve">MotoGP</t>
  </si>
  <si>
    <t xml:space="preserve">Low</t>
  </si>
  <si>
    <t xml:space="preserve">Liberty FY2025: total $573M; media 41.2%=$236M; primary $502M. Nielsen Sport 2020: 24.2M avg/race (dated).</t>
  </si>
  <si>
    <t xml:space="preserve">2025/26</t>
  </si>
  <si>
    <t xml:space="preserve">Media ~£3.84B≈$4.8B/yr; +central sponsorship≈$0.3B. Cumulative 3.2bn / 380 = 8.4M avg/match (estimate).</t>
  </si>
  <si>
    <t xml:space="preserve">2024/25</t>
  </si>
  <si>
    <t xml:space="preserve">V.Low</t>
  </si>
  <si>
    <t xml:space="preserve">Media ~€3.3B≈$3.6B; total $4–5B. 36-team format ~189 matches. Per-match global audience 20M = estimate.</t>
  </si>
  <si>
    <t xml:space="preserve">U.S.  (national telecasts only)</t>
  </si>
  <si>
    <t xml:space="preserve">Formula 1 (U.S.)</t>
  </si>
  <si>
    <t xml:space="preserve">2026</t>
  </si>
  <si>
    <t xml:space="preserve">n/a</t>
  </si>
  <si>
    <t xml:space="preserve">U.S. national</t>
  </si>
  <si>
    <t xml:space="preserve">Apple deal ~$140M/yr (2026-30). ESPN 1.32M avg/race U.S. (2025).</t>
  </si>
  <si>
    <t xml:space="preserve">2024</t>
  </si>
  <si>
    <t xml:space="preserve">Core national rights ~$10B/yr (up to ~$12.4B incl. Sunday Ticket). Rev ~$23B. 17.5M avg/game; 272 reg-season games.</t>
  </si>
  <si>
    <t xml:space="preserve">$76B/11yr=$6.9B/yr. 1.78M avg/game; 207 national telecasts × 2.5h ≈ 920M hrs (matches league-published). Total rev ~$11B.</t>
  </si>
  <si>
    <t xml:space="preserve">National rights ~$1.7B/yr. ~1.9M avg/national game; ~130 national telecasts. Total league rev ~$12.1B (mostly local/gate).</t>
  </si>
  <si>
    <t xml:space="preserve">ESPN+TNT U.S. rights ~$625M/yr. ~0.50M avg/national game; ~126 national telecasts. Total league rev ~$6.8B.</t>
  </si>
  <si>
    <t xml:space="preserve">GLOBAL PANEL — revenue per worldwide viewing hour</t>
  </si>
  <si>
    <t xml:space="preserve">Global media-rights / total revenue ÷ global live viewing hours. Lower $ = more attention per revenue dollar; higher $ = richer monetization per hour.</t>
  </si>
  <si>
    <t xml:space="preserve">Primary rev.
($mm)</t>
  </si>
  <si>
    <t xml:space="preserve">Total rev.
($mm)</t>
  </si>
  <si>
    <t xml:space="preserve">Viewing hrs
(mm)</t>
  </si>
  <si>
    <t xml:space="preserve">MEDIA RIGHTS
per view-hr ($)</t>
  </si>
  <si>
    <t xml:space="preserve">PRIMARY rev.
per view-hr ($)</t>
  </si>
  <si>
    <t xml:space="preserve">TOTAL rev.
per view-hr ($)</t>
  </si>
  <si>
    <t xml:space="preserve">Conf.</t>
  </si>
  <si>
    <t xml:space="preserve">Viewing hours = avg audience/event × events × broadcast hrs (Inputs tab). F1 'Primary revenue' = race promotion + media rights + sponsorship (Liberty's defined segment).</t>
  </si>
  <si>
    <t xml:space="preserve">Read-across: F1 generates enormous global viewing hours, so its MEDIA-RIGHTS per hour is modest — but its diversified model lifts TOTAL revenue per hour well above peers.</t>
  </si>
  <si>
    <t xml:space="preserve">U.S. PANEL — revenue per U.S. NATIONAL viewing hour</t>
  </si>
  <si>
    <t xml:space="preserve">U.S. national media rights ÷ U.S. national viewing hours. Note: NBA/MLB/NHL exclude large LOCAL/RSN viewing — see README caveats. Media-rights/hr is the clean metric.</t>
  </si>
  <si>
    <t xml:space="preserve">CAUTION: NBA/MLB/NHL 'Total rev. per hr' divides LEAGUE-WIDE revenue by NATIONAL-only viewing hours and overstates true per-hour value. Use MEDIA-RIGHTS per hour for like-for-like.</t>
  </si>
  <si>
    <t xml:space="preserve">NBA viewing hours (≈920M) reproduce the league's own published national figure. F1's U.S. slice monetizes each national hour richly given its small but premium U.S. audience.</t>
  </si>
  <si>
    <t xml:space="preserve">Charts — revenue per viewing hour</t>
  </si>
  <si>
    <t xml:space="preserve">Bars read from the Analysis tabs. See README for scope and caveats.</t>
  </si>
  <si>
    <t xml:space="preserve">* league-wide revenue ÷ national-only hours — directional only (see caveats).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</si>
</sst>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\$#,##0"/>
    <numFmt numFmtId="167" formatCode="#,##0.0"/>
    <numFmt numFmtId="168" formatCode="#,##0"/>
    <numFmt numFmtId="169" formatCode="0.0"/>
    <numFmt numFmtId="170" formatCode="\$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BF8F00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i val="true"/>
      <sz val="8"/>
      <color rgb="FF37562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CE4D6"/>
        <bgColor rgb="FFF2F5FA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339966"/>
      <rgbColor rgb="FF003300"/>
      <rgbColor rgb="FF375623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Global — MEDIA RIGHTS per viewing hour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- Global'!$B$6:$B$9</c:f>
              <c:strCache>
                <c:ptCount val="4"/>
                <c:pt idx="0">
                  <c:v>Formula 1</c:v>
                </c:pt>
                <c:pt idx="1">
                  <c:v>MotoGP</c:v>
                </c:pt>
                <c:pt idx="2">
                  <c:v>Premier League</c:v>
                </c:pt>
                <c:pt idx="3">
                  <c:v>Champions League</c:v>
                </c:pt>
              </c:strCache>
            </c:strRef>
          </c:cat>
          <c:val>
            <c:numRef>
              <c:f>'Analysis - Global'!$G$6:$G$9</c:f>
              <c:numCache>
                <c:formatCode>\$0.00</c:formatCode>
                <c:ptCount val="4"/>
                <c:pt idx="0">
                  <c:v>0.331800262812089</c:v>
                </c:pt>
                <c:pt idx="1">
                  <c:v>0.443275732531931</c:v>
                </c:pt>
                <c:pt idx="2">
                  <c:v>0.75187969924812</c:v>
                </c:pt>
                <c:pt idx="3">
                  <c:v>0.476190476190476</c:v>
                </c:pt>
              </c:numCache>
            </c:numRef>
          </c:val>
        </c:ser>
        <c:gapWidth val="150"/>
        <c:overlap val="0"/>
        <c:axId val="45282260"/>
        <c:axId val="22221825"/>
      </c:barChart>
      <c:catAx>
        <c:axId val="45282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21825"/>
        <c:crosses val="autoZero"/>
        <c:auto val="1"/>
        <c:lblAlgn val="ctr"/>
        <c:lblOffset val="100"/>
        <c:noMultiLvlLbl val="0"/>
      </c:catAx>
      <c:valAx>
        <c:axId val="222218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viewing 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822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Global — TOTAL revenue per viewing hour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- Global'!$B$6:$B$9</c:f>
              <c:strCache>
                <c:ptCount val="4"/>
                <c:pt idx="0">
                  <c:v>Formula 1</c:v>
                </c:pt>
                <c:pt idx="1">
                  <c:v>MotoGP</c:v>
                </c:pt>
                <c:pt idx="2">
                  <c:v>Premier League</c:v>
                </c:pt>
                <c:pt idx="3">
                  <c:v>Champions League</c:v>
                </c:pt>
              </c:strCache>
            </c:strRef>
          </c:cat>
          <c:val>
            <c:numRef>
              <c:f>'Analysis - Global'!$I$6:$I$9</c:f>
              <c:numCache>
                <c:formatCode>\$0.00</c:formatCode>
                <c:ptCount val="4"/>
                <c:pt idx="0">
                  <c:v>1.06028252299606</c:v>
                </c:pt>
                <c:pt idx="1">
                  <c:v>1.07625845229151</c:v>
                </c:pt>
                <c:pt idx="2">
                  <c:v>0.798872180451128</c:v>
                </c:pt>
                <c:pt idx="3">
                  <c:v>0.595238095238095</c:v>
                </c:pt>
              </c:numCache>
            </c:numRef>
          </c:val>
        </c:ser>
        <c:gapWidth val="150"/>
        <c:overlap val="0"/>
        <c:axId val="11909677"/>
        <c:axId val="68836480"/>
      </c:barChart>
      <c:catAx>
        <c:axId val="119096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36480"/>
        <c:crosses val="autoZero"/>
        <c:auto val="1"/>
        <c:lblAlgn val="ctr"/>
        <c:lblOffset val="100"/>
        <c:noMultiLvlLbl val="0"/>
      </c:catAx>
      <c:valAx>
        <c:axId val="68836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viewing 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096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U.S. — MEDIA RIGHTS per national viewing hour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- US'!$B$6:$B$10</c:f>
              <c:strCache>
                <c:ptCount val="5"/>
                <c:pt idx="0">
                  <c:v>Formula 1 (U.S.)</c:v>
                </c:pt>
                <c:pt idx="1">
                  <c:v>NFL</c:v>
                </c:pt>
                <c:pt idx="2">
                  <c:v>NBA</c:v>
                </c:pt>
                <c:pt idx="3">
                  <c:v>MLB</c:v>
                </c:pt>
                <c:pt idx="4">
                  <c:v>NHL</c:v>
                </c:pt>
              </c:strCache>
            </c:strRef>
          </c:cat>
          <c:val>
            <c:numRef>
              <c:f>'Analysis - US'!$F$6:$F$10</c:f>
              <c:numCache>
                <c:formatCode>\$0.00</c:formatCode>
                <c:ptCount val="5"/>
                <c:pt idx="0">
                  <c:v>2.20959595959596</c:v>
                </c:pt>
                <c:pt idx="1">
                  <c:v>0.700280112044818</c:v>
                </c:pt>
                <c:pt idx="2">
                  <c:v>7.49063670411985</c:v>
                </c:pt>
                <c:pt idx="3">
                  <c:v>2.29419703103914</c:v>
                </c:pt>
                <c:pt idx="4">
                  <c:v>3.96825396825397</c:v>
                </c:pt>
              </c:numCache>
            </c:numRef>
          </c:val>
        </c:ser>
        <c:gapWidth val="150"/>
        <c:overlap val="0"/>
        <c:axId val="88628223"/>
        <c:axId val="12422263"/>
      </c:barChart>
      <c:catAx>
        <c:axId val="8862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22263"/>
        <c:crosses val="autoZero"/>
        <c:auto val="1"/>
        <c:lblAlgn val="ctr"/>
        <c:lblOffset val="100"/>
        <c:noMultiLvlLbl val="0"/>
      </c:catAx>
      <c:valAx>
        <c:axId val="12422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viewing 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282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U.S. — TOTAL revenue per national viewing hour ($)*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- US'!$B$6:$B$10</c:f>
              <c:strCache>
                <c:ptCount val="5"/>
                <c:pt idx="0">
                  <c:v>Formula 1 (U.S.)</c:v>
                </c:pt>
                <c:pt idx="1">
                  <c:v>NFL</c:v>
                </c:pt>
                <c:pt idx="2">
                  <c:v>NBA</c:v>
                </c:pt>
                <c:pt idx="3">
                  <c:v>MLB</c:v>
                </c:pt>
                <c:pt idx="4">
                  <c:v>NHL</c:v>
                </c:pt>
              </c:strCache>
            </c:strRef>
          </c:cat>
          <c:val>
            <c:numRef>
              <c:f>'Analysis - US'!$G$6:$G$10</c:f>
              <c:numCache>
                <c:formatCode>\$0.00</c:formatCode>
                <c:ptCount val="5"/>
                <c:pt idx="1">
                  <c:v>1.61064425770308</c:v>
                </c:pt>
                <c:pt idx="2">
                  <c:v>11.9415947456983</c:v>
                </c:pt>
                <c:pt idx="3">
                  <c:v>16.3292847503374</c:v>
                </c:pt>
                <c:pt idx="4">
                  <c:v>43.1746031746032</c:v>
                </c:pt>
              </c:numCache>
            </c:numRef>
          </c:val>
        </c:ser>
        <c:gapWidth val="150"/>
        <c:overlap val="0"/>
        <c:axId val="87329340"/>
        <c:axId val="15630643"/>
      </c:barChart>
      <c:catAx>
        <c:axId val="873293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30643"/>
        <c:crosses val="autoZero"/>
        <c:auto val="1"/>
        <c:lblAlgn val="ctr"/>
        <c:lblOffset val="100"/>
        <c:noMultiLvlLbl val="0"/>
      </c:catAx>
      <c:valAx>
        <c:axId val="156306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viewing 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293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176040</xdr:rowOff>
    </xdr:from>
    <xdr:to>
      <xdr:col>10</xdr:col>
      <xdr:colOff>256320</xdr:colOff>
      <xdr:row>19</xdr:row>
      <xdr:rowOff>7560</xdr:rowOff>
    </xdr:to>
    <xdr:graphicFrame>
      <xdr:nvGraphicFramePr>
        <xdr:cNvPr id="0" name="Chart 1"/>
        <xdr:cNvGraphicFramePr/>
      </xdr:nvGraphicFramePr>
      <xdr:xfrm>
        <a:off x="61164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176040</xdr:rowOff>
    </xdr:from>
    <xdr:to>
      <xdr:col>10</xdr:col>
      <xdr:colOff>256320</xdr:colOff>
      <xdr:row>36</xdr:row>
      <xdr:rowOff>7560</xdr:rowOff>
    </xdr:to>
    <xdr:graphicFrame>
      <xdr:nvGraphicFramePr>
        <xdr:cNvPr id="1" name="Chart 2"/>
        <xdr:cNvGraphicFramePr/>
      </xdr:nvGraphicFramePr>
      <xdr:xfrm>
        <a:off x="61164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</xdr:row>
      <xdr:rowOff>176040</xdr:rowOff>
    </xdr:from>
    <xdr:to>
      <xdr:col>20</xdr:col>
      <xdr:colOff>255960</xdr:colOff>
      <xdr:row>19</xdr:row>
      <xdr:rowOff>7560</xdr:rowOff>
    </xdr:to>
    <xdr:graphicFrame>
      <xdr:nvGraphicFramePr>
        <xdr:cNvPr id="2" name="Chart 3"/>
        <xdr:cNvGraphicFramePr/>
      </xdr:nvGraphicFramePr>
      <xdr:xfrm>
        <a:off x="672660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20</xdr:row>
      <xdr:rowOff>176040</xdr:rowOff>
    </xdr:from>
    <xdr:to>
      <xdr:col>20</xdr:col>
      <xdr:colOff>255960</xdr:colOff>
      <xdr:row>36</xdr:row>
      <xdr:rowOff>7560</xdr:rowOff>
    </xdr:to>
    <xdr:graphicFrame>
      <xdr:nvGraphicFramePr>
        <xdr:cNvPr id="3" name="Chart 4"/>
        <xdr:cNvGraphicFramePr/>
      </xdr:nvGraphicFramePr>
      <xdr:xfrm>
        <a:off x="672660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30"/>
    <col collapsed="false" customWidth="true" hidden="false" outlineLevel="0" max="5" min="5" style="0" width="22"/>
    <col collapsed="false" customWidth="true" hidden="false" outlineLevel="0" max="6" min="6" style="0" width="1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5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5" t="s">
        <v>9</v>
      </c>
    </row>
    <row r="14" customFormat="false" ht="15" hidden="false" customHeight="false" outlineLevel="0" collapsed="false">
      <c r="B14" s="5" t="s">
        <v>10</v>
      </c>
    </row>
    <row r="15" customFormat="false" ht="1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5" t="s">
        <v>12</v>
      </c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5" t="s">
        <v>14</v>
      </c>
    </row>
    <row r="20" customFormat="false" ht="15" hidden="false" customHeight="false" outlineLevel="0" collapsed="false">
      <c r="B20" s="5" t="s">
        <v>15</v>
      </c>
    </row>
    <row r="21" customFormat="false" ht="15" hidden="false" customHeight="false" outlineLevel="0" collapsed="false">
      <c r="B21" s="5" t="s">
        <v>16</v>
      </c>
    </row>
    <row r="22" customFormat="false" ht="15" hidden="false" customHeight="false" outlineLevel="0" collapsed="false">
      <c r="B22" s="5" t="s">
        <v>17</v>
      </c>
    </row>
    <row r="23" customFormat="false" ht="15" hidden="false" customHeight="false" outlineLevel="0" collapsed="false">
      <c r="B23" s="5" t="s">
        <v>18</v>
      </c>
    </row>
    <row r="24" customFormat="false" ht="15" hidden="false" customHeight="false" outlineLevel="0" collapsed="false">
      <c r="B24" s="5" t="s">
        <v>19</v>
      </c>
    </row>
    <row r="26" customFormat="false" ht="15" hidden="false" customHeight="false" outlineLevel="0" collapsed="false">
      <c r="B26" s="6" t="s">
        <v>20</v>
      </c>
    </row>
    <row r="27" customFormat="false" ht="15" hidden="false" customHeight="false" outlineLevel="0" collapsed="false">
      <c r="B27" s="7" t="s">
        <v>21</v>
      </c>
    </row>
    <row r="28" customFormat="false" ht="15" hidden="false" customHeight="false" outlineLevel="0" collapsed="false">
      <c r="B28" s="5" t="s">
        <v>22</v>
      </c>
    </row>
    <row r="29" customFormat="false" ht="15" hidden="false" customHeight="false" outlineLevel="0" collapsed="false">
      <c r="B29" s="5" t="s">
        <v>23</v>
      </c>
    </row>
    <row r="30" customFormat="false" ht="15" hidden="false" customHeight="false" outlineLevel="0" collapsed="false">
      <c r="B30" s="7" t="s">
        <v>24</v>
      </c>
    </row>
    <row r="31" customFormat="false" ht="15" hidden="false" customHeight="false" outlineLevel="0" collapsed="false">
      <c r="B31" s="5" t="s">
        <v>25</v>
      </c>
    </row>
    <row r="32" customFormat="false" ht="15" hidden="false" customHeight="false" outlineLevel="0" collapsed="false">
      <c r="B32" s="5" t="s">
        <v>26</v>
      </c>
    </row>
    <row r="33" customFormat="false" ht="15" hidden="false" customHeight="false" outlineLevel="0" collapsed="false">
      <c r="B33" s="5" t="s">
        <v>27</v>
      </c>
    </row>
    <row r="34" customFormat="false" ht="15" hidden="false" customHeight="false" outlineLevel="0" collapsed="false">
      <c r="B34" s="5" t="s">
        <v>28</v>
      </c>
    </row>
    <row r="35" customFormat="false" ht="15" hidden="false" customHeight="false" outlineLevel="0" collapsed="false">
      <c r="B35" s="5" t="s">
        <v>29</v>
      </c>
    </row>
    <row r="37" customFormat="false" ht="15" hidden="false" customHeight="false" outlineLevel="0" collapsed="false">
      <c r="B37" s="4" t="s">
        <v>30</v>
      </c>
    </row>
    <row r="38" customFormat="false" ht="15" hidden="false" customHeight="false" outlineLevel="0" collapsed="false">
      <c r="B38" s="8" t="s">
        <v>31</v>
      </c>
      <c r="C38" s="5" t="s">
        <v>32</v>
      </c>
    </row>
    <row r="39" customFormat="false" ht="15" hidden="false" customHeight="false" outlineLevel="0" collapsed="false">
      <c r="B39" s="9" t="s">
        <v>33</v>
      </c>
      <c r="C39" s="5" t="s">
        <v>34</v>
      </c>
    </row>
    <row r="40" customFormat="false" ht="15" hidden="false" customHeight="false" outlineLevel="0" collapsed="false">
      <c r="B40" s="10" t="s">
        <v>35</v>
      </c>
      <c r="C40" s="5" t="s">
        <v>36</v>
      </c>
    </row>
    <row r="41" customFormat="false" ht="15" hidden="false" customHeight="false" outlineLevel="0" collapsed="false">
      <c r="B41" s="11" t="s">
        <v>37</v>
      </c>
      <c r="C41" s="5" t="s">
        <v>38</v>
      </c>
    </row>
    <row r="44" customFormat="false" ht="15" hidden="false" customHeight="false" outlineLevel="0" collapsed="false">
      <c r="B44" s="4" t="s">
        <v>39</v>
      </c>
    </row>
    <row r="45" customFormat="false" ht="30" hidden="false" customHeight="true" outlineLevel="0" collapsed="false">
      <c r="B45" s="12" t="s">
        <v>40</v>
      </c>
      <c r="C45" s="13" t="s">
        <v>41</v>
      </c>
      <c r="D45" s="13"/>
      <c r="E45" s="13"/>
      <c r="F45" s="13"/>
    </row>
    <row r="46" customFormat="false" ht="30" hidden="false" customHeight="true" outlineLevel="0" collapsed="false">
      <c r="B46" s="12" t="s">
        <v>42</v>
      </c>
      <c r="C46" s="13" t="s">
        <v>43</v>
      </c>
      <c r="D46" s="13"/>
      <c r="E46" s="13"/>
      <c r="F46" s="13"/>
    </row>
    <row r="47" customFormat="false" ht="30" hidden="false" customHeight="true" outlineLevel="0" collapsed="false">
      <c r="B47" s="12" t="s">
        <v>44</v>
      </c>
      <c r="C47" s="13" t="s">
        <v>45</v>
      </c>
      <c r="D47" s="13"/>
      <c r="E47" s="13"/>
      <c r="F47" s="13"/>
    </row>
    <row r="48" customFormat="false" ht="30" hidden="false" customHeight="true" outlineLevel="0" collapsed="false">
      <c r="B48" s="12" t="s">
        <v>46</v>
      </c>
      <c r="C48" s="13" t="s">
        <v>47</v>
      </c>
      <c r="D48" s="13"/>
      <c r="E48" s="13"/>
      <c r="F48" s="13"/>
    </row>
    <row r="49" customFormat="false" ht="30" hidden="false" customHeight="true" outlineLevel="0" collapsed="false">
      <c r="B49" s="12" t="s">
        <v>48</v>
      </c>
      <c r="C49" s="13" t="s">
        <v>49</v>
      </c>
      <c r="D49" s="13"/>
      <c r="E49" s="13"/>
      <c r="F49" s="13"/>
    </row>
    <row r="50" customFormat="false" ht="30" hidden="false" customHeight="true" outlineLevel="0" collapsed="false">
      <c r="B50" s="12" t="s">
        <v>50</v>
      </c>
      <c r="C50" s="13" t="s">
        <v>51</v>
      </c>
      <c r="D50" s="13"/>
      <c r="E50" s="13"/>
      <c r="F50" s="13"/>
    </row>
    <row r="51" customFormat="false" ht="30" hidden="false" customHeight="true" outlineLevel="0" collapsed="false">
      <c r="B51" s="12" t="s">
        <v>52</v>
      </c>
      <c r="C51" s="13" t="s">
        <v>53</v>
      </c>
      <c r="D51" s="13"/>
      <c r="E51" s="13"/>
      <c r="F51" s="13"/>
    </row>
    <row r="52" customFormat="false" ht="30" hidden="false" customHeight="true" outlineLevel="0" collapsed="false">
      <c r="B52" s="12" t="s">
        <v>54</v>
      </c>
      <c r="C52" s="13" t="s">
        <v>55</v>
      </c>
      <c r="D52" s="13"/>
      <c r="E52" s="13"/>
      <c r="F52" s="13"/>
    </row>
    <row r="53" customFormat="false" ht="30" hidden="false" customHeight="true" outlineLevel="0" collapsed="false">
      <c r="B53" s="12" t="s">
        <v>56</v>
      </c>
      <c r="C53" s="13" t="s">
        <v>57</v>
      </c>
      <c r="D53" s="13"/>
      <c r="E53" s="13"/>
      <c r="F53" s="13"/>
    </row>
    <row r="54" customFormat="false" ht="30" hidden="false" customHeight="true" outlineLevel="0" collapsed="false">
      <c r="B54" s="12" t="s">
        <v>58</v>
      </c>
      <c r="C54" s="13" t="s">
        <v>59</v>
      </c>
      <c r="D54" s="13"/>
      <c r="E54" s="13"/>
      <c r="F54" s="13"/>
    </row>
    <row r="55" customFormat="false" ht="30" hidden="false" customHeight="true" outlineLevel="0" collapsed="false">
      <c r="B55" s="12" t="s">
        <v>60</v>
      </c>
      <c r="C55" s="13" t="s">
        <v>61</v>
      </c>
      <c r="D55" s="13"/>
      <c r="E55" s="13"/>
      <c r="F55" s="13"/>
    </row>
  </sheetData>
  <mergeCells count="11"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7" min="5" style="0" width="16"/>
    <col collapsed="false" customWidth="true" hidden="false" outlineLevel="0" max="8" min="8" style="0" width="14"/>
    <col collapsed="false" customWidth="true" hidden="false" outlineLevel="0" max="11" min="9" style="0" width="11"/>
    <col collapsed="false" customWidth="true" hidden="false" outlineLevel="0" max="12" min="12" style="0" width="56"/>
  </cols>
  <sheetData>
    <row r="2" customFormat="false" ht="16.15" hidden="false" customHeight="false" outlineLevel="0" collapsed="false">
      <c r="B2" s="14" t="s">
        <v>62</v>
      </c>
    </row>
    <row r="3" customFormat="false" ht="15" hidden="false" customHeight="false" outlineLevel="0" collapsed="false">
      <c r="B3" s="3" t="s">
        <v>63</v>
      </c>
    </row>
    <row r="5" customFormat="false" ht="30" hidden="false" customHeight="true" outlineLevel="0" collapsed="false">
      <c r="B5" s="15" t="s">
        <v>64</v>
      </c>
      <c r="C5" s="15" t="s">
        <v>65</v>
      </c>
      <c r="D5" s="15" t="s">
        <v>66</v>
      </c>
      <c r="E5" s="15" t="s">
        <v>67</v>
      </c>
      <c r="F5" s="15" t="s">
        <v>68</v>
      </c>
      <c r="G5" s="15" t="s">
        <v>69</v>
      </c>
      <c r="H5" s="15" t="s">
        <v>70</v>
      </c>
      <c r="I5" s="15" t="s">
        <v>71</v>
      </c>
      <c r="J5" s="15" t="s">
        <v>72</v>
      </c>
      <c r="K5" s="15" t="s">
        <v>73</v>
      </c>
      <c r="L5" s="15" t="s">
        <v>74</v>
      </c>
    </row>
    <row r="7" customFormat="false" ht="15" hidden="false" customHeight="false" outlineLevel="0" collapsed="false">
      <c r="B7" s="16" t="s">
        <v>75</v>
      </c>
      <c r="C7" s="17"/>
      <c r="D7" s="17"/>
      <c r="E7" s="17"/>
      <c r="F7" s="17"/>
      <c r="G7" s="17"/>
      <c r="H7" s="17"/>
      <c r="I7" s="17"/>
      <c r="J7" s="17"/>
      <c r="K7" s="17"/>
      <c r="L7" s="17"/>
    </row>
    <row r="8" customFormat="false" ht="33.75" hidden="false" customHeight="true" outlineLevel="0" collapsed="false">
      <c r="B8" s="18" t="s">
        <v>76</v>
      </c>
      <c r="C8" s="19" t="s">
        <v>77</v>
      </c>
      <c r="D8" s="20" t="n">
        <v>1212</v>
      </c>
      <c r="E8" s="21" t="n">
        <v>3086</v>
      </c>
      <c r="F8" s="21" t="n">
        <v>3873</v>
      </c>
      <c r="G8" s="22" t="n">
        <v>76.1</v>
      </c>
      <c r="H8" s="23" t="n">
        <v>24</v>
      </c>
      <c r="I8" s="24" t="n">
        <v>2</v>
      </c>
      <c r="J8" s="25" t="s">
        <v>78</v>
      </c>
      <c r="K8" s="26" t="s">
        <v>79</v>
      </c>
      <c r="L8" s="27" t="s">
        <v>80</v>
      </c>
    </row>
    <row r="9" customFormat="false" ht="33.75" hidden="false" customHeight="true" outlineLevel="0" collapsed="false">
      <c r="B9" s="28" t="s">
        <v>81</v>
      </c>
      <c r="C9" s="29" t="s">
        <v>77</v>
      </c>
      <c r="D9" s="30" t="n">
        <v>236</v>
      </c>
      <c r="E9" s="31" t="n">
        <v>502</v>
      </c>
      <c r="F9" s="31" t="n">
        <v>573</v>
      </c>
      <c r="G9" s="32" t="n">
        <v>24.2</v>
      </c>
      <c r="H9" s="33" t="n">
        <v>22</v>
      </c>
      <c r="I9" s="24" t="n">
        <v>1</v>
      </c>
      <c r="J9" s="34" t="s">
        <v>82</v>
      </c>
      <c r="K9" s="35" t="s">
        <v>79</v>
      </c>
      <c r="L9" s="36" t="s">
        <v>83</v>
      </c>
    </row>
    <row r="10" customFormat="false" ht="33.75" hidden="false" customHeight="true" outlineLevel="0" collapsed="false">
      <c r="B10" s="37" t="s">
        <v>58</v>
      </c>
      <c r="C10" s="38" t="s">
        <v>84</v>
      </c>
      <c r="D10" s="39" t="n">
        <v>4800</v>
      </c>
      <c r="E10" s="40" t="n">
        <v>5100</v>
      </c>
      <c r="F10" s="40" t="n">
        <v>5100</v>
      </c>
      <c r="G10" s="41" t="n">
        <v>8.4</v>
      </c>
      <c r="H10" s="42" t="n">
        <v>380</v>
      </c>
      <c r="I10" s="24" t="n">
        <v>2</v>
      </c>
      <c r="J10" s="43" t="s">
        <v>82</v>
      </c>
      <c r="K10" s="44" t="s">
        <v>79</v>
      </c>
      <c r="L10" s="45" t="s">
        <v>85</v>
      </c>
    </row>
    <row r="11" customFormat="false" ht="33.75" hidden="false" customHeight="true" outlineLevel="0" collapsed="false">
      <c r="B11" s="28" t="s">
        <v>60</v>
      </c>
      <c r="C11" s="29" t="s">
        <v>86</v>
      </c>
      <c r="D11" s="30" t="n">
        <v>3600</v>
      </c>
      <c r="E11" s="31" t="n">
        <v>4500</v>
      </c>
      <c r="F11" s="31" t="n">
        <v>4500</v>
      </c>
      <c r="G11" s="32" t="n">
        <v>20</v>
      </c>
      <c r="H11" s="33" t="n">
        <v>189</v>
      </c>
      <c r="I11" s="24" t="n">
        <v>2</v>
      </c>
      <c r="J11" s="34" t="s">
        <v>87</v>
      </c>
      <c r="K11" s="35" t="s">
        <v>79</v>
      </c>
      <c r="L11" s="36" t="s">
        <v>88</v>
      </c>
    </row>
    <row r="13" customFormat="false" ht="15" hidden="false" customHeight="false" outlineLevel="0" collapsed="false">
      <c r="B13" s="16" t="s">
        <v>89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customFormat="false" ht="33.75" hidden="false" customHeight="true" outlineLevel="0" collapsed="false">
      <c r="B14" s="18" t="s">
        <v>90</v>
      </c>
      <c r="C14" s="19" t="s">
        <v>91</v>
      </c>
      <c r="D14" s="20" t="n">
        <v>140</v>
      </c>
      <c r="E14" s="46" t="s">
        <v>92</v>
      </c>
      <c r="F14" s="46" t="s">
        <v>92</v>
      </c>
      <c r="G14" s="22" t="n">
        <v>1.32</v>
      </c>
      <c r="H14" s="23" t="n">
        <v>24</v>
      </c>
      <c r="I14" s="24" t="n">
        <v>2</v>
      </c>
      <c r="J14" s="25" t="s">
        <v>78</v>
      </c>
      <c r="K14" s="26" t="s">
        <v>93</v>
      </c>
      <c r="L14" s="27" t="s">
        <v>94</v>
      </c>
    </row>
    <row r="15" customFormat="false" ht="33.75" hidden="false" customHeight="true" outlineLevel="0" collapsed="false">
      <c r="B15" s="28" t="s">
        <v>50</v>
      </c>
      <c r="C15" s="29" t="s">
        <v>95</v>
      </c>
      <c r="D15" s="30" t="n">
        <v>10000</v>
      </c>
      <c r="E15" s="47" t="s">
        <v>92</v>
      </c>
      <c r="F15" s="31" t="n">
        <v>23000</v>
      </c>
      <c r="G15" s="32" t="n">
        <v>17.5</v>
      </c>
      <c r="H15" s="33" t="n">
        <v>272</v>
      </c>
      <c r="I15" s="24" t="n">
        <v>3</v>
      </c>
      <c r="J15" s="48" t="s">
        <v>78</v>
      </c>
      <c r="K15" s="35" t="s">
        <v>93</v>
      </c>
      <c r="L15" s="36" t="s">
        <v>96</v>
      </c>
    </row>
    <row r="16" customFormat="false" ht="33.75" hidden="false" customHeight="true" outlineLevel="0" collapsed="false">
      <c r="B16" s="37" t="s">
        <v>52</v>
      </c>
      <c r="C16" s="38" t="s">
        <v>84</v>
      </c>
      <c r="D16" s="39" t="n">
        <v>6900</v>
      </c>
      <c r="E16" s="49" t="s">
        <v>92</v>
      </c>
      <c r="F16" s="40" t="n">
        <v>11000</v>
      </c>
      <c r="G16" s="41" t="n">
        <v>1.78</v>
      </c>
      <c r="H16" s="42" t="n">
        <v>207</v>
      </c>
      <c r="I16" s="24" t="n">
        <v>2.5</v>
      </c>
      <c r="J16" s="50" t="s">
        <v>78</v>
      </c>
      <c r="K16" s="44" t="s">
        <v>93</v>
      </c>
      <c r="L16" s="45" t="s">
        <v>97</v>
      </c>
    </row>
    <row r="17" customFormat="false" ht="33.75" hidden="false" customHeight="true" outlineLevel="0" collapsed="false">
      <c r="B17" s="28" t="s">
        <v>54</v>
      </c>
      <c r="C17" s="29" t="s">
        <v>77</v>
      </c>
      <c r="D17" s="30" t="n">
        <v>1700</v>
      </c>
      <c r="E17" s="47" t="s">
        <v>92</v>
      </c>
      <c r="F17" s="31" t="n">
        <v>12100</v>
      </c>
      <c r="G17" s="32" t="n">
        <v>1.9</v>
      </c>
      <c r="H17" s="33" t="n">
        <v>130</v>
      </c>
      <c r="I17" s="24" t="n">
        <v>3</v>
      </c>
      <c r="J17" s="34" t="s">
        <v>82</v>
      </c>
      <c r="K17" s="35" t="s">
        <v>93</v>
      </c>
      <c r="L17" s="36" t="s">
        <v>98</v>
      </c>
    </row>
    <row r="18" customFormat="false" ht="33.75" hidden="false" customHeight="true" outlineLevel="0" collapsed="false">
      <c r="B18" s="37" t="s">
        <v>56</v>
      </c>
      <c r="C18" s="38" t="s">
        <v>86</v>
      </c>
      <c r="D18" s="39" t="n">
        <v>625</v>
      </c>
      <c r="E18" s="49" t="s">
        <v>92</v>
      </c>
      <c r="F18" s="40" t="n">
        <v>6800</v>
      </c>
      <c r="G18" s="41" t="n">
        <v>0.5</v>
      </c>
      <c r="H18" s="42" t="n">
        <v>126</v>
      </c>
      <c r="I18" s="24" t="n">
        <v>2.5</v>
      </c>
      <c r="J18" s="43" t="s">
        <v>82</v>
      </c>
      <c r="K18" s="44" t="s">
        <v>93</v>
      </c>
      <c r="L18" s="45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6" min="3" style="0" width="16"/>
    <col collapsed="false" customWidth="true" hidden="false" outlineLevel="0" max="7" min="7" style="0" width="14"/>
    <col collapsed="false" customWidth="true" hidden="false" outlineLevel="0" max="10" min="8" style="0" width="18"/>
    <col collapsed="false" customWidth="true" hidden="false" outlineLevel="0" max="11" min="11" style="0" width="10"/>
  </cols>
  <sheetData>
    <row r="2" customFormat="false" ht="16.15" hidden="false" customHeight="false" outlineLevel="0" collapsed="false">
      <c r="B2" s="14" t="s">
        <v>100</v>
      </c>
    </row>
    <row r="3" customFormat="false" ht="15" hidden="false" customHeight="false" outlineLevel="0" collapsed="false">
      <c r="B3" s="3" t="s">
        <v>101</v>
      </c>
    </row>
    <row r="5" customFormat="false" ht="33.75" hidden="false" customHeight="true" outlineLevel="0" collapsed="false">
      <c r="B5" s="15" t="s">
        <v>64</v>
      </c>
      <c r="C5" s="15" t="s">
        <v>66</v>
      </c>
      <c r="D5" s="15" t="s">
        <v>102</v>
      </c>
      <c r="E5" s="15" t="s">
        <v>103</v>
      </c>
      <c r="F5" s="15" t="s">
        <v>104</v>
      </c>
      <c r="G5" s="15" t="s">
        <v>105</v>
      </c>
      <c r="H5" s="15" t="s">
        <v>106</v>
      </c>
      <c r="I5" s="15" t="s">
        <v>107</v>
      </c>
      <c r="J5" s="15" t="s">
        <v>108</v>
      </c>
    </row>
    <row r="6" customFormat="false" ht="19.5" hidden="false" customHeight="true" outlineLevel="0" collapsed="false">
      <c r="B6" s="51" t="s">
        <v>76</v>
      </c>
      <c r="C6" s="52" t="n">
        <f aca="false">Inputs!D8</f>
        <v>1212</v>
      </c>
      <c r="D6" s="52" t="n">
        <f aca="false">IF(ISNUMBER(Inputs!E8),Inputs!E8,"n/a")</f>
        <v>3086</v>
      </c>
      <c r="E6" s="52" t="n">
        <f aca="false">IF(ISNUMBER(Inputs!F8),Inputs!F8,"n/a")</f>
        <v>3873</v>
      </c>
      <c r="F6" s="53" t="n">
        <f aca="false">Inputs!G8*Inputs!H8*Inputs!I8</f>
        <v>3652.8</v>
      </c>
      <c r="G6" s="54" t="n">
        <f aca="false">C6/F6</f>
        <v>0.331800262812089</v>
      </c>
      <c r="H6" s="55" t="n">
        <f aca="false">IF(ISNUMBER(D6),D6/F6,"n/a")</f>
        <v>0.844831362242663</v>
      </c>
      <c r="I6" s="55" t="n">
        <f aca="false">IF(ISNUMBER(E6),E6/F6,"n/a")</f>
        <v>1.06028252299606</v>
      </c>
      <c r="J6" s="56" t="str">
        <f aca="false">Inputs!J8</f>
        <v>Med</v>
      </c>
    </row>
    <row r="7" customFormat="false" ht="19.5" hidden="false" customHeight="true" outlineLevel="0" collapsed="false">
      <c r="B7" s="57" t="s">
        <v>81</v>
      </c>
      <c r="C7" s="58" t="n">
        <f aca="false">Inputs!D9</f>
        <v>236</v>
      </c>
      <c r="D7" s="58" t="n">
        <f aca="false">IF(ISNUMBER(Inputs!E9),Inputs!E9,"n/a")</f>
        <v>502</v>
      </c>
      <c r="E7" s="58" t="n">
        <f aca="false">IF(ISNUMBER(Inputs!F9),Inputs!F9,"n/a")</f>
        <v>573</v>
      </c>
      <c r="F7" s="59" t="n">
        <f aca="false">Inputs!G9*Inputs!H9*Inputs!I9</f>
        <v>532.4</v>
      </c>
      <c r="G7" s="60" t="n">
        <f aca="false">C7/F7</f>
        <v>0.443275732531931</v>
      </c>
      <c r="H7" s="60" t="n">
        <f aca="false">IF(ISNUMBER(D7),D7/F7,"n/a")</f>
        <v>0.94290007513148</v>
      </c>
      <c r="I7" s="60" t="n">
        <f aca="false">IF(ISNUMBER(E7),E7/F7,"n/a")</f>
        <v>1.07625845229151</v>
      </c>
      <c r="J7" s="61" t="str">
        <f aca="false">Inputs!J9</f>
        <v>Low</v>
      </c>
    </row>
    <row r="8" customFormat="false" ht="19.5" hidden="false" customHeight="true" outlineLevel="0" collapsed="false">
      <c r="B8" s="62" t="s">
        <v>58</v>
      </c>
      <c r="C8" s="63" t="n">
        <f aca="false">Inputs!D10</f>
        <v>4800</v>
      </c>
      <c r="D8" s="63" t="n">
        <f aca="false">IF(ISNUMBER(Inputs!E10),Inputs!E10,"n/a")</f>
        <v>5100</v>
      </c>
      <c r="E8" s="63" t="n">
        <f aca="false">IF(ISNUMBER(Inputs!F10),Inputs!F10,"n/a")</f>
        <v>5100</v>
      </c>
      <c r="F8" s="64" t="n">
        <f aca="false">Inputs!G10*Inputs!H10*Inputs!I10</f>
        <v>6384</v>
      </c>
      <c r="G8" s="65" t="n">
        <f aca="false">C8/F8</f>
        <v>0.75187969924812</v>
      </c>
      <c r="H8" s="65" t="n">
        <f aca="false">IF(ISNUMBER(D8),D8/F8,"n/a")</f>
        <v>0.798872180451128</v>
      </c>
      <c r="I8" s="65" t="n">
        <f aca="false">IF(ISNUMBER(E8),E8/F8,"n/a")</f>
        <v>0.798872180451128</v>
      </c>
      <c r="J8" s="66" t="str">
        <f aca="false">Inputs!J10</f>
        <v>Low</v>
      </c>
    </row>
    <row r="9" customFormat="false" ht="19.5" hidden="false" customHeight="true" outlineLevel="0" collapsed="false">
      <c r="B9" s="57" t="s">
        <v>60</v>
      </c>
      <c r="C9" s="58" t="n">
        <f aca="false">Inputs!D11</f>
        <v>3600</v>
      </c>
      <c r="D9" s="58" t="n">
        <f aca="false">IF(ISNUMBER(Inputs!E11),Inputs!E11,"n/a")</f>
        <v>4500</v>
      </c>
      <c r="E9" s="58" t="n">
        <f aca="false">IF(ISNUMBER(Inputs!F11),Inputs!F11,"n/a")</f>
        <v>4500</v>
      </c>
      <c r="F9" s="59" t="n">
        <f aca="false">Inputs!G11*Inputs!H11*Inputs!I11</f>
        <v>7560</v>
      </c>
      <c r="G9" s="60" t="n">
        <f aca="false">C9/F9</f>
        <v>0.476190476190476</v>
      </c>
      <c r="H9" s="60" t="n">
        <f aca="false">IF(ISNUMBER(D9),D9/F9,"n/a")</f>
        <v>0.595238095238095</v>
      </c>
      <c r="I9" s="60" t="n">
        <f aca="false">IF(ISNUMBER(E9),E9/F9,"n/a")</f>
        <v>0.595238095238095</v>
      </c>
      <c r="J9" s="61" t="str">
        <f aca="false">Inputs!J11</f>
        <v>V.Low</v>
      </c>
    </row>
    <row r="11" customFormat="false" ht="25.5" hidden="false" customHeight="true" outlineLevel="0" collapsed="false">
      <c r="B11" s="67" t="s">
        <v>109</v>
      </c>
      <c r="C11" s="67"/>
      <c r="D11" s="67"/>
      <c r="E11" s="67"/>
      <c r="F11" s="67"/>
      <c r="G11" s="67"/>
      <c r="H11" s="67"/>
      <c r="I11" s="67"/>
      <c r="J11" s="67"/>
    </row>
    <row r="12" customFormat="false" ht="25.5" hidden="false" customHeight="true" outlineLevel="0" collapsed="false">
      <c r="B12" s="68" t="s">
        <v>110</v>
      </c>
      <c r="C12" s="68"/>
      <c r="D12" s="68"/>
      <c r="E12" s="68"/>
      <c r="F12" s="68"/>
      <c r="G12" s="68"/>
      <c r="H12" s="68"/>
      <c r="I12" s="68"/>
      <c r="J12" s="68"/>
    </row>
  </sheetData>
  <mergeCells count="2">
    <mergeCell ref="B11:J11"/>
    <mergeCell ref="B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6" min="3" style="0" width="16"/>
    <col collapsed="false" customWidth="true" hidden="false" outlineLevel="0" max="7" min="7" style="0" width="14"/>
    <col collapsed="false" customWidth="true" hidden="false" outlineLevel="0" max="10" min="8" style="0" width="18"/>
    <col collapsed="false" customWidth="true" hidden="false" outlineLevel="0" max="11" min="11" style="0" width="10"/>
  </cols>
  <sheetData>
    <row r="2" customFormat="false" ht="16.15" hidden="false" customHeight="false" outlineLevel="0" collapsed="false">
      <c r="B2" s="14" t="s">
        <v>111</v>
      </c>
    </row>
    <row r="3" customFormat="false" ht="15" hidden="false" customHeight="false" outlineLevel="0" collapsed="false">
      <c r="B3" s="3" t="s">
        <v>112</v>
      </c>
    </row>
    <row r="5" customFormat="false" ht="33.75" hidden="false" customHeight="true" outlineLevel="0" collapsed="false">
      <c r="B5" s="15" t="s">
        <v>64</v>
      </c>
      <c r="C5" s="15" t="s">
        <v>66</v>
      </c>
      <c r="D5" s="15" t="s">
        <v>103</v>
      </c>
      <c r="E5" s="15" t="s">
        <v>104</v>
      </c>
      <c r="F5" s="15" t="s">
        <v>105</v>
      </c>
      <c r="G5" s="15" t="s">
        <v>107</v>
      </c>
      <c r="H5" s="15" t="s">
        <v>108</v>
      </c>
    </row>
    <row r="6" customFormat="false" ht="19.5" hidden="false" customHeight="true" outlineLevel="0" collapsed="false">
      <c r="B6" s="51" t="s">
        <v>90</v>
      </c>
      <c r="C6" s="52" t="n">
        <f aca="false">Inputs!D14</f>
        <v>140</v>
      </c>
      <c r="D6" s="52" t="str">
        <f aca="false">IF(ISNUMBER(Inputs!F14),Inputs!F14,"n/a")</f>
        <v>n/a</v>
      </c>
      <c r="E6" s="53" t="n">
        <f aca="false">Inputs!G14*Inputs!H14*Inputs!I14</f>
        <v>63.36</v>
      </c>
      <c r="F6" s="54" t="n">
        <f aca="false">C6/E6</f>
        <v>2.20959595959596</v>
      </c>
      <c r="G6" s="55" t="str">
        <f aca="false">IF(ISNUMBER(D6),D6/E6,"n/a")</f>
        <v>n/a</v>
      </c>
      <c r="H6" s="56" t="str">
        <f aca="false">Inputs!J14</f>
        <v>Med</v>
      </c>
    </row>
    <row r="7" customFormat="false" ht="19.5" hidden="false" customHeight="true" outlineLevel="0" collapsed="false">
      <c r="B7" s="57" t="s">
        <v>50</v>
      </c>
      <c r="C7" s="58" t="n">
        <f aca="false">Inputs!D15</f>
        <v>10000</v>
      </c>
      <c r="D7" s="58" t="n">
        <f aca="false">IF(ISNUMBER(Inputs!F15),Inputs!F15,"n/a")</f>
        <v>23000</v>
      </c>
      <c r="E7" s="59" t="n">
        <f aca="false">Inputs!G15*Inputs!H15*Inputs!I15</f>
        <v>14280</v>
      </c>
      <c r="F7" s="60" t="n">
        <f aca="false">C7/E7</f>
        <v>0.700280112044818</v>
      </c>
      <c r="G7" s="60" t="n">
        <f aca="false">IF(ISNUMBER(D7),D7/E7,"n/a")</f>
        <v>1.61064425770308</v>
      </c>
      <c r="H7" s="61" t="str">
        <f aca="false">Inputs!J15</f>
        <v>Med</v>
      </c>
    </row>
    <row r="8" customFormat="false" ht="19.5" hidden="false" customHeight="true" outlineLevel="0" collapsed="false">
      <c r="B8" s="62" t="s">
        <v>52</v>
      </c>
      <c r="C8" s="63" t="n">
        <f aca="false">Inputs!D16</f>
        <v>6900</v>
      </c>
      <c r="D8" s="63" t="n">
        <f aca="false">IF(ISNUMBER(Inputs!F16),Inputs!F16,"n/a")</f>
        <v>11000</v>
      </c>
      <c r="E8" s="64" t="n">
        <f aca="false">Inputs!G16*Inputs!H16*Inputs!I16</f>
        <v>921.15</v>
      </c>
      <c r="F8" s="65" t="n">
        <f aca="false">C8/E8</f>
        <v>7.49063670411985</v>
      </c>
      <c r="G8" s="65" t="n">
        <f aca="false">IF(ISNUMBER(D8),D8/E8,"n/a")</f>
        <v>11.9415947456983</v>
      </c>
      <c r="H8" s="66" t="str">
        <f aca="false">Inputs!J16</f>
        <v>Med</v>
      </c>
    </row>
    <row r="9" customFormat="false" ht="19.5" hidden="false" customHeight="true" outlineLevel="0" collapsed="false">
      <c r="B9" s="57" t="s">
        <v>54</v>
      </c>
      <c r="C9" s="58" t="n">
        <f aca="false">Inputs!D17</f>
        <v>1700</v>
      </c>
      <c r="D9" s="58" t="n">
        <f aca="false">IF(ISNUMBER(Inputs!F17),Inputs!F17,"n/a")</f>
        <v>12100</v>
      </c>
      <c r="E9" s="59" t="n">
        <f aca="false">Inputs!G17*Inputs!H17*Inputs!I17</f>
        <v>741</v>
      </c>
      <c r="F9" s="60" t="n">
        <f aca="false">C9/E9</f>
        <v>2.29419703103914</v>
      </c>
      <c r="G9" s="60" t="n">
        <f aca="false">IF(ISNUMBER(D9),D9/E9,"n/a")</f>
        <v>16.3292847503374</v>
      </c>
      <c r="H9" s="61" t="str">
        <f aca="false">Inputs!J17</f>
        <v>Low</v>
      </c>
    </row>
    <row r="10" customFormat="false" ht="19.5" hidden="false" customHeight="true" outlineLevel="0" collapsed="false">
      <c r="B10" s="62" t="s">
        <v>56</v>
      </c>
      <c r="C10" s="63" t="n">
        <f aca="false">Inputs!D18</f>
        <v>625</v>
      </c>
      <c r="D10" s="63" t="n">
        <f aca="false">IF(ISNUMBER(Inputs!F18),Inputs!F18,"n/a")</f>
        <v>6800</v>
      </c>
      <c r="E10" s="64" t="n">
        <f aca="false">Inputs!G18*Inputs!H18*Inputs!I18</f>
        <v>157.5</v>
      </c>
      <c r="F10" s="65" t="n">
        <f aca="false">C10/E10</f>
        <v>3.96825396825397</v>
      </c>
      <c r="G10" s="65" t="n">
        <f aca="false">IF(ISNUMBER(D10),D10/E10,"n/a")</f>
        <v>43.1746031746032</v>
      </c>
      <c r="H10" s="66" t="str">
        <f aca="false">Inputs!J18</f>
        <v>Low</v>
      </c>
    </row>
    <row r="12" customFormat="false" ht="25.5" hidden="false" customHeight="true" outlineLevel="0" collapsed="false">
      <c r="B12" s="67" t="s">
        <v>113</v>
      </c>
      <c r="C12" s="67"/>
      <c r="D12" s="67"/>
      <c r="E12" s="67"/>
      <c r="F12" s="67"/>
      <c r="G12" s="67"/>
      <c r="H12" s="67"/>
      <c r="I12" s="67"/>
      <c r="J12" s="67"/>
    </row>
    <row r="13" customFormat="false" ht="25.5" hidden="false" customHeight="true" outlineLevel="0" collapsed="false">
      <c r="B13" s="68" t="s">
        <v>114</v>
      </c>
      <c r="C13" s="68"/>
      <c r="D13" s="68"/>
      <c r="E13" s="68"/>
      <c r="F13" s="68"/>
      <c r="G13" s="68"/>
      <c r="H13" s="68"/>
      <c r="I13" s="68"/>
      <c r="J13" s="68"/>
    </row>
  </sheetData>
  <mergeCells count="2">
    <mergeCell ref="B12:J12"/>
    <mergeCell ref="B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6.15" hidden="false" customHeight="false" outlineLevel="0" collapsed="false">
      <c r="B2" s="14" t="s">
        <v>115</v>
      </c>
    </row>
    <row r="3" customFormat="false" ht="15" hidden="false" customHeight="false" outlineLevel="0" collapsed="false">
      <c r="B3" s="3" t="s">
        <v>116</v>
      </c>
    </row>
    <row r="40" customFormat="false" ht="15" hidden="false" customHeight="false" outlineLevel="0" collapsed="false">
      <c r="L40" s="69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2026-06-08T01:24:42Z</dcterms:created>
  <dc:creator>openpyxl</dc:creator>
  <dc:description/>
  <dc:language>en-US</dc:language>
  <cp:lastModifiedBy/>
  <dcterms:modified xsi:type="dcterms:W3CDTF">2026-06-08T01:24:49Z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