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hibit_1_Geography" sheetId="2" state="visible" r:id="rId4"/>
    <sheet name="Exhibit_2_Segmentation" sheetId="3" state="visible" r:id="rId5"/>
    <sheet name="Analysis_Geographic" sheetId="4" state="visible" r:id="rId6"/>
    <sheet name="Analysis_ActSegmentation" sheetId="5" state="visible" r:id="rId7"/>
    <sheet name="Data_AsianPo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<sst xmlns="http://schemas.openxmlformats.org/spreadsheetml/2006/main" count="16501" uniqueCount="1672">
  <si>
    <t xml:space="preserve">The K-pop boom is a Live Nation story</t>
  </si>
  <si>
    <t xml:space="preserve">Joint note · LYV section · the geographic case + the moat. Source: Pollstar Data Cloud (Boxoffice), Asian Pop, pulled Jun-2026.</t>
  </si>
  <si>
    <t xml:space="preserve">US = largest K-pop market</t>
  </si>
  <si>
    <t xml:space="preserve">LN share of US K-pop</t>
  </si>
  <si>
    <t xml:space="preserve">LN share of Western K-pop</t>
  </si>
  <si>
    <t xml:space="preserve">Self-promotion risk</t>
  </si>
  <si>
    <t xml:space="preserve">HYBE only</t>
  </si>
  <si>
    <t xml:space="preserve">Two exhibits, two jobs</t>
  </si>
  <si>
    <t xml:space="preserve">EX 1 (Geography) — assert the thesis.</t>
  </si>
  <si>
    <t xml:space="preserve">The US is the single largest K-pop touring market in the world (~$1.0bn, ahead of Japan) and Spotify's #1 K-pop streaming market. LN promotes ~45% of US K-pop, ~80% of Mexico via OCESA, ~59% of France/UK — and ~50% of all Western K-pop gross, vs ~2% in Asia. The boom is Western; the West is LN's.</t>
  </si>
  <si>
    <t xml:space="preserve">EX 2 (Segmentation) — defend it.</t>
  </si>
  <si>
    <t xml:space="preserve">Promoter tracks the agency, not the genre. JYP's touring is ~95-97% Live Nation (Stray Kids, TWICE); the other majors largely ride LN or AEG. Self-promotion — the one structural threat — is contained to HYBE alone.</t>
  </si>
  <si>
    <t xml:space="preserve">Precision (what the exhibits don't say).</t>
  </si>
  <si>
    <t xml:space="preserve">LN's Western share is sticky, not rising — ~half across the cycle but lumpy year to year on tour timing. The geographic claim is that the US is the largest and highest-ARPU market, not that the West is taking share from a still-growing Asia. Even HYBE co-promotes ~35% of its US grosses with LN.</t>
  </si>
  <si>
    <t xml:space="preserve">Tabs:  Exhibit_1_Geography · Exhibit_2_Segmentation · Analysis_Geographic · Analysis_ActSegmentation · Data_AsianPop (1,629 boxscores). All figures live SUMIFS over the data.</t>
  </si>
  <si>
    <t xml:space="preserve">Exhibit 1 — The K-pop boom is migrating into Live Nation's markets</t>
  </si>
  <si>
    <t xml:space="preserve">K-pop touring gross by market ($mm, tracked lifetime); Live Nation share noted. US is the largest market; ~half is LN. Source: Pollstar Data Cloud.</t>
  </si>
  <si>
    <t xml:space="preserve">Market</t>
  </si>
  <si>
    <t xml:space="preserve">LN ($mm)</t>
  </si>
  <si>
    <t xml:space="preserve">Other ($mm)</t>
  </si>
  <si>
    <t xml:space="preserve">United States</t>
  </si>
  <si>
    <t xml:space="preserve">Japan</t>
  </si>
  <si>
    <t xml:space="preserve">China</t>
  </si>
  <si>
    <t xml:space="preserve">Mexico</t>
  </si>
  <si>
    <t xml:space="preserve">South Korea</t>
  </si>
  <si>
    <t xml:space="preserve">Hong Kong</t>
  </si>
  <si>
    <t xml:space="preserve">France</t>
  </si>
  <si>
    <t xml:space="preserve">United Kingdom</t>
  </si>
  <si>
    <t xml:space="preserve">Australia</t>
  </si>
  <si>
    <t xml:space="preserve">Exhibit 2 — Promoter tracks the agency: the moat is broad, the risk is named</t>
  </si>
  <si>
    <t xml:space="preserve">Lifetime tracked gross by act, split by promoter, clustered by agency. JYP rides Live Nation (~95%); self-promotion is contained to HYBE. Source: Pollstar Data Cloud.</t>
  </si>
  <si>
    <t xml:space="preserve">Act</t>
  </si>
  <si>
    <t xml:space="preserve">BTS (HYBE)</t>
  </si>
  <si>
    <t xml:space="preserve">SEVENTEEN (HYBE)</t>
  </si>
  <si>
    <t xml:space="preserve">TXT (HYBE)</t>
  </si>
  <si>
    <t xml:space="preserve">ENHYPEN (HYBE)</t>
  </si>
  <si>
    <t xml:space="preserve">j-hope (HYBE)</t>
  </si>
  <si>
    <t xml:space="preserve">Stray Kids (JYP)</t>
  </si>
  <si>
    <t xml:space="preserve">TWICE (JYP)</t>
  </si>
  <si>
    <t xml:space="preserve">BLACKPINK (YG)</t>
  </si>
  <si>
    <t xml:space="preserve">ATEEZ (KQ)</t>
  </si>
  <si>
    <t xml:space="preserve">HYBE acts (pink) self-promote — mostly 'Other'. JYP acts (teal) ride Live Nation — mostly 'LN'.</t>
  </si>
  <si>
    <t xml:space="preserve">Geographic analysis — where the K-pop boom lands, and who promotes it</t>
  </si>
  <si>
    <t xml:space="preserve">Source: Pollstar Data Cloud (Boxoffice), Asian Pop genre. OCESA grouped into Live Nation. 2026 = on-sales. Live SUMIFS over Data_AsianPop.</t>
  </si>
  <si>
    <t xml:space="preserve">Region rollup</t>
  </si>
  <si>
    <t xml:space="preserve">Region</t>
  </si>
  <si>
    <t xml:space="preserve">Total ($mm)</t>
  </si>
  <si>
    <t xml:space="preserve">LN share</t>
  </si>
  <si>
    <t xml:space="preserve">% of all K-pop</t>
  </si>
  <si>
    <t xml:space="preserve">Americas + Europe + ANZ</t>
  </si>
  <si>
    <t xml:space="preserve">Asia / home markets</t>
  </si>
  <si>
    <t xml:space="preserve">Top markets</t>
  </si>
  <si>
    <t xml:space="preserve">United States — LN share by year</t>
  </si>
  <si>
    <t xml:space="preserve">Country</t>
  </si>
  <si>
    <t xml:space="preserve">Year</t>
  </si>
  <si>
    <t xml:space="preserve">US total ($mm)</t>
  </si>
  <si>
    <t xml:space="preserve">Thailand</t>
  </si>
  <si>
    <t xml:space="preserve">Act-level promoter segmentation — agency determines the promoter</t>
  </si>
  <si>
    <t xml:space="preserve">Lifetime tracked gross by act, split LN vs other. Label = artist's agency (analyst-assigned). HYBE self-promotes; JYP rides Live Nation.</t>
  </si>
  <si>
    <t xml:space="preserve">Label</t>
  </si>
  <si>
    <t xml:space="preserve">BTS</t>
  </si>
  <si>
    <t xml:space="preserve">HYBE</t>
  </si>
  <si>
    <t xml:space="preserve">SEVENTEEN</t>
  </si>
  <si>
    <t xml:space="preserve">TOMORROW X TOGETHER</t>
  </si>
  <si>
    <t xml:space="preserve">ENHYPEN</t>
  </si>
  <si>
    <t xml:space="preserve">j-hope</t>
  </si>
  <si>
    <t xml:space="preserve">Stray Kids</t>
  </si>
  <si>
    <t xml:space="preserve">JYP</t>
  </si>
  <si>
    <t xml:space="preserve">TWICE</t>
  </si>
  <si>
    <t xml:space="preserve">BLACKPINK</t>
  </si>
  <si>
    <t xml:space="preserve">YG</t>
  </si>
  <si>
    <t xml:space="preserve">ATEEZ</t>
  </si>
  <si>
    <t xml:space="preserve">KQ</t>
  </si>
  <si>
    <t xml:space="preserve">Event Date</t>
  </si>
  <si>
    <t xml:space="preserve">Shows</t>
  </si>
  <si>
    <t xml:space="preserve">Headliner</t>
  </si>
  <si>
    <t xml:space="preserve">Support</t>
  </si>
  <si>
    <t xml:space="preserve">Venue</t>
  </si>
  <si>
    <t xml:space="preserve">City</t>
  </si>
  <si>
    <t xml:space="preserve">State</t>
  </si>
  <si>
    <t xml:space="preserve">Venue Type</t>
  </si>
  <si>
    <t xml:space="preserve">Currency</t>
  </si>
  <si>
    <t xml:space="preserve">Promoter</t>
  </si>
  <si>
    <t xml:space="preserve">Genre</t>
  </si>
  <si>
    <t xml:space="preserve">Avg Tickets Sold</t>
  </si>
  <si>
    <t xml:space="preserve">Avg Gross (USD)</t>
  </si>
  <si>
    <t xml:space="preserve">Avg Event Capacity</t>
  </si>
  <si>
    <t xml:space="preserve">Avg Capacity Sold</t>
  </si>
  <si>
    <t xml:space="preserve">Tkt Min (USD)</t>
  </si>
  <si>
    <t xml:space="preserve">Tkt Max (USD)</t>
  </si>
  <si>
    <t xml:space="preserve">Tkt Avg (USD)</t>
  </si>
  <si>
    <t xml:space="preserve">Total Gross (USD)</t>
  </si>
  <si>
    <t xml:space="preserve">Total Tickets</t>
  </si>
  <si>
    <t xml:space="preserve">LN</t>
  </si>
  <si>
    <t xml:space="preserve">i-dle</t>
  </si>
  <si>
    <t xml:space="preserve">Qudos Bank Arena</t>
  </si>
  <si>
    <t xml:space="preserve">Sydney</t>
  </si>
  <si>
    <t xml:space="preserve">Arena</t>
  </si>
  <si>
    <t xml:space="preserve">Australian</t>
  </si>
  <si>
    <t xml:space="preserve">IME</t>
  </si>
  <si>
    <t xml:space="preserve">Asian Pop</t>
  </si>
  <si>
    <t xml:space="preserve">"GOLDEN: A K-Pop Party!"</t>
  </si>
  <si>
    <t xml:space="preserve">Music Farm</t>
  </si>
  <si>
    <t xml:space="preserve">Charleston</t>
  </si>
  <si>
    <t xml:space="preserve">South Carolina</t>
  </si>
  <si>
    <t xml:space="preserve">Charleston, SC</t>
  </si>
  <si>
    <t xml:space="preserve">Club</t>
  </si>
  <si>
    <t xml:space="preserve">US DOLLAR</t>
  </si>
  <si>
    <t xml:space="preserve">Live Nation, NS2</t>
  </si>
  <si>
    <t xml:space="preserve">Asian Pop, Dance / Electronic</t>
  </si>
  <si>
    <t xml:space="preserve">Kstyle PARTY</t>
  </si>
  <si>
    <t xml:space="preserve">K-Arena Yokohama</t>
  </si>
  <si>
    <t xml:space="preserve">Yokohama</t>
  </si>
  <si>
    <t xml:space="preserve">Yen</t>
  </si>
  <si>
    <t xml:space="preserve">Sogo Tokyo Corporation</t>
  </si>
  <si>
    <t xml:space="preserve">EYES, TWS, Taemin, BOYNEXTDOOR</t>
  </si>
  <si>
    <t xml:space="preserve">"Forever K-Pop"</t>
  </si>
  <si>
    <t xml:space="preserve">Gila River Resorts and Casinos - The Showroom at Wildhorse Pass</t>
  </si>
  <si>
    <t xml:space="preserve">Chandler</t>
  </si>
  <si>
    <t xml:space="preserve">Arizona</t>
  </si>
  <si>
    <t xml:space="preserve">Phoenix (Prescott)</t>
  </si>
  <si>
    <t xml:space="preserve">Auditorium / Theatre</t>
  </si>
  <si>
    <t xml:space="preserve">(In-House Promotion)</t>
  </si>
  <si>
    <t xml:space="preserve">Asian Pop, Tribute Acts</t>
  </si>
  <si>
    <t xml:space="preserve">EVERGLOW</t>
  </si>
  <si>
    <t xml:space="preserve">L'Olympia</t>
  </si>
  <si>
    <t xml:space="preserve">Montreal</t>
  </si>
  <si>
    <t xml:space="preserve">Quebec</t>
  </si>
  <si>
    <t xml:space="preserve">Canada</t>
  </si>
  <si>
    <t xml:space="preserve">Canadian</t>
  </si>
  <si>
    <t xml:space="preserve">ADEM Company, Inc</t>
  </si>
  <si>
    <t xml:space="preserve">Estadio GNP Seguros</t>
  </si>
  <si>
    <t xml:space="preserve">Mexico City</t>
  </si>
  <si>
    <t xml:space="preserve">Stadium</t>
  </si>
  <si>
    <t xml:space="preserve">Pesos</t>
  </si>
  <si>
    <t xml:space="preserve">OCESA</t>
  </si>
  <si>
    <t xml:space="preserve">SIXFONIA</t>
  </si>
  <si>
    <t xml:space="preserve">HoYoFair Fan Concert</t>
  </si>
  <si>
    <t xml:space="preserve">Beacon Theatre</t>
  </si>
  <si>
    <t xml:space="preserve">New York</t>
  </si>
  <si>
    <t xml:space="preserve">Mammoth</t>
  </si>
  <si>
    <t xml:space="preserve">Sun Bowl Stadium</t>
  </si>
  <si>
    <t xml:space="preserve">El Paso</t>
  </si>
  <si>
    <t xml:space="preserve">Texas</t>
  </si>
  <si>
    <t xml:space="preserve">El Paso (Las Cruces)</t>
  </si>
  <si>
    <t xml:space="preserve">HYBE Co. Ltd.</t>
  </si>
  <si>
    <t xml:space="preserve">KSPO Dome</t>
  </si>
  <si>
    <t xml:space="preserve">Seoul</t>
  </si>
  <si>
    <t xml:space="preserve">Won</t>
  </si>
  <si>
    <t xml:space="preserve">XLOV</t>
  </si>
  <si>
    <t xml:space="preserve">Pepsi Center Mexico</t>
  </si>
  <si>
    <t xml:space="preserve">Auditorium / Theatre, Convention Center</t>
  </si>
  <si>
    <t xml:space="preserve">Ninshi</t>
  </si>
  <si>
    <t xml:space="preserve">Jackson Wang</t>
  </si>
  <si>
    <t xml:space="preserve">Karen Paola</t>
  </si>
  <si>
    <t xml:space="preserve">Movistar Arena</t>
  </si>
  <si>
    <t xml:space="preserve">Santiago</t>
  </si>
  <si>
    <t xml:space="preserve">Chile</t>
  </si>
  <si>
    <t xml:space="preserve">Peso</t>
  </si>
  <si>
    <t xml:space="preserve">DG Medios, Live Nation</t>
  </si>
  <si>
    <t xml:space="preserve">State Theatre</t>
  </si>
  <si>
    <t xml:space="preserve">Minneapolis</t>
  </si>
  <si>
    <t xml:space="preserve">Minnesota</t>
  </si>
  <si>
    <t xml:space="preserve">Minneapolis-St. Paul</t>
  </si>
  <si>
    <t xml:space="preserve">(In-House Promotion), Hennepin Arts</t>
  </si>
  <si>
    <t xml:space="preserve">Raymond James Stadium</t>
  </si>
  <si>
    <t xml:space="preserve">Tampa</t>
  </si>
  <si>
    <t xml:space="preserve">Florida</t>
  </si>
  <si>
    <t xml:space="preserve">Tampa-St. Petersburg (Sarasota)</t>
  </si>
  <si>
    <t xml:space="preserve">"K-Pop Forever"</t>
  </si>
  <si>
    <t xml:space="preserve">Unipol Forum</t>
  </si>
  <si>
    <t xml:space="preserve">Assago</t>
  </si>
  <si>
    <t xml:space="preserve">Italy</t>
  </si>
  <si>
    <t xml:space="preserve">Euro</t>
  </si>
  <si>
    <t xml:space="preserve">Vivo Concerti</t>
  </si>
  <si>
    <t xml:space="preserve">Moody Center</t>
  </si>
  <si>
    <t xml:space="preserve">Austin</t>
  </si>
  <si>
    <t xml:space="preserve">Live Nation</t>
  </si>
  <si>
    <t xml:space="preserve">Embassy Theatre</t>
  </si>
  <si>
    <t xml:space="preserve">Fort Wayne</t>
  </si>
  <si>
    <t xml:space="preserve">Indiana</t>
  </si>
  <si>
    <t xml:space="preserve">TV Anime 'Detective Conan' 30th Anniversary Special Concert 2026</t>
  </si>
  <si>
    <t xml:space="preserve">Mai Kuraki</t>
  </si>
  <si>
    <t xml:space="preserve">Kyodo Tokyo</t>
  </si>
  <si>
    <t xml:space="preserve">Tokyo Dome</t>
  </si>
  <si>
    <t xml:space="preserve">Tokyo</t>
  </si>
  <si>
    <t xml:space="preserve">Big Ocean</t>
  </si>
  <si>
    <t xml:space="preserve">Union Stage</t>
  </si>
  <si>
    <t xml:space="preserve">Washington</t>
  </si>
  <si>
    <t xml:space="preserve">District of Columbia</t>
  </si>
  <si>
    <t xml:space="preserve">Washington, D.C. (Hagerstown)</t>
  </si>
  <si>
    <t xml:space="preserve">Union Stage Presents</t>
  </si>
  <si>
    <t xml:space="preserve">"The Performance"</t>
  </si>
  <si>
    <t xml:space="preserve">aoen, ALPHA DRIVE ONE, ATEEZ, NCT WISH, Xikers, The Jet Boy Bangerz, Hearts2Hearts, MYERA</t>
  </si>
  <si>
    <t xml:space="preserve">PIA Corporation</t>
  </si>
  <si>
    <t xml:space="preserve">EVNNE, ATEEZ, Verivery, Mazzel, RIIZE, ROIROM</t>
  </si>
  <si>
    <t xml:space="preserve">Barclays Center</t>
  </si>
  <si>
    <t xml:space="preserve">Brooklyn</t>
  </si>
  <si>
    <t xml:space="preserve">RIIZE, The Rampage</t>
  </si>
  <si>
    <t xml:space="preserve">Nmixx</t>
  </si>
  <si>
    <t xml:space="preserve">YouTube Theater</t>
  </si>
  <si>
    <t xml:space="preserve">Inglewood</t>
  </si>
  <si>
    <t xml:space="preserve">California</t>
  </si>
  <si>
    <t xml:space="preserve">Los Angeles</t>
  </si>
  <si>
    <t xml:space="preserve">Goyang Stadium</t>
  </si>
  <si>
    <t xml:space="preserve">Goyang</t>
  </si>
  <si>
    <t xml:space="preserve">Allstate Arena</t>
  </si>
  <si>
    <t xml:space="preserve">Rosemont</t>
  </si>
  <si>
    <t xml:space="preserve">Illinois</t>
  </si>
  <si>
    <t xml:space="preserve">Chicago</t>
  </si>
  <si>
    <t xml:space="preserve">Naniwa Danshi</t>
  </si>
  <si>
    <t xml:space="preserve">"Central Music &amp; Entertainment Festival"</t>
  </si>
  <si>
    <t xml:space="preserve">Chanmina, HANA, Yuuri, Murasaki Ima</t>
  </si>
  <si>
    <t xml:space="preserve">Sony Music Solutions</t>
  </si>
  <si>
    <t xml:space="preserve">Amazarashi, Orange Range, Kessoku Band, Ling tosite sigure, Ling tosite sigure</t>
  </si>
  <si>
    <t xml:space="preserve">Incheon Asiad Main Stadium</t>
  </si>
  <si>
    <t xml:space="preserve">Incheon</t>
  </si>
  <si>
    <t xml:space="preserve">Unipol Arena</t>
  </si>
  <si>
    <t xml:space="preserve">Bologna</t>
  </si>
  <si>
    <t xml:space="preserve">Mayo Performing Arts Center</t>
  </si>
  <si>
    <t xml:space="preserve">Morristown</t>
  </si>
  <si>
    <t xml:space="preserve">New Jersey</t>
  </si>
  <si>
    <t xml:space="preserve">TD Garden</t>
  </si>
  <si>
    <t xml:space="preserve">Boston</t>
  </si>
  <si>
    <t xml:space="preserve">Massachusetts</t>
  </si>
  <si>
    <t xml:space="preserve">Boston (Manchester)</t>
  </si>
  <si>
    <t xml:space="preserve">=LOVE, Nogizaka46, FRUITS ZIPPER, Morning Musume</t>
  </si>
  <si>
    <t xml:space="preserve">The Theater at MGM National Harbor</t>
  </si>
  <si>
    <t xml:space="preserve">Oxon Hill</t>
  </si>
  <si>
    <t xml:space="preserve">Maryland</t>
  </si>
  <si>
    <t xml:space="preserve">Oakland Arena</t>
  </si>
  <si>
    <t xml:space="preserve">Oakland</t>
  </si>
  <si>
    <t xml:space="preserve">San Francisco-Oakland-San Jose</t>
  </si>
  <si>
    <t xml:space="preserve">Spectrum Center</t>
  </si>
  <si>
    <t xml:space="preserve">Charlotte</t>
  </si>
  <si>
    <t xml:space="preserve">North Carolina</t>
  </si>
  <si>
    <t xml:space="preserve">Marcus Performing Arts Center</t>
  </si>
  <si>
    <t xml:space="preserve">Milwaukee</t>
  </si>
  <si>
    <t xml:space="preserve">Wisconsin</t>
  </si>
  <si>
    <t xml:space="preserve">Complex</t>
  </si>
  <si>
    <t xml:space="preserve">Midland Center for the Arts</t>
  </si>
  <si>
    <t xml:space="preserve">Midland</t>
  </si>
  <si>
    <t xml:space="preserve">Michigan</t>
  </si>
  <si>
    <t xml:space="preserve">Flint-Saginaw-Bay City</t>
  </si>
  <si>
    <t xml:space="preserve">The Intersection / Elevation</t>
  </si>
  <si>
    <t xml:space="preserve">Grand Rapids</t>
  </si>
  <si>
    <t xml:space="preserve">Grand Rapids-Kalamazoo-Battle Creek</t>
  </si>
  <si>
    <t xml:space="preserve">Jay Park, LNGSHOT, BIBI, Milli, AI, Kvi Baba</t>
  </si>
  <si>
    <t xml:space="preserve">Makuhari Messe</t>
  </si>
  <si>
    <t xml:space="preserve">Chiba</t>
  </si>
  <si>
    <t xml:space="preserve">Creativeman Productions Co.</t>
  </si>
  <si>
    <t xml:space="preserve">Asian Pop, World</t>
  </si>
  <si>
    <t xml:space="preserve">"STPR Family Festival!!"</t>
  </si>
  <si>
    <t xml:space="preserve">Knight X, AMPTAKxCOLORS, Meteorites, SneakerStep Prod.STPR MUSIC</t>
  </si>
  <si>
    <t xml:space="preserve">Avex Live Creative Inc.</t>
  </si>
  <si>
    <t xml:space="preserve">The Orange Peel</t>
  </si>
  <si>
    <t xml:space="preserve">Asheville</t>
  </si>
  <si>
    <t xml:space="preserve">Strawberry Prince, Knight X, AMPTAKxCOLORS, Meteorites, SneakerStep Prod.STPR MUSIC</t>
  </si>
  <si>
    <t xml:space="preserve">"CLUB K-POP"</t>
  </si>
  <si>
    <t xml:space="preserve">Pauz Presents, Union Stage Presents</t>
  </si>
  <si>
    <t xml:space="preserve">"K-Pop Night"</t>
  </si>
  <si>
    <t xml:space="preserve">191 Toole</t>
  </si>
  <si>
    <t xml:space="preserve">Tucson</t>
  </si>
  <si>
    <t xml:space="preserve">Tucson (Sierra Vista)</t>
  </si>
  <si>
    <t xml:space="preserve">Gate 52, Rialto Theatre</t>
  </si>
  <si>
    <t xml:space="preserve">Bloomington Center for the Perf. Arts</t>
  </si>
  <si>
    <t xml:space="preserve">Bloomington</t>
  </si>
  <si>
    <t xml:space="preserve">Peoria-Bloomington</t>
  </si>
  <si>
    <t xml:space="preserve">Chanmina</t>
  </si>
  <si>
    <t xml:space="preserve">Ariake Arena</t>
  </si>
  <si>
    <t xml:space="preserve">Asian Pop, Rap / HipHop</t>
  </si>
  <si>
    <t xml:space="preserve">Meteorites</t>
  </si>
  <si>
    <t xml:space="preserve">BABYMETAL</t>
  </si>
  <si>
    <t xml:space="preserve">Brisbane Riverstage</t>
  </si>
  <si>
    <t xml:space="preserve">Brisbane</t>
  </si>
  <si>
    <t xml:space="preserve">Amphitheatre</t>
  </si>
  <si>
    <t xml:space="preserve">Destroy All Lines</t>
  </si>
  <si>
    <t xml:space="preserve">Asian Pop, Pop / Rock</t>
  </si>
  <si>
    <t xml:space="preserve">"KRAZE KPOP"</t>
  </si>
  <si>
    <t xml:space="preserve">City Winery Pittsburgh</t>
  </si>
  <si>
    <t xml:space="preserve">Pittsburgh</t>
  </si>
  <si>
    <t xml:space="preserve">Pennsylvania</t>
  </si>
  <si>
    <t xml:space="preserve">(In-House Productions) / City Winery</t>
  </si>
  <si>
    <t xml:space="preserve">Philippine Sports Stadium</t>
  </si>
  <si>
    <t xml:space="preserve">Bulacan</t>
  </si>
  <si>
    <t xml:space="preserve">Philippines</t>
  </si>
  <si>
    <t xml:space="preserve">AMPTAKxCOLORS</t>
  </si>
  <si>
    <t xml:space="preserve">MESTO</t>
  </si>
  <si>
    <t xml:space="preserve">The Grand</t>
  </si>
  <si>
    <t xml:space="preserve">(In-House Promotion), Big Night Entertainment Group</t>
  </si>
  <si>
    <t xml:space="preserve">Hordern Pavilion</t>
  </si>
  <si>
    <t xml:space="preserve">Moore Park</t>
  </si>
  <si>
    <t xml:space="preserve">ST?RISH</t>
  </si>
  <si>
    <t xml:space="preserve">QUARTET NIGHT, HE?VENS</t>
  </si>
  <si>
    <t xml:space="preserve">John Cain Arena</t>
  </si>
  <si>
    <t xml:space="preserve">Melbourne</t>
  </si>
  <si>
    <t xml:space="preserve">D.U.N.K Showcase</t>
  </si>
  <si>
    <t xml:space="preserve">SB19, .ENDRECHERI, SkyHi, STARGLOW, Da-iCE, BE:FIRST, BMSG TRAINEE</t>
  </si>
  <si>
    <t xml:space="preserve">Rajamangala National Stadium</t>
  </si>
  <si>
    <t xml:space="preserve">Bangkok</t>
  </si>
  <si>
    <t xml:space="preserve">Baht</t>
  </si>
  <si>
    <t xml:space="preserve">INI, Ayumu Imazu, ShowMinorSavage, SkyHi, Bullet Train, BUS, BGYO, Mazzel, ONE N' ONLY, LDH SCREAM</t>
  </si>
  <si>
    <t xml:space="preserve">ILLIT</t>
  </si>
  <si>
    <t xml:space="preserve">ticketLink Live Arena</t>
  </si>
  <si>
    <t xml:space="preserve">Silence Wang</t>
  </si>
  <si>
    <t xml:space="preserve">Climate Pledge Arena</t>
  </si>
  <si>
    <t xml:space="preserve">Seattle</t>
  </si>
  <si>
    <t xml:space="preserve">Seattle-Tacoma</t>
  </si>
  <si>
    <t xml:space="preserve">International Entertainment Marketing</t>
  </si>
  <si>
    <t xml:space="preserve">Adelaide Entertainment Centre Theatre</t>
  </si>
  <si>
    <t xml:space="preserve">Hindmarsh</t>
  </si>
  <si>
    <t xml:space="preserve">Keung To</t>
  </si>
  <si>
    <t xml:space="preserve">OVO Arena Wembley</t>
  </si>
  <si>
    <t xml:space="preserve">London</t>
  </si>
  <si>
    <t xml:space="preserve">Pound Sterling</t>
  </si>
  <si>
    <t xml:space="preserve">INI, Cup Of Joe, CORTIS, s**t kingz, SkyHi, Da Pump, Tomohiro Kamiyama, CIRRA</t>
  </si>
  <si>
    <t xml:space="preserve">Bloodywood</t>
  </si>
  <si>
    <t xml:space="preserve">Perth HPC</t>
  </si>
  <si>
    <t xml:space="preserve">Mount Claremont</t>
  </si>
  <si>
    <t xml:space="preserve">"CDTV Live! Live!</t>
  </si>
  <si>
    <t xml:space="preserve">&amp;TEAM, M!LK, ATARASHII GAKKO!, Aina the End</t>
  </si>
  <si>
    <t xml:space="preserve">Disk Garage</t>
  </si>
  <si>
    <t xml:space="preserve">IEM Group</t>
  </si>
  <si>
    <t xml:space="preserve">National Stadium</t>
  </si>
  <si>
    <t xml:space="preserve">Singapore</t>
  </si>
  <si>
    <t xml:space="preserve">Bullet Train, BOYNEXTDOOR, Little Glee Monster, =LOVE</t>
  </si>
  <si>
    <t xml:space="preserve">TD Coliseum</t>
  </si>
  <si>
    <t xml:space="preserve">Hamilton</t>
  </si>
  <si>
    <t xml:space="preserve">Ontario</t>
  </si>
  <si>
    <t xml:space="preserve">Frontier Touring</t>
  </si>
  <si>
    <t xml:space="preserve">Rod Laver Arena</t>
  </si>
  <si>
    <t xml:space="preserve">Bell Centre</t>
  </si>
  <si>
    <t xml:space="preserve">(In-House Promotion), evenko, Live Nation</t>
  </si>
  <si>
    <t xml:space="preserve">MyGO!!!!!</t>
  </si>
  <si>
    <t xml:space="preserve">Ave Mujica, millsage, Ikka Dumb Rock!</t>
  </si>
  <si>
    <t xml:space="preserve">"Mystic Nights", Dan Truong</t>
  </si>
  <si>
    <t xml:space="preserve">Quang Le, Trinh Lam</t>
  </si>
  <si>
    <t xml:space="preserve">5M Music</t>
  </si>
  <si>
    <t xml:space="preserve">Jammin' Java</t>
  </si>
  <si>
    <t xml:space="preserve">Vienna</t>
  </si>
  <si>
    <t xml:space="preserve">Virginia</t>
  </si>
  <si>
    <t xml:space="preserve">BanG Dream!</t>
  </si>
  <si>
    <t xml:space="preserve">Poppin'Party, Afterglow, Pastel*Palettes, Roselia, Hello, Hello, Happy World!, Morfonica, RAISE A SUILEN, MyGO!!!!!, Ave Mujica, Mugendai Mewtype</t>
  </si>
  <si>
    <t xml:space="preserve">Kai Tak Stadium</t>
  </si>
  <si>
    <t xml:space="preserve">Kowloon</t>
  </si>
  <si>
    <t xml:space="preserve">State Farm Arena</t>
  </si>
  <si>
    <t xml:space="preserve">Atlanta</t>
  </si>
  <si>
    <t xml:space="preserve">Georgia</t>
  </si>
  <si>
    <t xml:space="preserve">Uber Eats Music Hall</t>
  </si>
  <si>
    <t xml:space="preserve">Berlin</t>
  </si>
  <si>
    <t xml:space="preserve">Germany</t>
  </si>
  <si>
    <t xml:space="preserve">Semmel Concerts Entertainment GmbH</t>
  </si>
  <si>
    <t xml:space="preserve">?ME</t>
  </si>
  <si>
    <t xml:space="preserve">Hoshimachi Suisei</t>
  </si>
  <si>
    <t xml:space="preserve">ZEROBASEONE</t>
  </si>
  <si>
    <t xml:space="preserve">UBS Arena</t>
  </si>
  <si>
    <t xml:space="preserve">Elmont</t>
  </si>
  <si>
    <t xml:space="preserve">KAWAII LAB</t>
  </si>
  <si>
    <t xml:space="preserve">Cutie Street</t>
  </si>
  <si>
    <t xml:space="preserve">Hot Stuff Promotion Co.</t>
  </si>
  <si>
    <t xml:space="preserve">Axiata Arena</t>
  </si>
  <si>
    <t xml:space="preserve">Kuala Lumpur</t>
  </si>
  <si>
    <t xml:space="preserve">Malaysia</t>
  </si>
  <si>
    <t xml:space="preserve">Ringgit</t>
  </si>
  <si>
    <t xml:space="preserve">FRUITS ZIPPER, Candy Tune, Sweet Steady, Cutie Street, KAWAII LAB, MATES, KAWAII LAB, SOUTH</t>
  </si>
  <si>
    <t xml:space="preserve">Capital One Arena</t>
  </si>
  <si>
    <t xml:space="preserve">Candy Tune</t>
  </si>
  <si>
    <t xml:space="preserve">FRUITS ZIPPER</t>
  </si>
  <si>
    <t xml:space="preserve">FRUITS ZIPPER, Candy Tune, Cutie Street, KAWAII LAB, MATES, KAWAII LAB, SOUTH</t>
  </si>
  <si>
    <t xml:space="preserve">Kyocera Dome Osaka</t>
  </si>
  <si>
    <t xml:space="preserve">Osaka</t>
  </si>
  <si>
    <t xml:space="preserve">UNIS</t>
  </si>
  <si>
    <t xml:space="preserve">The Howard Theatre</t>
  </si>
  <si>
    <t xml:space="preserve">American Airlines Center</t>
  </si>
  <si>
    <t xml:space="preserve">Dallas</t>
  </si>
  <si>
    <t xml:space="preserve">Dallas-Ft. Worth</t>
  </si>
  <si>
    <t xml:space="preserve">Taipei Dome</t>
  </si>
  <si>
    <t xml:space="preserve">Taipei</t>
  </si>
  <si>
    <t xml:space="preserve">Taiwan</t>
  </si>
  <si>
    <t xml:space="preserve">New Taiwan Dollar</t>
  </si>
  <si>
    <t xml:space="preserve">P1harmony</t>
  </si>
  <si>
    <t xml:space="preserve">StudioPav</t>
  </si>
  <si>
    <t xml:space="preserve">Mortgage Matchup Center</t>
  </si>
  <si>
    <t xml:space="preserve">Phoenix</t>
  </si>
  <si>
    <t xml:space="preserve">" LAWSON 50th Anniversary Special LIVE"</t>
  </si>
  <si>
    <t xml:space="preserve">Glay</t>
  </si>
  <si>
    <t xml:space="preserve">Nogizaka46, Hinatazaka46</t>
  </si>
  <si>
    <t xml:space="preserve">=LOVE, ?ME, ?JOY</t>
  </si>
  <si>
    <t xml:space="preserve">Onew</t>
  </si>
  <si>
    <t xml:space="preserve">Atlanta Symphony Hall</t>
  </si>
  <si>
    <t xml:space="preserve">Sean Healy Presents</t>
  </si>
  <si>
    <t xml:space="preserve">Singapore Indoor Stadium</t>
  </si>
  <si>
    <t xml:space="preserve">Kings Theatre</t>
  </si>
  <si>
    <t xml:space="preserve">Taemin</t>
  </si>
  <si>
    <t xml:space="preserve">Dolby Live at Park MGM Las Vegas</t>
  </si>
  <si>
    <t xml:space="preserve">Las Vegas</t>
  </si>
  <si>
    <t xml:space="preserve">Nevada</t>
  </si>
  <si>
    <t xml:space="preserve">Copernicus Center</t>
  </si>
  <si>
    <t xml:space="preserve">Shiritsu Ebisu Chugaku</t>
  </si>
  <si>
    <t xml:space="preserve">Kyodo YOKOHAMA</t>
  </si>
  <si>
    <t xml:space="preserve">Orpheum Theatre</t>
  </si>
  <si>
    <t xml:space="preserve">TREASURE</t>
  </si>
  <si>
    <t xml:space="preserve">Sunrise Promotion Tokyo</t>
  </si>
  <si>
    <t xml:space="preserve">San Jose Civic</t>
  </si>
  <si>
    <t xml:space="preserve">San Jose</t>
  </si>
  <si>
    <t xml:space="preserve">AsiaWorld-Expo</t>
  </si>
  <si>
    <t xml:space="preserve">Yuan Renminbi</t>
  </si>
  <si>
    <t xml:space="preserve">Fukuoka PayPay Dome</t>
  </si>
  <si>
    <t xml:space="preserve">Fukuoka</t>
  </si>
  <si>
    <t xml:space="preserve">Yuuri</t>
  </si>
  <si>
    <t xml:space="preserve">KARD</t>
  </si>
  <si>
    <t xml:space="preserve">Coca-Cola Music Hall</t>
  </si>
  <si>
    <t xml:space="preserve">San Juan</t>
  </si>
  <si>
    <t xml:space="preserve">Puerto Rico</t>
  </si>
  <si>
    <t xml:space="preserve">Jose Dueño Presents</t>
  </si>
  <si>
    <t xml:space="preserve">"KYO-EN"</t>
  </si>
  <si>
    <t xml:space="preserve">Ketsumeishi, ATARASHII GAKKO!, FRUITS ZIPPER</t>
  </si>
  <si>
    <t xml:space="preserve">FRUITS ZIPPER, Candy Tune, Sweet Steady, Cutie Street, KAWAII LAB, Mates</t>
  </si>
  <si>
    <t xml:space="preserve">ATARASHII GAKKO!</t>
  </si>
  <si>
    <t xml:space="preserve">Festival Hall</t>
  </si>
  <si>
    <t xml:space="preserve">West Melbourne</t>
  </si>
  <si>
    <t xml:space="preserve">Frontier Touring, Penny Drop</t>
  </si>
  <si>
    <t xml:space="preserve">Vantelin Dome Nagoya</t>
  </si>
  <si>
    <t xml:space="preserve">Nagoya</t>
  </si>
  <si>
    <t xml:space="preserve">"Sabaidee Fest", P.A.P. Beatband</t>
  </si>
  <si>
    <t xml:space="preserve">Hard Rock Live Sacramento</t>
  </si>
  <si>
    <t xml:space="preserve">Wheatland</t>
  </si>
  <si>
    <t xml:space="preserve">Sacramento-Stockton-Modesto</t>
  </si>
  <si>
    <t xml:space="preserve">GO-AheadZ</t>
  </si>
  <si>
    <t xml:space="preserve">Chanmina, Lana, Lee Young Ji, Raisan</t>
  </si>
  <si>
    <t xml:space="preserve">Eplus.inc</t>
  </si>
  <si>
    <t xml:space="preserve">Hayato Sumino</t>
  </si>
  <si>
    <t xml:space="preserve">Cyndi Wang</t>
  </si>
  <si>
    <t xml:space="preserve">Theater at Madison Square Garden</t>
  </si>
  <si>
    <t xml:space="preserve">Hong Kong Ideal Culture Media Company Limited</t>
  </si>
  <si>
    <t xml:space="preserve">Tsuyoshi Nagabuchi</t>
  </si>
  <si>
    <t xml:space="preserve">Huxleys Neue Welt</t>
  </si>
  <si>
    <t xml:space="preserve">Avex Inc.</t>
  </si>
  <si>
    <t xml:space="preserve">Hyde</t>
  </si>
  <si>
    <t xml:space="preserve">Berns Salonger</t>
  </si>
  <si>
    <t xml:space="preserve">Stockholm</t>
  </si>
  <si>
    <t xml:space="preserve">Sweden</t>
  </si>
  <si>
    <t xml:space="preserve">Kronas</t>
  </si>
  <si>
    <t xml:space="preserve">FKP Scorpio Konzertproduktionen</t>
  </si>
  <si>
    <t xml:space="preserve">Guerraras Del KPOP</t>
  </si>
  <si>
    <t xml:space="preserve">Showcenter Complex</t>
  </si>
  <si>
    <t xml:space="preserve">San Pedro Garza Garcia</t>
  </si>
  <si>
    <t xml:space="preserve">Ronda</t>
  </si>
  <si>
    <t xml:space="preserve">Utrecht</t>
  </si>
  <si>
    <t xml:space="preserve">Netherlands</t>
  </si>
  <si>
    <t xml:space="preserve">(In-House Promotion), Friendly Fire</t>
  </si>
  <si>
    <t xml:space="preserve">013</t>
  </si>
  <si>
    <t xml:space="preserve">Tilburg</t>
  </si>
  <si>
    <t xml:space="preserve">Greenhouse Talent</t>
  </si>
  <si>
    <t xml:space="preserve">Essigfabrik</t>
  </si>
  <si>
    <t xml:space="preserve">Cologne</t>
  </si>
  <si>
    <t xml:space="preserve">Strawberry Prince</t>
  </si>
  <si>
    <t xml:space="preserve">Belluna Dome</t>
  </si>
  <si>
    <t xml:space="preserve">Tokorozawa</t>
  </si>
  <si>
    <t xml:space="preserve">Noriyuki Makihara</t>
  </si>
  <si>
    <t xml:space="preserve">Arena CDMX</t>
  </si>
  <si>
    <t xml:space="preserve">Zignia Live</t>
  </si>
  <si>
    <t xml:space="preserve">Auditorio Banamex</t>
  </si>
  <si>
    <t xml:space="preserve">Monterrey</t>
  </si>
  <si>
    <t xml:space="preserve">Apodaca Group</t>
  </si>
  <si>
    <t xml:space="preserve">BE:FIRST</t>
  </si>
  <si>
    <t xml:space="preserve">Jason Richardson</t>
  </si>
  <si>
    <t xml:space="preserve">Intuit Dome</t>
  </si>
  <si>
    <t xml:space="preserve">HYBE Co. Ltd., Live Nation</t>
  </si>
  <si>
    <t xml:space="preserve">Amerant Bank Arena</t>
  </si>
  <si>
    <t xml:space="preserve">Sunrise</t>
  </si>
  <si>
    <t xml:space="preserve">Miami-Ft. Lauderdale</t>
  </si>
  <si>
    <t xml:space="preserve">&amp;TEAM</t>
  </si>
  <si>
    <t xml:space="preserve">Saitama Super Arena</t>
  </si>
  <si>
    <t xml:space="preserve">Saitama</t>
  </si>
  <si>
    <t xml:space="preserve">MAN WITH A MISSION</t>
  </si>
  <si>
    <t xml:space="preserve">Simm City</t>
  </si>
  <si>
    <t xml:space="preserve">Austria</t>
  </si>
  <si>
    <t xml:space="preserve">Barracuda Music GmbH</t>
  </si>
  <si>
    <t xml:space="preserve">Stay-C</t>
  </si>
  <si>
    <t xml:space="preserve">Hello82</t>
  </si>
  <si>
    <t xml:space="preserve">Gen Hoshino</t>
  </si>
  <si>
    <t xml:space="preserve">MGM Music Hall at Fenway</t>
  </si>
  <si>
    <t xml:space="preserve">(In-House Promotion), Crossroads Presents, Live Nation</t>
  </si>
  <si>
    <t xml:space="preserve">Super Junior</t>
  </si>
  <si>
    <t xml:space="preserve">Lotus Producciones</t>
  </si>
  <si>
    <t xml:space="preserve">BMO Stadium</t>
  </si>
  <si>
    <t xml:space="preserve">Rosemont Theatre</t>
  </si>
  <si>
    <t xml:space="preserve">"Zozofes"</t>
  </si>
  <si>
    <t xml:space="preserve">YOASOBI, Le Sserafim</t>
  </si>
  <si>
    <t xml:space="preserve">Starbase Inc.</t>
  </si>
  <si>
    <t xml:space="preserve">Palacio de los Deportes</t>
  </si>
  <si>
    <t xml:space="preserve">HANA</t>
  </si>
  <si>
    <t xml:space="preserve">Tacoma Dome</t>
  </si>
  <si>
    <t xml:space="preserve">Tacoma</t>
  </si>
  <si>
    <t xml:space="preserve">"Finger Heart: The K-Pop Night"</t>
  </si>
  <si>
    <t xml:space="preserve">The Blue Note</t>
  </si>
  <si>
    <t xml:space="preserve">Columbia</t>
  </si>
  <si>
    <t xml:space="preserve">Missouri</t>
  </si>
  <si>
    <t xml:space="preserve">Columbia-Jefferson City</t>
  </si>
  <si>
    <t xml:space="preserve">FPC Live (Frank Productions Concerts)</t>
  </si>
  <si>
    <t xml:space="preserve">Dickies Arena</t>
  </si>
  <si>
    <t xml:space="preserve">Fort Worth</t>
  </si>
  <si>
    <t xml:space="preserve">Paramount Theatre</t>
  </si>
  <si>
    <t xml:space="preserve">Yorushika</t>
  </si>
  <si>
    <t xml:space="preserve">Air Flag Inc</t>
  </si>
  <si>
    <t xml:space="preserve">Prudential Center</t>
  </si>
  <si>
    <t xml:space="preserve">Newark</t>
  </si>
  <si>
    <t xml:space="preserve">AEG Presents, HYBE Co. Ltd.</t>
  </si>
  <si>
    <t xml:space="preserve">EagleBank Arena</t>
  </si>
  <si>
    <t xml:space="preserve">Fairfax</t>
  </si>
  <si>
    <t xml:space="preserve">Ireisu</t>
  </si>
  <si>
    <t xml:space="preserve">HYBE Co. Ltd., Role Model Entertainment Group</t>
  </si>
  <si>
    <t xml:space="preserve">Wonho</t>
  </si>
  <si>
    <t xml:space="preserve">Helsinki Hall of Culture</t>
  </si>
  <si>
    <t xml:space="preserve">Helsinki</t>
  </si>
  <si>
    <t xml:space="preserve">Finland</t>
  </si>
  <si>
    <t xml:space="preserve">Fullsteam Agency / FKP Scorpio</t>
  </si>
  <si>
    <t xml:space="preserve">The Boyz</t>
  </si>
  <si>
    <t xml:space="preserve">WAMU Theater</t>
  </si>
  <si>
    <t xml:space="preserve">STUTS</t>
  </si>
  <si>
    <t xml:space="preserve">Campanella, DJ Mitsu the Beats, JJJ, Kaneee, KEIZOmachine!, Kid Fresino, Akihisa Kitazato, KMC, Ryosuke Nagaoka, PUNPEE, tofubeats, T-Pablow, Yo-Sea , Zeebra</t>
  </si>
  <si>
    <t xml:space="preserve">tripleS</t>
  </si>
  <si>
    <t xml:space="preserve">Centre in Vancouver for Perf. Arts</t>
  </si>
  <si>
    <t xml:space="preserve">Vancouver</t>
  </si>
  <si>
    <t xml:space="preserve">British Columbia</t>
  </si>
  <si>
    <t xml:space="preserve">"B-Town Briefing Expanded Version “BOND”"</t>
  </si>
  <si>
    <t xml:space="preserve">SkyHi, Novel Core, BE:FIRST, HANA, Aile The Shota, edhiii boi, Mazzel</t>
  </si>
  <si>
    <t xml:space="preserve">G-Dragon</t>
  </si>
  <si>
    <t xml:space="preserve">Paris La Défense Arena</t>
  </si>
  <si>
    <t xml:space="preserve">Nanterre</t>
  </si>
  <si>
    <t xml:space="preserve">AEG Presents</t>
  </si>
  <si>
    <t xml:space="preserve">MC Park Bo-Gum</t>
  </si>
  <si>
    <t xml:space="preserve">Auditorio Nacional</t>
  </si>
  <si>
    <t xml:space="preserve">Palace of Fine Arts Theatre</t>
  </si>
  <si>
    <t xml:space="preserve">San Francisco</t>
  </si>
  <si>
    <t xml:space="preserve">Arena Monterrey</t>
  </si>
  <si>
    <t xml:space="preserve">Fillmore Auditorium</t>
  </si>
  <si>
    <t xml:space="preserve">Denver</t>
  </si>
  <si>
    <t xml:space="preserve">Colorado</t>
  </si>
  <si>
    <t xml:space="preserve">Chicago Theatre</t>
  </si>
  <si>
    <t xml:space="preserve">House Of Blues</t>
  </si>
  <si>
    <t xml:space="preserve">BabyMonster</t>
  </si>
  <si>
    <t xml:space="preserve">SAP Center at San Jose</t>
  </si>
  <si>
    <t xml:space="preserve">Vic Theatre</t>
  </si>
  <si>
    <t xml:space="preserve">Jam Productions</t>
  </si>
  <si>
    <t xml:space="preserve">Egyptian Room</t>
  </si>
  <si>
    <t xml:space="preserve">Indianapolis</t>
  </si>
  <si>
    <t xml:space="preserve">Palladium Times Square</t>
  </si>
  <si>
    <t xml:space="preserve">The Danforth Music Hall</t>
  </si>
  <si>
    <t xml:space="preserve">Toronto</t>
  </si>
  <si>
    <t xml:space="preserve">Accor Arena</t>
  </si>
  <si>
    <t xml:space="preserve">Paris</t>
  </si>
  <si>
    <t xml:space="preserve">Uber Arena</t>
  </si>
  <si>
    <t xml:space="preserve">T-Mobile Arena</t>
  </si>
  <si>
    <t xml:space="preserve">SEIKIMA-II, BABYMETAL</t>
  </si>
  <si>
    <t xml:space="preserve">ING Arena</t>
  </si>
  <si>
    <t xml:space="preserve">Brussels</t>
  </si>
  <si>
    <t xml:space="preserve">Belgium</t>
  </si>
  <si>
    <t xml:space="preserve">NCT Dream</t>
  </si>
  <si>
    <t xml:space="preserve">Ziggo Dome</t>
  </si>
  <si>
    <t xml:space="preserve">Amsterdam</t>
  </si>
  <si>
    <t xml:space="preserve">Sakanaction</t>
  </si>
  <si>
    <t xml:space="preserve">Livemasters Inc.</t>
  </si>
  <si>
    <t xml:space="preserve">AO Arena</t>
  </si>
  <si>
    <t xml:space="preserve">Manchester</t>
  </si>
  <si>
    <t xml:space="preserve">Mazzel</t>
  </si>
  <si>
    <t xml:space="preserve">The O2 - London</t>
  </si>
  <si>
    <t xml:space="preserve">Gocheok Sky Dome</t>
  </si>
  <si>
    <t xml:space="preserve">G.E.M. (Get Everybody Moving)</t>
  </si>
  <si>
    <t xml:space="preserve">Top Top</t>
  </si>
  <si>
    <t xml:space="preserve">Crystal Kay</t>
  </si>
  <si>
    <t xml:space="preserve">Pearl Street Warehouse</t>
  </si>
  <si>
    <t xml:space="preserve">Konnect'd Entertainment, Union Stage Presents</t>
  </si>
  <si>
    <t xml:space="preserve">Ado</t>
  </si>
  <si>
    <t xml:space="preserve">Lotus Producciones, Move Concerts</t>
  </si>
  <si>
    <t xml:space="preserve">ME:I</t>
  </si>
  <si>
    <t xml:space="preserve">Live Forward Co.</t>
  </si>
  <si>
    <t xml:space="preserve">Buenos Aires</t>
  </si>
  <si>
    <t xml:space="preserve">Argentina</t>
  </si>
  <si>
    <t xml:space="preserve">Move Concerts</t>
  </si>
  <si>
    <t xml:space="preserve">Espaço Unimed</t>
  </si>
  <si>
    <t xml:space="preserve">São Paulo</t>
  </si>
  <si>
    <t xml:space="preserve">Brazil</t>
  </si>
  <si>
    <t xml:space="preserve">BLR</t>
  </si>
  <si>
    <t xml:space="preserve">Toyota Center</t>
  </si>
  <si>
    <t xml:space="preserve">Houston</t>
  </si>
  <si>
    <t xml:space="preserve">The Rose</t>
  </si>
  <si>
    <t xml:space="preserve">Pepsi Center WTC Mexico</t>
  </si>
  <si>
    <t xml:space="preserve">TWS</t>
  </si>
  <si>
    <t xml:space="preserve">Bocho</t>
  </si>
  <si>
    <t xml:space="preserve">Teatro Caupolican</t>
  </si>
  <si>
    <t xml:space="preserve">United Center</t>
  </si>
  <si>
    <t xml:space="preserve">Jin</t>
  </si>
  <si>
    <t xml:space="preserve">HYBE Co. Ltd., Live Nation, Mojo Concerts</t>
  </si>
  <si>
    <t xml:space="preserve">Yoon San-ha</t>
  </si>
  <si>
    <t xml:space="preserve">HOSHI X WOOZI</t>
  </si>
  <si>
    <t xml:space="preserve">AEG Presents, Concerts West</t>
  </si>
  <si>
    <t xml:space="preserve">Yanmar Stadium Nagai</t>
  </si>
  <si>
    <t xml:space="preserve">Stadio Olimpico</t>
  </si>
  <si>
    <t xml:space="preserve">Rome</t>
  </si>
  <si>
    <t xml:space="preserve">CFG Bank Arena</t>
  </si>
  <si>
    <t xml:space="preserve">Baltimore</t>
  </si>
  <si>
    <t xml:space="preserve">Bellco Theatre</t>
  </si>
  <si>
    <t xml:space="preserve">Amalie Arena</t>
  </si>
  <si>
    <t xml:space="preserve">Stade de France</t>
  </si>
  <si>
    <t xml:space="preserve">Saint-Denis</t>
  </si>
  <si>
    <t xml:space="preserve">K:LIVE</t>
  </si>
  <si>
    <t xml:space="preserve">La Sala del Movistar Arena</t>
  </si>
  <si>
    <t xml:space="preserve">Madrid</t>
  </si>
  <si>
    <t xml:space="preserve">Spain</t>
  </si>
  <si>
    <t xml:space="preserve">Centro Cultural Coreano en España</t>
  </si>
  <si>
    <t xml:space="preserve">BOYNEXTDOOR</t>
  </si>
  <si>
    <t xml:space="preserve">Riyadh Air Metropolitano</t>
  </si>
  <si>
    <t xml:space="preserve">ROF-MAO</t>
  </si>
  <si>
    <t xml:space="preserve">PHX Arena</t>
  </si>
  <si>
    <t xml:space="preserve">Tottenham Hotspur Stadium</t>
  </si>
  <si>
    <t xml:space="preserve">Cobb Energy Performing Arts Centre</t>
  </si>
  <si>
    <t xml:space="preserve">Honda Center</t>
  </si>
  <si>
    <t xml:space="preserve">Anaheim</t>
  </si>
  <si>
    <t xml:space="preserve">"Sabaidee Fest"</t>
  </si>
  <si>
    <t xml:space="preserve">(In-House Promotion), Hard Rock International (HRI)</t>
  </si>
  <si>
    <t xml:space="preserve">Deutsche Bank Park</t>
  </si>
  <si>
    <t xml:space="preserve">Frankfurt</t>
  </si>
  <si>
    <t xml:space="preserve">(In-House Promotion), Crossroads Presents</t>
  </si>
  <si>
    <t xml:space="preserve">Jeff Satur</t>
  </si>
  <si>
    <t xml:space="preserve">Johan Cruijff ArenA</t>
  </si>
  <si>
    <t xml:space="preserve">Live Nation, Mojo Concerts</t>
  </si>
  <si>
    <t xml:space="preserve">Spark Arena</t>
  </si>
  <si>
    <t xml:space="preserve">Auckland</t>
  </si>
  <si>
    <t xml:space="preserve">New Zealand</t>
  </si>
  <si>
    <t xml:space="preserve">GLION Arena</t>
  </si>
  <si>
    <t xml:space="preserve">Kobe</t>
  </si>
  <si>
    <t xml:space="preserve">Tokyo Stadium</t>
  </si>
  <si>
    <t xml:space="preserve">Black Veil Brides, Bloodywood</t>
  </si>
  <si>
    <t xml:space="preserve">Michigan Lottery Amphitheater</t>
  </si>
  <si>
    <t xml:space="preserve">Sterling Heights</t>
  </si>
  <si>
    <t xml:space="preserve">Detroit</t>
  </si>
  <si>
    <t xml:space="preserve">Black Veil Brides</t>
  </si>
  <si>
    <t xml:space="preserve">Place Bell</t>
  </si>
  <si>
    <t xml:space="preserve">Laval</t>
  </si>
  <si>
    <t xml:space="preserve">(In-House Promotion), Evenko</t>
  </si>
  <si>
    <t xml:space="preserve">Rogers Stadium</t>
  </si>
  <si>
    <t xml:space="preserve">Jay Chou</t>
  </si>
  <si>
    <t xml:space="preserve">Best Shine Entertainment</t>
  </si>
  <si>
    <t xml:space="preserve">Candy LO</t>
  </si>
  <si>
    <t xml:space="preserve">Northcote Theatre</t>
  </si>
  <si>
    <t xml:space="preserve">Northcote</t>
  </si>
  <si>
    <t xml:space="preserve">Goyang Auxiliary Stadium</t>
  </si>
  <si>
    <t xml:space="preserve">Keio Arena Tokyo</t>
  </si>
  <si>
    <t xml:space="preserve">Yoyogi Taiikukan</t>
  </si>
  <si>
    <t xml:space="preserve">Mohegan Sun Arena</t>
  </si>
  <si>
    <t xml:space="preserve">Uncasville</t>
  </si>
  <si>
    <t xml:space="preserve">Connecticut</t>
  </si>
  <si>
    <t xml:space="preserve">Hartford-New Haven</t>
  </si>
  <si>
    <t xml:space="preserve">Wrigley Field</t>
  </si>
  <si>
    <t xml:space="preserve">BIBI</t>
  </si>
  <si>
    <t xml:space="preserve">Live Nation, Seattle Theatre Group</t>
  </si>
  <si>
    <t xml:space="preserve">Tempodrom</t>
  </si>
  <si>
    <t xml:space="preserve">Trinity Music</t>
  </si>
  <si>
    <t xml:space="preserve">Mariya Takeuchi</t>
  </si>
  <si>
    <t xml:space="preserve">LISA</t>
  </si>
  <si>
    <t xml:space="preserve">Bloodywood, Black Veil Brides</t>
  </si>
  <si>
    <t xml:space="preserve">Nationals Park</t>
  </si>
  <si>
    <t xml:space="preserve">Mitsubishi Electric Halle</t>
  </si>
  <si>
    <t xml:space="preserve">Dusseldorf</t>
  </si>
  <si>
    <t xml:space="preserve">Prime Entertainment GmbH</t>
  </si>
  <si>
    <t xml:space="preserve">Friendly Fire</t>
  </si>
  <si>
    <t xml:space="preserve">TWTC Nangang Exhibition Hall</t>
  </si>
  <si>
    <t xml:space="preserve">Citi Field</t>
  </si>
  <si>
    <t xml:space="preserve">Yuengling Center</t>
  </si>
  <si>
    <t xml:space="preserve">Another Planet Entertainment</t>
  </si>
  <si>
    <t xml:space="preserve">Indonesia Arena</t>
  </si>
  <si>
    <t xml:space="preserve">Jakarta</t>
  </si>
  <si>
    <t xml:space="preserve">Indonesia</t>
  </si>
  <si>
    <t xml:space="preserve">Rupiah</t>
  </si>
  <si>
    <t xml:space="preserve">Royal Arena Copenhagen</t>
  </si>
  <si>
    <t xml:space="preserve">Copenhagen</t>
  </si>
  <si>
    <t xml:space="preserve">Denmark</t>
  </si>
  <si>
    <t xml:space="preserve">Krones</t>
  </si>
  <si>
    <t xml:space="preserve">Smash! Bang! Pow! / FKP Scorpio</t>
  </si>
  <si>
    <t xml:space="preserve">Camping World Stadium</t>
  </si>
  <si>
    <t xml:space="preserve">Orlando</t>
  </si>
  <si>
    <t xml:space="preserve">Orlando-Daytona Beach-Melbourne</t>
  </si>
  <si>
    <t xml:space="preserve">Halle F</t>
  </si>
  <si>
    <t xml:space="preserve">Barracuda Music GmbH, cute concerts GmbH</t>
  </si>
  <si>
    <t xml:space="preserve">Antwerps Sportpaleis</t>
  </si>
  <si>
    <t xml:space="preserve">Merksem</t>
  </si>
  <si>
    <t xml:space="preserve">Truist Park</t>
  </si>
  <si>
    <t xml:space="preserve">Radio City Music Hall</t>
  </si>
  <si>
    <t xml:space="preserve">YOASOBI</t>
  </si>
  <si>
    <t xml:space="preserve">THE HALL</t>
  </si>
  <si>
    <t xml:space="preserve">Dubendorf</t>
  </si>
  <si>
    <t xml:space="preserve">Switzerland</t>
  </si>
  <si>
    <t xml:space="preserve">Swiss Franc</t>
  </si>
  <si>
    <t xml:space="preserve">Gadget ABC Entertainment AG</t>
  </si>
  <si>
    <t xml:space="preserve">Jamsil Olympic Stadium</t>
  </si>
  <si>
    <t xml:space="preserve">Globe Life Field</t>
  </si>
  <si>
    <t xml:space="preserve">Arlington</t>
  </si>
  <si>
    <t xml:space="preserve">"Nano-Mugen Fes"</t>
  </si>
  <si>
    <t xml:space="preserve">Beck, The Adams, Adams, Fountains Of Wayne, Hovvdy, Nick Moon, YeYe, Quruli, The Young Punx</t>
  </si>
  <si>
    <t xml:space="preserve">SoFi Stadium</t>
  </si>
  <si>
    <t xml:space="preserve">Asian Kung-Fu Generation, Ellegarden, Voice of Baceprot</t>
  </si>
  <si>
    <t xml:space="preserve">DEAG / KMJ Entertainment</t>
  </si>
  <si>
    <t xml:space="preserve">"ASIA STAR ENTERTAINER AWARDS"</t>
  </si>
  <si>
    <t xml:space="preserve">ZEROBASEONE, FANTASY BOYS, BtoB, NouerA, Jo Yu-ri, i-dle, BYEON WOO-seok, HYUNGWON, Choo Young Woo, Younghoon, Kim Hye-yoon, Sakurazaka46, HANA, ATARASHII GAKKO!, The Rampage, SkyHi, BADVILLAIN, N.SSign, The E Boyz</t>
  </si>
  <si>
    <t xml:space="preserve">Oracle Park</t>
  </si>
  <si>
    <t xml:space="preserve">NOWADAYS, Hearts2Hearts, KiiiKiii, Jang Keun-suk, NiziU, timelesz, Nexz, NCT WISH, ENHYPEN, Xdinary Heroes, aespa, Rei, Juyeon</t>
  </si>
  <si>
    <t xml:space="preserve">Marine Messe Fukuoka Hall A</t>
  </si>
  <si>
    <t xml:space="preserve">Poppin'Party</t>
  </si>
  <si>
    <t xml:space="preserve">Nippon Budokan Hall</t>
  </si>
  <si>
    <t xml:space="preserve">JJ Lin</t>
  </si>
  <si>
    <t xml:space="preserve">YiuWing</t>
  </si>
  <si>
    <t xml:space="preserve">INI</t>
  </si>
  <si>
    <t xml:space="preserve">T-Mobile Park</t>
  </si>
  <si>
    <t xml:space="preserve">NTU Sports Center</t>
  </si>
  <si>
    <t xml:space="preserve">MCC Hall The Mall Bangkapi</t>
  </si>
  <si>
    <t xml:space="preserve">Pierrot</t>
  </si>
  <si>
    <t xml:space="preserve">Galaxy Arena</t>
  </si>
  <si>
    <t xml:space="preserve">Macau</t>
  </si>
  <si>
    <t xml:space="preserve">Macau (China)</t>
  </si>
  <si>
    <t xml:space="preserve">Pataca</t>
  </si>
  <si>
    <t xml:space="preserve">Asue Arena Osaka</t>
  </si>
  <si>
    <t xml:space="preserve">"Kpop Masterz"</t>
  </si>
  <si>
    <t xml:space="preserve">ATEEZ, Suho</t>
  </si>
  <si>
    <t xml:space="preserve">Iguana Producciones</t>
  </si>
  <si>
    <t xml:space="preserve">EVNNE</t>
  </si>
  <si>
    <t xml:space="preserve">170 Russell</t>
  </si>
  <si>
    <t xml:space="preserve">BoxLive</t>
  </si>
  <si>
    <t xml:space="preserve">Mayday</t>
  </si>
  <si>
    <t xml:space="preserve">Xikers</t>
  </si>
  <si>
    <t xml:space="preserve">Fox Theatre</t>
  </si>
  <si>
    <t xml:space="preserve">Aimyon</t>
  </si>
  <si>
    <t xml:space="preserve">Poppy, Bambie Thug</t>
  </si>
  <si>
    <t xml:space="preserve">Forest National</t>
  </si>
  <si>
    <t xml:space="preserve">IMPACT Arena</t>
  </si>
  <si>
    <t xml:space="preserve">Nonthaburi</t>
  </si>
  <si>
    <t xml:space="preserve">Nagoya International Exhibition Hall</t>
  </si>
  <si>
    <t xml:space="preserve">Convention Center</t>
  </si>
  <si>
    <t xml:space="preserve">Port Messe Nagoya</t>
  </si>
  <si>
    <t xml:space="preserve">"SMTOWN Live"</t>
  </si>
  <si>
    <t xml:space="preserve">TVXQ, Super Junior, KEY (SHINee), MINHO (SHINee), Suho, Chanyeol, Red Velvet, NCT 127, NCT Dream, WayV, aespa, RIIZE, NCT WISH</t>
  </si>
  <si>
    <t xml:space="preserve">Asian Pop, Multi-Genre</t>
  </si>
  <si>
    <t xml:space="preserve">IVE</t>
  </si>
  <si>
    <t xml:space="preserve">Aichi Sky Expo</t>
  </si>
  <si>
    <t xml:space="preserve">Aichi</t>
  </si>
  <si>
    <t xml:space="preserve">Bullet Train</t>
  </si>
  <si>
    <t xml:space="preserve">XY, EBiDAN, Tani Yuuki, Yuya Tegoshi</t>
  </si>
  <si>
    <t xml:space="preserve">Day6</t>
  </si>
  <si>
    <t xml:space="preserve">TOSHIHIKO TAHARA</t>
  </si>
  <si>
    <t xml:space="preserve">Live Nation, OCESA</t>
  </si>
  <si>
    <t xml:space="preserve">SM Mall of Asia Arena</t>
  </si>
  <si>
    <t xml:space="preserve">Pasay City</t>
  </si>
  <si>
    <t xml:space="preserve">Anabuki Arena Kagawa</t>
  </si>
  <si>
    <t xml:space="preserve">Kagawa</t>
  </si>
  <si>
    <t xml:space="preserve">Istora Senayan</t>
  </si>
  <si>
    <t xml:space="preserve">Estadio de la Universidad Nacional Mayor de San Marcos</t>
  </si>
  <si>
    <t xml:space="preserve">Lima</t>
  </si>
  <si>
    <t xml:space="preserve">Peru</t>
  </si>
  <si>
    <t xml:space="preserve">Nuevo Sol</t>
  </si>
  <si>
    <t xml:space="preserve">AsiaWorld Hall 10</t>
  </si>
  <si>
    <t xml:space="preserve">Nogizaka46, Ryokuoushoku Shakai</t>
  </si>
  <si>
    <t xml:space="preserve">Sony Music</t>
  </si>
  <si>
    <t xml:space="preserve">Awich, Creepy Nuts, YZERR, HANA</t>
  </si>
  <si>
    <t xml:space="preserve">MorumBIS</t>
  </si>
  <si>
    <t xml:space="preserve">Chinatown Cinema Corporation</t>
  </si>
  <si>
    <t xml:space="preserve">Tatsuya Kitani, Kessoku Band, Hayato Sumino</t>
  </si>
  <si>
    <t xml:space="preserve">Estádio Nilton Santos</t>
  </si>
  <si>
    <t xml:space="preserve">Rio De Janeiro</t>
  </si>
  <si>
    <t xml:space="preserve">Hwasa</t>
  </si>
  <si>
    <t xml:space="preserve">ATEEZ, KEY (SHINee), Xikers, GENERATIONS, Nexz, NCT Dream, MINHO (SHINee), Hearts2Hearts</t>
  </si>
  <si>
    <t xml:space="preserve">Accusefive, Xiao Bing Chih</t>
  </si>
  <si>
    <t xml:space="preserve">Allegiant Stadium</t>
  </si>
  <si>
    <t xml:space="preserve">EVNNE, WayV, NCT Dream, OCTPATH, N.SSign, i-dle, Mazzel</t>
  </si>
  <si>
    <t xml:space="preserve">DJ Lorelei</t>
  </si>
  <si>
    <t xml:space="preserve">Bicentenario La Florida Stadium</t>
  </si>
  <si>
    <t xml:space="preserve">(In-House Promotion), DG Medios, Live Nation</t>
  </si>
  <si>
    <t xml:space="preserve">ZEROBASEONE, Travis Japan</t>
  </si>
  <si>
    <t xml:space="preserve">Frost Bank Center</t>
  </si>
  <si>
    <t xml:space="preserve">San Antonio</t>
  </si>
  <si>
    <t xml:space="preserve">50TA</t>
  </si>
  <si>
    <t xml:space="preserve">Yokohama Arena</t>
  </si>
  <si>
    <t xml:space="preserve">HYBE Co. Ltd., Live Nation, OCESA</t>
  </si>
  <si>
    <t xml:space="preserve">Chase Center</t>
  </si>
  <si>
    <t xml:space="preserve">Smart Araneta Coliseum</t>
  </si>
  <si>
    <t xml:space="preserve">Manila</t>
  </si>
  <si>
    <t xml:space="preserve">Palau Sant Jordi</t>
  </si>
  <si>
    <t xml:space="preserve">Barcelona</t>
  </si>
  <si>
    <t xml:space="preserve">My Music Taste</t>
  </si>
  <si>
    <t xml:space="preserve">Ado, ATARASHII GAKKO!</t>
  </si>
  <si>
    <t xml:space="preserve">Peacock Theater</t>
  </si>
  <si>
    <t xml:space="preserve">AEG Presents, Goldenvoice</t>
  </si>
  <si>
    <t xml:space="preserve">MGM Grand Garden Arena</t>
  </si>
  <si>
    <t xml:space="preserve">Arena @ EXPO</t>
  </si>
  <si>
    <t xml:space="preserve">Ian Chan</t>
  </si>
  <si>
    <t xml:space="preserve">Sunny Side Up Entertainment</t>
  </si>
  <si>
    <t xml:space="preserve">HYBE Co. Ltd., Kyodo Tokyo</t>
  </si>
  <si>
    <t xml:space="preserve">Moore Theatre</t>
  </si>
  <si>
    <t xml:space="preserve">NCT 127</t>
  </si>
  <si>
    <t xml:space="preserve">GENERATIONS, WEST., Da Pump</t>
  </si>
  <si>
    <t xml:space="preserve">Kiss Of Life</t>
  </si>
  <si>
    <t xml:space="preserve">O2 Academy Glasgow</t>
  </si>
  <si>
    <t xml:space="preserve">Glasgow</t>
  </si>
  <si>
    <t xml:space="preserve">DF Concerts</t>
  </si>
  <si>
    <t xml:space="preserve">Le Sserafim, Little Glee Monster, FRUITS ZIPPER, Candy Tune, Sweet Steady, Cutie Street, News</t>
  </si>
  <si>
    <t xml:space="preserve">INSPIRE Arena</t>
  </si>
  <si>
    <t xml:space="preserve">NCT</t>
  </si>
  <si>
    <t xml:space="preserve">Future Static</t>
  </si>
  <si>
    <t xml:space="preserve">Enmore Theatre</t>
  </si>
  <si>
    <t xml:space="preserve">Newtown</t>
  </si>
  <si>
    <t xml:space="preserve">Destroy All Lines, TEG Live</t>
  </si>
  <si>
    <t xml:space="preserve">"INTIME MUSIC LIVE"</t>
  </si>
  <si>
    <t xml:space="preserve">INI, Marcy, Tani Yuuki</t>
  </si>
  <si>
    <t xml:space="preserve">Diamond Construct</t>
  </si>
  <si>
    <t xml:space="preserve">Fortitude Music Hall</t>
  </si>
  <si>
    <t xml:space="preserve">Fortitude Valley</t>
  </si>
  <si>
    <t xml:space="preserve">Grosse Freiheit 36</t>
  </si>
  <si>
    <t xml:space="preserve">Hamburg</t>
  </si>
  <si>
    <t xml:space="preserve">PRK DreamHaus GmbH</t>
  </si>
  <si>
    <t xml:space="preserve">INI, Yabai T-shirt Shop, Kami Wa Saikoro Wo Furanai</t>
  </si>
  <si>
    <t xml:space="preserve">Tonhalle</t>
  </si>
  <si>
    <t xml:space="preserve">Munich</t>
  </si>
  <si>
    <t xml:space="preserve">Kia Forum</t>
  </si>
  <si>
    <t xml:space="preserve">Raiffeisen Halle</t>
  </si>
  <si>
    <t xml:space="preserve">FRUITS ZIPPER, Candy Tune, Sweet Steady, Cutie Street, Mates</t>
  </si>
  <si>
    <t xml:space="preserve">Pacifico Yokohama</t>
  </si>
  <si>
    <t xml:space="preserve">Komplex 457</t>
  </si>
  <si>
    <t xml:space="preserve">Zurich</t>
  </si>
  <si>
    <t xml:space="preserve">Alcatraz</t>
  </si>
  <si>
    <t xml:space="preserve">Milan</t>
  </si>
  <si>
    <t xml:space="preserve">D'Alessandro &amp; Galli / Di &amp; Gi Srl</t>
  </si>
  <si>
    <t xml:space="preserve">Billlie</t>
  </si>
  <si>
    <t xml:space="preserve">Studio Pav M&amp;C</t>
  </si>
  <si>
    <t xml:space="preserve">Smart Financial Centre at Sugar Land</t>
  </si>
  <si>
    <t xml:space="preserve">Sugar Land</t>
  </si>
  <si>
    <t xml:space="preserve">Fukuoka Sunpalace</t>
  </si>
  <si>
    <t xml:space="preserve">Phantom Siita</t>
  </si>
  <si>
    <t xml:space="preserve">Metropol</t>
  </si>
  <si>
    <t xml:space="preserve">Scotiabank Arena</t>
  </si>
  <si>
    <t xml:space="preserve">Sun Plaza Sendai</t>
  </si>
  <si>
    <t xml:space="preserve">Sendai</t>
  </si>
  <si>
    <t xml:space="preserve">Marquee Theatre</t>
  </si>
  <si>
    <t xml:space="preserve">Tempe</t>
  </si>
  <si>
    <t xml:space="preserve">PSYCHIC FEVER from EXILE TRIBE</t>
  </si>
  <si>
    <t xml:space="preserve">The Neptune</t>
  </si>
  <si>
    <t xml:space="preserve">Lanxess Arena</t>
  </si>
  <si>
    <t xml:space="preserve">Concert Team NRW</t>
  </si>
  <si>
    <t xml:space="preserve">Novel Core</t>
  </si>
  <si>
    <t xml:space="preserve">DABO, Charlu, SHUNTO (BE:FIRST), RYOKI (BE:FIRST)</t>
  </si>
  <si>
    <t xml:space="preserve">FRUITS ZIPPER, Candy Tune, Sweet Steady, Cutie Street</t>
  </si>
  <si>
    <t xml:space="preserve">Power Station's "Because of Love"</t>
  </si>
  <si>
    <t xml:space="preserve">Jakarta International Stadium</t>
  </si>
  <si>
    <t xml:space="preserve">Grand Cube</t>
  </si>
  <si>
    <t xml:space="preserve">MTELUS</t>
  </si>
  <si>
    <t xml:space="preserve">(In-House Promotion), Evenko, Live Nation</t>
  </si>
  <si>
    <t xml:space="preserve">(In-House Promotion), Union Stage Presents</t>
  </si>
  <si>
    <t xml:space="preserve">Forest Hall</t>
  </si>
  <si>
    <t xml:space="preserve">Tachikawa Stage Garden</t>
  </si>
  <si>
    <t xml:space="preserve">Have Fun Together Co.</t>
  </si>
  <si>
    <t xml:space="preserve">Nederlander Concerts</t>
  </si>
  <si>
    <t xml:space="preserve">Magic Sound Entertainment</t>
  </si>
  <si>
    <t xml:space="preserve">Hallenstadion Zurich</t>
  </si>
  <si>
    <t xml:space="preserve">TAKK ab Entertainment AG</t>
  </si>
  <si>
    <t xml:space="preserve">"UTO Fest"</t>
  </si>
  <si>
    <t xml:space="preserve">Suho, ITZY, EVNNE, TEN (WayV)</t>
  </si>
  <si>
    <t xml:space="preserve">Tokyo Onkyo Co., LTD</t>
  </si>
  <si>
    <t xml:space="preserve">LDLC Arena</t>
  </si>
  <si>
    <t xml:space="preserve">Decines-Charpieu</t>
  </si>
  <si>
    <t xml:space="preserve">AEG Presents, Los Productions</t>
  </si>
  <si>
    <t xml:space="preserve">Taeyang, KEY (SHINee), WayV, &amp;TEAM</t>
  </si>
  <si>
    <t xml:space="preserve">Da-iCE</t>
  </si>
  <si>
    <t xml:space="preserve">SkyHi, Bullet Train, Kaito Takahashi, BE:FIRST, Aile The Shota, &amp;TEAM, Mazzel, Felip</t>
  </si>
  <si>
    <t xml:space="preserve">SkyHi, Bullet Train, Kaito Takahashi, PSYCHIC FEVER from EXILE TRIBE, &amp;TEAM, LEO(ALI), BE:FIRST, ShowMinorSavage, Felip</t>
  </si>
  <si>
    <t xml:space="preserve">"No No Girls THE Final"</t>
  </si>
  <si>
    <t xml:space="preserve">Chanmina, SkyHi, Kumi Koda</t>
  </si>
  <si>
    <t xml:space="preserve">Jonathan Lee</t>
  </si>
  <si>
    <t xml:space="preserve">Fifty Fifty</t>
  </si>
  <si>
    <t xml:space="preserve">The Town Hall</t>
  </si>
  <si>
    <t xml:space="preserve">The Tabernacle</t>
  </si>
  <si>
    <t xml:space="preserve">Foro Puebla</t>
  </si>
  <si>
    <t xml:space="preserve">Gilley's Dallas - South Side Music Hall</t>
  </si>
  <si>
    <t xml:space="preserve">Third String Productions</t>
  </si>
  <si>
    <t xml:space="preserve">Celebrity Theatre</t>
  </si>
  <si>
    <t xml:space="preserve">Lucky Man Concerts</t>
  </si>
  <si>
    <t xml:space="preserve">Scene Queen</t>
  </si>
  <si>
    <t xml:space="preserve">The Sylvee</t>
  </si>
  <si>
    <t xml:space="preserve">Madison</t>
  </si>
  <si>
    <t xml:space="preserve">JO1</t>
  </si>
  <si>
    <t xml:space="preserve">Wind Creek Event Center</t>
  </si>
  <si>
    <t xml:space="preserve">Bethlehem</t>
  </si>
  <si>
    <t xml:space="preserve">Philadelphia</t>
  </si>
  <si>
    <t xml:space="preserve">The Anthem</t>
  </si>
  <si>
    <t xml:space="preserve">(In-House Promotion), Evenko, Greenland Events Inc</t>
  </si>
  <si>
    <t xml:space="preserve">Official HIGE DANdism</t>
  </si>
  <si>
    <t xml:space="preserve">Riviera Theatre</t>
  </si>
  <si>
    <t xml:space="preserve">Hard Rock Live Hollywood</t>
  </si>
  <si>
    <t xml:space="preserve">Hollywood</t>
  </si>
  <si>
    <t xml:space="preserve">Mr. Children</t>
  </si>
  <si>
    <t xml:space="preserve">Clutch</t>
  </si>
  <si>
    <t xml:space="preserve">Kevin Chung</t>
  </si>
  <si>
    <t xml:space="preserve">The Moroccan Lounge</t>
  </si>
  <si>
    <t xml:space="preserve">Schubas</t>
  </si>
  <si>
    <t xml:space="preserve">Audio Club</t>
  </si>
  <si>
    <t xml:space="preserve">30e</t>
  </si>
  <si>
    <t xml:space="preserve">Keenan Te</t>
  </si>
  <si>
    <t xml:space="preserve">Frankie Venter</t>
  </si>
  <si>
    <t xml:space="preserve">Northcote Social Club</t>
  </si>
  <si>
    <t xml:space="preserve">Niche Productions</t>
  </si>
  <si>
    <t xml:space="preserve">The Mercury Lounge</t>
  </si>
  <si>
    <t xml:space="preserve">Teatro Coliseo</t>
  </si>
  <si>
    <t xml:space="preserve">Fauna Producciones, Lotus Producciones</t>
  </si>
  <si>
    <t xml:space="preserve">I.M.P.</t>
  </si>
  <si>
    <t xml:space="preserve">The Van Buren</t>
  </si>
  <si>
    <t xml:space="preserve">LinKou Multi-Purpose Gymnasium</t>
  </si>
  <si>
    <t xml:space="preserve">Untyped Venue</t>
  </si>
  <si>
    <t xml:space="preserve">Indonesia Convention Exhibition</t>
  </si>
  <si>
    <t xml:space="preserve">Tangerang</t>
  </si>
  <si>
    <t xml:space="preserve">"BMSG FES '24"</t>
  </si>
  <si>
    <t xml:space="preserve">SkyHi, Novel Core, BE:FIRST, Mazzel, Aile The Shota, edhiii boi, Reiko, RUI, TAIKI, KANON</t>
  </si>
  <si>
    <t xml:space="preserve">Colde</t>
  </si>
  <si>
    <t xml:space="preserve">Basecamp</t>
  </si>
  <si>
    <t xml:space="preserve">"Krazy K-Pop Super Concert"</t>
  </si>
  <si>
    <t xml:space="preserve">aespa, Agnez Mo, CL, ZEROBASEONE</t>
  </si>
  <si>
    <t xml:space="preserve">Long Beach Arena</t>
  </si>
  <si>
    <t xml:space="preserve">Long Beach</t>
  </si>
  <si>
    <t xml:space="preserve">aespa, Alaina Castillo, Lay Zhang, ZEROBASEONE</t>
  </si>
  <si>
    <t xml:space="preserve">Palacio De Los Deportes</t>
  </si>
  <si>
    <t xml:space="preserve">=LOVE</t>
  </si>
  <si>
    <t xml:space="preserve">B.D.U</t>
  </si>
  <si>
    <t xml:space="preserve">Puebla</t>
  </si>
  <si>
    <t xml:space="preserve">Bogota</t>
  </si>
  <si>
    <t xml:space="preserve">Colombia</t>
  </si>
  <si>
    <t xml:space="preserve">OCESA, Páramo Presenta</t>
  </si>
  <si>
    <t xml:space="preserve">Sekisui Heim Super Arena</t>
  </si>
  <si>
    <t xml:space="preserve">Miyagi</t>
  </si>
  <si>
    <t xml:space="preserve">Hayashi International Promotion</t>
  </si>
  <si>
    <t xml:space="preserve">Basecamp, Jiwoo</t>
  </si>
  <si>
    <t xml:space="preserve">Citizens House of Blues Boston</t>
  </si>
  <si>
    <t xml:space="preserve">Jiwoo</t>
  </si>
  <si>
    <t xml:space="preserve">F7 Entertainment Group, Kohai</t>
  </si>
  <si>
    <t xml:space="preserve">Thalia Hall</t>
  </si>
  <si>
    <t xml:space="preserve">I.M (MONSTA X)</t>
  </si>
  <si>
    <t xml:space="preserve">Park West</t>
  </si>
  <si>
    <t xml:space="preserve">SEKAI NO OWARI</t>
  </si>
  <si>
    <t xml:space="preserve">The Volunteers</t>
  </si>
  <si>
    <t xml:space="preserve">Bottom Lounge</t>
  </si>
  <si>
    <t xml:space="preserve">Riot Fest Corp.</t>
  </si>
  <si>
    <t xml:space="preserve">Amsterdam Bar and Hall</t>
  </si>
  <si>
    <t xml:space="preserve">Saint Paul</t>
  </si>
  <si>
    <t xml:space="preserve">Majestic Theatre</t>
  </si>
  <si>
    <t xml:space="preserve">Chuu</t>
  </si>
  <si>
    <t xml:space="preserve">Old National Centre</t>
  </si>
  <si>
    <t xml:space="preserve">Brooklyn Bowl Nashville</t>
  </si>
  <si>
    <t xml:space="preserve">Nashville</t>
  </si>
  <si>
    <t xml:space="preserve">Tennessee</t>
  </si>
  <si>
    <t xml:space="preserve">PRK DreamHaus GmbH, Trinity Music</t>
  </si>
  <si>
    <t xml:space="preserve">The Buckhead Theatre</t>
  </si>
  <si>
    <t xml:space="preserve">I.U</t>
  </si>
  <si>
    <t xml:space="preserve">(In-House Promotion), FPC Live (Frank Productions Concerts), Live Nation</t>
  </si>
  <si>
    <t xml:space="preserve">Live Music Hall</t>
  </si>
  <si>
    <t xml:space="preserve">The Fillmore Detroit</t>
  </si>
  <si>
    <t xml:space="preserve">Plaza Live Orlando</t>
  </si>
  <si>
    <t xml:space="preserve">Gas South Arena</t>
  </si>
  <si>
    <t xml:space="preserve">Duluth</t>
  </si>
  <si>
    <t xml:space="preserve">FPC Live (Frank Productions Concerts), Live Nation, NS2</t>
  </si>
  <si>
    <t xml:space="preserve">Fillmore New Orleans</t>
  </si>
  <si>
    <t xml:space="preserve">New Orleans</t>
  </si>
  <si>
    <t xml:space="preserve">Louisiana</t>
  </si>
  <si>
    <t xml:space="preserve">"KCON"</t>
  </si>
  <si>
    <t xml:space="preserve">BIBI, ENHYPEN, NCT 127, BOYNEXTDOOR, Nmixx, P1harmony, Stay-C, Taemin, ZEROBASEONE</t>
  </si>
  <si>
    <t xml:space="preserve">Crypto.com Arena</t>
  </si>
  <si>
    <t xml:space="preserve">The Phoenix Concert Theatre</t>
  </si>
  <si>
    <t xml:space="preserve">F7 Entertainment Group</t>
  </si>
  <si>
    <t xml:space="preserve">Dream Maker Ent'ment Int'l / Empire Ent'ment Int'l</t>
  </si>
  <si>
    <t xml:space="preserve">Footprint Center</t>
  </si>
  <si>
    <t xml:space="preserve">FPC Live (Frank Productions Concerts), Live Nation</t>
  </si>
  <si>
    <t xml:space="preserve">Le Studio TD</t>
  </si>
  <si>
    <t xml:space="preserve">The Crystal Ballroom at Somerville Theatre</t>
  </si>
  <si>
    <t xml:space="preserve">Somerville</t>
  </si>
  <si>
    <t xml:space="preserve">Warsaw</t>
  </si>
  <si>
    <t xml:space="preserve">Pantages Theater</t>
  </si>
  <si>
    <t xml:space="preserve">Koshi Inaba</t>
  </si>
  <si>
    <t xml:space="preserve">Dream Maker Entertainment</t>
  </si>
  <si>
    <t xml:space="preserve">Harrisburg Midtown Arts Center</t>
  </si>
  <si>
    <t xml:space="preserve">Harrisburg</t>
  </si>
  <si>
    <t xml:space="preserve">Harrisburg-Lancaster-Lebanon-York</t>
  </si>
  <si>
    <t xml:space="preserve">Auditorium / Theatre, Complex</t>
  </si>
  <si>
    <t xml:space="preserve">Spirit</t>
  </si>
  <si>
    <t xml:space="preserve">Red Flag</t>
  </si>
  <si>
    <t xml:space="preserve">St. Louis</t>
  </si>
  <si>
    <t xml:space="preserve">Mike Judy Productions</t>
  </si>
  <si>
    <t xml:space="preserve">Kep1er</t>
  </si>
  <si>
    <t xml:space="preserve">The Moon Room At Summit Music Hall</t>
  </si>
  <si>
    <t xml:space="preserve">House Of Blues Anaheim</t>
  </si>
  <si>
    <t xml:space="preserve">Nana Mizuki</t>
  </si>
  <si>
    <t xml:space="preserve">The Regent Theater</t>
  </si>
  <si>
    <t xml:space="preserve">Pabellón del Palacio de los Deportes</t>
  </si>
  <si>
    <t xml:space="preserve">Goldfield Trading Post</t>
  </si>
  <si>
    <t xml:space="preserve">Roseville</t>
  </si>
  <si>
    <t xml:space="preserve">Cornerstone</t>
  </si>
  <si>
    <t xml:space="preserve">Berkeley</t>
  </si>
  <si>
    <t xml:space="preserve">Hawthorne Theatre</t>
  </si>
  <si>
    <t xml:space="preserve">Portland</t>
  </si>
  <si>
    <t xml:space="preserve">Oregon</t>
  </si>
  <si>
    <t xml:space="preserve">Portland, OR</t>
  </si>
  <si>
    <t xml:space="preserve">(In-House Promotion), Mammoth</t>
  </si>
  <si>
    <t xml:space="preserve">Seattle Theatre Group</t>
  </si>
  <si>
    <t xml:space="preserve">Mariana Montenegro</t>
  </si>
  <si>
    <t xml:space="preserve">Cha Eun-woo</t>
  </si>
  <si>
    <t xml:space="preserve">ITZY</t>
  </si>
  <si>
    <t xml:space="preserve">Green Arena</t>
  </si>
  <si>
    <t xml:space="preserve">Hiroshima</t>
  </si>
  <si>
    <t xml:space="preserve">Marine Messe</t>
  </si>
  <si>
    <t xml:space="preserve">Zepp Kuala Lumpur</t>
  </si>
  <si>
    <t xml:space="preserve">Eventim Live Asia</t>
  </si>
  <si>
    <t xml:space="preserve">AFAS Live</t>
  </si>
  <si>
    <t xml:space="preserve">Mojo Concerts</t>
  </si>
  <si>
    <t xml:space="preserve">GSoul</t>
  </si>
  <si>
    <t xml:space="preserve">Tokyo Metropolitan Gymnasium</t>
  </si>
  <si>
    <t xml:space="preserve">James L. Knight Center</t>
  </si>
  <si>
    <t xml:space="preserve">Miami</t>
  </si>
  <si>
    <t xml:space="preserve">Whee in</t>
  </si>
  <si>
    <t xml:space="preserve">Brooklyn Paramount</t>
  </si>
  <si>
    <t xml:space="preserve">(In-House Promotion), Live Nation</t>
  </si>
  <si>
    <t xml:space="preserve">Salle De La Madeleine</t>
  </si>
  <si>
    <t xml:space="preserve">Warner Theatre</t>
  </si>
  <si>
    <t xml:space="preserve">Madison Square Garden</t>
  </si>
  <si>
    <t xml:space="preserve">Broward Center Au-Rene Theater</t>
  </si>
  <si>
    <t xml:space="preserve">Fort Lauderdale</t>
  </si>
  <si>
    <t xml:space="preserve">(In-House Promotion), AEG Presents</t>
  </si>
  <si>
    <t xml:space="preserve">Hard Rock Live / Hard Rock Cafe Orlando</t>
  </si>
  <si>
    <t xml:space="preserve">Minute Maid Park</t>
  </si>
  <si>
    <t xml:space="preserve">Nissan Stadium</t>
  </si>
  <si>
    <t xml:space="preserve">713 Music Hall</t>
  </si>
  <si>
    <t xml:space="preserve">TM NETWORK</t>
  </si>
  <si>
    <t xml:space="preserve">Oakland-Alameda County Coliseum</t>
  </si>
  <si>
    <t xml:space="preserve">CIX</t>
  </si>
  <si>
    <t xml:space="preserve">Kulttuuritehdas Korjaamo</t>
  </si>
  <si>
    <t xml:space="preserve">All Things Live</t>
  </si>
  <si>
    <t xml:space="preserve">"KING SUPER LIVE"</t>
  </si>
  <si>
    <t xml:space="preserve">Aimi, Shouta Aoi, Angela</t>
  </si>
  <si>
    <t xml:space="preserve">Aimi, Shouta Aoi, Angela, Akira Asakura</t>
  </si>
  <si>
    <t xml:space="preserve">Progresja Music Zone</t>
  </si>
  <si>
    <t xml:space="preserve">Poland</t>
  </si>
  <si>
    <t xml:space="preserve">Zloty</t>
  </si>
  <si>
    <t xml:space="preserve">Zutomayo</t>
  </si>
  <si>
    <t xml:space="preserve">Olympic Gymnastics Arena</t>
  </si>
  <si>
    <t xml:space="preserve">PIA Arena MM</t>
  </si>
  <si>
    <t xml:space="preserve">World Cup Stadium</t>
  </si>
  <si>
    <t xml:space="preserve">DJ Truffy</t>
  </si>
  <si>
    <t xml:space="preserve">H-E-B Center At Cedar Park</t>
  </si>
  <si>
    <t xml:space="preserve">Cedar Park</t>
  </si>
  <si>
    <t xml:space="preserve">Incheon Munhak Stadium</t>
  </si>
  <si>
    <t xml:space="preserve">Byline Bank Aragon Ballroom</t>
  </si>
  <si>
    <t xml:space="preserve">Palladium</t>
  </si>
  <si>
    <t xml:space="preserve">Gasometer Halle</t>
  </si>
  <si>
    <t xml:space="preserve">Radwimps</t>
  </si>
  <si>
    <t xml:space="preserve">Auditorio Citibanamex</t>
  </si>
  <si>
    <t xml:space="preserve">Twisted Talent</t>
  </si>
  <si>
    <t xml:space="preserve">Pepsi Center WTC</t>
  </si>
  <si>
    <t xml:space="preserve">Helsinki Ice Arena</t>
  </si>
  <si>
    <t xml:space="preserve">Verti Music Hall</t>
  </si>
  <si>
    <t xml:space="preserve">Alsterdorfer Sporthalle</t>
  </si>
  <si>
    <t xml:space="preserve">Mono No Aware</t>
  </si>
  <si>
    <t xml:space="preserve">The Funhouse</t>
  </si>
  <si>
    <t xml:space="preserve">CL, The Kid LAROI, The Boyz, i-dle, aespa</t>
  </si>
  <si>
    <t xml:space="preserve">TEG Live</t>
  </si>
  <si>
    <t xml:space="preserve">Osaka-Jo Hall</t>
  </si>
  <si>
    <t xml:space="preserve">Melkweg</t>
  </si>
  <si>
    <t xml:space="preserve">Allianz Parque</t>
  </si>
  <si>
    <t xml:space="preserve">Foro Sol</t>
  </si>
  <si>
    <t xml:space="preserve">New Clark City Stadium</t>
  </si>
  <si>
    <t xml:space="preserve">New Clark City</t>
  </si>
  <si>
    <t xml:space="preserve">Jamsil Arena</t>
  </si>
  <si>
    <t xml:space="preserve">Olympic Sports Center</t>
  </si>
  <si>
    <t xml:space="preserve">"KPop Overdose"</t>
  </si>
  <si>
    <t xml:space="preserve">Coca-Cola Arena</t>
  </si>
  <si>
    <t xml:space="preserve">Dubai</t>
  </si>
  <si>
    <t xml:space="preserve">United Arab Emirates</t>
  </si>
  <si>
    <t xml:space="preserve">dirham</t>
  </si>
  <si>
    <t xml:space="preserve">Speed Entertainment</t>
  </si>
  <si>
    <t xml:space="preserve">philippine sports stadium</t>
  </si>
  <si>
    <t xml:space="preserve">The Music Hall At Fair Park</t>
  </si>
  <si>
    <t xml:space="preserve">Coca-Cola Roxy</t>
  </si>
  <si>
    <t xml:space="preserve">Woodz</t>
  </si>
  <si>
    <t xml:space="preserve">Theater At MGM National Harbor</t>
  </si>
  <si>
    <t xml:space="preserve">Hinatazaka46</t>
  </si>
  <si>
    <t xml:space="preserve">Smart Financial Centre At Sugar Land</t>
  </si>
  <si>
    <t xml:space="preserve">Sugar Monkey Live</t>
  </si>
  <si>
    <t xml:space="preserve">Wargasm</t>
  </si>
  <si>
    <t xml:space="preserve">Ancienne Belgique</t>
  </si>
  <si>
    <t xml:space="preserve">Golden Gate Theatre</t>
  </si>
  <si>
    <t xml:space="preserve">Wolverhampton Civic Hall</t>
  </si>
  <si>
    <t xml:space="preserve">Wolverhampton</t>
  </si>
  <si>
    <t xml:space="preserve">DEAG / Kilimanjaro Live</t>
  </si>
  <si>
    <t xml:space="preserve">Roundhouse</t>
  </si>
  <si>
    <t xml:space="preserve">The Wiltern</t>
  </si>
  <si>
    <t xml:space="preserve">Warfield Theatre</t>
  </si>
  <si>
    <t xml:space="preserve">Xdinary Heroes</t>
  </si>
  <si>
    <t xml:space="preserve">La Sala del WiZink Center</t>
  </si>
  <si>
    <t xml:space="preserve">The Patio Theater</t>
  </si>
  <si>
    <t xml:space="preserve">The Louisville Palace Theatre</t>
  </si>
  <si>
    <t xml:space="preserve">Louisville</t>
  </si>
  <si>
    <t xml:space="preserve">Kentucky</t>
  </si>
  <si>
    <t xml:space="preserve">Spitz</t>
  </si>
  <si>
    <t xml:space="preserve">Vintage Rock</t>
  </si>
  <si>
    <t xml:space="preserve">The Mahaffey Theater</t>
  </si>
  <si>
    <t xml:space="preserve">Saint Petersburg</t>
  </si>
  <si>
    <t xml:space="preserve">Accusefive</t>
  </si>
  <si>
    <t xml:space="preserve">The Chelsea</t>
  </si>
  <si>
    <t xml:space="preserve">College Street Music Hall</t>
  </si>
  <si>
    <t xml:space="preserve">New Haven</t>
  </si>
  <si>
    <t xml:space="preserve">Will Rogers Auditorium</t>
  </si>
  <si>
    <t xml:space="preserve">Kemba Live!</t>
  </si>
  <si>
    <t xml:space="preserve">Columbus</t>
  </si>
  <si>
    <t xml:space="preserve">Ohio</t>
  </si>
  <si>
    <t xml:space="preserve">Columbus, OH</t>
  </si>
  <si>
    <t xml:space="preserve">(In-House Promotion), AEG Presents, PromoWest Productions</t>
  </si>
  <si>
    <t xml:space="preserve">"Music Bank K-Pop Festival"</t>
  </si>
  <si>
    <t xml:space="preserve">AB6IX, i-dle, ITZY, NewJeans, Stay-C, The New Six</t>
  </si>
  <si>
    <t xml:space="preserve">Theater At Madison Square Garden</t>
  </si>
  <si>
    <t xml:space="preserve">Pasadena Civic Auditorium</t>
  </si>
  <si>
    <t xml:space="preserve">Pasadena</t>
  </si>
  <si>
    <t xml:space="preserve">Forum Melbourne</t>
  </si>
  <si>
    <t xml:space="preserve">BABYMETAL, Metalocalypse: Dethklok</t>
  </si>
  <si>
    <t xml:space="preserve">Desert Diamond Arena</t>
  </si>
  <si>
    <t xml:space="preserve">Glendale</t>
  </si>
  <si>
    <t xml:space="preserve">Revention Music Center</t>
  </si>
  <si>
    <t xml:space="preserve">Uptown Theater</t>
  </si>
  <si>
    <t xml:space="preserve">Kansas City</t>
  </si>
  <si>
    <t xml:space="preserve">Dignity Health Sports Park</t>
  </si>
  <si>
    <t xml:space="preserve">Carson</t>
  </si>
  <si>
    <t xml:space="preserve">Goodyear Theater</t>
  </si>
  <si>
    <t xml:space="preserve">Akron</t>
  </si>
  <si>
    <t xml:space="preserve">Cleveland-Akron (Canton)</t>
  </si>
  <si>
    <t xml:space="preserve">Loona</t>
  </si>
  <si>
    <t xml:space="preserve">Bill Graham Civic Auditorium</t>
  </si>
  <si>
    <t xml:space="preserve">Capital One Hall</t>
  </si>
  <si>
    <t xml:space="preserve">Tysons</t>
  </si>
  <si>
    <t xml:space="preserve">Steelhouse Omaha</t>
  </si>
  <si>
    <t xml:space="preserve">Omaha</t>
  </si>
  <si>
    <t xml:space="preserve">Nebraska</t>
  </si>
  <si>
    <t xml:space="preserve">Live Nation, Omaha Performing Arts Presents</t>
  </si>
  <si>
    <t xml:space="preserve">Loossemble</t>
  </si>
  <si>
    <t xml:space="preserve">Live Nation, MGM Resorts International</t>
  </si>
  <si>
    <t xml:space="preserve">Crossroads Presents, Live Nation</t>
  </si>
  <si>
    <t xml:space="preserve">Mercedes-Benz Arena</t>
  </si>
  <si>
    <t xml:space="preserve">UPMC Events Center</t>
  </si>
  <si>
    <t xml:space="preserve">Coraopolis</t>
  </si>
  <si>
    <t xml:space="preserve">Fauna Producciones</t>
  </si>
  <si>
    <t xml:space="preserve">MONSTA X, IVE, AB6IX, Cravity</t>
  </si>
  <si>
    <t xml:space="preserve">One Pulse</t>
  </si>
  <si>
    <t xml:space="preserve">The Philippine Arena</t>
  </si>
  <si>
    <t xml:space="preserve">Mata Elang International Stadium</t>
  </si>
  <si>
    <t xml:space="preserve">"Lollapalooza Aftershows", The Rose</t>
  </si>
  <si>
    <t xml:space="preserve">Isabel LaRosa</t>
  </si>
  <si>
    <t xml:space="preserve">C3 Presents, Jam Productions</t>
  </si>
  <si>
    <t xml:space="preserve">SUGA</t>
  </si>
  <si>
    <t xml:space="preserve">Rain</t>
  </si>
  <si>
    <t xml:space="preserve">McMenamins Grand Lodge</t>
  </si>
  <si>
    <t xml:space="preserve">Forest Grove</t>
  </si>
  <si>
    <t xml:space="preserve">Outdoor Venues</t>
  </si>
  <si>
    <t xml:space="preserve">Monqui Presents</t>
  </si>
  <si>
    <t xml:space="preserve">KettleHouse Amphitheater</t>
  </si>
  <si>
    <t xml:space="preserve">Bonner</t>
  </si>
  <si>
    <t xml:space="preserve">Montana</t>
  </si>
  <si>
    <t xml:space="preserve">Missoula</t>
  </si>
  <si>
    <t xml:space="preserve">(In-House Promotion), Logjam Presents</t>
  </si>
  <si>
    <t xml:space="preserve">Bergen Performing Arts Ctr.</t>
  </si>
  <si>
    <t xml:space="preserve">Englewood</t>
  </si>
  <si>
    <t xml:space="preserve">MetLife Stadium</t>
  </si>
  <si>
    <t xml:space="preserve">East Rutherford</t>
  </si>
  <si>
    <t xml:space="preserve">Noix Entertainment</t>
  </si>
  <si>
    <t xml:space="preserve">Auditorio Pabellón M</t>
  </si>
  <si>
    <t xml:space="preserve">Garage</t>
  </si>
  <si>
    <t xml:space="preserve">Regular Music</t>
  </si>
  <si>
    <t xml:space="preserve">Red Velvet</t>
  </si>
  <si>
    <t xml:space="preserve">Mamamoo</t>
  </si>
  <si>
    <t xml:space="preserve">(In-House Promotion), Sugar Monkey Live</t>
  </si>
  <si>
    <t xml:space="preserve">Columbiahalle</t>
  </si>
  <si>
    <t xml:space="preserve">Wintrust Arena</t>
  </si>
  <si>
    <t xml:space="preserve">AEG Presents, Concerts West, Zignia Live</t>
  </si>
  <si>
    <t xml:space="preserve">AT&amp;T Center</t>
  </si>
  <si>
    <t xml:space="preserve">AEG Presents, Concerts West, Lotus Producciones, Move Concerts</t>
  </si>
  <si>
    <t xml:space="preserve">Bridgestone Arena</t>
  </si>
  <si>
    <t xml:space="preserve">TEG Europe</t>
  </si>
  <si>
    <t xml:space="preserve">AEG Presents, Concerts West, Move Concerts</t>
  </si>
  <si>
    <t xml:space="preserve">Mammoth, Sugar Monkey Live</t>
  </si>
  <si>
    <t xml:space="preserve">Espaco Unimed</t>
  </si>
  <si>
    <t xml:space="preserve">Anne</t>
  </si>
  <si>
    <t xml:space="preserve">Coca-Cola Coliseum</t>
  </si>
  <si>
    <t xml:space="preserve">AEG Presents, Another Planet Entertainment, Concerts West</t>
  </si>
  <si>
    <t xml:space="preserve">Baek Z Young</t>
  </si>
  <si>
    <t xml:space="preserve">Chong &amp; Co., Seattle Theatre Group</t>
  </si>
  <si>
    <t xml:space="preserve">TEG Live, Unusual Entertainment</t>
  </si>
  <si>
    <t xml:space="preserve">Maruzen Intec Arena Osaka</t>
  </si>
  <si>
    <t xml:space="preserve">Stray Kids, ENHYPEN, AB6IX, Mamamoo, The Boyz, Nmixx, IVE</t>
  </si>
  <si>
    <t xml:space="preserve">Veryshow Productions</t>
  </si>
  <si>
    <t xml:space="preserve">Banc Of California Stadium</t>
  </si>
  <si>
    <t xml:space="preserve">Radius</t>
  </si>
  <si>
    <t xml:space="preserve">FM Entertainment</t>
  </si>
  <si>
    <t xml:space="preserve">Santander Performing Arts Center</t>
  </si>
  <si>
    <t xml:space="preserve">Reading</t>
  </si>
  <si>
    <t xml:space="preserve">SLP Concerts</t>
  </si>
  <si>
    <t xml:space="preserve">Terminal 5</t>
  </si>
  <si>
    <t xml:space="preserve">Giants Stadium</t>
  </si>
  <si>
    <t xml:space="preserve">WiZink Center</t>
  </si>
  <si>
    <t xml:space="preserve">Last Tour</t>
  </si>
  <si>
    <t xml:space="preserve">ACSEA</t>
  </si>
  <si>
    <t xml:space="preserve">Palais 12</t>
  </si>
  <si>
    <t xml:space="preserve">Austin City Limits Live at The Moody Theater</t>
  </si>
  <si>
    <t xml:space="preserve">C3 Presents</t>
  </si>
  <si>
    <t xml:space="preserve">Eventim Live Asia, Zignia Live</t>
  </si>
  <si>
    <t xml:space="preserve">Grand Ole Opry House</t>
  </si>
  <si>
    <t xml:space="preserve">NS2</t>
  </si>
  <si>
    <t xml:space="preserve">Estadio De La Universidad Nacional Mayor De San Marcos</t>
  </si>
  <si>
    <t xml:space="preserve">DreamHaus GmbH</t>
  </si>
  <si>
    <t xml:space="preserve">30E - Thirty Entertainment</t>
  </si>
  <si>
    <t xml:space="preserve">SAP Center At San Jose</t>
  </si>
  <si>
    <t xml:space="preserve">Eventim Live Asia, Transistorlab</t>
  </si>
  <si>
    <t xml:space="preserve">Santander Arena</t>
  </si>
  <si>
    <t xml:space="preserve">Mall Of Asia Arena</t>
  </si>
  <si>
    <t xml:space="preserve">(In-House Promotion), Sean Healy Presents</t>
  </si>
  <si>
    <t xml:space="preserve">Muffathalle</t>
  </si>
  <si>
    <t xml:space="preserve">Volkshaus</t>
  </si>
  <si>
    <t xml:space="preserve">Gadget ABC Entertainment Group AG</t>
  </si>
  <si>
    <t xml:space="preserve">Hollywood Palladium</t>
  </si>
  <si>
    <t xml:space="preserve">GBK Madya Stadium</t>
  </si>
  <si>
    <t xml:space="preserve">DPR Live, DPR IAN, DPR Cream</t>
  </si>
  <si>
    <t xml:space="preserve">Castiglione Arts &amp; Culture</t>
  </si>
  <si>
    <t xml:space="preserve">Vantelin Dome</t>
  </si>
  <si>
    <t xml:space="preserve">FirstOntario Centre</t>
  </si>
  <si>
    <t xml:space="preserve">Hulu Theater At Madison Square Garden</t>
  </si>
  <si>
    <t xml:space="preserve">Nippon Gaishi Hall</t>
  </si>
  <si>
    <t xml:space="preserve">Lakeside Muangthonthani</t>
  </si>
  <si>
    <t xml:space="preserve">YG Entertianment</t>
  </si>
  <si>
    <t xml:space="preserve">Colon</t>
  </si>
  <si>
    <t xml:space="preserve">Impact Challenger Hall 1</t>
  </si>
  <si>
    <t xml:space="preserve">MUSTB</t>
  </si>
  <si>
    <t xml:space="preserve">Cameron County Amphitheater</t>
  </si>
  <si>
    <t xml:space="preserve">South Padre Island</t>
  </si>
  <si>
    <t xml:space="preserve">Harlingen-Weslaco-Brownsville-McAllen</t>
  </si>
  <si>
    <t xml:space="preserve">Jakarta International Event &amp; Convention Center</t>
  </si>
  <si>
    <t xml:space="preserve">SK Olympic Handball Gymnasium</t>
  </si>
  <si>
    <t xml:space="preserve">Makuhari Event Hall</t>
  </si>
  <si>
    <t xml:space="preserve">Osaka Maishima Arena</t>
  </si>
  <si>
    <t xml:space="preserve">Stay-C, To1</t>
  </si>
  <si>
    <t xml:space="preserve">AEG Presents, CJ E&amp;M</t>
  </si>
  <si>
    <t xml:space="preserve">INI, ITZY, ATEEZ, Gravity</t>
  </si>
  <si>
    <t xml:space="preserve">Old Forester's Paristown Hall</t>
  </si>
  <si>
    <t xml:space="preserve">Terry Harper Presents</t>
  </si>
  <si>
    <t xml:space="preserve">"HallyuPopFest"</t>
  </si>
  <si>
    <t xml:space="preserve">P1harmony, ONEUS, EVERGLOW, Kep1er, Oh My Girl, Chung Ha, Kai</t>
  </si>
  <si>
    <t xml:space="preserve">Rogers Arena</t>
  </si>
  <si>
    <t xml:space="preserve">G I-DLE</t>
  </si>
  <si>
    <t xml:space="preserve">The Midway</t>
  </si>
  <si>
    <t xml:space="preserve">Microsoft Theater</t>
  </si>
  <si>
    <t xml:space="preserve">Another Planet Entertainment, HYBE Co. Ltd.</t>
  </si>
  <si>
    <t xml:space="preserve">Texas Trust CU Theatre At Grand Prairie</t>
  </si>
  <si>
    <t xml:space="preserve">Grand Prairie</t>
  </si>
  <si>
    <t xml:space="preserve">MONSTA X</t>
  </si>
  <si>
    <t xml:space="preserve">FLA Live Arena</t>
  </si>
  <si>
    <t xml:space="preserve">MSG Entertainment</t>
  </si>
  <si>
    <t xml:space="preserve">313 Presents, Live Nation</t>
  </si>
  <si>
    <t xml:space="preserve">BtoB, Cravity, Nmixx, Stay-C, To1</t>
  </si>
  <si>
    <t xml:space="preserve">"K.Flex"</t>
  </si>
  <si>
    <t xml:space="preserve">Pk Events</t>
  </si>
  <si>
    <t xml:space="preserve">Symphony Hall / Auditorium</t>
  </si>
  <si>
    <t xml:space="preserve">Duluth-Superior</t>
  </si>
  <si>
    <t xml:space="preserve">Forum</t>
  </si>
  <si>
    <t xml:space="preserve">Eventim Apollo</t>
  </si>
  <si>
    <t xml:space="preserve">Kilimanjaro Live</t>
  </si>
  <si>
    <t xml:space="preserve">O2 Apollo Manchester</t>
  </si>
  <si>
    <t xml:space="preserve">Cardiff University</t>
  </si>
  <si>
    <t xml:space="preserve">Cardiff</t>
  </si>
  <si>
    <t xml:space="preserve">Barrowland</t>
  </si>
  <si>
    <t xml:space="preserve">(In-House Promotion), DF Concerts</t>
  </si>
  <si>
    <t xml:space="preserve">The Paramount</t>
  </si>
  <si>
    <t xml:space="preserve">Huntington</t>
  </si>
  <si>
    <t xml:space="preserve">Subkulture Entertainment</t>
  </si>
  <si>
    <t xml:space="preserve">Altice Arena</t>
  </si>
  <si>
    <t xml:space="preserve">Lisbon</t>
  </si>
  <si>
    <t xml:space="preserve">Portugal</t>
  </si>
  <si>
    <t xml:space="preserve">Dias Uteis</t>
  </si>
  <si>
    <t xml:space="preserve">Accesso ShoWare Center</t>
  </si>
  <si>
    <t xml:space="preserve">Kent</t>
  </si>
  <si>
    <t xml:space="preserve">Cirque Royal</t>
  </si>
  <si>
    <t xml:space="preserve">OCESA / CIE</t>
  </si>
  <si>
    <t xml:space="preserve">The Box</t>
  </si>
  <si>
    <t xml:space="preserve">(In-House Promotion), Big Hit Entertainment</t>
  </si>
  <si>
    <t xml:space="preserve">The Hu</t>
  </si>
  <si>
    <t xml:space="preserve">Got7</t>
  </si>
  <si>
    <t xml:space="preserve">Roseland Theater</t>
  </si>
  <si>
    <t xml:space="preserve">Mike Thrasher Presents</t>
  </si>
  <si>
    <t xml:space="preserve">DJ Safari</t>
  </si>
  <si>
    <t xml:space="preserve">King Fahd Cultural Centre</t>
  </si>
  <si>
    <t xml:space="preserve">Riyadh</t>
  </si>
  <si>
    <t xml:space="preserve">Saudi Arabia</t>
  </si>
  <si>
    <t xml:space="preserve">Riyal</t>
  </si>
  <si>
    <t xml:space="preserve">"K-Community Festival"</t>
  </si>
  <si>
    <t xml:space="preserve">Hallyu Wave, Dreamcatcher, Up10tion</t>
  </si>
  <si>
    <t xml:space="preserve">Avatar</t>
  </si>
  <si>
    <t xml:space="preserve">(In-House Promotion), Lucky Man Concerts</t>
  </si>
  <si>
    <t xml:space="preserve">"Finger Heart Festival"</t>
  </si>
  <si>
    <t xml:space="preserve">MONSTA X, Cosmic Girls, KARD, Jeong Se-Woon</t>
  </si>
  <si>
    <t xml:space="preserve">SAP Arena</t>
  </si>
  <si>
    <t xml:space="preserve">Mannheim</t>
  </si>
  <si>
    <t xml:space="preserve">JYP Entertainment, Subkulture Entertainment</t>
  </si>
  <si>
    <t xml:space="preserve">Myth</t>
  </si>
  <si>
    <t xml:space="preserve">Knitting Factory Entertainment - Beverly Hills</t>
  </si>
  <si>
    <t xml:space="preserve">House Of Blues Boston</t>
  </si>
  <si>
    <t xml:space="preserve">Crossroads Presents</t>
  </si>
  <si>
    <t xml:space="preserve">Big Top Sydney - Luna Park</t>
  </si>
  <si>
    <t xml:space="preserve">Milsons Point</t>
  </si>
  <si>
    <t xml:space="preserve">Pantages Theatre</t>
  </si>
  <si>
    <t xml:space="preserve">SF9, IZ*ONE, NU'EST</t>
  </si>
  <si>
    <t xml:space="preserve">Staples Center</t>
  </si>
  <si>
    <t xml:space="preserve">Margaret Court Arena</t>
  </si>
  <si>
    <t xml:space="preserve">Bizarro</t>
  </si>
  <si>
    <t xml:space="preserve">Shizuoka Stadium Ecopa</t>
  </si>
  <si>
    <t xml:space="preserve">Shizuoka</t>
  </si>
  <si>
    <t xml:space="preserve">Big Hit Entertainment</t>
  </si>
  <si>
    <t xml:space="preserve">FKP Scorpio Konzertproduktionen, Semmel Concerts Entertainment GmbH</t>
  </si>
  <si>
    <t xml:space="preserve">Oracle Arena</t>
  </si>
  <si>
    <t xml:space="preserve">SF9, TOMORROW X TOGETHER, ATEEZ, The Boyz</t>
  </si>
  <si>
    <t xml:space="preserve">CJ E&amp;M</t>
  </si>
  <si>
    <t xml:space="preserve">Amaranthe</t>
  </si>
  <si>
    <t xml:space="preserve">O2 Academy Brixton</t>
  </si>
  <si>
    <t xml:space="preserve">Wembley Stadium</t>
  </si>
  <si>
    <t xml:space="preserve">P.N.E. Pacific Coliseum</t>
  </si>
  <si>
    <t xml:space="preserve">Kme Production</t>
  </si>
  <si>
    <t xml:space="preserve">Prudential Hall</t>
  </si>
  <si>
    <t xml:space="preserve">Soldier Field</t>
  </si>
  <si>
    <t xml:space="preserve">Infinite Energy Center</t>
  </si>
  <si>
    <t xml:space="preserve">(In-House Promotion), AEG Presents, Goldenvoice</t>
  </si>
  <si>
    <t xml:space="preserve">Rose Bowl</t>
  </si>
  <si>
    <t xml:space="preserve">Fei Yu Ching</t>
  </si>
  <si>
    <t xml:space="preserve">Event Ctr. At San Jose State Univ.</t>
  </si>
  <si>
    <t xml:space="preserve">Q Factory</t>
  </si>
  <si>
    <t xml:space="preserve">(In-House Promotion), Greenhouse Talent</t>
  </si>
  <si>
    <t xml:space="preserve">AsiaWorld-Arena</t>
  </si>
  <si>
    <t xml:space="preserve">"BBC Asian Network Live"</t>
  </si>
  <si>
    <t xml:space="preserve">Arena Birmingham</t>
  </si>
  <si>
    <t xml:space="preserve">Birmingham</t>
  </si>
  <si>
    <t xml:space="preserve">Fukuoka Yahuoku! Dome</t>
  </si>
  <si>
    <t xml:space="preserve">Winner</t>
  </si>
  <si>
    <t xml:space="preserve">The Masonic</t>
  </si>
  <si>
    <t xml:space="preserve">Nagoya Dome</t>
  </si>
  <si>
    <t xml:space="preserve">Ssingssing</t>
  </si>
  <si>
    <t xml:space="preserve">J. Hoard</t>
  </si>
  <si>
    <t xml:space="preserve">Brooklyn Bowl</t>
  </si>
  <si>
    <t xml:space="preserve">Taoyuan Int'l Baseball Stadium</t>
  </si>
  <si>
    <t xml:space="preserve">Taoyuan City</t>
  </si>
  <si>
    <t xml:space="preserve">Jacky Cheung</t>
  </si>
  <si>
    <t xml:space="preserve">(In-House Promotion), Groupal</t>
  </si>
  <si>
    <t xml:space="preserve">B.A.P.</t>
  </si>
  <si>
    <t xml:space="preserve">JSJ Entertainment</t>
  </si>
  <si>
    <t xml:space="preserve">The SSE Arena, Wembley</t>
  </si>
  <si>
    <t xml:space="preserve">Parker Playhouse</t>
  </si>
  <si>
    <t xml:space="preserve">Jane Zhang</t>
  </si>
  <si>
    <t xml:space="preserve">ICC Sydney Theatre</t>
  </si>
  <si>
    <t xml:space="preserve">Tai Star Entertainment</t>
  </si>
  <si>
    <t xml:space="preserve">(In-House Promotion), IEM Group</t>
  </si>
  <si>
    <t xml:space="preserve">AEG Presents, Powerhouse Live</t>
  </si>
  <si>
    <t xml:space="preserve">Shanghai</t>
  </si>
  <si>
    <t xml:space="preserve">Shanghai Star Group Culture Development Company</t>
  </si>
  <si>
    <t xml:space="preserve">Wanna One</t>
  </si>
  <si>
    <t xml:space="preserve">NCT 127, Pentagon, Red Velvet, Super Junior, Wanna One</t>
  </si>
  <si>
    <t xml:space="preserve">CJ E&amp;M, CJ E&amp;M America</t>
  </si>
  <si>
    <t xml:space="preserve">Up10tion</t>
  </si>
  <si>
    <t xml:space="preserve">Shanghai Pu Jie Culture Broadcasting</t>
  </si>
  <si>
    <t xml:space="preserve">Leehom Wang</t>
  </si>
  <si>
    <t xml:space="preserve">Beijing Young Magic Entertainment</t>
  </si>
  <si>
    <t xml:space="preserve">Jason Zhang</t>
  </si>
  <si>
    <t xml:space="preserve">Shanghai Mulight Culture Company</t>
  </si>
  <si>
    <t xml:space="preserve">"Invite Love Concert"</t>
  </si>
  <si>
    <t xml:space="preserve">The Mixing Room</t>
  </si>
  <si>
    <t xml:space="preserve">Shanghai Yusheng Cultural Media Company</t>
  </si>
  <si>
    <t xml:space="preserve">Skyharbor</t>
  </si>
  <si>
    <t xml:space="preserve">Marathon Music Works</t>
  </si>
  <si>
    <t xml:space="preserve">AC Entertainment</t>
  </si>
  <si>
    <t xml:space="preserve">Zhang Jun</t>
  </si>
  <si>
    <t xml:space="preserve">Shanghai Zhang Jun Kunqu Art Center</t>
  </si>
  <si>
    <t xml:space="preserve">Fillmore Charlotte</t>
  </si>
  <si>
    <t xml:space="preserve">Nine Percent</t>
  </si>
  <si>
    <t xml:space="preserve">Shanghai Zhen Yi Culture And Innovative Company</t>
  </si>
  <si>
    <t xml:space="preserve">Chris Lee (Li Yuchun)</t>
  </si>
  <si>
    <t xml:space="preserve">Guangzhou LoveLive Culture Company</t>
  </si>
  <si>
    <t xml:space="preserve">Arena Ciudad De Mexico</t>
  </si>
  <si>
    <t xml:space="preserve">Burton Cummings Theatre</t>
  </si>
  <si>
    <t xml:space="preserve">Winnipeg</t>
  </si>
  <si>
    <t xml:space="preserve">Manitoba</t>
  </si>
  <si>
    <t xml:space="preserve">Ostar Entertainment</t>
  </si>
  <si>
    <t xml:space="preserve">"Cherish The Memory of Leslie Cheung"</t>
  </si>
  <si>
    <t xml:space="preserve">Chang Cheng-Yue, Wu Sihan</t>
  </si>
  <si>
    <t xml:space="preserve">Shanghai Neo-Sound Light Orchestra</t>
  </si>
  <si>
    <t xml:space="preserve">Yu-Ching Fei</t>
  </si>
  <si>
    <t xml:space="preserve">Shanghai Kaisi Culture And Art Company</t>
  </si>
  <si>
    <t xml:space="preserve">"China Top Ten"</t>
  </si>
  <si>
    <t xml:space="preserve">Lay, Jason Zhang, Joey Yung, Karen Mok</t>
  </si>
  <si>
    <t xml:space="preserve">Shanghai East Radio Company</t>
  </si>
  <si>
    <t xml:space="preserve">"Music Bank In Chile"</t>
  </si>
  <si>
    <t xml:space="preserve">MC Park Bo-Gum, BAP, Wanna One, Vixx, SF9</t>
  </si>
  <si>
    <t xml:space="preserve">T4F - Time For Fun</t>
  </si>
  <si>
    <t xml:space="preserve">Award Entertainment</t>
  </si>
  <si>
    <t xml:space="preserve">Jaykae, Adam Saleh, Faydee, Jasmine Sandlas, Jk, Jenny Johal</t>
  </si>
  <si>
    <t xml:space="preserve">BBC Worldwide</t>
  </si>
  <si>
    <t xml:space="preserve">"Quadimension Live"</t>
  </si>
  <si>
    <t xml:space="preserve">Shanghai Lei Yin Culture Development Company</t>
  </si>
  <si>
    <t xml:space="preserve">A-Mei</t>
  </si>
  <si>
    <t xml:space="preserve">Kuang Program</t>
  </si>
  <si>
    <t xml:space="preserve">Shanghai Xinxin Xiangrong Culture Development Company</t>
  </si>
  <si>
    <t xml:space="preserve">Air Canada Centre</t>
  </si>
  <si>
    <t xml:space="preserve">Auditorium Theatre</t>
  </si>
  <si>
    <t xml:space="preserve">FTIsland</t>
  </si>
  <si>
    <t xml:space="preserve">Volkswagen Arena</t>
  </si>
  <si>
    <t xml:space="preserve">Istanbul</t>
  </si>
  <si>
    <t xml:space="preserve">Turkey</t>
  </si>
  <si>
    <t xml:space="preserve">Turkish Lira</t>
  </si>
  <si>
    <t xml:space="preserve">Vokaliz Management</t>
  </si>
  <si>
    <t xml:space="preserve">"Angelic Voice"</t>
  </si>
  <si>
    <t xml:space="preserve">Shanghai Bodong Culture Media</t>
  </si>
  <si>
    <t xml:space="preserve">"Fresh Music"</t>
  </si>
  <si>
    <t xml:space="preserve">Shanghai Singer's Club Company</t>
  </si>
  <si>
    <t xml:space="preserve">Yu-Rong Yang</t>
  </si>
  <si>
    <t xml:space="preserve">Students Of Yu-Rong Yang</t>
  </si>
  <si>
    <t xml:space="preserve">Shanghai Light Music Group Company</t>
  </si>
  <si>
    <t xml:space="preserve">Darling Harbour Theatre</t>
  </si>
  <si>
    <t xml:space="preserve">Darling Harbour</t>
  </si>
  <si>
    <t xml:space="preserve">Lala Hsu</t>
  </si>
  <si>
    <t xml:space="preserve">Christine Fan</t>
  </si>
  <si>
    <t xml:space="preserve">Shanghai Zhenyi Culture Communication Company</t>
  </si>
  <si>
    <t xml:space="preserve">Genting Arena</t>
  </si>
  <si>
    <t xml:space="preserve">EXO, Cosmic Girls, Girl's Day, MONSTA X, Up10tion, Pentagon, SF9, Wanna One</t>
  </si>
  <si>
    <t xml:space="preserve">CJ E&amp;M, TEG Live</t>
  </si>
  <si>
    <t xml:space="preserve">Beijing Image Music Company</t>
  </si>
  <si>
    <t xml:space="preserve">Bibi Zhou</t>
  </si>
  <si>
    <t xml:space="preserve">Damai.cn</t>
  </si>
  <si>
    <t xml:space="preserve">Taeyang</t>
  </si>
  <si>
    <t xml:space="preserve">Kpopme Entertainment</t>
  </si>
  <si>
    <t xml:space="preserve">Aragon Ballroom</t>
  </si>
  <si>
    <t xml:space="preserve">Kpopme Entertainment, Live Nation</t>
  </si>
  <si>
    <t xml:space="preserve">Ronghao Li</t>
  </si>
  <si>
    <t xml:space="preserve">Alla Media</t>
  </si>
  <si>
    <t xml:space="preserve">Lion</t>
  </si>
  <si>
    <t xml:space="preserve">Beijing Weixi Culture Communication Company</t>
  </si>
  <si>
    <t xml:space="preserve">Pu Shu</t>
  </si>
  <si>
    <t xml:space="preserve">Shanghai Jiana Culture Communication Company</t>
  </si>
  <si>
    <t xml:space="preserve">Cosmic Girls, Astro, Girl's Day, Got7, SEVENTEEN, SF9, KARD</t>
  </si>
  <si>
    <t xml:space="preserve">Tanya Chua</t>
  </si>
  <si>
    <t xml:space="preserve">Shanghai Xinxinxian</t>
  </si>
  <si>
    <t xml:space="preserve">JJCC</t>
  </si>
  <si>
    <t xml:space="preserve">Joe's Pub</t>
  </si>
  <si>
    <t xml:space="preserve">Brisbane Entertainment Centre</t>
  </si>
  <si>
    <t xml:space="preserve">Boondall</t>
  </si>
  <si>
    <t xml:space="preserve">"88 Member's Day"</t>
  </si>
  <si>
    <t xml:space="preserve">Dimash Kudaibergen, Jolin Tsai, Jane Zhang, Karen Mok</t>
  </si>
  <si>
    <t xml:space="preserve">"Forever Beyond Memorial Concert"</t>
  </si>
  <si>
    <t xml:space="preserve">Qi Dian Band</t>
  </si>
  <si>
    <t xml:space="preserve">AmericanAirlines Arena</t>
  </si>
  <si>
    <t xml:space="preserve">"Bilibili Macro Link"</t>
  </si>
  <si>
    <t xml:space="preserve">Aimer, Aqours, Suzuko Mimori, Mamoru Miyano, Oldcodex, Yoko Takahashi, Junna</t>
  </si>
  <si>
    <t xml:space="preserve">Shanghai Bilbili Culture Communication</t>
  </si>
  <si>
    <t xml:space="preserve">Live Nation Global Touring</t>
  </si>
  <si>
    <t xml:space="preserve">Hebe Tien</t>
  </si>
  <si>
    <t xml:space="preserve">PlayStation Theater</t>
  </si>
  <si>
    <t xml:space="preserve">AEG Presents, The Bowery Presents</t>
  </si>
  <si>
    <t xml:space="preserve">TWICE, CNBlue, Gfriend, Highlight, SF9, Up10tion</t>
  </si>
  <si>
    <t xml:space="preserve">Luo Tianyi</t>
  </si>
  <si>
    <t xml:space="preserve">Shanghai Henian Technical Company</t>
  </si>
  <si>
    <t xml:space="preserve">Lunario</t>
  </si>
  <si>
    <t xml:space="preserve">Hellyeah</t>
  </si>
  <si>
    <t xml:space="preserve">Mua He Ruc Ro</t>
  </si>
  <si>
    <t xml:space="preserve">Dan Truong, Thanh Thao, Duong Trieu Vu</t>
  </si>
  <si>
    <t xml:space="preserve">Hollywood Casino Amphitheatre</t>
  </si>
  <si>
    <t xml:space="preserve">Maryland Heights</t>
  </si>
  <si>
    <t xml:space="preserve">Rica Matsumoto</t>
  </si>
  <si>
    <t xml:space="preserve">EXO</t>
  </si>
  <si>
    <t xml:space="preserve">"Asia On Tour"</t>
  </si>
  <si>
    <t xml:space="preserve">Miyavi, Slot Machine, Kiha &amp; The Faces</t>
  </si>
  <si>
    <t xml:space="preserve">Brighton Music Hall</t>
  </si>
  <si>
    <t xml:space="preserve">7 Senses</t>
  </si>
  <si>
    <t xml:space="preserve">Shanghai Si Ba Culture Media Company</t>
  </si>
  <si>
    <t xml:space="preserve">The Fillmore</t>
  </si>
  <si>
    <t xml:space="preserve">A Little Fever (ATF)</t>
  </si>
  <si>
    <t xml:space="preserve">X.D. Entertainment Company</t>
  </si>
  <si>
    <t xml:space="preserve">Dimash Kudaibergen, Jane Zhang, Jason Zhang</t>
  </si>
  <si>
    <t xml:space="preserve">Citibank Hall</t>
  </si>
  <si>
    <t xml:space="preserve">BTS, Eric Nam, MONSTA X, Astro, Red Velvet</t>
  </si>
  <si>
    <t xml:space="preserve">Shanghai White Magnolia Culture &amp; Art Development Company</t>
  </si>
  <si>
    <t xml:space="preserve">B1A4</t>
  </si>
  <si>
    <t xml:space="preserve">"Magic Spring Festival"</t>
  </si>
  <si>
    <t xml:space="preserve">Shanghai Wanku Culture Communication Company</t>
  </si>
  <si>
    <t xml:space="preserve">Akdong Musician</t>
  </si>
  <si>
    <t xml:space="preserve">Shanghai Jiexin Culture Communication Co. Ltd.</t>
  </si>
  <si>
    <t xml:space="preserve">Momoiro Clover Z</t>
  </si>
  <si>
    <t xml:space="preserve">CL</t>
  </si>
  <si>
    <t xml:space="preserve">Rebel</t>
  </si>
  <si>
    <t xml:space="preserve">AEG Presents, Madison House Presents</t>
  </si>
  <si>
    <t xml:space="preserve">Showbox SoDo</t>
  </si>
  <si>
    <t xml:space="preserve">"Zhejiang 20Th Anniversary Gala"</t>
  </si>
  <si>
    <t xml:space="preserve">Palais Theatre</t>
  </si>
  <si>
    <t xml:space="preserve">St. Kilda</t>
  </si>
  <si>
    <t xml:space="preserve">Australian Zhejiang United Association</t>
  </si>
  <si>
    <t xml:space="preserve">Hammerstein Ballroom</t>
  </si>
  <si>
    <t xml:space="preserve">Zhang Jie</t>
  </si>
  <si>
    <t xml:space="preserve">"Gladiator Music Festival"</t>
  </si>
  <si>
    <t xml:space="preserve">Twins LOL</t>
  </si>
  <si>
    <t xml:space="preserve">"Geyou Benefit Concert"</t>
  </si>
  <si>
    <t xml:space="preserve">Beijing Geyou Charaty Foundation</t>
  </si>
  <si>
    <t xml:space="preserve">T-ara</t>
  </si>
  <si>
    <t xml:space="preserve">Shanghai Banana Project Culture</t>
  </si>
  <si>
    <t xml:space="preserve">"Rong Bang 10Th Anniversary Cenebration"</t>
  </si>
  <si>
    <t xml:space="preserve">Wu Lan Tou Ya, Kris Phillips / Fei Xiang, Fei Yu Ching</t>
  </si>
  <si>
    <t xml:space="preserve">Shanghai Rongbang Investment &amp; Management Co.</t>
  </si>
  <si>
    <t xml:space="preserve">Brilliance Yu</t>
  </si>
  <si>
    <t xml:space="preserve">Tamia Liu</t>
  </si>
  <si>
    <t xml:space="preserve">"Korea OPPA Fantasy Bubble Show"</t>
  </si>
  <si>
    <t xml:space="preserve">Shanghai QFD Culture Communication</t>
  </si>
  <si>
    <t xml:space="preserve">Shinee, IOI, TWICE, MONSTA X, Girls' Generation, Dean, Eric Nam</t>
  </si>
  <si>
    <t xml:space="preserve">AEG Presents, CJ E&amp;M, CJ E&amp;M America, Mnet America, Powerhouse Live</t>
  </si>
  <si>
    <t xml:space="preserve">Itano Tomomi, Luo Tianyi, Momoiro Clover Z</t>
  </si>
  <si>
    <t xml:space="preserve">The Regency Ballroom</t>
  </si>
  <si>
    <t xml:space="preserve">Wish Music Entertainment</t>
  </si>
  <si>
    <t xml:space="preserve">Mauricio Sanchez</t>
  </si>
  <si>
    <t xml:space="preserve">Mauricio Chavero</t>
  </si>
  <si>
    <t xml:space="preserve">Verizon Theatre At Grand Prairie</t>
  </si>
  <si>
    <t xml:space="preserve">Crush, Mamamoo, Ailee, SEVENTEEN</t>
  </si>
  <si>
    <t xml:space="preserve">FTIsland, Shinee, f(x), Block B</t>
  </si>
  <si>
    <t xml:space="preserve">Sammi Cheng</t>
  </si>
  <si>
    <t xml:space="preserve">138 Entertainment</t>
  </si>
  <si>
    <t xml:space="preserve">"M!Countdown Asia"</t>
  </si>
  <si>
    <t xml:space="preserve">BtoB, FTIsland, Gfriend, Jun Jin, T-ara, Vixx, Jun Hyo Seong, Cosmic Girls, Firestar</t>
  </si>
  <si>
    <t xml:space="preserve">"K-Pop &amp; Supermodel Festival"</t>
  </si>
  <si>
    <t xml:space="preserve">T-ara, B1A4, Shinee</t>
  </si>
  <si>
    <t xml:space="preserve">Shanghai Pufan Culture Development Company</t>
  </si>
  <si>
    <t xml:space="preserve">"Asian Night"</t>
  </si>
  <si>
    <t xml:space="preserve">Global Event Center at WinStar World Casino &amp; Resort</t>
  </si>
  <si>
    <t xml:space="preserve">Thackerville</t>
  </si>
  <si>
    <t xml:space="preserve">Oklahoma</t>
  </si>
  <si>
    <t xml:space="preserve">Honeywell Center</t>
  </si>
  <si>
    <t xml:space="preserve">Wabash</t>
  </si>
  <si>
    <t xml:space="preserve">The Winton Entertainment Group</t>
  </si>
  <si>
    <t xml:space="preserve">"2016 Live Show"</t>
  </si>
  <si>
    <t xml:space="preserve">E2 Media</t>
  </si>
  <si>
    <t xml:space="preserve">Hua Chenyu, Gloria Tang Tsz-Kei, Jason Zhang</t>
  </si>
  <si>
    <t xml:space="preserve">Big Bang</t>
  </si>
  <si>
    <t xml:space="preserve">"Teresa Teng Classic Song Concert"</t>
  </si>
  <si>
    <t xml:space="preserve">"New Year Family Concert"</t>
  </si>
  <si>
    <t xml:space="preserve">Shanghai Wangyuan Education Information Consultant</t>
  </si>
  <si>
    <t xml:space="preserve">"Haha 2016 New Year Performance"</t>
  </si>
  <si>
    <t xml:space="preserve">Shanghai Hong Tian Culture Communication Co</t>
  </si>
  <si>
    <t xml:space="preserve">Eir Aoi</t>
  </si>
  <si>
    <t xml:space="preserve">Kemcs Diseno y Marketing</t>
  </si>
  <si>
    <t xml:space="preserve">"K-Pop 90'S Legends"</t>
  </si>
  <si>
    <t xml:space="preserve">DJ Doc, Chuli &amp; Miae, Jo Sung Mo</t>
  </si>
  <si>
    <t xml:space="preserve">New Revolution Entertainment</t>
  </si>
  <si>
    <t xml:space="preserve">BigBang (Korea)</t>
  </si>
  <si>
    <t xml:space="preserve">Cotai Arena At The Venetian</t>
  </si>
  <si>
    <t xml:space="preserve">Elf Asia Holdings</t>
  </si>
  <si>
    <t xml:space="preserve">The Fonda Theatre</t>
  </si>
  <si>
    <t xml:space="preserve">Duc Huy</t>
  </si>
  <si>
    <t xml:space="preserve">Super Junior, Sistar, Roy Kim, MONSTA X, Got7</t>
  </si>
  <si>
    <t xml:space="preserve">AEG Presents, CJ E&amp;M, CJ E&amp;M America</t>
  </si>
  <si>
    <t xml:space="preserve">WinStar World Casino &amp; Resort / Global Event Center</t>
  </si>
  <si>
    <t xml:space="preserve">Yanzi Kepler</t>
  </si>
  <si>
    <t xml:space="preserve">Sun Entertainment</t>
  </si>
  <si>
    <t xml:space="preserve">Royal Albert Hall</t>
  </si>
  <si>
    <t xml:space="preserve">Lek Tong Cultural Diffusion Company Limited</t>
  </si>
  <si>
    <t xml:space="preserve">Atlantic City Boardwalk Hall</t>
  </si>
  <si>
    <t xml:space="preserve">Atlantic City</t>
  </si>
  <si>
    <t xml:space="preserve">(In-House Promotion), Showcase Tour</t>
  </si>
  <si>
    <t xml:space="preserve">"Asian Night", Mua Thu Cho Em</t>
  </si>
  <si>
    <t xml:space="preserve">Musicality International</t>
  </si>
  <si>
    <t xml:space="preserve">2PM</t>
  </si>
  <si>
    <t xml:space="preserve">Powerhouse Live</t>
  </si>
  <si>
    <t xml:space="preserve">Infinite, Beast, Girl's Day, Exo-K</t>
  </si>
  <si>
    <t xml:space="preserve">AEG Presents, Goldenvoice, Powerhouse Live</t>
  </si>
  <si>
    <t xml:space="preserve">Lee Juck</t>
  </si>
  <si>
    <t xml:space="preserve">The Novo</t>
  </si>
  <si>
    <t xml:space="preserve">"I Want Music 'Cool'"</t>
  </si>
  <si>
    <t xml:space="preserve">Leehom Wang, Bii, Wei Chen, Hu Xia, Chopsticks Brothers, B1A4, Shin Hyesung</t>
  </si>
  <si>
    <t xml:space="preserve">Mr.</t>
  </si>
  <si>
    <t xml:space="preserve">C Allstar</t>
  </si>
  <si>
    <t xml:space="preserve">Venetian Theatre</t>
  </si>
  <si>
    <t xml:space="preserve">The Lizard Lounge @ Chameleon</t>
  </si>
  <si>
    <t xml:space="preserve">Lancaster</t>
  </si>
  <si>
    <t xml:space="preserve">(In-House Promotion), SLP Concerts</t>
  </si>
  <si>
    <t xml:space="preserve">Hunan International Convention &amp; Exhibition Centre</t>
  </si>
  <si>
    <t xml:space="preserve">Changsha</t>
  </si>
  <si>
    <t xml:space="preserve">Dao Cao</t>
  </si>
  <si>
    <t xml:space="preserve">Qantas Credit Union Arena</t>
  </si>
  <si>
    <t xml:space="preserve">Hebe Tien, Yoga Lin</t>
  </si>
  <si>
    <t xml:space="preserve">Our Qbd</t>
  </si>
  <si>
    <t xml:space="preserve">Starlight Integrated Entertainment Production</t>
  </si>
  <si>
    <t xml:space="preserve">Star Plaza Theatre</t>
  </si>
  <si>
    <t xml:space="preserve">Merrillville</t>
  </si>
  <si>
    <t xml:space="preserve">AEG Presents, CJ E&amp;M, CJ E&amp;M America, Powerhouse Live</t>
  </si>
  <si>
    <t xml:space="preserve">Live Nation, Musicality International</t>
  </si>
  <si>
    <t xml:space="preserve">Madison Square Garden Arena</t>
  </si>
  <si>
    <t xml:space="preserve">Bravonist, Onion Productions</t>
  </si>
  <si>
    <t xml:space="preserve">The Roxy Theatre</t>
  </si>
  <si>
    <t xml:space="preserve">West Hollywood</t>
  </si>
  <si>
    <t xml:space="preserve">Power Entertainment &amp; Productions Company</t>
  </si>
  <si>
    <t xml:space="preserve">Onion Productions</t>
  </si>
  <si>
    <t xml:space="preserve">Vixx</t>
  </si>
  <si>
    <t xml:space="preserve">DG Medios y Espectaculos</t>
  </si>
  <si>
    <t xml:space="preserve">Union 852</t>
  </si>
  <si>
    <t xml:space="preserve">Tyme x Tujiko</t>
  </si>
  <si>
    <t xml:space="preserve">2NE1</t>
  </si>
  <si>
    <t xml:space="preserve">BoA, TVXQ, Super Junior, Girls' Generation, Shinee</t>
  </si>
  <si>
    <t xml:space="preserve">Power Promotions</t>
  </si>
  <si>
    <t xml:space="preserve">FTIsland, CNBlue</t>
  </si>
  <si>
    <t xml:space="preserve">Asian Pop, Pop / Rock, World</t>
  </si>
  <si>
    <t xml:space="preserve">Girls' Generation, 2PM, Beast, 4 Minute, Shinee, T-ara, U-Kiss, Sistar</t>
  </si>
  <si>
    <t xml:space="preserve">AccorHotels Arena</t>
  </si>
  <si>
    <t xml:space="preserve">Caramba Spectacles</t>
  </si>
  <si>
    <t xml:space="preserve">Media One Promotions</t>
  </si>
  <si>
    <t xml:space="preserve">Proud Team</t>
  </si>
  <si>
    <t xml:space="preserve">MHD, Power Promotions</t>
  </si>
  <si>
    <t xml:space="preserve">Kangta, BoA, Super Junior, Girls' Generation, Shinee, f(x), TVXQ</t>
  </si>
  <si>
    <t xml:space="preserve">Hummingbird Music</t>
  </si>
  <si>
    <t xml:space="preserve">Guangzhou Gymnasium</t>
  </si>
  <si>
    <t xml:space="preserve">Guangzhou</t>
  </si>
  <si>
    <t xml:space="preserve">Big Honor Entertainment, GZ Television Media</t>
  </si>
  <si>
    <t xml:space="preserve">Hong Kong Coliseum</t>
  </si>
  <si>
    <t xml:space="preserve">Hummingbird Music, JV Entertainment, OMI International Entertainment Group, Star Entertainment (Universe)</t>
  </si>
  <si>
    <t xml:space="preserve">Kangta, BoA, U-Know, Max (South Korea), Super Junior, Girls' Generation, Shinee, f(x), Zhang Li Yin, Trax</t>
  </si>
  <si>
    <t xml:space="preserve">Lincoln Hall</t>
  </si>
  <si>
    <t xml:space="preserve">The Colosseum At Caesars Palace</t>
  </si>
  <si>
    <t xml:space="preserve">Caesars Entertainment</t>
  </si>
  <si>
    <t xml:space="preserve">Absentstar</t>
  </si>
  <si>
    <t xml:space="preserve">Schubas Tavern</t>
  </si>
  <si>
    <t xml:space="preserve">Kolner Philharmonie</t>
  </si>
  <si>
    <t xml:space="preserve">Marek Lieberberg Konzertagentur</t>
  </si>
  <si>
    <t xml:space="preserve">Oper</t>
  </si>
  <si>
    <t xml:space="preserve">Leipzig</t>
  </si>
  <si>
    <t xml:space="preserve">JMS Productions</t>
  </si>
  <si>
    <t xml:space="preserve">Theatrehaus Pragsattel</t>
  </si>
  <si>
    <t xml:space="preserve">Stuttgart</t>
  </si>
  <si>
    <t xml:space="preserve">(In-House Promotion), Power Promotions</t>
  </si>
  <si>
    <t xml:space="preserve">Lee Horn</t>
  </si>
  <si>
    <t xml:space="preserve">Entertainment Trends Inc.</t>
  </si>
  <si>
    <t xml:space="preserve">USA Star Image</t>
  </si>
  <si>
    <t xml:space="preserve">2*Sweet</t>
  </si>
  <si>
    <t xml:space="preserve">Make It Fit, Strike, Roadside Romance, This Time Next Year, Fireworks</t>
  </si>
  <si>
    <t xml:space="preserve">Mainstage</t>
  </si>
  <si>
    <t xml:space="preserve">Pompton Lakes</t>
  </si>
  <si>
    <t xml:space="preserve">Metropolitan Entertainment Consultants</t>
  </si>
  <si>
    <t xml:space="preserve">World TV</t>
  </si>
  <si>
    <t xml:space="preserve">Motion Promotions</t>
  </si>
  <si>
    <t xml:space="preserve">Alison Breitman</t>
  </si>
  <si>
    <t xml:space="preserve">Warehouse Live</t>
  </si>
  <si>
    <t xml:space="preserve">(In-House Promotion), AEG Presents, Messina Touring Group</t>
  </si>
  <si>
    <t xml:space="preserve">Bob Mitchell</t>
  </si>
  <si>
    <t xml:space="preserve">(In-House Promotion), AEG Presents, Concerts West</t>
  </si>
  <si>
    <t xml:space="preserve">The Axis at Planet Hollywood</t>
  </si>
  <si>
    <t xml:space="preserve">Jade Presents</t>
  </si>
  <si>
    <t xml:space="preserve">Mandalay Bay Events Center</t>
  </si>
  <si>
    <t xml:space="preserve">(In-House Promotion), Jade Presents</t>
  </si>
  <si>
    <t xml:space="preserve">Chang Cheng-Yue</t>
  </si>
  <si>
    <t xml:space="preserve">Free9, MC Hotdog</t>
  </si>
  <si>
    <t xml:space="preserve">House Of Blues Concerts</t>
  </si>
  <si>
    <t xml:space="preserve">Chang Cheng-Yue, Free9</t>
  </si>
  <si>
    <t xml:space="preserve">MC Hotdog</t>
  </si>
  <si>
    <t xml:space="preserve">Fre9, MC Hotdog</t>
  </si>
  <si>
    <t xml:space="preserve">B.B. King Blues Club</t>
  </si>
  <si>
    <t xml:space="preserve">9:30 Club</t>
  </si>
  <si>
    <t xml:space="preserve">Free9, MC Hotdog, Johnny Hi-Fi</t>
  </si>
  <si>
    <t xml:space="preserve">Trocadero Theatre</t>
  </si>
  <si>
    <t xml:space="preserve">Commodore Ballroom</t>
  </si>
  <si>
    <t xml:space="preserve">House Of Blues Canada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</si>
</sst>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0.0&quot; bn&quot;"/>
    <numFmt numFmtId="166" formatCode="0%"/>
    <numFmt numFmtId="167" formatCode="#,##0"/>
    <numFmt numFmtId="168" formatCode="0"/>
    <numFmt numFmtId="169" formatCode="m/d/yyyy"/>
    <numFmt numFmtId="170" formatCode="@"/>
    <numFmt numFmtId="171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9"/>
      <color rgb="FF5F5E5A"/>
      <name val="Arial"/>
      <family val="0"/>
      <charset val="1"/>
    </font>
    <font>
      <b val="true"/>
      <sz val="20"/>
      <color rgb="FF185FA5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F0F7"/>
        <bgColor rgb="FFF1EFE8"/>
      </patternFill>
    </fill>
    <fill>
      <patternFill patternType="solid">
        <fgColor rgb="FF1F2A44"/>
        <bgColor rgb="FF003366"/>
      </patternFill>
    </fill>
    <fill>
      <patternFill patternType="solid">
        <fgColor rgb="FFF1EFE8"/>
        <bgColor rgb="FFEAF0F7"/>
      </patternFill>
    </fill>
    <fill>
      <patternFill patternType="solid">
        <fgColor rgb="FFFBEAF0"/>
        <bgColor rgb="FFF1EFE8"/>
      </patternFill>
    </fill>
    <fill>
      <patternFill patternType="solid">
        <fgColor rgb="FFE1F5EE"/>
        <bgColor rgb="FFEA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78787"/>
      <rgbColor rgb="FF9999FF"/>
      <rgbColor rgb="FF993366"/>
      <rgbColor rgb="FFF9F9F9"/>
      <rgbColor rgb="FFE1F5EE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7"/>
      <rgbColor rgb="FFF1EFE8"/>
      <rgbColor rgb="FFFBEAF0"/>
      <rgbColor rgb="FF99CCFF"/>
      <rgbColor rgb="FFFF99CC"/>
      <rgbColor rgb="FFCC99FF"/>
      <rgbColor rgb="FFD3D1C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K-pop gross by market: Live Nation vs other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Exhibit_1_Geography!B4</c:f>
              <c:strCache>
                <c:ptCount val="1"/>
                <c:pt idx="0">
                  <c:v>LN ($mm)</c:v>
                </c:pt>
              </c:strCache>
            </c:strRef>
          </c:tx>
          <c:spPr>
            <a:solidFill>
              <a:srgbClr val="185f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Exhibit_1_Geography!$A$5:$A$13</c:f>
              <c:strCache>
                <c:ptCount val="9"/>
                <c:pt idx="0">
                  <c:v>United States</c:v>
                </c:pt>
                <c:pt idx="1">
                  <c:v>Japan</c:v>
                </c:pt>
                <c:pt idx="2">
                  <c:v>China</c:v>
                </c:pt>
                <c:pt idx="3">
                  <c:v>Mexico</c:v>
                </c:pt>
                <c:pt idx="4">
                  <c:v>South Korea</c:v>
                </c:pt>
                <c:pt idx="5">
                  <c:v>Hong Kong</c:v>
                </c:pt>
                <c:pt idx="6">
                  <c:v>France</c:v>
                </c:pt>
                <c:pt idx="7">
                  <c:v>United Kingdom</c:v>
                </c:pt>
                <c:pt idx="8">
                  <c:v>Australia</c:v>
                </c:pt>
              </c:strCache>
            </c:strRef>
          </c:cat>
          <c:val>
            <c:numRef>
              <c:f>Exhibit_1_Geography!$B$5:$B$13</c:f>
              <c:numCache>
                <c:formatCode>#,##0</c:formatCode>
                <c:ptCount val="9"/>
                <c:pt idx="0">
                  <c:v>458.83230374</c:v>
                </c:pt>
                <c:pt idx="1">
                  <c:v>0</c:v>
                </c:pt>
                <c:pt idx="2">
                  <c:v>4.40311758</c:v>
                </c:pt>
                <c:pt idx="3">
                  <c:v>115.38846544</c:v>
                </c:pt>
                <c:pt idx="4">
                  <c:v>0</c:v>
                </c:pt>
                <c:pt idx="5">
                  <c:v>6.83914547</c:v>
                </c:pt>
                <c:pt idx="6">
                  <c:v>52.03941456</c:v>
                </c:pt>
                <c:pt idx="7">
                  <c:v>50.24713593</c:v>
                </c:pt>
                <c:pt idx="8">
                  <c:v>14.41662148</c:v>
                </c:pt>
              </c:numCache>
            </c:numRef>
          </c:val>
        </c:ser>
        <c:ser>
          <c:idx val="1"/>
          <c:order val="1"/>
          <c:tx>
            <c:strRef>
              <c:f>Exhibit_1_Geography!C4</c:f>
              <c:strCache>
                <c:ptCount val="1"/>
                <c:pt idx="0">
                  <c:v>Other ($mm)</c:v>
                </c:pt>
              </c:strCache>
            </c:strRef>
          </c:tx>
          <c:spPr>
            <a:solidFill>
              <a:srgbClr val="b4b2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Exhibit_1_Geography!$A$5:$A$13</c:f>
              <c:strCache>
                <c:ptCount val="9"/>
                <c:pt idx="0">
                  <c:v>United States</c:v>
                </c:pt>
                <c:pt idx="1">
                  <c:v>Japan</c:v>
                </c:pt>
                <c:pt idx="2">
                  <c:v>China</c:v>
                </c:pt>
                <c:pt idx="3">
                  <c:v>Mexico</c:v>
                </c:pt>
                <c:pt idx="4">
                  <c:v>South Korea</c:v>
                </c:pt>
                <c:pt idx="5">
                  <c:v>Hong Kong</c:v>
                </c:pt>
                <c:pt idx="6">
                  <c:v>France</c:v>
                </c:pt>
                <c:pt idx="7">
                  <c:v>United Kingdom</c:v>
                </c:pt>
                <c:pt idx="8">
                  <c:v>Australia</c:v>
                </c:pt>
              </c:strCache>
            </c:strRef>
          </c:cat>
          <c:val>
            <c:numRef>
              <c:f>Exhibit_1_Geography!$C$5:$C$13</c:f>
              <c:numCache>
                <c:formatCode>#,##0</c:formatCode>
                <c:ptCount val="9"/>
                <c:pt idx="0">
                  <c:v>555.92350479</c:v>
                </c:pt>
                <c:pt idx="1">
                  <c:v>734.47539349</c:v>
                </c:pt>
                <c:pt idx="2">
                  <c:v>144.35295998</c:v>
                </c:pt>
                <c:pt idx="3">
                  <c:v>27.95686949</c:v>
                </c:pt>
                <c:pt idx="4">
                  <c:v>135.13456367</c:v>
                </c:pt>
                <c:pt idx="5">
                  <c:v>122.37407923</c:v>
                </c:pt>
                <c:pt idx="6">
                  <c:v>36.18206941</c:v>
                </c:pt>
                <c:pt idx="7">
                  <c:v>35.14314489</c:v>
                </c:pt>
                <c:pt idx="8">
                  <c:v>60.3247532</c:v>
                </c:pt>
              </c:numCache>
            </c:numRef>
          </c:val>
        </c:ser>
        <c:gapWidth val="150"/>
        <c:overlap val="100"/>
        <c:axId val="82382903"/>
        <c:axId val="87732739"/>
      </c:barChart>
      <c:catAx>
        <c:axId val="8238290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32739"/>
        <c:crosses val="autoZero"/>
        <c:auto val="1"/>
        <c:lblAlgn val="ctr"/>
        <c:lblOffset val="100"/>
        <c:noMultiLvlLbl val="0"/>
      </c:catAx>
      <c:valAx>
        <c:axId val="87732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82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K-pop gross by act, clustered by agency: LN vs other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Exhibit_2_Segmentation!B4</c:f>
              <c:strCache>
                <c:ptCount val="1"/>
                <c:pt idx="0">
                  <c:v>LN ($mm)</c:v>
                </c:pt>
              </c:strCache>
            </c:strRef>
          </c:tx>
          <c:spPr>
            <a:solidFill>
              <a:srgbClr val="185f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Exhibit_2_Segmentation!$A$5:$A$13</c:f>
              <c:strCache>
                <c:ptCount val="9"/>
                <c:pt idx="0">
                  <c:v>BTS (HYBE)</c:v>
                </c:pt>
                <c:pt idx="1">
                  <c:v>SEVENTEEN (HYBE)</c:v>
                </c:pt>
                <c:pt idx="2">
                  <c:v>TXT (HYBE)</c:v>
                </c:pt>
                <c:pt idx="3">
                  <c:v>ENHYPEN (HYBE)</c:v>
                </c:pt>
                <c:pt idx="4">
                  <c:v>j-hope (HYBE)</c:v>
                </c:pt>
                <c:pt idx="5">
                  <c:v>Stray Kids (JYP)</c:v>
                </c:pt>
                <c:pt idx="6">
                  <c:v>TWICE (JYP)</c:v>
                </c:pt>
                <c:pt idx="7">
                  <c:v>BLACKPINK (YG)</c:v>
                </c:pt>
                <c:pt idx="8">
                  <c:v>ATEEZ (KQ)</c:v>
                </c:pt>
              </c:strCache>
            </c:strRef>
          </c:cat>
          <c:val>
            <c:numRef>
              <c:f>Exhibit_2_Segmentation!$B$5:$B$13</c:f>
              <c:numCache>
                <c:formatCode>#,##0</c:formatCode>
                <c:ptCount val="9"/>
                <c:pt idx="0">
                  <c:v>138.55166904</c:v>
                </c:pt>
                <c:pt idx="1">
                  <c:v>60.96005165</c:v>
                </c:pt>
                <c:pt idx="2">
                  <c:v>20.20460915</c:v>
                </c:pt>
                <c:pt idx="3">
                  <c:v>0</c:v>
                </c:pt>
                <c:pt idx="4">
                  <c:v>34.23360036</c:v>
                </c:pt>
                <c:pt idx="5">
                  <c:v>210.61829461</c:v>
                </c:pt>
                <c:pt idx="6">
                  <c:v>129.31250744</c:v>
                </c:pt>
                <c:pt idx="7">
                  <c:v>21.12932717</c:v>
                </c:pt>
                <c:pt idx="8">
                  <c:v>3.7668679</c:v>
                </c:pt>
              </c:numCache>
            </c:numRef>
          </c:val>
        </c:ser>
        <c:ser>
          <c:idx val="1"/>
          <c:order val="1"/>
          <c:tx>
            <c:strRef>
              <c:f>Exhibit_2_Segmentation!C4</c:f>
              <c:strCache>
                <c:ptCount val="1"/>
                <c:pt idx="0">
                  <c:v>Other ($mm)</c:v>
                </c:pt>
              </c:strCache>
            </c:strRef>
          </c:tx>
          <c:spPr>
            <a:solidFill>
              <a:srgbClr val="b4b2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Exhibit_2_Segmentation!$A$5:$A$13</c:f>
              <c:strCache>
                <c:ptCount val="9"/>
                <c:pt idx="0">
                  <c:v>BTS (HYBE)</c:v>
                </c:pt>
                <c:pt idx="1">
                  <c:v>SEVENTEEN (HYBE)</c:v>
                </c:pt>
                <c:pt idx="2">
                  <c:v>TXT (HYBE)</c:v>
                </c:pt>
                <c:pt idx="3">
                  <c:v>ENHYPEN (HYBE)</c:v>
                </c:pt>
                <c:pt idx="4">
                  <c:v>j-hope (HYBE)</c:v>
                </c:pt>
                <c:pt idx="5">
                  <c:v>Stray Kids (JYP)</c:v>
                </c:pt>
                <c:pt idx="6">
                  <c:v>TWICE (JYP)</c:v>
                </c:pt>
                <c:pt idx="7">
                  <c:v>BLACKPINK (YG)</c:v>
                </c:pt>
                <c:pt idx="8">
                  <c:v>ATEEZ (KQ)</c:v>
                </c:pt>
              </c:strCache>
            </c:strRef>
          </c:cat>
          <c:val>
            <c:numRef>
              <c:f>Exhibit_2_Segmentation!$C$5:$C$13</c:f>
              <c:numCache>
                <c:formatCode>#,##0</c:formatCode>
                <c:ptCount val="9"/>
                <c:pt idx="0">
                  <c:v>287.51612163</c:v>
                </c:pt>
                <c:pt idx="1">
                  <c:v>341.60144858</c:v>
                </c:pt>
                <c:pt idx="2">
                  <c:v>217.5970324</c:v>
                </c:pt>
                <c:pt idx="3">
                  <c:v>192.90104539</c:v>
                </c:pt>
                <c:pt idx="4">
                  <c:v>44.94861437</c:v>
                </c:pt>
                <c:pt idx="5">
                  <c:v>5.70735763999999</c:v>
                </c:pt>
                <c:pt idx="6">
                  <c:v>6.692779</c:v>
                </c:pt>
                <c:pt idx="7">
                  <c:v>64.23977896</c:v>
                </c:pt>
                <c:pt idx="8">
                  <c:v>75.25352499</c:v>
                </c:pt>
              </c:numCache>
            </c:numRef>
          </c:val>
        </c:ser>
        <c:gapWidth val="150"/>
        <c:overlap val="100"/>
        <c:axId val="18038153"/>
        <c:axId val="30213981"/>
      </c:barChart>
      <c:catAx>
        <c:axId val="1803815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3981"/>
        <c:crosses val="autoZero"/>
        <c:auto val="1"/>
        <c:lblAlgn val="ctr"/>
        <c:lblOffset val="100"/>
        <c:noMultiLvlLbl val="0"/>
      </c:catAx>
      <c:valAx>
        <c:axId val="30213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38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16</xdr:col>
      <xdr:colOff>221760</xdr:colOff>
      <xdr:row>21</xdr:row>
      <xdr:rowOff>111240</xdr:rowOff>
    </xdr:to>
    <xdr:graphicFrame>
      <xdr:nvGraphicFramePr>
        <xdr:cNvPr id="0" name="Chart 1"/>
        <xdr:cNvGraphicFramePr/>
      </xdr:nvGraphicFramePr>
      <xdr:xfrm>
        <a:off x="3642480" y="571680"/>
        <a:ext cx="75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16</xdr:col>
      <xdr:colOff>221760</xdr:colOff>
      <xdr:row>23</xdr:row>
      <xdr:rowOff>90000</xdr:rowOff>
    </xdr:to>
    <xdr:graphicFrame>
      <xdr:nvGraphicFramePr>
        <xdr:cNvPr id="1" name="Chart 1"/>
        <xdr:cNvGraphicFramePr/>
      </xdr:nvGraphicFramePr>
      <xdr:xfrm>
        <a:off x="3924360" y="571680"/>
        <a:ext cx="75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D4" s="3" t="s">
        <v>3</v>
      </c>
      <c r="E4" s="3"/>
      <c r="G4" s="3" t="s">
        <v>4</v>
      </c>
      <c r="H4" s="3"/>
      <c r="J4" s="3" t="s">
        <v>5</v>
      </c>
      <c r="K4" s="3"/>
    </row>
    <row r="5" customFormat="false" ht="24.45" hidden="false" customHeight="true" outlineLevel="0" collapsed="false">
      <c r="A5" s="4" t="n">
        <f aca="false">Analysis_Geographic!B11/1000</f>
        <v>1.01475580853</v>
      </c>
      <c r="B5" s="4"/>
      <c r="D5" s="5" t="n">
        <f aca="false">Analysis_Geographic!D11</f>
        <v>0.452160312740339</v>
      </c>
      <c r="E5" s="5"/>
      <c r="G5" s="5" t="n">
        <f aca="false">Analysis_Geographic!D6</f>
        <v>0.502000423152653</v>
      </c>
      <c r="H5" s="5"/>
      <c r="J5" s="6" t="s">
        <v>6</v>
      </c>
      <c r="K5" s="6"/>
    </row>
    <row r="8" customFormat="false" ht="15" hidden="false" customHeight="false" outlineLevel="0" collapsed="false">
      <c r="A8" s="7" t="s">
        <v>7</v>
      </c>
    </row>
    <row r="9" customFormat="false" ht="15" hidden="false" customHeight="true" outlineLevel="0" collapsed="false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true" outlineLevel="0" collapsed="false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3" customFormat="false" ht="15" hidden="false" customHeight="true" outlineLevel="0" collapsed="false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true" outlineLevel="0" collapsed="false">
      <c r="A14" s="9" t="s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7" customFormat="false" ht="15" hidden="false" customHeight="true" outlineLevel="0" collapsed="false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true" outlineLevel="0" collapsed="false">
      <c r="A18" s="9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2" customFormat="false" ht="15" hidden="false" customHeight="false" outlineLevel="0" collapsed="false">
      <c r="A22" s="2" t="s">
        <v>14</v>
      </c>
    </row>
  </sheetData>
  <mergeCells count="14">
    <mergeCell ref="A4:B4"/>
    <mergeCell ref="D4:E4"/>
    <mergeCell ref="G4:H4"/>
    <mergeCell ref="J4:K4"/>
    <mergeCell ref="A5:B5"/>
    <mergeCell ref="D5:E5"/>
    <mergeCell ref="G5:H5"/>
    <mergeCell ref="J5:K5"/>
    <mergeCell ref="A9:L9"/>
    <mergeCell ref="A10:L11"/>
    <mergeCell ref="A13:L13"/>
    <mergeCell ref="A14:L15"/>
    <mergeCell ref="A17:L17"/>
    <mergeCell ref="A18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10" t="s">
        <v>17</v>
      </c>
      <c r="B4" s="10" t="s">
        <v>18</v>
      </c>
      <c r="C4" s="10" t="s">
        <v>19</v>
      </c>
    </row>
    <row r="5" customFormat="false" ht="15" hidden="false" customHeight="false" outlineLevel="0" collapsed="false">
      <c r="A5" s="11" t="s">
        <v>20</v>
      </c>
      <c r="B5" s="12" t="n">
        <f aca="false">SUMIFS(Data_AsianPop!$V$2:$V$1630,Data_AsianPop!$H$2:$H$1630,A5,Data_AsianPop!$X$2:$X$1630,1)/1000000</f>
        <v>458.83230374</v>
      </c>
      <c r="C5" s="12" t="n">
        <f aca="false">(SUMIFS(Data_AsianPop!$V$2:$V$1630,Data_AsianPop!$H$2:$H$1630,A5)-SUMIFS(Data_AsianPop!$V$2:$V$1630,Data_AsianPop!$H$2:$H$1630,A5,Data_AsianPop!$X$2:$X$1630,1))/1000000</f>
        <v>555.92350479</v>
      </c>
    </row>
    <row r="6" customFormat="false" ht="15" hidden="false" customHeight="false" outlineLevel="0" collapsed="false">
      <c r="A6" s="13" t="s">
        <v>21</v>
      </c>
      <c r="B6" s="14" t="n">
        <f aca="false">SUMIFS(Data_AsianPop!$V$2:$V$1630,Data_AsianPop!$H$2:$H$1630,A6,Data_AsianPop!$X$2:$X$1630,1)/1000000</f>
        <v>0</v>
      </c>
      <c r="C6" s="14" t="n">
        <f aca="false">(SUMIFS(Data_AsianPop!$V$2:$V$1630,Data_AsianPop!$H$2:$H$1630,A6)-SUMIFS(Data_AsianPop!$V$2:$V$1630,Data_AsianPop!$H$2:$H$1630,A6,Data_AsianPop!$X$2:$X$1630,1))/1000000</f>
        <v>734.47539349</v>
      </c>
    </row>
    <row r="7" customFormat="false" ht="15" hidden="false" customHeight="false" outlineLevel="0" collapsed="false">
      <c r="A7" s="11" t="s">
        <v>22</v>
      </c>
      <c r="B7" s="12" t="n">
        <f aca="false">SUMIFS(Data_AsianPop!$V$2:$V$1630,Data_AsianPop!$H$2:$H$1630,A7,Data_AsianPop!$X$2:$X$1630,1)/1000000</f>
        <v>4.40311758</v>
      </c>
      <c r="C7" s="12" t="n">
        <f aca="false">(SUMIFS(Data_AsianPop!$V$2:$V$1630,Data_AsianPop!$H$2:$H$1630,A7)-SUMIFS(Data_AsianPop!$V$2:$V$1630,Data_AsianPop!$H$2:$H$1630,A7,Data_AsianPop!$X$2:$X$1630,1))/1000000</f>
        <v>144.35295998</v>
      </c>
    </row>
    <row r="8" customFormat="false" ht="15" hidden="false" customHeight="false" outlineLevel="0" collapsed="false">
      <c r="A8" s="13" t="s">
        <v>23</v>
      </c>
      <c r="B8" s="14" t="n">
        <f aca="false">SUMIFS(Data_AsianPop!$V$2:$V$1630,Data_AsianPop!$H$2:$H$1630,A8,Data_AsianPop!$X$2:$X$1630,1)/1000000</f>
        <v>115.38846544</v>
      </c>
      <c r="C8" s="14" t="n">
        <f aca="false">(SUMIFS(Data_AsianPop!$V$2:$V$1630,Data_AsianPop!$H$2:$H$1630,A8)-SUMIFS(Data_AsianPop!$V$2:$V$1630,Data_AsianPop!$H$2:$H$1630,A8,Data_AsianPop!$X$2:$X$1630,1))/1000000</f>
        <v>27.95686949</v>
      </c>
    </row>
    <row r="9" customFormat="false" ht="15" hidden="false" customHeight="false" outlineLevel="0" collapsed="false">
      <c r="A9" s="11" t="s">
        <v>24</v>
      </c>
      <c r="B9" s="12" t="n">
        <f aca="false">SUMIFS(Data_AsianPop!$V$2:$V$1630,Data_AsianPop!$H$2:$H$1630,A9,Data_AsianPop!$X$2:$X$1630,1)/1000000</f>
        <v>0</v>
      </c>
      <c r="C9" s="12" t="n">
        <f aca="false">(SUMIFS(Data_AsianPop!$V$2:$V$1630,Data_AsianPop!$H$2:$H$1630,A9)-SUMIFS(Data_AsianPop!$V$2:$V$1630,Data_AsianPop!$H$2:$H$1630,A9,Data_AsianPop!$X$2:$X$1630,1))/1000000</f>
        <v>135.13456367</v>
      </c>
    </row>
    <row r="10" customFormat="false" ht="15" hidden="false" customHeight="false" outlineLevel="0" collapsed="false">
      <c r="A10" s="13" t="s">
        <v>25</v>
      </c>
      <c r="B10" s="14" t="n">
        <f aca="false">SUMIFS(Data_AsianPop!$V$2:$V$1630,Data_AsianPop!$H$2:$H$1630,A10,Data_AsianPop!$X$2:$X$1630,1)/1000000</f>
        <v>6.83914547</v>
      </c>
      <c r="C10" s="14" t="n">
        <f aca="false">(SUMIFS(Data_AsianPop!$V$2:$V$1630,Data_AsianPop!$H$2:$H$1630,A10)-SUMIFS(Data_AsianPop!$V$2:$V$1630,Data_AsianPop!$H$2:$H$1630,A10,Data_AsianPop!$X$2:$X$1630,1))/1000000</f>
        <v>122.37407923</v>
      </c>
    </row>
    <row r="11" customFormat="false" ht="15" hidden="false" customHeight="false" outlineLevel="0" collapsed="false">
      <c r="A11" s="11" t="s">
        <v>26</v>
      </c>
      <c r="B11" s="12" t="n">
        <f aca="false">SUMIFS(Data_AsianPop!$V$2:$V$1630,Data_AsianPop!$H$2:$H$1630,A11,Data_AsianPop!$X$2:$X$1630,1)/1000000</f>
        <v>52.03941456</v>
      </c>
      <c r="C11" s="12" t="n">
        <f aca="false">(SUMIFS(Data_AsianPop!$V$2:$V$1630,Data_AsianPop!$H$2:$H$1630,A11)-SUMIFS(Data_AsianPop!$V$2:$V$1630,Data_AsianPop!$H$2:$H$1630,A11,Data_AsianPop!$X$2:$X$1630,1))/1000000</f>
        <v>36.18206941</v>
      </c>
    </row>
    <row r="12" customFormat="false" ht="15" hidden="false" customHeight="false" outlineLevel="0" collapsed="false">
      <c r="A12" s="13" t="s">
        <v>27</v>
      </c>
      <c r="B12" s="14" t="n">
        <f aca="false">SUMIFS(Data_AsianPop!$V$2:$V$1630,Data_AsianPop!$H$2:$H$1630,A12,Data_AsianPop!$X$2:$X$1630,1)/1000000</f>
        <v>50.24713593</v>
      </c>
      <c r="C12" s="14" t="n">
        <f aca="false">(SUMIFS(Data_AsianPop!$V$2:$V$1630,Data_AsianPop!$H$2:$H$1630,A12)-SUMIFS(Data_AsianPop!$V$2:$V$1630,Data_AsianPop!$H$2:$H$1630,A12,Data_AsianPop!$X$2:$X$1630,1))/1000000</f>
        <v>35.14314489</v>
      </c>
    </row>
    <row r="13" customFormat="false" ht="15" hidden="false" customHeight="false" outlineLevel="0" collapsed="false">
      <c r="A13" s="11" t="s">
        <v>28</v>
      </c>
      <c r="B13" s="12" t="n">
        <f aca="false">SUMIFS(Data_AsianPop!$V$2:$V$1630,Data_AsianPop!$H$2:$H$1630,A13,Data_AsianPop!$X$2:$X$1630,1)/1000000</f>
        <v>14.41662148</v>
      </c>
      <c r="C13" s="12" t="n">
        <f aca="false">(SUMIFS(Data_AsianPop!$V$2:$V$1630,Data_AsianPop!$H$2:$H$1630,A13)-SUMIFS(Data_AsianPop!$V$2:$V$1630,Data_AsianPop!$H$2:$H$1630,A13,Data_AsianPop!$X$2:$X$1630,1))/1000000</f>
        <v>60.3247532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0" t="s">
        <v>31</v>
      </c>
      <c r="B4" s="10" t="s">
        <v>18</v>
      </c>
      <c r="C4" s="10" t="s">
        <v>19</v>
      </c>
    </row>
    <row r="5" customFormat="false" ht="15" hidden="false" customHeight="false" outlineLevel="0" collapsed="false">
      <c r="A5" s="15" t="s">
        <v>32</v>
      </c>
      <c r="B5" s="12" t="n">
        <f aca="false">SUMIFS(Data_AsianPop!$V$2:$V$1630,Data_AsianPop!$C$2:$C$1630,"BTS",Data_AsianPop!$X$2:$X$1630,1)/1000000</f>
        <v>138.55166904</v>
      </c>
      <c r="C5" s="12" t="n">
        <f aca="false">(SUMIFS(Data_AsianPop!$V$2:$V$1630,Data_AsianPop!$C$2:$C$1630,"BTS")-SUMIFS(Data_AsianPop!$V$2:$V$1630,Data_AsianPop!$C$2:$C$1630,"BTS",Data_AsianPop!$X$2:$X$1630,1))/1000000</f>
        <v>287.51612163</v>
      </c>
    </row>
    <row r="6" customFormat="false" ht="15" hidden="false" customHeight="false" outlineLevel="0" collapsed="false">
      <c r="A6" s="15" t="s">
        <v>33</v>
      </c>
      <c r="B6" s="12" t="n">
        <f aca="false">SUMIFS(Data_AsianPop!$V$2:$V$1630,Data_AsianPop!$C$2:$C$1630,"SEVENTEEN",Data_AsianPop!$X$2:$X$1630,1)/1000000</f>
        <v>60.96005165</v>
      </c>
      <c r="C6" s="12" t="n">
        <f aca="false">(SUMIFS(Data_AsianPop!$V$2:$V$1630,Data_AsianPop!$C$2:$C$1630,"SEVENTEEN")-SUMIFS(Data_AsianPop!$V$2:$V$1630,Data_AsianPop!$C$2:$C$1630,"SEVENTEEN",Data_AsianPop!$X$2:$X$1630,1))/1000000</f>
        <v>341.60144858</v>
      </c>
    </row>
    <row r="7" customFormat="false" ht="15" hidden="false" customHeight="false" outlineLevel="0" collapsed="false">
      <c r="A7" s="15" t="s">
        <v>34</v>
      </c>
      <c r="B7" s="12" t="n">
        <f aca="false">SUMIFS(Data_AsianPop!$V$2:$V$1630,Data_AsianPop!$C$2:$C$1630,"TOMORROW X TOGETHER",Data_AsianPop!$X$2:$X$1630,1)/1000000</f>
        <v>20.20460915</v>
      </c>
      <c r="C7" s="12" t="n">
        <f aca="false">(SUMIFS(Data_AsianPop!$V$2:$V$1630,Data_AsianPop!$C$2:$C$1630,"TOMORROW X TOGETHER")-SUMIFS(Data_AsianPop!$V$2:$V$1630,Data_AsianPop!$C$2:$C$1630,"TOMORROW X TOGETHER",Data_AsianPop!$X$2:$X$1630,1))/1000000</f>
        <v>217.5970324</v>
      </c>
    </row>
    <row r="8" customFormat="false" ht="15" hidden="false" customHeight="false" outlineLevel="0" collapsed="false">
      <c r="A8" s="15" t="s">
        <v>35</v>
      </c>
      <c r="B8" s="12" t="n">
        <f aca="false">SUMIFS(Data_AsianPop!$V$2:$V$1630,Data_AsianPop!$C$2:$C$1630,"ENHYPEN",Data_AsianPop!$X$2:$X$1630,1)/1000000</f>
        <v>0</v>
      </c>
      <c r="C8" s="12" t="n">
        <f aca="false">(SUMIFS(Data_AsianPop!$V$2:$V$1630,Data_AsianPop!$C$2:$C$1630,"ENHYPEN")-SUMIFS(Data_AsianPop!$V$2:$V$1630,Data_AsianPop!$C$2:$C$1630,"ENHYPEN",Data_AsianPop!$X$2:$X$1630,1))/1000000</f>
        <v>192.90104539</v>
      </c>
    </row>
    <row r="9" customFormat="false" ht="15" hidden="false" customHeight="false" outlineLevel="0" collapsed="false">
      <c r="A9" s="15" t="s">
        <v>36</v>
      </c>
      <c r="B9" s="12" t="n">
        <f aca="false">SUMIFS(Data_AsianPop!$V$2:$V$1630,Data_AsianPop!$C$2:$C$1630,"j-hope",Data_AsianPop!$X$2:$X$1630,1)/1000000</f>
        <v>34.23360036</v>
      </c>
      <c r="C9" s="12" t="n">
        <f aca="false">(SUMIFS(Data_AsianPop!$V$2:$V$1630,Data_AsianPop!$C$2:$C$1630,"j-hope")-SUMIFS(Data_AsianPop!$V$2:$V$1630,Data_AsianPop!$C$2:$C$1630,"j-hope",Data_AsianPop!$X$2:$X$1630,1))/1000000</f>
        <v>44.94861437</v>
      </c>
    </row>
    <row r="10" customFormat="false" ht="15" hidden="false" customHeight="false" outlineLevel="0" collapsed="false">
      <c r="A10" s="16" t="s">
        <v>37</v>
      </c>
      <c r="B10" s="12" t="n">
        <f aca="false">SUMIFS(Data_AsianPop!$V$2:$V$1630,Data_AsianPop!$C$2:$C$1630,"Stray Kids",Data_AsianPop!$X$2:$X$1630,1)/1000000</f>
        <v>210.61829461</v>
      </c>
      <c r="C10" s="12" t="n">
        <f aca="false">(SUMIFS(Data_AsianPop!$V$2:$V$1630,Data_AsianPop!$C$2:$C$1630,"Stray Kids")-SUMIFS(Data_AsianPop!$V$2:$V$1630,Data_AsianPop!$C$2:$C$1630,"Stray Kids",Data_AsianPop!$X$2:$X$1630,1))/1000000</f>
        <v>5.70735763999999</v>
      </c>
    </row>
    <row r="11" customFormat="false" ht="15" hidden="false" customHeight="false" outlineLevel="0" collapsed="false">
      <c r="A11" s="16" t="s">
        <v>38</v>
      </c>
      <c r="B11" s="12" t="n">
        <f aca="false">SUMIFS(Data_AsianPop!$V$2:$V$1630,Data_AsianPop!$C$2:$C$1630,"TWICE",Data_AsianPop!$X$2:$X$1630,1)/1000000</f>
        <v>129.31250744</v>
      </c>
      <c r="C11" s="12" t="n">
        <f aca="false">(SUMIFS(Data_AsianPop!$V$2:$V$1630,Data_AsianPop!$C$2:$C$1630,"TWICE")-SUMIFS(Data_AsianPop!$V$2:$V$1630,Data_AsianPop!$C$2:$C$1630,"TWICE",Data_AsianPop!$X$2:$X$1630,1))/1000000</f>
        <v>6.692779</v>
      </c>
    </row>
    <row r="12" customFormat="false" ht="15" hidden="false" customHeight="false" outlineLevel="0" collapsed="false">
      <c r="A12" s="11" t="s">
        <v>39</v>
      </c>
      <c r="B12" s="12" t="n">
        <f aca="false">SUMIFS(Data_AsianPop!$V$2:$V$1630,Data_AsianPop!$C$2:$C$1630,"BLACKPINK",Data_AsianPop!$X$2:$X$1630,1)/1000000</f>
        <v>21.12932717</v>
      </c>
      <c r="C12" s="12" t="n">
        <f aca="false">(SUMIFS(Data_AsianPop!$V$2:$V$1630,Data_AsianPop!$C$2:$C$1630,"BLACKPINK")-SUMIFS(Data_AsianPop!$V$2:$V$1630,Data_AsianPop!$C$2:$C$1630,"BLACKPINK",Data_AsianPop!$X$2:$X$1630,1))/1000000</f>
        <v>64.23977896</v>
      </c>
    </row>
    <row r="13" customFormat="false" ht="15" hidden="false" customHeight="false" outlineLevel="0" collapsed="false">
      <c r="A13" s="11" t="s">
        <v>40</v>
      </c>
      <c r="B13" s="12" t="n">
        <f aca="false">SUMIFS(Data_AsianPop!$V$2:$V$1630,Data_AsianPop!$C$2:$C$1630,"ATEEZ",Data_AsianPop!$X$2:$X$1630,1)/1000000</f>
        <v>3.7668679</v>
      </c>
      <c r="C13" s="12" t="n">
        <f aca="false">(SUMIFS(Data_AsianPop!$V$2:$V$1630,Data_AsianPop!$C$2:$C$1630,"ATEEZ")-SUMIFS(Data_AsianPop!$V$2:$V$1630,Data_AsianPop!$C$2:$C$1630,"ATEEZ",Data_AsianPop!$X$2:$X$1630,1))/1000000</f>
        <v>75.25352499</v>
      </c>
    </row>
    <row r="26" customFormat="false" ht="15" hidden="false" customHeight="false" outlineLevel="0" collapsed="false">
      <c r="E26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7" t="s">
        <v>44</v>
      </c>
    </row>
    <row r="5" customFormat="false" ht="26.85" hidden="false" customHeight="false" outlineLevel="0" collapsed="false">
      <c r="A5" s="10" t="s">
        <v>45</v>
      </c>
      <c r="B5" s="10" t="s">
        <v>46</v>
      </c>
      <c r="C5" s="10" t="s">
        <v>18</v>
      </c>
      <c r="D5" s="10" t="s">
        <v>47</v>
      </c>
      <c r="E5" s="10" t="s">
        <v>48</v>
      </c>
    </row>
    <row r="6" customFormat="false" ht="15" hidden="false" customHeight="false" outlineLevel="0" collapsed="false">
      <c r="A6" s="11" t="s">
        <v>49</v>
      </c>
      <c r="B6" s="12" t="n">
        <f aca="false">SUMIFS(Data_AsianPop!$V$2:$V$1630,Data_AsianPop!$Y$2:$Y$1630,A6)/1000000</f>
        <v>1599.70586261</v>
      </c>
      <c r="C6" s="12" t="n">
        <f aca="false">SUMIFS(Data_AsianPop!$V$2:$V$1630,Data_AsianPop!$Y$2:$Y$1630,A6,Data_AsianPop!$X$2:$X$1630,1)/1000000</f>
        <v>803.05301995</v>
      </c>
      <c r="D6" s="17" t="n">
        <f aca="false">IFERROR(C6/B6,0)</f>
        <v>0.502000423152653</v>
      </c>
      <c r="E6" s="17" t="n">
        <f aca="false">B6/($B$6+$B$7)</f>
        <v>0.528033736039495</v>
      </c>
    </row>
    <row r="7" customFormat="false" ht="15" hidden="false" customHeight="false" outlineLevel="0" collapsed="false">
      <c r="A7" s="11" t="s">
        <v>50</v>
      </c>
      <c r="B7" s="12" t="n">
        <f aca="false">SUMIFS(Data_AsianPop!$V$2:$V$1630,Data_AsianPop!$Y$2:$Y$1630,A7)/1000000</f>
        <v>1429.84651904</v>
      </c>
      <c r="C7" s="12" t="n">
        <f aca="false">SUMIFS(Data_AsianPop!$V$2:$V$1630,Data_AsianPop!$Y$2:$Y$1630,A7,Data_AsianPop!$X$2:$X$1630,1)/1000000</f>
        <v>25.44844371</v>
      </c>
      <c r="D7" s="17" t="n">
        <f aca="false">IFERROR(C7/B7,0)</f>
        <v>0.0177980247328127</v>
      </c>
      <c r="E7" s="17" t="n">
        <f aca="false">B7/($B$6+$B$7)</f>
        <v>0.471966263960505</v>
      </c>
    </row>
    <row r="9" customFormat="false" ht="15" hidden="false" customHeight="false" outlineLevel="0" collapsed="false">
      <c r="A9" s="7" t="s">
        <v>51</v>
      </c>
      <c r="F9" s="7" t="s">
        <v>52</v>
      </c>
    </row>
    <row r="10" customFormat="false" ht="26.85" hidden="false" customHeight="false" outlineLevel="0" collapsed="false">
      <c r="A10" s="10" t="s">
        <v>53</v>
      </c>
      <c r="B10" s="10" t="s">
        <v>46</v>
      </c>
      <c r="C10" s="10" t="s">
        <v>18</v>
      </c>
      <c r="D10" s="10" t="s">
        <v>47</v>
      </c>
      <c r="F10" s="10" t="s">
        <v>54</v>
      </c>
      <c r="G10" s="10" t="s">
        <v>55</v>
      </c>
      <c r="H10" s="10" t="s">
        <v>18</v>
      </c>
      <c r="I10" s="10" t="s">
        <v>47</v>
      </c>
    </row>
    <row r="11" customFormat="false" ht="15" hidden="false" customHeight="false" outlineLevel="0" collapsed="false">
      <c r="A11" s="18" t="s">
        <v>20</v>
      </c>
      <c r="B11" s="19" t="n">
        <f aca="false">SUMIFS(Data_AsianPop!$V$2:$V$1630,Data_AsianPop!$H$2:$H$1630,A11)/1000000</f>
        <v>1014.75580853</v>
      </c>
      <c r="C11" s="19" t="n">
        <f aca="false">SUMIFS(Data_AsianPop!$V$2:$V$1630,Data_AsianPop!$H$2:$H$1630,A11,Data_AsianPop!$X$2:$X$1630,1)/1000000</f>
        <v>458.83230374</v>
      </c>
      <c r="D11" s="20" t="n">
        <f aca="false">IFERROR(C11/B11,0)</f>
        <v>0.452160312740339</v>
      </c>
      <c r="F11" s="21" t="n">
        <v>2019</v>
      </c>
      <c r="G11" s="12" t="n">
        <f aca="false">SUMIFS(Data_AsianPop!$V$2:$V$1630,Data_AsianPop!$H$2:$H$1630,"United States",Data_AsianPop!$U$2:$U$1630,F11)/1000000</f>
        <v>72.01650555</v>
      </c>
      <c r="H11" s="12" t="n">
        <f aca="false">SUMIFS(Data_AsianPop!$V$2:$V$1630,Data_AsianPop!$H$2:$H$1630,"United States",Data_AsianPop!$U$2:$U$1630,F11,Data_AsianPop!$X$2:$X$1630,1)/1000000</f>
        <v>50.80565985</v>
      </c>
      <c r="I11" s="17" t="n">
        <f aca="false">IFERROR(H11/G11,0)</f>
        <v>0.705472439435796</v>
      </c>
    </row>
    <row r="12" customFormat="false" ht="15" hidden="false" customHeight="false" outlineLevel="0" collapsed="false">
      <c r="A12" s="11" t="s">
        <v>21</v>
      </c>
      <c r="B12" s="12" t="n">
        <f aca="false">SUMIFS(Data_AsianPop!$V$2:$V$1630,Data_AsianPop!$H$2:$H$1630,A12)/1000000</f>
        <v>734.47539349</v>
      </c>
      <c r="C12" s="12" t="n">
        <f aca="false">SUMIFS(Data_AsianPop!$V$2:$V$1630,Data_AsianPop!$H$2:$H$1630,A12,Data_AsianPop!$X$2:$X$1630,1)/1000000</f>
        <v>0</v>
      </c>
      <c r="D12" s="17" t="n">
        <f aca="false">IFERROR(C12/B12,0)</f>
        <v>0</v>
      </c>
      <c r="F12" s="21" t="n">
        <v>2020</v>
      </c>
      <c r="G12" s="12" t="n">
        <f aca="false">SUMIFS(Data_AsianPop!$V$2:$V$1630,Data_AsianPop!$H$2:$H$1630,"United States",Data_AsianPop!$U$2:$U$1630,F12)/1000000</f>
        <v>3.52904025</v>
      </c>
      <c r="H12" s="12" t="n">
        <f aca="false">SUMIFS(Data_AsianPop!$V$2:$V$1630,Data_AsianPop!$H$2:$H$1630,"United States",Data_AsianPop!$U$2:$U$1630,F12,Data_AsianPop!$X$2:$X$1630,1)/1000000</f>
        <v>1.369149</v>
      </c>
      <c r="I12" s="17" t="n">
        <f aca="false">IFERROR(H12/G12,0)</f>
        <v>0.38796638831195</v>
      </c>
    </row>
    <row r="13" customFormat="false" ht="15" hidden="false" customHeight="false" outlineLevel="0" collapsed="false">
      <c r="A13" s="11" t="s">
        <v>22</v>
      </c>
      <c r="B13" s="12" t="n">
        <f aca="false">SUMIFS(Data_AsianPop!$V$2:$V$1630,Data_AsianPop!$H$2:$H$1630,A13)/1000000</f>
        <v>148.75607756</v>
      </c>
      <c r="C13" s="12" t="n">
        <f aca="false">SUMIFS(Data_AsianPop!$V$2:$V$1630,Data_AsianPop!$H$2:$H$1630,A13,Data_AsianPop!$X$2:$X$1630,1)/1000000</f>
        <v>4.40311758</v>
      </c>
      <c r="D13" s="17" t="n">
        <f aca="false">IFERROR(C13/B13,0)</f>
        <v>0.0295995810875292</v>
      </c>
      <c r="F13" s="21" t="n">
        <v>2021</v>
      </c>
      <c r="G13" s="12" t="n">
        <f aca="false">SUMIFS(Data_AsianPop!$V$2:$V$1630,Data_AsianPop!$H$2:$H$1630,"United States",Data_AsianPop!$U$2:$U$1630,F13)/1000000</f>
        <v>34.389625</v>
      </c>
      <c r="H13" s="12" t="n">
        <f aca="false">SUMIFS(Data_AsianPop!$V$2:$V$1630,Data_AsianPop!$H$2:$H$1630,"United States",Data_AsianPop!$U$2:$U$1630,F13,Data_AsianPop!$X$2:$X$1630,1)/1000000</f>
        <v>0</v>
      </c>
      <c r="I13" s="17" t="n">
        <f aca="false">IFERROR(H13/G13,0)</f>
        <v>0</v>
      </c>
    </row>
    <row r="14" customFormat="false" ht="15" hidden="false" customHeight="false" outlineLevel="0" collapsed="false">
      <c r="A14" s="11" t="s">
        <v>23</v>
      </c>
      <c r="B14" s="12" t="n">
        <f aca="false">SUMIFS(Data_AsianPop!$V$2:$V$1630,Data_AsianPop!$H$2:$H$1630,A14)/1000000</f>
        <v>143.34533493</v>
      </c>
      <c r="C14" s="12" t="n">
        <f aca="false">SUMIFS(Data_AsianPop!$V$2:$V$1630,Data_AsianPop!$H$2:$H$1630,A14,Data_AsianPop!$X$2:$X$1630,1)/1000000</f>
        <v>115.38846544</v>
      </c>
      <c r="D14" s="17" t="n">
        <f aca="false">IFERROR(C14/B14,0)</f>
        <v>0.804968403724808</v>
      </c>
      <c r="F14" s="21" t="n">
        <v>2022</v>
      </c>
      <c r="G14" s="12" t="n">
        <f aca="false">SUMIFS(Data_AsianPop!$V$2:$V$1630,Data_AsianPop!$H$2:$H$1630,"United States",Data_AsianPop!$U$2:$U$1630,F14)/1000000</f>
        <v>156.02667652</v>
      </c>
      <c r="H14" s="12" t="n">
        <f aca="false">SUMIFS(Data_AsianPop!$V$2:$V$1630,Data_AsianPop!$H$2:$H$1630,"United States",Data_AsianPop!$U$2:$U$1630,F14,Data_AsianPop!$X$2:$X$1630,1)/1000000</f>
        <v>43.57707685</v>
      </c>
      <c r="I14" s="17" t="n">
        <f aca="false">IFERROR(H14/G14,0)</f>
        <v>0.279292476273531</v>
      </c>
    </row>
    <row r="15" customFormat="false" ht="15" hidden="false" customHeight="false" outlineLevel="0" collapsed="false">
      <c r="A15" s="11" t="s">
        <v>24</v>
      </c>
      <c r="B15" s="12" t="n">
        <f aca="false">SUMIFS(Data_AsianPop!$V$2:$V$1630,Data_AsianPop!$H$2:$H$1630,A15)/1000000</f>
        <v>135.13456367</v>
      </c>
      <c r="C15" s="12" t="n">
        <f aca="false">SUMIFS(Data_AsianPop!$V$2:$V$1630,Data_AsianPop!$H$2:$H$1630,A15,Data_AsianPop!$X$2:$X$1630,1)/1000000</f>
        <v>0</v>
      </c>
      <c r="D15" s="17" t="n">
        <f aca="false">IFERROR(C15/B15,0)</f>
        <v>0</v>
      </c>
      <c r="F15" s="21" t="n">
        <v>2023</v>
      </c>
      <c r="G15" s="12" t="n">
        <f aca="false">SUMIFS(Data_AsianPop!$V$2:$V$1630,Data_AsianPop!$H$2:$H$1630,"United States",Data_AsianPop!$U$2:$U$1630,F15)/1000000</f>
        <v>194.033319</v>
      </c>
      <c r="H15" s="12" t="n">
        <f aca="false">SUMIFS(Data_AsianPop!$V$2:$V$1630,Data_AsianPop!$H$2:$H$1630,"United States",Data_AsianPop!$U$2:$U$1630,F15,Data_AsianPop!$X$2:$X$1630,1)/1000000</f>
        <v>107.13756431</v>
      </c>
      <c r="I15" s="17" t="n">
        <f aca="false">IFERROR(H15/G15,0)</f>
        <v>0.552160653964797</v>
      </c>
    </row>
    <row r="16" customFormat="false" ht="15" hidden="false" customHeight="false" outlineLevel="0" collapsed="false">
      <c r="A16" s="11" t="s">
        <v>25</v>
      </c>
      <c r="B16" s="12" t="n">
        <f aca="false">SUMIFS(Data_AsianPop!$V$2:$V$1630,Data_AsianPop!$H$2:$H$1630,A16)/1000000</f>
        <v>129.2132247</v>
      </c>
      <c r="C16" s="12" t="n">
        <f aca="false">SUMIFS(Data_AsianPop!$V$2:$V$1630,Data_AsianPop!$H$2:$H$1630,A16,Data_AsianPop!$X$2:$X$1630,1)/1000000</f>
        <v>6.83914547</v>
      </c>
      <c r="D16" s="17" t="n">
        <f aca="false">IFERROR(C16/B16,0)</f>
        <v>0.0529291447208964</v>
      </c>
      <c r="F16" s="21" t="n">
        <v>2024</v>
      </c>
      <c r="G16" s="12" t="n">
        <f aca="false">SUMIFS(Data_AsianPop!$V$2:$V$1630,Data_AsianPop!$H$2:$H$1630,"United States",Data_AsianPop!$U$2:$U$1630,F16)/1000000</f>
        <v>133.06453778</v>
      </c>
      <c r="H16" s="12" t="n">
        <f aca="false">SUMIFS(Data_AsianPop!$V$2:$V$1630,Data_AsianPop!$H$2:$H$1630,"United States",Data_AsianPop!$U$2:$U$1630,F16,Data_AsianPop!$X$2:$X$1630,1)/1000000</f>
        <v>48.47080787</v>
      </c>
      <c r="I16" s="17" t="n">
        <f aca="false">IFERROR(H16/G16,0)</f>
        <v>0.364265405935114</v>
      </c>
    </row>
    <row r="17" customFormat="false" ht="15" hidden="false" customHeight="false" outlineLevel="0" collapsed="false">
      <c r="A17" s="11" t="s">
        <v>26</v>
      </c>
      <c r="B17" s="12" t="n">
        <f aca="false">SUMIFS(Data_AsianPop!$V$2:$V$1630,Data_AsianPop!$H$2:$H$1630,A17)/1000000</f>
        <v>88.22148397</v>
      </c>
      <c r="C17" s="12" t="n">
        <f aca="false">SUMIFS(Data_AsianPop!$V$2:$V$1630,Data_AsianPop!$H$2:$H$1630,A17,Data_AsianPop!$X$2:$X$1630,1)/1000000</f>
        <v>52.03941456</v>
      </c>
      <c r="D17" s="17" t="n">
        <f aca="false">IFERROR(C17/B17,0)</f>
        <v>0.589872355555662</v>
      </c>
      <c r="F17" s="21" t="n">
        <v>2025</v>
      </c>
      <c r="G17" s="12" t="n">
        <f aca="false">SUMIFS(Data_AsianPop!$V$2:$V$1630,Data_AsianPop!$H$2:$H$1630,"United States",Data_AsianPop!$U$2:$U$1630,F17)/1000000</f>
        <v>238.47534242</v>
      </c>
      <c r="H17" s="12" t="n">
        <f aca="false">SUMIFS(Data_AsianPop!$V$2:$V$1630,Data_AsianPop!$H$2:$H$1630,"United States",Data_AsianPop!$U$2:$U$1630,F17,Data_AsianPop!$X$2:$X$1630,1)/1000000</f>
        <v>143.42256803</v>
      </c>
      <c r="I17" s="17" t="n">
        <f aca="false">IFERROR(H17/G17,0)</f>
        <v>0.601414664403357</v>
      </c>
    </row>
    <row r="18" customFormat="false" ht="15" hidden="false" customHeight="false" outlineLevel="0" collapsed="false">
      <c r="A18" s="11" t="s">
        <v>27</v>
      </c>
      <c r="B18" s="12" t="n">
        <f aca="false">SUMIFS(Data_AsianPop!$V$2:$V$1630,Data_AsianPop!$H$2:$H$1630,A18)/1000000</f>
        <v>85.39028082</v>
      </c>
      <c r="C18" s="12" t="n">
        <f aca="false">SUMIFS(Data_AsianPop!$V$2:$V$1630,Data_AsianPop!$H$2:$H$1630,A18,Data_AsianPop!$X$2:$X$1630,1)/1000000</f>
        <v>50.24713593</v>
      </c>
      <c r="D18" s="17" t="n">
        <f aca="false">IFERROR(C18/B18,0)</f>
        <v>0.588440926150827</v>
      </c>
      <c r="F18" s="21" t="n">
        <v>2026</v>
      </c>
      <c r="G18" s="12" t="n">
        <f aca="false">SUMIFS(Data_AsianPop!$V$2:$V$1630,Data_AsianPop!$H$2:$H$1630,"United States",Data_AsianPop!$U$2:$U$1630,F18)/1000000</f>
        <v>105.56774196</v>
      </c>
      <c r="H18" s="12" t="n">
        <f aca="false">SUMIFS(Data_AsianPop!$V$2:$V$1630,Data_AsianPop!$H$2:$H$1630,"United States",Data_AsianPop!$U$2:$U$1630,F18,Data_AsianPop!$X$2:$X$1630,1)/1000000</f>
        <v>35.88931327</v>
      </c>
      <c r="I18" s="17" t="n">
        <f aca="false">IFERROR(H18/G18,0)</f>
        <v>0.339964771469665</v>
      </c>
    </row>
    <row r="19" customFormat="false" ht="15" hidden="false" customHeight="false" outlineLevel="0" collapsed="false">
      <c r="A19" s="11" t="s">
        <v>28</v>
      </c>
      <c r="B19" s="12" t="n">
        <f aca="false">SUMIFS(Data_AsianPop!$V$2:$V$1630,Data_AsianPop!$H$2:$H$1630,A19)/1000000</f>
        <v>74.74137468</v>
      </c>
      <c r="C19" s="12" t="n">
        <f aca="false">SUMIFS(Data_AsianPop!$V$2:$V$1630,Data_AsianPop!$H$2:$H$1630,A19,Data_AsianPop!$X$2:$X$1630,1)/1000000</f>
        <v>14.41662148</v>
      </c>
      <c r="D19" s="17" t="n">
        <f aca="false">IFERROR(C19/B19,0)</f>
        <v>0.192886758394848</v>
      </c>
    </row>
    <row r="20" customFormat="false" ht="15" hidden="false" customHeight="false" outlineLevel="0" collapsed="false">
      <c r="A20" s="11" t="s">
        <v>56</v>
      </c>
      <c r="B20" s="12" t="n">
        <f aca="false">SUMIFS(Data_AsianPop!$V$2:$V$1630,Data_AsianPop!$H$2:$H$1630,A20)/1000000</f>
        <v>61.48162056</v>
      </c>
      <c r="C20" s="12" t="n">
        <f aca="false">SUMIFS(Data_AsianPop!$V$2:$V$1630,Data_AsianPop!$H$2:$H$1630,A20,Data_AsianPop!$X$2:$X$1630,1)/1000000</f>
        <v>2.31215194</v>
      </c>
      <c r="D20" s="17" t="n">
        <f aca="false">IFERROR(C20/B20,0)</f>
        <v>0.0376072055183316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1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26.85" hidden="false" customHeight="false" outlineLevel="0" collapsed="false">
      <c r="A4" s="10" t="s">
        <v>31</v>
      </c>
      <c r="B4" s="10" t="s">
        <v>59</v>
      </c>
      <c r="C4" s="10" t="s">
        <v>46</v>
      </c>
      <c r="D4" s="10" t="s">
        <v>18</v>
      </c>
      <c r="E4" s="10" t="s">
        <v>19</v>
      </c>
      <c r="F4" s="10" t="s">
        <v>47</v>
      </c>
    </row>
    <row r="5" customFormat="false" ht="15" hidden="false" customHeight="false" outlineLevel="0" collapsed="false">
      <c r="A5" s="11" t="s">
        <v>60</v>
      </c>
      <c r="B5" s="22" t="s">
        <v>61</v>
      </c>
      <c r="C5" s="12" t="n">
        <f aca="false">SUMIFS(Data_AsianPop!$V$2:$V$1630,Data_AsianPop!$C$2:$C$1630,A5)/1000000</f>
        <v>426.06779067</v>
      </c>
      <c r="D5" s="12" t="n">
        <f aca="false">SUMIFS(Data_AsianPop!$V$2:$V$1630,Data_AsianPop!$C$2:$C$1630,A5,Data_AsianPop!$X$2:$X$1630,1)/1000000</f>
        <v>138.55166904</v>
      </c>
      <c r="E5" s="12" t="n">
        <f aca="false">C5-D5</f>
        <v>287.51612163</v>
      </c>
      <c r="F5" s="17" t="n">
        <f aca="false">IFERROR(D5/C5,0)</f>
        <v>0.325186911740324</v>
      </c>
    </row>
    <row r="6" customFormat="false" ht="15" hidden="false" customHeight="false" outlineLevel="0" collapsed="false">
      <c r="A6" s="11" t="s">
        <v>62</v>
      </c>
      <c r="B6" s="22" t="s">
        <v>61</v>
      </c>
      <c r="C6" s="12" t="n">
        <f aca="false">SUMIFS(Data_AsianPop!$V$2:$V$1630,Data_AsianPop!$C$2:$C$1630,A6)/1000000</f>
        <v>402.56150023</v>
      </c>
      <c r="D6" s="12" t="n">
        <f aca="false">SUMIFS(Data_AsianPop!$V$2:$V$1630,Data_AsianPop!$C$2:$C$1630,A6,Data_AsianPop!$X$2:$X$1630,1)/1000000</f>
        <v>60.96005165</v>
      </c>
      <c r="E6" s="12" t="n">
        <f aca="false">C6-D6</f>
        <v>341.60144858</v>
      </c>
      <c r="F6" s="17" t="n">
        <f aca="false">IFERROR(D6/C6,0)</f>
        <v>0.151430406571843</v>
      </c>
    </row>
    <row r="7" customFormat="false" ht="15" hidden="false" customHeight="false" outlineLevel="0" collapsed="false">
      <c r="A7" s="11" t="s">
        <v>63</v>
      </c>
      <c r="B7" s="22" t="s">
        <v>61</v>
      </c>
      <c r="C7" s="12" t="n">
        <f aca="false">SUMIFS(Data_AsianPop!$V$2:$V$1630,Data_AsianPop!$C$2:$C$1630,A7)/1000000</f>
        <v>237.80164155</v>
      </c>
      <c r="D7" s="12" t="n">
        <f aca="false">SUMIFS(Data_AsianPop!$V$2:$V$1630,Data_AsianPop!$C$2:$C$1630,A7,Data_AsianPop!$X$2:$X$1630,1)/1000000</f>
        <v>20.20460915</v>
      </c>
      <c r="E7" s="12" t="n">
        <f aca="false">C7-D7</f>
        <v>217.5970324</v>
      </c>
      <c r="F7" s="17" t="n">
        <f aca="false">IFERROR(D7/C7,0)</f>
        <v>0.0849641281628907</v>
      </c>
    </row>
    <row r="8" customFormat="false" ht="15" hidden="false" customHeight="false" outlineLevel="0" collapsed="false">
      <c r="A8" s="11" t="s">
        <v>64</v>
      </c>
      <c r="B8" s="22" t="s">
        <v>61</v>
      </c>
      <c r="C8" s="12" t="n">
        <f aca="false">SUMIFS(Data_AsianPop!$V$2:$V$1630,Data_AsianPop!$C$2:$C$1630,A8)/1000000</f>
        <v>192.90104539</v>
      </c>
      <c r="D8" s="12" t="n">
        <f aca="false">SUMIFS(Data_AsianPop!$V$2:$V$1630,Data_AsianPop!$C$2:$C$1630,A8,Data_AsianPop!$X$2:$X$1630,1)/1000000</f>
        <v>0</v>
      </c>
      <c r="E8" s="12" t="n">
        <f aca="false">C8-D8</f>
        <v>192.90104539</v>
      </c>
      <c r="F8" s="17" t="n">
        <f aca="false">IFERROR(D8/C8,0)</f>
        <v>0</v>
      </c>
    </row>
    <row r="9" customFormat="false" ht="15" hidden="false" customHeight="false" outlineLevel="0" collapsed="false">
      <c r="A9" s="11" t="s">
        <v>65</v>
      </c>
      <c r="B9" s="22" t="s">
        <v>61</v>
      </c>
      <c r="C9" s="12" t="n">
        <f aca="false">SUMIFS(Data_AsianPop!$V$2:$V$1630,Data_AsianPop!$C$2:$C$1630,A9)/1000000</f>
        <v>79.18221473</v>
      </c>
      <c r="D9" s="12" t="n">
        <f aca="false">SUMIFS(Data_AsianPop!$V$2:$V$1630,Data_AsianPop!$C$2:$C$1630,A9,Data_AsianPop!$X$2:$X$1630,1)/1000000</f>
        <v>34.23360036</v>
      </c>
      <c r="E9" s="12" t="n">
        <f aca="false">C9-D9</f>
        <v>44.94861437</v>
      </c>
      <c r="F9" s="17" t="n">
        <f aca="false">IFERROR(D9/C9,0)</f>
        <v>0.432339515593643</v>
      </c>
    </row>
    <row r="10" customFormat="false" ht="15" hidden="false" customHeight="false" outlineLevel="0" collapsed="false">
      <c r="A10" s="11" t="s">
        <v>66</v>
      </c>
      <c r="B10" s="23" t="s">
        <v>67</v>
      </c>
      <c r="C10" s="12" t="n">
        <f aca="false">SUMIFS(Data_AsianPop!$V$2:$V$1630,Data_AsianPop!$C$2:$C$1630,A10)/1000000</f>
        <v>216.32565225</v>
      </c>
      <c r="D10" s="12" t="n">
        <f aca="false">SUMIFS(Data_AsianPop!$V$2:$V$1630,Data_AsianPop!$C$2:$C$1630,A10,Data_AsianPop!$X$2:$X$1630,1)/1000000</f>
        <v>210.61829461</v>
      </c>
      <c r="E10" s="12" t="n">
        <f aca="false">C10-D10</f>
        <v>5.70735763999997</v>
      </c>
      <c r="F10" s="17" t="n">
        <f aca="false">IFERROR(D10/C10,0)</f>
        <v>0.973616824539125</v>
      </c>
    </row>
    <row r="11" customFormat="false" ht="15" hidden="false" customHeight="false" outlineLevel="0" collapsed="false">
      <c r="A11" s="11" t="s">
        <v>68</v>
      </c>
      <c r="B11" s="23" t="s">
        <v>67</v>
      </c>
      <c r="C11" s="12" t="n">
        <f aca="false">SUMIFS(Data_AsianPop!$V$2:$V$1630,Data_AsianPop!$C$2:$C$1630,A11)/1000000</f>
        <v>136.00528644</v>
      </c>
      <c r="D11" s="12" t="n">
        <f aca="false">SUMIFS(Data_AsianPop!$V$2:$V$1630,Data_AsianPop!$C$2:$C$1630,A11,Data_AsianPop!$X$2:$X$1630,1)/1000000</f>
        <v>129.31250744</v>
      </c>
      <c r="E11" s="12" t="n">
        <f aca="false">C11-D11</f>
        <v>6.692779</v>
      </c>
      <c r="F11" s="17" t="n">
        <f aca="false">IFERROR(D11/C11,0)</f>
        <v>0.950790302530243</v>
      </c>
    </row>
    <row r="12" customFormat="false" ht="15" hidden="false" customHeight="false" outlineLevel="0" collapsed="false">
      <c r="A12" s="11" t="s">
        <v>69</v>
      </c>
      <c r="B12" s="24" t="s">
        <v>70</v>
      </c>
      <c r="C12" s="12" t="n">
        <f aca="false">SUMIFS(Data_AsianPop!$V$2:$V$1630,Data_AsianPop!$C$2:$C$1630,A12)/1000000</f>
        <v>85.36910613</v>
      </c>
      <c r="D12" s="12" t="n">
        <f aca="false">SUMIFS(Data_AsianPop!$V$2:$V$1630,Data_AsianPop!$C$2:$C$1630,A12,Data_AsianPop!$X$2:$X$1630,1)/1000000</f>
        <v>21.12932717</v>
      </c>
      <c r="E12" s="12" t="n">
        <f aca="false">C12-D12</f>
        <v>64.23977896</v>
      </c>
      <c r="F12" s="17" t="n">
        <f aca="false">IFERROR(D12/C12,0)</f>
        <v>0.24750554536467</v>
      </c>
    </row>
    <row r="13" customFormat="false" ht="15" hidden="false" customHeight="false" outlineLevel="0" collapsed="false">
      <c r="A13" s="11" t="s">
        <v>71</v>
      </c>
      <c r="B13" s="24" t="s">
        <v>72</v>
      </c>
      <c r="C13" s="12" t="n">
        <f aca="false">SUMIFS(Data_AsianPop!$V$2:$V$1630,Data_AsianPop!$C$2:$C$1630,A13)/1000000</f>
        <v>79.02039289</v>
      </c>
      <c r="D13" s="12" t="n">
        <f aca="false">SUMIFS(Data_AsianPop!$V$2:$V$1630,Data_AsianPop!$C$2:$C$1630,A13,Data_AsianPop!$X$2:$X$1630,1)/1000000</f>
        <v>3.7668679</v>
      </c>
      <c r="E13" s="12" t="n">
        <f aca="false">C13-D13</f>
        <v>75.25352499</v>
      </c>
      <c r="F13" s="17" t="n">
        <f aca="false">IFERROR(D13/C13,0)</f>
        <v>0.0476695668324967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20" min="18" style="0" width="11"/>
    <col collapsed="false" customWidth="true" hidden="false" outlineLevel="0" max="21" min="21" style="0" width="7"/>
    <col collapsed="false" customWidth="true" hidden="false" outlineLevel="0" max="22" min="22" style="0" width="15"/>
    <col collapsed="false" customWidth="true" hidden="false" outlineLevel="0" max="23" min="23" style="0" width="12"/>
    <col collapsed="false" customWidth="true" hidden="false" outlineLevel="0" max="24" min="24" style="0" width="5"/>
    <col collapsed="false" customWidth="true" hidden="false" outlineLevel="0" max="25" min="25" style="0" width="22"/>
  </cols>
  <sheetData>
    <row r="1" customFormat="false" ht="39.55" hidden="false" customHeight="false" outlineLevel="0" collapsed="false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53</v>
      </c>
      <c r="I1" s="10" t="s">
        <v>17</v>
      </c>
      <c r="J1" s="10" t="s">
        <v>80</v>
      </c>
      <c r="K1" s="10" t="s">
        <v>81</v>
      </c>
      <c r="L1" s="10" t="s">
        <v>82</v>
      </c>
      <c r="M1" s="10" t="s">
        <v>83</v>
      </c>
      <c r="N1" s="10" t="s">
        <v>84</v>
      </c>
      <c r="O1" s="10" t="s">
        <v>85</v>
      </c>
      <c r="P1" s="10" t="s">
        <v>86</v>
      </c>
      <c r="Q1" s="10" t="s">
        <v>87</v>
      </c>
      <c r="R1" s="10" t="s">
        <v>88</v>
      </c>
      <c r="S1" s="10" t="s">
        <v>89</v>
      </c>
      <c r="T1" s="10" t="s">
        <v>90</v>
      </c>
      <c r="U1" s="10" t="s">
        <v>54</v>
      </c>
      <c r="V1" s="10" t="s">
        <v>91</v>
      </c>
      <c r="W1" s="10" t="s">
        <v>92</v>
      </c>
      <c r="X1" s="10" t="s">
        <v>93</v>
      </c>
      <c r="Y1" s="10" t="s">
        <v>45</v>
      </c>
    </row>
    <row r="2" customFormat="false" ht="15" hidden="false" customHeight="false" outlineLevel="0" collapsed="false">
      <c r="A2" s="25" t="n">
        <v>46172</v>
      </c>
      <c r="B2" s="13" t="n">
        <v>1</v>
      </c>
      <c r="C2" s="26" t="s">
        <v>94</v>
      </c>
      <c r="D2" s="26"/>
      <c r="E2" s="13" t="s">
        <v>95</v>
      </c>
      <c r="F2" s="13" t="s">
        <v>96</v>
      </c>
      <c r="G2" s="13"/>
      <c r="H2" s="13" t="s">
        <v>28</v>
      </c>
      <c r="I2" s="13"/>
      <c r="J2" s="13" t="s">
        <v>97</v>
      </c>
      <c r="K2" s="13" t="s">
        <v>98</v>
      </c>
      <c r="L2" s="13" t="s">
        <v>99</v>
      </c>
      <c r="M2" s="13" t="s">
        <v>100</v>
      </c>
      <c r="N2" s="27" t="n">
        <v>4754</v>
      </c>
      <c r="O2" s="28" t="n">
        <v>807138.94</v>
      </c>
      <c r="P2" s="27" t="n">
        <v>5999</v>
      </c>
      <c r="Q2" s="29" t="n">
        <v>0.79</v>
      </c>
      <c r="R2" s="28" t="n">
        <v>78.41</v>
      </c>
      <c r="S2" s="28" t="n">
        <v>387.76</v>
      </c>
      <c r="T2" s="28" t="n">
        <v>169.78</v>
      </c>
      <c r="U2" s="13" t="n">
        <f aca="false">IFERROR(YEAR(A2),"")</f>
        <v>2026</v>
      </c>
      <c r="V2" s="28" t="n">
        <f aca="false">IFERROR(O2*B2,0)</f>
        <v>807138.94</v>
      </c>
      <c r="W2" s="27" t="n">
        <f aca="false">IFERROR(N2*B2,0)</f>
        <v>4754</v>
      </c>
      <c r="X2" s="13" t="n">
        <f aca="false">IF(OR(ISNUMBER(SEARCH("live nation",L2)),ISNUMBER(SEARCH("ocesa",L2))),1,0)</f>
        <v>0</v>
      </c>
      <c r="Y2" s="13" t="s">
        <v>49</v>
      </c>
    </row>
    <row r="3" customFormat="false" ht="15" hidden="false" customHeight="false" outlineLevel="0" collapsed="false">
      <c r="A3" s="30" t="n">
        <v>46165</v>
      </c>
      <c r="B3" s="11" t="n">
        <v>1</v>
      </c>
      <c r="C3" s="31" t="s">
        <v>101</v>
      </c>
      <c r="D3" s="31"/>
      <c r="E3" s="11" t="s">
        <v>102</v>
      </c>
      <c r="F3" s="11" t="s">
        <v>103</v>
      </c>
      <c r="G3" s="11" t="s">
        <v>104</v>
      </c>
      <c r="H3" s="11" t="s">
        <v>20</v>
      </c>
      <c r="I3" s="11" t="s">
        <v>105</v>
      </c>
      <c r="J3" s="11" t="s">
        <v>106</v>
      </c>
      <c r="K3" s="11" t="s">
        <v>107</v>
      </c>
      <c r="L3" s="11" t="s">
        <v>108</v>
      </c>
      <c r="M3" s="11" t="s">
        <v>109</v>
      </c>
      <c r="N3" s="32" t="n">
        <v>615</v>
      </c>
      <c r="O3" s="33" t="n">
        <v>11047</v>
      </c>
      <c r="P3" s="32" t="n">
        <v>700</v>
      </c>
      <c r="Q3" s="34" t="n">
        <v>0.87</v>
      </c>
      <c r="R3" s="33" t="n">
        <v>15</v>
      </c>
      <c r="S3" s="33" t="n">
        <v>60</v>
      </c>
      <c r="T3" s="33" t="n">
        <v>17.96</v>
      </c>
      <c r="U3" s="11" t="n">
        <f aca="false">IFERROR(YEAR(A3),"")</f>
        <v>2026</v>
      </c>
      <c r="V3" s="33" t="n">
        <f aca="false">IFERROR(O3*B3,0)</f>
        <v>11047</v>
      </c>
      <c r="W3" s="32" t="n">
        <f aca="false">IFERROR(N3*B3,0)</f>
        <v>615</v>
      </c>
      <c r="X3" s="11" t="n">
        <f aca="false">IF(OR(ISNUMBER(SEARCH("live nation",L3)),ISNUMBER(SEARCH("ocesa",L3))),1,0)</f>
        <v>1</v>
      </c>
      <c r="Y3" s="11" t="s">
        <v>49</v>
      </c>
    </row>
    <row r="4" customFormat="false" ht="15" hidden="false" customHeight="false" outlineLevel="0" collapsed="false">
      <c r="A4" s="25" t="n">
        <v>46152</v>
      </c>
      <c r="B4" s="13" t="n">
        <v>1</v>
      </c>
      <c r="C4" s="26" t="s">
        <v>110</v>
      </c>
      <c r="D4" s="26"/>
      <c r="E4" s="13" t="s">
        <v>111</v>
      </c>
      <c r="F4" s="13" t="s">
        <v>112</v>
      </c>
      <c r="G4" s="13"/>
      <c r="H4" s="13" t="s">
        <v>21</v>
      </c>
      <c r="I4" s="13"/>
      <c r="J4" s="13" t="s">
        <v>97</v>
      </c>
      <c r="K4" s="13" t="s">
        <v>113</v>
      </c>
      <c r="L4" s="13" t="s">
        <v>114</v>
      </c>
      <c r="M4" s="13" t="s">
        <v>100</v>
      </c>
      <c r="N4" s="27" t="n">
        <v>18909</v>
      </c>
      <c r="O4" s="28" t="n">
        <v>1642995.81</v>
      </c>
      <c r="P4" s="27" t="n">
        <v>18909</v>
      </c>
      <c r="Q4" s="29" t="n">
        <v>1</v>
      </c>
      <c r="R4" s="28" t="n">
        <v>89.36</v>
      </c>
      <c r="S4" s="28" t="n">
        <v>89.36</v>
      </c>
      <c r="T4" s="28" t="n">
        <v>86.89</v>
      </c>
      <c r="U4" s="13" t="n">
        <f aca="false">IFERROR(YEAR(A4),"")</f>
        <v>2026</v>
      </c>
      <c r="V4" s="28" t="n">
        <f aca="false">IFERROR(O4*B4,0)</f>
        <v>1642995.81</v>
      </c>
      <c r="W4" s="27" t="n">
        <f aca="false">IFERROR(N4*B4,0)</f>
        <v>18909</v>
      </c>
      <c r="X4" s="13" t="n">
        <f aca="false">IF(OR(ISNUMBER(SEARCH("live nation",L4)),ISNUMBER(SEARCH("ocesa",L4))),1,0)</f>
        <v>0</v>
      </c>
      <c r="Y4" s="13" t="s">
        <v>50</v>
      </c>
    </row>
    <row r="5" customFormat="false" ht="15" hidden="false" customHeight="false" outlineLevel="0" collapsed="false">
      <c r="A5" s="30" t="n">
        <v>46151</v>
      </c>
      <c r="B5" s="11" t="n">
        <v>1</v>
      </c>
      <c r="C5" s="31" t="s">
        <v>110</v>
      </c>
      <c r="D5" s="31" t="s">
        <v>115</v>
      </c>
      <c r="E5" s="11" t="s">
        <v>111</v>
      </c>
      <c r="F5" s="11" t="s">
        <v>112</v>
      </c>
      <c r="G5" s="11"/>
      <c r="H5" s="11" t="s">
        <v>21</v>
      </c>
      <c r="I5" s="11"/>
      <c r="J5" s="11" t="s">
        <v>97</v>
      </c>
      <c r="K5" s="11" t="s">
        <v>113</v>
      </c>
      <c r="L5" s="11" t="s">
        <v>114</v>
      </c>
      <c r="M5" s="11" t="s">
        <v>100</v>
      </c>
      <c r="N5" s="32" t="n">
        <v>18909</v>
      </c>
      <c r="O5" s="33" t="n">
        <v>1689758</v>
      </c>
      <c r="P5" s="32" t="n">
        <v>18909</v>
      </c>
      <c r="Q5" s="34" t="n">
        <v>1</v>
      </c>
      <c r="R5" s="33" t="n">
        <v>89.36</v>
      </c>
      <c r="S5" s="33" t="n">
        <v>89.36</v>
      </c>
      <c r="T5" s="33" t="n">
        <v>89.36</v>
      </c>
      <c r="U5" s="11" t="n">
        <f aca="false">IFERROR(YEAR(A5),"")</f>
        <v>2026</v>
      </c>
      <c r="V5" s="33" t="n">
        <f aca="false">IFERROR(O5*B5,0)</f>
        <v>1689758</v>
      </c>
      <c r="W5" s="32" t="n">
        <f aca="false">IFERROR(N5*B5,0)</f>
        <v>18909</v>
      </c>
      <c r="X5" s="11" t="n">
        <f aca="false">IF(OR(ISNUMBER(SEARCH("live nation",L5)),ISNUMBER(SEARCH("ocesa",L5))),1,0)</f>
        <v>0</v>
      </c>
      <c r="Y5" s="11" t="s">
        <v>50</v>
      </c>
    </row>
    <row r="6" customFormat="false" ht="15" hidden="false" customHeight="false" outlineLevel="0" collapsed="false">
      <c r="A6" s="25" t="n">
        <v>46150</v>
      </c>
      <c r="B6" s="13" t="n">
        <v>1</v>
      </c>
      <c r="C6" s="26" t="s">
        <v>116</v>
      </c>
      <c r="D6" s="26"/>
      <c r="E6" s="13" t="s">
        <v>117</v>
      </c>
      <c r="F6" s="13" t="s">
        <v>118</v>
      </c>
      <c r="G6" s="13" t="s">
        <v>119</v>
      </c>
      <c r="H6" s="13" t="s">
        <v>20</v>
      </c>
      <c r="I6" s="13" t="s">
        <v>120</v>
      </c>
      <c r="J6" s="13" t="s">
        <v>121</v>
      </c>
      <c r="K6" s="13" t="s">
        <v>107</v>
      </c>
      <c r="L6" s="13" t="s">
        <v>122</v>
      </c>
      <c r="M6" s="13" t="s">
        <v>123</v>
      </c>
      <c r="N6" s="27" t="n">
        <v>782</v>
      </c>
      <c r="O6" s="28" t="n">
        <v>35900</v>
      </c>
      <c r="P6" s="27" t="n">
        <v>884</v>
      </c>
      <c r="Q6" s="29" t="n">
        <v>0.88</v>
      </c>
      <c r="R6" s="28" t="n">
        <v>29</v>
      </c>
      <c r="S6" s="28" t="n">
        <v>59</v>
      </c>
      <c r="T6" s="28" t="n">
        <v>45.91</v>
      </c>
      <c r="U6" s="13" t="n">
        <f aca="false">IFERROR(YEAR(A6),"")</f>
        <v>2026</v>
      </c>
      <c r="V6" s="28" t="n">
        <f aca="false">IFERROR(O6*B6,0)</f>
        <v>35900</v>
      </c>
      <c r="W6" s="27" t="n">
        <f aca="false">IFERROR(N6*B6,0)</f>
        <v>782</v>
      </c>
      <c r="X6" s="13" t="n">
        <f aca="false">IF(OR(ISNUMBER(SEARCH("live nation",L6)),ISNUMBER(SEARCH("ocesa",L6))),1,0)</f>
        <v>0</v>
      </c>
      <c r="Y6" s="13" t="s">
        <v>49</v>
      </c>
    </row>
    <row r="7" customFormat="false" ht="15" hidden="false" customHeight="false" outlineLevel="0" collapsed="false">
      <c r="A7" s="30" t="n">
        <v>46150</v>
      </c>
      <c r="B7" s="11" t="n">
        <v>1</v>
      </c>
      <c r="C7" s="31" t="s">
        <v>124</v>
      </c>
      <c r="D7" s="31"/>
      <c r="E7" s="11" t="s">
        <v>125</v>
      </c>
      <c r="F7" s="11" t="s">
        <v>126</v>
      </c>
      <c r="G7" s="11" t="s">
        <v>127</v>
      </c>
      <c r="H7" s="11" t="s">
        <v>128</v>
      </c>
      <c r="I7" s="11"/>
      <c r="J7" s="11" t="s">
        <v>106</v>
      </c>
      <c r="K7" s="11" t="s">
        <v>129</v>
      </c>
      <c r="L7" s="11" t="s">
        <v>130</v>
      </c>
      <c r="M7" s="11" t="s">
        <v>100</v>
      </c>
      <c r="N7" s="32" t="n">
        <v>511</v>
      </c>
      <c r="O7" s="33" t="n">
        <v>46092.88</v>
      </c>
      <c r="P7" s="32" t="n">
        <v>636</v>
      </c>
      <c r="Q7" s="34" t="n">
        <v>0.8</v>
      </c>
      <c r="R7" s="33" t="n">
        <v>65.66</v>
      </c>
      <c r="S7" s="33" t="n">
        <v>242.43</v>
      </c>
      <c r="T7" s="33" t="n">
        <v>90.2</v>
      </c>
      <c r="U7" s="11" t="n">
        <f aca="false">IFERROR(YEAR(A7),"")</f>
        <v>2026</v>
      </c>
      <c r="V7" s="33" t="n">
        <f aca="false">IFERROR(O7*B7,0)</f>
        <v>46092.88</v>
      </c>
      <c r="W7" s="32" t="n">
        <f aca="false">IFERROR(N7*B7,0)</f>
        <v>511</v>
      </c>
      <c r="X7" s="11" t="n">
        <f aca="false">IF(OR(ISNUMBER(SEARCH("live nation",L7)),ISNUMBER(SEARCH("ocesa",L7))),1,0)</f>
        <v>0</v>
      </c>
      <c r="Y7" s="11" t="s">
        <v>49</v>
      </c>
    </row>
    <row r="8" customFormat="false" ht="15" hidden="false" customHeight="false" outlineLevel="0" collapsed="false">
      <c r="A8" s="25" t="n">
        <v>46149</v>
      </c>
      <c r="B8" s="13" t="n">
        <v>3</v>
      </c>
      <c r="C8" s="26" t="s">
        <v>60</v>
      </c>
      <c r="D8" s="26"/>
      <c r="E8" s="13" t="s">
        <v>131</v>
      </c>
      <c r="F8" s="13" t="s">
        <v>132</v>
      </c>
      <c r="G8" s="13"/>
      <c r="H8" s="13" t="s">
        <v>23</v>
      </c>
      <c r="I8" s="13"/>
      <c r="J8" s="13" t="s">
        <v>133</v>
      </c>
      <c r="K8" s="13" t="s">
        <v>134</v>
      </c>
      <c r="L8" s="13" t="s">
        <v>135</v>
      </c>
      <c r="M8" s="13" t="s">
        <v>100</v>
      </c>
      <c r="N8" s="27" t="n">
        <v>48587</v>
      </c>
      <c r="O8" s="28" t="n">
        <v>14492588.5</v>
      </c>
      <c r="P8" s="27" t="n">
        <v>48625</v>
      </c>
      <c r="Q8" s="29" t="n">
        <v>0.99</v>
      </c>
      <c r="R8" s="28" t="n">
        <v>115.95</v>
      </c>
      <c r="S8" s="28" t="n">
        <v>1014.55</v>
      </c>
      <c r="T8" s="28" t="n">
        <v>298.28</v>
      </c>
      <c r="U8" s="13" t="n">
        <f aca="false">IFERROR(YEAR(A8),"")</f>
        <v>2026</v>
      </c>
      <c r="V8" s="28" t="n">
        <f aca="false">IFERROR(O8*B8,0)</f>
        <v>43477765.5</v>
      </c>
      <c r="W8" s="27" t="n">
        <f aca="false">IFERROR(N8*B8,0)</f>
        <v>145761</v>
      </c>
      <c r="X8" s="13" t="n">
        <f aca="false">IF(OR(ISNUMBER(SEARCH("live nation",L8)),ISNUMBER(SEARCH("ocesa",L8))),1,0)</f>
        <v>1</v>
      </c>
      <c r="Y8" s="13" t="s">
        <v>49</v>
      </c>
    </row>
    <row r="9" customFormat="false" ht="15" hidden="false" customHeight="false" outlineLevel="0" collapsed="false">
      <c r="A9" s="30" t="n">
        <v>46148</v>
      </c>
      <c r="B9" s="11" t="n">
        <v>1</v>
      </c>
      <c r="C9" s="31" t="s">
        <v>136</v>
      </c>
      <c r="D9" s="31"/>
      <c r="E9" s="11" t="s">
        <v>111</v>
      </c>
      <c r="F9" s="11" t="s">
        <v>112</v>
      </c>
      <c r="G9" s="11"/>
      <c r="H9" s="11" t="s">
        <v>21</v>
      </c>
      <c r="I9" s="11"/>
      <c r="J9" s="11" t="s">
        <v>97</v>
      </c>
      <c r="K9" s="11" t="s">
        <v>113</v>
      </c>
      <c r="L9" s="11" t="s">
        <v>114</v>
      </c>
      <c r="M9" s="11" t="s">
        <v>100</v>
      </c>
      <c r="N9" s="32" t="n">
        <v>12534</v>
      </c>
      <c r="O9" s="33" t="n">
        <v>714967.72</v>
      </c>
      <c r="P9" s="32" t="n">
        <v>12534</v>
      </c>
      <c r="Q9" s="34" t="n">
        <v>1</v>
      </c>
      <c r="R9" s="33" t="n">
        <v>57.04</v>
      </c>
      <c r="S9" s="33" t="n">
        <v>57.04</v>
      </c>
      <c r="T9" s="33" t="n">
        <v>57.04</v>
      </c>
      <c r="U9" s="11" t="n">
        <f aca="false">IFERROR(YEAR(A9),"")</f>
        <v>2026</v>
      </c>
      <c r="V9" s="33" t="n">
        <f aca="false">IFERROR(O9*B9,0)</f>
        <v>714967.72</v>
      </c>
      <c r="W9" s="32" t="n">
        <f aca="false">IFERROR(N9*B9,0)</f>
        <v>12534</v>
      </c>
      <c r="X9" s="11" t="n">
        <f aca="false">IF(OR(ISNUMBER(SEARCH("live nation",L9)),ISNUMBER(SEARCH("ocesa",L9))),1,0)</f>
        <v>0</v>
      </c>
      <c r="Y9" s="11" t="s">
        <v>50</v>
      </c>
    </row>
    <row r="10" customFormat="false" ht="15" hidden="false" customHeight="false" outlineLevel="0" collapsed="false">
      <c r="A10" s="25" t="n">
        <v>46147</v>
      </c>
      <c r="B10" s="13" t="n">
        <v>1</v>
      </c>
      <c r="C10" s="26" t="s">
        <v>136</v>
      </c>
      <c r="D10" s="26"/>
      <c r="E10" s="13" t="s">
        <v>111</v>
      </c>
      <c r="F10" s="13" t="s">
        <v>112</v>
      </c>
      <c r="G10" s="13"/>
      <c r="H10" s="13" t="s">
        <v>21</v>
      </c>
      <c r="I10" s="13"/>
      <c r="J10" s="13" t="s">
        <v>97</v>
      </c>
      <c r="K10" s="13" t="s">
        <v>113</v>
      </c>
      <c r="L10" s="13" t="s">
        <v>114</v>
      </c>
      <c r="M10" s="13" t="s">
        <v>100</v>
      </c>
      <c r="N10" s="27" t="n">
        <v>12534</v>
      </c>
      <c r="O10" s="28" t="n">
        <v>717282.53</v>
      </c>
      <c r="P10" s="27" t="n">
        <v>12534</v>
      </c>
      <c r="Q10" s="29" t="n">
        <v>1</v>
      </c>
      <c r="R10" s="28" t="n">
        <v>57.23</v>
      </c>
      <c r="S10" s="28" t="n">
        <v>57.23</v>
      </c>
      <c r="T10" s="28" t="n">
        <v>57.23</v>
      </c>
      <c r="U10" s="13" t="n">
        <f aca="false">IFERROR(YEAR(A10),"")</f>
        <v>2026</v>
      </c>
      <c r="V10" s="28" t="n">
        <f aca="false">IFERROR(O10*B10,0)</f>
        <v>717282.53</v>
      </c>
      <c r="W10" s="27" t="n">
        <f aca="false">IFERROR(N10*B10,0)</f>
        <v>12534</v>
      </c>
      <c r="X10" s="13" t="n">
        <f aca="false">IF(OR(ISNUMBER(SEARCH("live nation",L10)),ISNUMBER(SEARCH("ocesa",L10))),1,0)</f>
        <v>0</v>
      </c>
      <c r="Y10" s="13" t="s">
        <v>50</v>
      </c>
    </row>
    <row r="11" customFormat="false" ht="15" hidden="false" customHeight="false" outlineLevel="0" collapsed="false">
      <c r="A11" s="30" t="n">
        <v>46145</v>
      </c>
      <c r="B11" s="11" t="n">
        <v>1</v>
      </c>
      <c r="C11" s="31" t="s">
        <v>137</v>
      </c>
      <c r="D11" s="31"/>
      <c r="E11" s="11" t="s">
        <v>138</v>
      </c>
      <c r="F11" s="11" t="s">
        <v>139</v>
      </c>
      <c r="G11" s="11" t="s">
        <v>139</v>
      </c>
      <c r="H11" s="11" t="s">
        <v>20</v>
      </c>
      <c r="I11" s="11" t="s">
        <v>139</v>
      </c>
      <c r="J11" s="11" t="s">
        <v>121</v>
      </c>
      <c r="K11" s="11" t="s">
        <v>107</v>
      </c>
      <c r="L11" s="11" t="s">
        <v>140</v>
      </c>
      <c r="M11" s="11" t="s">
        <v>100</v>
      </c>
      <c r="N11" s="32" t="n">
        <v>1899</v>
      </c>
      <c r="O11" s="33" t="n">
        <v>174121.1</v>
      </c>
      <c r="P11" s="32" t="n">
        <v>2744</v>
      </c>
      <c r="Q11" s="34" t="n">
        <v>0.69</v>
      </c>
      <c r="R11" s="33" t="n">
        <v>67</v>
      </c>
      <c r="S11" s="33" t="n">
        <v>147</v>
      </c>
      <c r="T11" s="33" t="n">
        <v>91.69</v>
      </c>
      <c r="U11" s="11" t="n">
        <f aca="false">IFERROR(YEAR(A11),"")</f>
        <v>2026</v>
      </c>
      <c r="V11" s="33" t="n">
        <f aca="false">IFERROR(O11*B11,0)</f>
        <v>174121.1</v>
      </c>
      <c r="W11" s="32" t="n">
        <f aca="false">IFERROR(N11*B11,0)</f>
        <v>1899</v>
      </c>
      <c r="X11" s="11" t="n">
        <f aca="false">IF(OR(ISNUMBER(SEARCH("live nation",L11)),ISNUMBER(SEARCH("ocesa",L11))),1,0)</f>
        <v>0</v>
      </c>
      <c r="Y11" s="11" t="s">
        <v>49</v>
      </c>
    </row>
    <row r="12" customFormat="false" ht="15" hidden="false" customHeight="false" outlineLevel="0" collapsed="false">
      <c r="A12" s="25" t="n">
        <v>46144</v>
      </c>
      <c r="B12" s="13" t="n">
        <v>2</v>
      </c>
      <c r="C12" s="26" t="s">
        <v>60</v>
      </c>
      <c r="D12" s="26"/>
      <c r="E12" s="13" t="s">
        <v>141</v>
      </c>
      <c r="F12" s="13" t="s">
        <v>142</v>
      </c>
      <c r="G12" s="13" t="s">
        <v>143</v>
      </c>
      <c r="H12" s="13" t="s">
        <v>20</v>
      </c>
      <c r="I12" s="13" t="s">
        <v>144</v>
      </c>
      <c r="J12" s="13" t="s">
        <v>133</v>
      </c>
      <c r="K12" s="13" t="s">
        <v>107</v>
      </c>
      <c r="L12" s="13" t="s">
        <v>145</v>
      </c>
      <c r="M12" s="13" t="s">
        <v>100</v>
      </c>
      <c r="N12" s="27" t="n">
        <v>48861</v>
      </c>
      <c r="O12" s="28" t="n">
        <v>10009327.75</v>
      </c>
      <c r="P12" s="27" t="n">
        <v>49115</v>
      </c>
      <c r="Q12" s="29" t="n">
        <v>0.99</v>
      </c>
      <c r="R12" s="28" t="n">
        <v>69.5</v>
      </c>
      <c r="S12" s="28" t="n">
        <v>649.5</v>
      </c>
      <c r="T12" s="28" t="n">
        <v>204.85</v>
      </c>
      <c r="U12" s="13" t="n">
        <f aca="false">IFERROR(YEAR(A12),"")</f>
        <v>2026</v>
      </c>
      <c r="V12" s="28" t="n">
        <f aca="false">IFERROR(O12*B12,0)</f>
        <v>20018655.5</v>
      </c>
      <c r="W12" s="27" t="n">
        <f aca="false">IFERROR(N12*B12,0)</f>
        <v>97722</v>
      </c>
      <c r="X12" s="13" t="n">
        <f aca="false">IF(OR(ISNUMBER(SEARCH("live nation",L12)),ISNUMBER(SEARCH("ocesa",L12))),1,0)</f>
        <v>0</v>
      </c>
      <c r="Y12" s="13" t="s">
        <v>49</v>
      </c>
    </row>
    <row r="13" customFormat="false" ht="15" hidden="false" customHeight="false" outlineLevel="0" collapsed="false">
      <c r="A13" s="30" t="n">
        <v>46143</v>
      </c>
      <c r="B13" s="11" t="n">
        <v>3</v>
      </c>
      <c r="C13" s="31" t="s">
        <v>64</v>
      </c>
      <c r="D13" s="31"/>
      <c r="E13" s="11" t="s">
        <v>146</v>
      </c>
      <c r="F13" s="11" t="s">
        <v>147</v>
      </c>
      <c r="G13" s="11"/>
      <c r="H13" s="11" t="s">
        <v>24</v>
      </c>
      <c r="I13" s="11"/>
      <c r="J13" s="11" t="s">
        <v>97</v>
      </c>
      <c r="K13" s="11" t="s">
        <v>148</v>
      </c>
      <c r="L13" s="11" t="s">
        <v>145</v>
      </c>
      <c r="M13" s="11" t="s">
        <v>100</v>
      </c>
      <c r="N13" s="32" t="n">
        <v>10404</v>
      </c>
      <c r="O13" s="33" t="n">
        <v>1216289.54</v>
      </c>
      <c r="P13" s="32" t="n">
        <v>10511</v>
      </c>
      <c r="Q13" s="34" t="n">
        <v>0.98</v>
      </c>
      <c r="R13" s="33" t="n">
        <v>111.89</v>
      </c>
      <c r="S13" s="33" t="n">
        <v>171.56</v>
      </c>
      <c r="T13" s="33" t="n">
        <v>116.9</v>
      </c>
      <c r="U13" s="11" t="n">
        <f aca="false">IFERROR(YEAR(A13),"")</f>
        <v>2026</v>
      </c>
      <c r="V13" s="33" t="n">
        <f aca="false">IFERROR(O13*B13,0)</f>
        <v>3648868.62</v>
      </c>
      <c r="W13" s="32" t="n">
        <f aca="false">IFERROR(N13*B13,0)</f>
        <v>31212</v>
      </c>
      <c r="X13" s="11" t="n">
        <f aca="false">IF(OR(ISNUMBER(SEARCH("live nation",L13)),ISNUMBER(SEARCH("ocesa",L13))),1,0)</f>
        <v>0</v>
      </c>
      <c r="Y13" s="11" t="s">
        <v>50</v>
      </c>
    </row>
    <row r="14" customFormat="false" ht="15" hidden="false" customHeight="false" outlineLevel="0" collapsed="false">
      <c r="A14" s="25" t="n">
        <v>46141</v>
      </c>
      <c r="B14" s="13" t="n">
        <v>1</v>
      </c>
      <c r="C14" s="26" t="s">
        <v>149</v>
      </c>
      <c r="D14" s="26"/>
      <c r="E14" s="13" t="s">
        <v>150</v>
      </c>
      <c r="F14" s="13" t="s">
        <v>132</v>
      </c>
      <c r="G14" s="13"/>
      <c r="H14" s="13" t="s">
        <v>23</v>
      </c>
      <c r="I14" s="13"/>
      <c r="J14" s="13" t="s">
        <v>151</v>
      </c>
      <c r="K14" s="13" t="s">
        <v>134</v>
      </c>
      <c r="L14" s="13" t="s">
        <v>152</v>
      </c>
      <c r="M14" s="13" t="s">
        <v>100</v>
      </c>
      <c r="N14" s="27" t="n">
        <v>2266</v>
      </c>
      <c r="O14" s="28" t="n">
        <v>704439.31</v>
      </c>
      <c r="P14" s="27" t="n">
        <v>6486</v>
      </c>
      <c r="Q14" s="29" t="n">
        <v>0.34</v>
      </c>
      <c r="R14" s="28" t="n">
        <v>56.91</v>
      </c>
      <c r="S14" s="28" t="n">
        <v>344.35</v>
      </c>
      <c r="T14" s="28" t="n">
        <v>310.87</v>
      </c>
      <c r="U14" s="13" t="n">
        <f aca="false">IFERROR(YEAR(A14),"")</f>
        <v>2026</v>
      </c>
      <c r="V14" s="28" t="n">
        <f aca="false">IFERROR(O14*B14,0)</f>
        <v>704439.31</v>
      </c>
      <c r="W14" s="27" t="n">
        <f aca="false">IFERROR(N14*B14,0)</f>
        <v>2266</v>
      </c>
      <c r="X14" s="13" t="n">
        <f aca="false">IF(OR(ISNUMBER(SEARCH("live nation",L14)),ISNUMBER(SEARCH("ocesa",L14))),1,0)</f>
        <v>0</v>
      </c>
      <c r="Y14" s="13" t="s">
        <v>49</v>
      </c>
    </row>
    <row r="15" customFormat="false" ht="15" hidden="false" customHeight="false" outlineLevel="0" collapsed="false">
      <c r="A15" s="30" t="n">
        <v>46140</v>
      </c>
      <c r="B15" s="11" t="n">
        <v>1</v>
      </c>
      <c r="C15" s="31" t="s">
        <v>153</v>
      </c>
      <c r="D15" s="31" t="s">
        <v>154</v>
      </c>
      <c r="E15" s="11" t="s">
        <v>155</v>
      </c>
      <c r="F15" s="11" t="s">
        <v>156</v>
      </c>
      <c r="G15" s="11"/>
      <c r="H15" s="11" t="s">
        <v>157</v>
      </c>
      <c r="I15" s="11"/>
      <c r="J15" s="11" t="s">
        <v>97</v>
      </c>
      <c r="K15" s="11" t="s">
        <v>158</v>
      </c>
      <c r="L15" s="11" t="s">
        <v>159</v>
      </c>
      <c r="M15" s="11" t="s">
        <v>100</v>
      </c>
      <c r="N15" s="32" t="n">
        <v>7487</v>
      </c>
      <c r="O15" s="33" t="n">
        <v>533889.76</v>
      </c>
      <c r="P15" s="32" t="n">
        <v>11453</v>
      </c>
      <c r="Q15" s="34" t="n">
        <v>0.65</v>
      </c>
      <c r="R15" s="33" t="n">
        <v>44.69</v>
      </c>
      <c r="S15" s="33" t="n">
        <v>117.32</v>
      </c>
      <c r="T15" s="33" t="n">
        <v>71.31</v>
      </c>
      <c r="U15" s="11" t="n">
        <f aca="false">IFERROR(YEAR(A15),"")</f>
        <v>2026</v>
      </c>
      <c r="V15" s="33" t="n">
        <f aca="false">IFERROR(O15*B15,0)</f>
        <v>533889.76</v>
      </c>
      <c r="W15" s="32" t="n">
        <f aca="false">IFERROR(N15*B15,0)</f>
        <v>7487</v>
      </c>
      <c r="X15" s="11" t="n">
        <f aca="false">IF(OR(ISNUMBER(SEARCH("live nation",L15)),ISNUMBER(SEARCH("ocesa",L15))),1,0)</f>
        <v>1</v>
      </c>
      <c r="Y15" s="11" t="s">
        <v>49</v>
      </c>
    </row>
    <row r="16" customFormat="false" ht="15" hidden="false" customHeight="false" outlineLevel="0" collapsed="false">
      <c r="A16" s="25" t="n">
        <v>46140</v>
      </c>
      <c r="B16" s="13" t="n">
        <v>1</v>
      </c>
      <c r="C16" s="26" t="s">
        <v>116</v>
      </c>
      <c r="D16" s="26"/>
      <c r="E16" s="13" t="s">
        <v>160</v>
      </c>
      <c r="F16" s="13" t="s">
        <v>161</v>
      </c>
      <c r="G16" s="13" t="s">
        <v>162</v>
      </c>
      <c r="H16" s="13" t="s">
        <v>20</v>
      </c>
      <c r="I16" s="13" t="s">
        <v>163</v>
      </c>
      <c r="J16" s="13" t="s">
        <v>121</v>
      </c>
      <c r="K16" s="13" t="s">
        <v>107</v>
      </c>
      <c r="L16" s="13" t="s">
        <v>164</v>
      </c>
      <c r="M16" s="13" t="s">
        <v>123</v>
      </c>
      <c r="N16" s="27" t="n">
        <v>684</v>
      </c>
      <c r="O16" s="28" t="n">
        <v>27666.6</v>
      </c>
      <c r="P16" s="27" t="n">
        <v>1831</v>
      </c>
      <c r="Q16" s="29" t="n">
        <v>0.37</v>
      </c>
      <c r="R16" s="28" t="n">
        <v>27.5</v>
      </c>
      <c r="S16" s="28" t="n">
        <v>65</v>
      </c>
      <c r="T16" s="28" t="n">
        <v>40.45</v>
      </c>
      <c r="U16" s="13" t="n">
        <f aca="false">IFERROR(YEAR(A16),"")</f>
        <v>2026</v>
      </c>
      <c r="V16" s="28" t="n">
        <f aca="false">IFERROR(O16*B16,0)</f>
        <v>27666.6</v>
      </c>
      <c r="W16" s="27" t="n">
        <f aca="false">IFERROR(N16*B16,0)</f>
        <v>684</v>
      </c>
      <c r="X16" s="13" t="n">
        <f aca="false">IF(OR(ISNUMBER(SEARCH("live nation",L16)),ISNUMBER(SEARCH("ocesa",L16))),1,0)</f>
        <v>0</v>
      </c>
      <c r="Y16" s="13" t="s">
        <v>49</v>
      </c>
    </row>
    <row r="17" customFormat="false" ht="15" hidden="false" customHeight="false" outlineLevel="0" collapsed="false">
      <c r="A17" s="30" t="n">
        <v>46137</v>
      </c>
      <c r="B17" s="11" t="n">
        <v>3</v>
      </c>
      <c r="C17" s="31" t="s">
        <v>60</v>
      </c>
      <c r="D17" s="31"/>
      <c r="E17" s="11" t="s">
        <v>165</v>
      </c>
      <c r="F17" s="11" t="s">
        <v>166</v>
      </c>
      <c r="G17" s="11" t="s">
        <v>167</v>
      </c>
      <c r="H17" s="11" t="s">
        <v>20</v>
      </c>
      <c r="I17" s="11" t="s">
        <v>168</v>
      </c>
      <c r="J17" s="11" t="s">
        <v>133</v>
      </c>
      <c r="K17" s="11" t="s">
        <v>107</v>
      </c>
      <c r="L17" s="11" t="s">
        <v>145</v>
      </c>
      <c r="M17" s="11" t="s">
        <v>100</v>
      </c>
      <c r="N17" s="32" t="n">
        <v>64778</v>
      </c>
      <c r="O17" s="33" t="n">
        <v>13578814.17</v>
      </c>
      <c r="P17" s="32" t="n">
        <v>64857</v>
      </c>
      <c r="Q17" s="34" t="n">
        <v>0.99</v>
      </c>
      <c r="R17" s="33" t="n">
        <v>69.5</v>
      </c>
      <c r="S17" s="33" t="n">
        <v>649.5</v>
      </c>
      <c r="T17" s="33" t="n">
        <v>209.62</v>
      </c>
      <c r="U17" s="11" t="n">
        <f aca="false">IFERROR(YEAR(A17),"")</f>
        <v>2026</v>
      </c>
      <c r="V17" s="33" t="n">
        <f aca="false">IFERROR(O17*B17,0)</f>
        <v>40736442.51</v>
      </c>
      <c r="W17" s="32" t="n">
        <f aca="false">IFERROR(N17*B17,0)</f>
        <v>194334</v>
      </c>
      <c r="X17" s="11" t="n">
        <f aca="false">IF(OR(ISNUMBER(SEARCH("live nation",L17)),ISNUMBER(SEARCH("ocesa",L17))),1,0)</f>
        <v>0</v>
      </c>
      <c r="Y17" s="11" t="s">
        <v>49</v>
      </c>
    </row>
    <row r="18" customFormat="false" ht="15" hidden="false" customHeight="false" outlineLevel="0" collapsed="false">
      <c r="A18" s="25" t="n">
        <v>46137</v>
      </c>
      <c r="B18" s="13" t="n">
        <v>1</v>
      </c>
      <c r="C18" s="26" t="s">
        <v>169</v>
      </c>
      <c r="D18" s="26"/>
      <c r="E18" s="13" t="s">
        <v>170</v>
      </c>
      <c r="F18" s="13" t="s">
        <v>171</v>
      </c>
      <c r="G18" s="13"/>
      <c r="H18" s="13" t="s">
        <v>172</v>
      </c>
      <c r="I18" s="13"/>
      <c r="J18" s="13" t="s">
        <v>97</v>
      </c>
      <c r="K18" s="13" t="s">
        <v>173</v>
      </c>
      <c r="L18" s="13" t="s">
        <v>174</v>
      </c>
      <c r="M18" s="13" t="s">
        <v>123</v>
      </c>
      <c r="N18" s="27" t="n">
        <v>9951</v>
      </c>
      <c r="O18" s="28" t="n">
        <v>637578.12</v>
      </c>
      <c r="P18" s="27" t="n">
        <v>10062</v>
      </c>
      <c r="Q18" s="29" t="n">
        <v>0.98</v>
      </c>
      <c r="R18" s="28" t="n">
        <v>40.44</v>
      </c>
      <c r="S18" s="28" t="n">
        <v>107.84</v>
      </c>
      <c r="T18" s="28" t="n">
        <v>64.07</v>
      </c>
      <c r="U18" s="13" t="n">
        <f aca="false">IFERROR(YEAR(A18),"")</f>
        <v>2026</v>
      </c>
      <c r="V18" s="28" t="n">
        <f aca="false">IFERROR(O18*B18,0)</f>
        <v>637578.12</v>
      </c>
      <c r="W18" s="27" t="n">
        <f aca="false">IFERROR(N18*B18,0)</f>
        <v>9951</v>
      </c>
      <c r="X18" s="13" t="n">
        <f aca="false">IF(OR(ISNUMBER(SEARCH("live nation",L18)),ISNUMBER(SEARCH("ocesa",L18))),1,0)</f>
        <v>0</v>
      </c>
      <c r="Y18" s="13" t="s">
        <v>49</v>
      </c>
    </row>
    <row r="19" customFormat="false" ht="15" hidden="false" customHeight="false" outlineLevel="0" collapsed="false">
      <c r="A19" s="30" t="n">
        <v>46130</v>
      </c>
      <c r="B19" s="11" t="n">
        <v>1</v>
      </c>
      <c r="C19" s="31" t="s">
        <v>68</v>
      </c>
      <c r="D19" s="31"/>
      <c r="E19" s="11" t="s">
        <v>175</v>
      </c>
      <c r="F19" s="11" t="s">
        <v>176</v>
      </c>
      <c r="G19" s="11" t="s">
        <v>143</v>
      </c>
      <c r="H19" s="11" t="s">
        <v>20</v>
      </c>
      <c r="I19" s="11" t="s">
        <v>176</v>
      </c>
      <c r="J19" s="11" t="s">
        <v>97</v>
      </c>
      <c r="K19" s="11" t="s">
        <v>107</v>
      </c>
      <c r="L19" s="11" t="s">
        <v>177</v>
      </c>
      <c r="M19" s="11" t="s">
        <v>100</v>
      </c>
      <c r="N19" s="32" t="n">
        <v>12997</v>
      </c>
      <c r="O19" s="33" t="n">
        <v>1682909.5</v>
      </c>
      <c r="P19" s="32" t="n">
        <v>12997</v>
      </c>
      <c r="Q19" s="34" t="n">
        <v>1</v>
      </c>
      <c r="R19" s="33" t="n">
        <v>33.5</v>
      </c>
      <c r="S19" s="33" t="n">
        <v>223.5</v>
      </c>
      <c r="T19" s="33" t="n">
        <v>129.48</v>
      </c>
      <c r="U19" s="11" t="n">
        <f aca="false">IFERROR(YEAR(A19),"")</f>
        <v>2026</v>
      </c>
      <c r="V19" s="33" t="n">
        <f aca="false">IFERROR(O19*B19,0)</f>
        <v>1682909.5</v>
      </c>
      <c r="W19" s="32" t="n">
        <f aca="false">IFERROR(N19*B19,0)</f>
        <v>12997</v>
      </c>
      <c r="X19" s="11" t="n">
        <f aca="false">IF(OR(ISNUMBER(SEARCH("live nation",L19)),ISNUMBER(SEARCH("ocesa",L19))),1,0)</f>
        <v>1</v>
      </c>
      <c r="Y19" s="11" t="s">
        <v>49</v>
      </c>
    </row>
    <row r="20" customFormat="false" ht="15" hidden="false" customHeight="false" outlineLevel="0" collapsed="false">
      <c r="A20" s="25" t="n">
        <v>46130</v>
      </c>
      <c r="B20" s="13" t="n">
        <v>1</v>
      </c>
      <c r="C20" s="26" t="s">
        <v>116</v>
      </c>
      <c r="D20" s="26"/>
      <c r="E20" s="13" t="s">
        <v>178</v>
      </c>
      <c r="F20" s="13" t="s">
        <v>179</v>
      </c>
      <c r="G20" s="13" t="s">
        <v>180</v>
      </c>
      <c r="H20" s="13" t="s">
        <v>20</v>
      </c>
      <c r="I20" s="13" t="s">
        <v>179</v>
      </c>
      <c r="J20" s="13" t="s">
        <v>121</v>
      </c>
      <c r="K20" s="13" t="s">
        <v>107</v>
      </c>
      <c r="L20" s="13" t="s">
        <v>122</v>
      </c>
      <c r="M20" s="13" t="s">
        <v>123</v>
      </c>
      <c r="N20" s="27" t="n">
        <v>1307</v>
      </c>
      <c r="O20" s="28" t="n">
        <v>70599</v>
      </c>
      <c r="P20" s="27" t="n">
        <v>1767</v>
      </c>
      <c r="Q20" s="29" t="n">
        <v>0.73</v>
      </c>
      <c r="R20" s="28" t="n">
        <v>37</v>
      </c>
      <c r="S20" s="28" t="n">
        <v>77</v>
      </c>
      <c r="T20" s="28" t="n">
        <v>54.02</v>
      </c>
      <c r="U20" s="13" t="n">
        <f aca="false">IFERROR(YEAR(A20),"")</f>
        <v>2026</v>
      </c>
      <c r="V20" s="28" t="n">
        <f aca="false">IFERROR(O20*B20,0)</f>
        <v>70599</v>
      </c>
      <c r="W20" s="27" t="n">
        <f aca="false">IFERROR(N20*B20,0)</f>
        <v>1307</v>
      </c>
      <c r="X20" s="13" t="n">
        <f aca="false">IF(OR(ISNUMBER(SEARCH("live nation",L20)),ISNUMBER(SEARCH("ocesa",L20))),1,0)</f>
        <v>0</v>
      </c>
      <c r="Y20" s="13" t="s">
        <v>49</v>
      </c>
    </row>
    <row r="21" customFormat="false" ht="15" hidden="false" customHeight="false" outlineLevel="0" collapsed="false">
      <c r="A21" s="30" t="n">
        <v>46130</v>
      </c>
      <c r="B21" s="11" t="n">
        <v>1</v>
      </c>
      <c r="C21" s="31" t="s">
        <v>181</v>
      </c>
      <c r="D21" s="31" t="s">
        <v>182</v>
      </c>
      <c r="E21" s="11" t="s">
        <v>111</v>
      </c>
      <c r="F21" s="11" t="s">
        <v>112</v>
      </c>
      <c r="G21" s="11"/>
      <c r="H21" s="11" t="s">
        <v>21</v>
      </c>
      <c r="I21" s="11"/>
      <c r="J21" s="11" t="s">
        <v>97</v>
      </c>
      <c r="K21" s="11" t="s">
        <v>113</v>
      </c>
      <c r="L21" s="11" t="s">
        <v>183</v>
      </c>
      <c r="M21" s="11" t="s">
        <v>100</v>
      </c>
      <c r="N21" s="32" t="n">
        <v>10000</v>
      </c>
      <c r="O21" s="33" t="n">
        <v>441236.71</v>
      </c>
      <c r="P21" s="32" t="n">
        <v>10000</v>
      </c>
      <c r="Q21" s="34" t="n">
        <v>1</v>
      </c>
      <c r="R21" s="33" t="n">
        <v>44.12</v>
      </c>
      <c r="S21" s="33" t="n">
        <v>44.12</v>
      </c>
      <c r="T21" s="33" t="n">
        <v>44.12</v>
      </c>
      <c r="U21" s="11" t="n">
        <f aca="false">IFERROR(YEAR(A21),"")</f>
        <v>2026</v>
      </c>
      <c r="V21" s="33" t="n">
        <f aca="false">IFERROR(O21*B21,0)</f>
        <v>441236.71</v>
      </c>
      <c r="W21" s="32" t="n">
        <f aca="false">IFERROR(N21*B21,0)</f>
        <v>10000</v>
      </c>
      <c r="X21" s="11" t="n">
        <f aca="false">IF(OR(ISNUMBER(SEARCH("live nation",L21)),ISNUMBER(SEARCH("ocesa",L21))),1,0)</f>
        <v>0</v>
      </c>
      <c r="Y21" s="11" t="s">
        <v>50</v>
      </c>
    </row>
    <row r="22" customFormat="false" ht="15" hidden="false" customHeight="false" outlineLevel="0" collapsed="false">
      <c r="A22" s="25" t="n">
        <v>46129</v>
      </c>
      <c r="B22" s="13" t="n">
        <v>2</v>
      </c>
      <c r="C22" s="26" t="s">
        <v>60</v>
      </c>
      <c r="D22" s="26"/>
      <c r="E22" s="13" t="s">
        <v>184</v>
      </c>
      <c r="F22" s="13" t="s">
        <v>185</v>
      </c>
      <c r="G22" s="13"/>
      <c r="H22" s="13" t="s">
        <v>21</v>
      </c>
      <c r="I22" s="13"/>
      <c r="J22" s="13" t="s">
        <v>133</v>
      </c>
      <c r="K22" s="13" t="s">
        <v>113</v>
      </c>
      <c r="L22" s="13" t="s">
        <v>145</v>
      </c>
      <c r="M22" s="13" t="s">
        <v>100</v>
      </c>
      <c r="N22" s="27" t="n">
        <v>48089</v>
      </c>
      <c r="O22" s="28" t="n">
        <v>9278360</v>
      </c>
      <c r="P22" s="27" t="n">
        <v>47589</v>
      </c>
      <c r="Q22" s="29" t="n">
        <v>1.01</v>
      </c>
      <c r="R22" s="28" t="n">
        <v>156.85</v>
      </c>
      <c r="S22" s="28" t="n">
        <v>282.33</v>
      </c>
      <c r="T22" s="28" t="n">
        <v>192.94</v>
      </c>
      <c r="U22" s="13" t="n">
        <f aca="false">IFERROR(YEAR(A22),"")</f>
        <v>2026</v>
      </c>
      <c r="V22" s="28" t="n">
        <f aca="false">IFERROR(O22*B22,0)</f>
        <v>18556720</v>
      </c>
      <c r="W22" s="27" t="n">
        <f aca="false">IFERROR(N22*B22,0)</f>
        <v>96178</v>
      </c>
      <c r="X22" s="13" t="n">
        <f aca="false">IF(OR(ISNUMBER(SEARCH("live nation",L22)),ISNUMBER(SEARCH("ocesa",L22))),1,0)</f>
        <v>0</v>
      </c>
      <c r="Y22" s="13" t="s">
        <v>50</v>
      </c>
    </row>
    <row r="23" customFormat="false" ht="15" hidden="false" customHeight="false" outlineLevel="0" collapsed="false">
      <c r="A23" s="30" t="n">
        <v>46129</v>
      </c>
      <c r="B23" s="11" t="n">
        <v>1</v>
      </c>
      <c r="C23" s="31" t="s">
        <v>68</v>
      </c>
      <c r="D23" s="31"/>
      <c r="E23" s="11" t="s">
        <v>175</v>
      </c>
      <c r="F23" s="11" t="s">
        <v>176</v>
      </c>
      <c r="G23" s="11" t="s">
        <v>143</v>
      </c>
      <c r="H23" s="11" t="s">
        <v>20</v>
      </c>
      <c r="I23" s="11" t="s">
        <v>176</v>
      </c>
      <c r="J23" s="11" t="s">
        <v>97</v>
      </c>
      <c r="K23" s="11" t="s">
        <v>107</v>
      </c>
      <c r="L23" s="11" t="s">
        <v>177</v>
      </c>
      <c r="M23" s="11" t="s">
        <v>100</v>
      </c>
      <c r="N23" s="32" t="n">
        <v>13362</v>
      </c>
      <c r="O23" s="33" t="n">
        <v>2146167</v>
      </c>
      <c r="P23" s="32" t="n">
        <v>13362</v>
      </c>
      <c r="Q23" s="34" t="n">
        <v>1</v>
      </c>
      <c r="R23" s="33" t="n">
        <v>33.5</v>
      </c>
      <c r="S23" s="33" t="n">
        <v>223.5</v>
      </c>
      <c r="T23" s="33" t="n">
        <v>160.62</v>
      </c>
      <c r="U23" s="11" t="n">
        <f aca="false">IFERROR(YEAR(A23),"")</f>
        <v>2026</v>
      </c>
      <c r="V23" s="33" t="n">
        <f aca="false">IFERROR(O23*B23,0)</f>
        <v>2146167</v>
      </c>
      <c r="W23" s="32" t="n">
        <f aca="false">IFERROR(N23*B23,0)</f>
        <v>13362</v>
      </c>
      <c r="X23" s="11" t="n">
        <f aca="false">IF(OR(ISNUMBER(SEARCH("live nation",L23)),ISNUMBER(SEARCH("ocesa",L23))),1,0)</f>
        <v>1</v>
      </c>
      <c r="Y23" s="11" t="s">
        <v>49</v>
      </c>
    </row>
    <row r="24" customFormat="false" ht="15" hidden="false" customHeight="false" outlineLevel="0" collapsed="false">
      <c r="A24" s="25" t="n">
        <v>46129</v>
      </c>
      <c r="B24" s="13" t="n">
        <v>1</v>
      </c>
      <c r="C24" s="26" t="s">
        <v>181</v>
      </c>
      <c r="D24" s="26" t="s">
        <v>182</v>
      </c>
      <c r="E24" s="13" t="s">
        <v>111</v>
      </c>
      <c r="F24" s="13" t="s">
        <v>112</v>
      </c>
      <c r="G24" s="13"/>
      <c r="H24" s="13" t="s">
        <v>21</v>
      </c>
      <c r="I24" s="13"/>
      <c r="J24" s="13" t="s">
        <v>97</v>
      </c>
      <c r="K24" s="13" t="s">
        <v>113</v>
      </c>
      <c r="L24" s="13" t="s">
        <v>183</v>
      </c>
      <c r="M24" s="13" t="s">
        <v>100</v>
      </c>
      <c r="N24" s="27" t="n">
        <v>10000</v>
      </c>
      <c r="O24" s="28" t="n">
        <v>439181.26</v>
      </c>
      <c r="P24" s="27" t="n">
        <v>10000</v>
      </c>
      <c r="Q24" s="29" t="n">
        <v>1</v>
      </c>
      <c r="R24" s="28" t="n">
        <v>43.92</v>
      </c>
      <c r="S24" s="28" t="n">
        <v>43.92</v>
      </c>
      <c r="T24" s="28" t="n">
        <v>43.92</v>
      </c>
      <c r="U24" s="13" t="n">
        <f aca="false">IFERROR(YEAR(A24),"")</f>
        <v>2026</v>
      </c>
      <c r="V24" s="28" t="n">
        <f aca="false">IFERROR(O24*B24,0)</f>
        <v>439181.26</v>
      </c>
      <c r="W24" s="27" t="n">
        <f aca="false">IFERROR(N24*B24,0)</f>
        <v>10000</v>
      </c>
      <c r="X24" s="13" t="n">
        <f aca="false">IF(OR(ISNUMBER(SEARCH("live nation",L24)),ISNUMBER(SEARCH("ocesa",L24))),1,0)</f>
        <v>0</v>
      </c>
      <c r="Y24" s="13" t="s">
        <v>50</v>
      </c>
    </row>
    <row r="25" customFormat="false" ht="15" hidden="false" customHeight="false" outlineLevel="0" collapsed="false">
      <c r="A25" s="30" t="n">
        <v>46128</v>
      </c>
      <c r="B25" s="11" t="n">
        <v>1</v>
      </c>
      <c r="C25" s="31" t="s">
        <v>186</v>
      </c>
      <c r="D25" s="31"/>
      <c r="E25" s="11" t="s">
        <v>187</v>
      </c>
      <c r="F25" s="11" t="s">
        <v>188</v>
      </c>
      <c r="G25" s="11" t="s">
        <v>189</v>
      </c>
      <c r="H25" s="11" t="s">
        <v>20</v>
      </c>
      <c r="I25" s="11" t="s">
        <v>190</v>
      </c>
      <c r="J25" s="11" t="s">
        <v>106</v>
      </c>
      <c r="K25" s="11" t="s">
        <v>107</v>
      </c>
      <c r="L25" s="11" t="s">
        <v>191</v>
      </c>
      <c r="M25" s="11" t="s">
        <v>100</v>
      </c>
      <c r="N25" s="32" t="n">
        <v>359</v>
      </c>
      <c r="O25" s="33" t="n">
        <v>34975</v>
      </c>
      <c r="P25" s="32" t="n">
        <v>500</v>
      </c>
      <c r="Q25" s="34" t="n">
        <v>0.71</v>
      </c>
      <c r="R25" s="33" t="n">
        <v>40</v>
      </c>
      <c r="S25" s="33" t="n">
        <v>240</v>
      </c>
      <c r="T25" s="33" t="n">
        <v>97.42</v>
      </c>
      <c r="U25" s="11" t="n">
        <f aca="false">IFERROR(YEAR(A25),"")</f>
        <v>2026</v>
      </c>
      <c r="V25" s="33" t="n">
        <f aca="false">IFERROR(O25*B25,0)</f>
        <v>34975</v>
      </c>
      <c r="W25" s="32" t="n">
        <f aca="false">IFERROR(N25*B25,0)</f>
        <v>359</v>
      </c>
      <c r="X25" s="11" t="n">
        <f aca="false">IF(OR(ISNUMBER(SEARCH("live nation",L25)),ISNUMBER(SEARCH("ocesa",L25))),1,0)</f>
        <v>0</v>
      </c>
      <c r="Y25" s="11" t="s">
        <v>49</v>
      </c>
    </row>
    <row r="26" customFormat="false" ht="15" hidden="false" customHeight="false" outlineLevel="0" collapsed="false">
      <c r="A26" s="25" t="n">
        <v>46124</v>
      </c>
      <c r="B26" s="13" t="n">
        <v>1</v>
      </c>
      <c r="C26" s="26" t="s">
        <v>192</v>
      </c>
      <c r="D26" s="26" t="s">
        <v>193</v>
      </c>
      <c r="E26" s="13" t="s">
        <v>111</v>
      </c>
      <c r="F26" s="13" t="s">
        <v>112</v>
      </c>
      <c r="G26" s="13"/>
      <c r="H26" s="13" t="s">
        <v>21</v>
      </c>
      <c r="I26" s="13"/>
      <c r="J26" s="13" t="s">
        <v>97</v>
      </c>
      <c r="K26" s="13" t="s">
        <v>113</v>
      </c>
      <c r="L26" s="13" t="s">
        <v>194</v>
      </c>
      <c r="M26" s="13" t="s">
        <v>100</v>
      </c>
      <c r="N26" s="27" t="n">
        <v>18951</v>
      </c>
      <c r="O26" s="28" t="n">
        <v>1666073.66</v>
      </c>
      <c r="P26" s="27" t="n">
        <v>18951</v>
      </c>
      <c r="Q26" s="29" t="n">
        <v>1</v>
      </c>
      <c r="R26" s="28" t="n">
        <v>87.91</v>
      </c>
      <c r="S26" s="28" t="n">
        <v>87.91</v>
      </c>
      <c r="T26" s="28" t="n">
        <v>87.91</v>
      </c>
      <c r="U26" s="13" t="n">
        <f aca="false">IFERROR(YEAR(A26),"")</f>
        <v>2026</v>
      </c>
      <c r="V26" s="28" t="n">
        <f aca="false">IFERROR(O26*B26,0)</f>
        <v>1666073.66</v>
      </c>
      <c r="W26" s="27" t="n">
        <f aca="false">IFERROR(N26*B26,0)</f>
        <v>18951</v>
      </c>
      <c r="X26" s="13" t="n">
        <f aca="false">IF(OR(ISNUMBER(SEARCH("live nation",L26)),ISNUMBER(SEARCH("ocesa",L26))),1,0)</f>
        <v>0</v>
      </c>
      <c r="Y26" s="13" t="s">
        <v>50</v>
      </c>
    </row>
    <row r="27" customFormat="false" ht="15" hidden="false" customHeight="false" outlineLevel="0" collapsed="false">
      <c r="A27" s="30" t="n">
        <v>46123</v>
      </c>
      <c r="B27" s="11" t="n">
        <v>1</v>
      </c>
      <c r="C27" s="31" t="s">
        <v>192</v>
      </c>
      <c r="D27" s="31" t="s">
        <v>195</v>
      </c>
      <c r="E27" s="11" t="s">
        <v>111</v>
      </c>
      <c r="F27" s="11" t="s">
        <v>112</v>
      </c>
      <c r="G27" s="11"/>
      <c r="H27" s="11" t="s">
        <v>21</v>
      </c>
      <c r="I27" s="11"/>
      <c r="J27" s="11" t="s">
        <v>97</v>
      </c>
      <c r="K27" s="11" t="s">
        <v>113</v>
      </c>
      <c r="L27" s="11" t="s">
        <v>194</v>
      </c>
      <c r="M27" s="11" t="s">
        <v>100</v>
      </c>
      <c r="N27" s="32" t="n">
        <v>18951</v>
      </c>
      <c r="O27" s="33" t="n">
        <v>1665760.6</v>
      </c>
      <c r="P27" s="32" t="n">
        <v>18951</v>
      </c>
      <c r="Q27" s="34" t="n">
        <v>1</v>
      </c>
      <c r="R27" s="33" t="n">
        <v>87.9</v>
      </c>
      <c r="S27" s="33" t="n">
        <v>87.9</v>
      </c>
      <c r="T27" s="33" t="n">
        <v>87.9</v>
      </c>
      <c r="U27" s="11" t="n">
        <f aca="false">IFERROR(YEAR(A27),"")</f>
        <v>2026</v>
      </c>
      <c r="V27" s="33" t="n">
        <f aca="false">IFERROR(O27*B27,0)</f>
        <v>1665760.6</v>
      </c>
      <c r="W27" s="32" t="n">
        <f aca="false">IFERROR(N27*B27,0)</f>
        <v>18951</v>
      </c>
      <c r="X27" s="11" t="n">
        <f aca="false">IF(OR(ISNUMBER(SEARCH("live nation",L27)),ISNUMBER(SEARCH("ocesa",L27))),1,0)</f>
        <v>0</v>
      </c>
      <c r="Y27" s="11" t="s">
        <v>50</v>
      </c>
    </row>
    <row r="28" customFormat="false" ht="15" hidden="false" customHeight="false" outlineLevel="0" collapsed="false">
      <c r="A28" s="25" t="n">
        <v>46122</v>
      </c>
      <c r="B28" s="13" t="n">
        <v>1</v>
      </c>
      <c r="C28" s="26" t="s">
        <v>153</v>
      </c>
      <c r="D28" s="26"/>
      <c r="E28" s="13" t="s">
        <v>196</v>
      </c>
      <c r="F28" s="13" t="s">
        <v>197</v>
      </c>
      <c r="G28" s="13" t="s">
        <v>139</v>
      </c>
      <c r="H28" s="13" t="s">
        <v>20</v>
      </c>
      <c r="I28" s="13" t="s">
        <v>139</v>
      </c>
      <c r="J28" s="13" t="s">
        <v>97</v>
      </c>
      <c r="K28" s="13" t="s">
        <v>107</v>
      </c>
      <c r="L28" s="13" t="s">
        <v>177</v>
      </c>
      <c r="M28" s="13" t="s">
        <v>100</v>
      </c>
      <c r="N28" s="27" t="n">
        <v>10344</v>
      </c>
      <c r="O28" s="28" t="n">
        <v>1481898</v>
      </c>
      <c r="P28" s="27" t="n">
        <v>10344</v>
      </c>
      <c r="Q28" s="29" t="n">
        <v>1</v>
      </c>
      <c r="R28" s="28" t="n">
        <v>22.45</v>
      </c>
      <c r="S28" s="28" t="n">
        <v>193.5</v>
      </c>
      <c r="T28" s="28" t="n">
        <v>143.26</v>
      </c>
      <c r="U28" s="13" t="n">
        <f aca="false">IFERROR(YEAR(A28),"")</f>
        <v>2026</v>
      </c>
      <c r="V28" s="28" t="n">
        <f aca="false">IFERROR(O28*B28,0)</f>
        <v>1481898</v>
      </c>
      <c r="W28" s="27" t="n">
        <f aca="false">IFERROR(N28*B28,0)</f>
        <v>10344</v>
      </c>
      <c r="X28" s="13" t="n">
        <f aca="false">IF(OR(ISNUMBER(SEARCH("live nation",L28)),ISNUMBER(SEARCH("ocesa",L28))),1,0)</f>
        <v>1</v>
      </c>
      <c r="Y28" s="13" t="s">
        <v>49</v>
      </c>
    </row>
    <row r="29" customFormat="false" ht="15" hidden="false" customHeight="false" outlineLevel="0" collapsed="false">
      <c r="A29" s="30" t="n">
        <v>46122</v>
      </c>
      <c r="B29" s="11" t="n">
        <v>1</v>
      </c>
      <c r="C29" s="31" t="s">
        <v>192</v>
      </c>
      <c r="D29" s="31" t="s">
        <v>198</v>
      </c>
      <c r="E29" s="11" t="s">
        <v>111</v>
      </c>
      <c r="F29" s="11" t="s">
        <v>112</v>
      </c>
      <c r="G29" s="11"/>
      <c r="H29" s="11" t="s">
        <v>21</v>
      </c>
      <c r="I29" s="11"/>
      <c r="J29" s="11" t="s">
        <v>97</v>
      </c>
      <c r="K29" s="11" t="s">
        <v>113</v>
      </c>
      <c r="L29" s="11" t="s">
        <v>194</v>
      </c>
      <c r="M29" s="11" t="s">
        <v>100</v>
      </c>
      <c r="N29" s="32" t="n">
        <v>12380</v>
      </c>
      <c r="O29" s="33" t="n">
        <v>1011311.94</v>
      </c>
      <c r="P29" s="32" t="n">
        <v>12380</v>
      </c>
      <c r="Q29" s="34" t="n">
        <v>1</v>
      </c>
      <c r="R29" s="33" t="n">
        <v>81.69</v>
      </c>
      <c r="S29" s="33" t="n">
        <v>81.69</v>
      </c>
      <c r="T29" s="33" t="n">
        <v>81.69</v>
      </c>
      <c r="U29" s="11" t="n">
        <f aca="false">IFERROR(YEAR(A29),"")</f>
        <v>2026</v>
      </c>
      <c r="V29" s="33" t="n">
        <f aca="false">IFERROR(O29*B29,0)</f>
        <v>1011311.94</v>
      </c>
      <c r="W29" s="32" t="n">
        <f aca="false">IFERROR(N29*B29,0)</f>
        <v>12380</v>
      </c>
      <c r="X29" s="11" t="n">
        <f aca="false">IF(OR(ISNUMBER(SEARCH("live nation",L29)),ISNUMBER(SEARCH("ocesa",L29))),1,0)</f>
        <v>0</v>
      </c>
      <c r="Y29" s="11" t="s">
        <v>50</v>
      </c>
    </row>
    <row r="30" customFormat="false" ht="15" hidden="false" customHeight="false" outlineLevel="0" collapsed="false">
      <c r="A30" s="25" t="n">
        <v>46121</v>
      </c>
      <c r="B30" s="13" t="n">
        <v>1</v>
      </c>
      <c r="C30" s="26" t="s">
        <v>199</v>
      </c>
      <c r="D30" s="26"/>
      <c r="E30" s="13" t="s">
        <v>200</v>
      </c>
      <c r="F30" s="13" t="s">
        <v>201</v>
      </c>
      <c r="G30" s="13" t="s">
        <v>202</v>
      </c>
      <c r="H30" s="13" t="s">
        <v>20</v>
      </c>
      <c r="I30" s="13" t="s">
        <v>203</v>
      </c>
      <c r="J30" s="13" t="s">
        <v>121</v>
      </c>
      <c r="K30" s="13" t="s">
        <v>107</v>
      </c>
      <c r="L30" s="13" t="s">
        <v>177</v>
      </c>
      <c r="M30" s="13" t="s">
        <v>100</v>
      </c>
      <c r="N30" s="27" t="n">
        <v>5731</v>
      </c>
      <c r="O30" s="28" t="n">
        <v>580042.5</v>
      </c>
      <c r="P30" s="27" t="n">
        <v>5737</v>
      </c>
      <c r="Q30" s="29" t="n">
        <v>0.99</v>
      </c>
      <c r="R30" s="28" t="n">
        <v>69.5</v>
      </c>
      <c r="S30" s="28" t="n">
        <v>159.5</v>
      </c>
      <c r="T30" s="28" t="n">
        <v>101.21</v>
      </c>
      <c r="U30" s="13" t="n">
        <f aca="false">IFERROR(YEAR(A30),"")</f>
        <v>2026</v>
      </c>
      <c r="V30" s="28" t="n">
        <f aca="false">IFERROR(O30*B30,0)</f>
        <v>580042.5</v>
      </c>
      <c r="W30" s="27" t="n">
        <f aca="false">IFERROR(N30*B30,0)</f>
        <v>5731</v>
      </c>
      <c r="X30" s="13" t="n">
        <f aca="false">IF(OR(ISNUMBER(SEARCH("live nation",L30)),ISNUMBER(SEARCH("ocesa",L30))),1,0)</f>
        <v>1</v>
      </c>
      <c r="Y30" s="13" t="s">
        <v>49</v>
      </c>
    </row>
    <row r="31" customFormat="false" ht="15" hidden="false" customHeight="false" outlineLevel="0" collapsed="false">
      <c r="A31" s="30" t="n">
        <v>46121</v>
      </c>
      <c r="B31" s="11" t="n">
        <v>3</v>
      </c>
      <c r="C31" s="31" t="s">
        <v>60</v>
      </c>
      <c r="D31" s="31"/>
      <c r="E31" s="11" t="s">
        <v>204</v>
      </c>
      <c r="F31" s="11" t="s">
        <v>205</v>
      </c>
      <c r="G31" s="11"/>
      <c r="H31" s="11" t="s">
        <v>24</v>
      </c>
      <c r="I31" s="11"/>
      <c r="J31" s="11" t="s">
        <v>133</v>
      </c>
      <c r="K31" s="11" t="s">
        <v>148</v>
      </c>
      <c r="L31" s="11" t="s">
        <v>145</v>
      </c>
      <c r="M31" s="11" t="s">
        <v>100</v>
      </c>
      <c r="N31" s="32" t="n">
        <v>42406</v>
      </c>
      <c r="O31" s="33" t="n">
        <v>5628730.85</v>
      </c>
      <c r="P31" s="32" t="n">
        <v>42528</v>
      </c>
      <c r="Q31" s="34" t="n">
        <v>0.99</v>
      </c>
      <c r="R31" s="33" t="n">
        <v>133.59</v>
      </c>
      <c r="S31" s="33" t="n">
        <v>178.13</v>
      </c>
      <c r="T31" s="33" t="n">
        <v>132.73</v>
      </c>
      <c r="U31" s="11" t="n">
        <f aca="false">IFERROR(YEAR(A31),"")</f>
        <v>2026</v>
      </c>
      <c r="V31" s="33" t="n">
        <f aca="false">IFERROR(O31*B31,0)</f>
        <v>16886192.55</v>
      </c>
      <c r="W31" s="32" t="n">
        <f aca="false">IFERROR(N31*B31,0)</f>
        <v>127218</v>
      </c>
      <c r="X31" s="11" t="n">
        <f aca="false">IF(OR(ISNUMBER(SEARCH("live nation",L31)),ISNUMBER(SEARCH("ocesa",L31))),1,0)</f>
        <v>0</v>
      </c>
      <c r="Y31" s="11" t="s">
        <v>50</v>
      </c>
    </row>
    <row r="32" customFormat="false" ht="15" hidden="false" customHeight="false" outlineLevel="0" collapsed="false">
      <c r="A32" s="25" t="n">
        <v>46120</v>
      </c>
      <c r="B32" s="13" t="n">
        <v>1</v>
      </c>
      <c r="C32" s="26" t="s">
        <v>153</v>
      </c>
      <c r="D32" s="26"/>
      <c r="E32" s="13" t="s">
        <v>206</v>
      </c>
      <c r="F32" s="13" t="s">
        <v>207</v>
      </c>
      <c r="G32" s="13" t="s">
        <v>208</v>
      </c>
      <c r="H32" s="13" t="s">
        <v>20</v>
      </c>
      <c r="I32" s="13" t="s">
        <v>209</v>
      </c>
      <c r="J32" s="13" t="s">
        <v>97</v>
      </c>
      <c r="K32" s="13" t="s">
        <v>107</v>
      </c>
      <c r="L32" s="13" t="s">
        <v>177</v>
      </c>
      <c r="M32" s="13" t="s">
        <v>100</v>
      </c>
      <c r="N32" s="27" t="n">
        <v>5059</v>
      </c>
      <c r="O32" s="28" t="n">
        <v>633336</v>
      </c>
      <c r="P32" s="27" t="n">
        <v>5059</v>
      </c>
      <c r="Q32" s="29" t="n">
        <v>1</v>
      </c>
      <c r="R32" s="28" t="n">
        <v>59.5</v>
      </c>
      <c r="S32" s="28" t="n">
        <v>199.5</v>
      </c>
      <c r="T32" s="28" t="n">
        <v>125.19</v>
      </c>
      <c r="U32" s="13" t="n">
        <f aca="false">IFERROR(YEAR(A32),"")</f>
        <v>2026</v>
      </c>
      <c r="V32" s="28" t="n">
        <f aca="false">IFERROR(O32*B32,0)</f>
        <v>633336</v>
      </c>
      <c r="W32" s="27" t="n">
        <f aca="false">IFERROR(N32*B32,0)</f>
        <v>5059</v>
      </c>
      <c r="X32" s="13" t="n">
        <f aca="false">IF(OR(ISNUMBER(SEARCH("live nation",L32)),ISNUMBER(SEARCH("ocesa",L32))),1,0)</f>
        <v>1</v>
      </c>
      <c r="Y32" s="13" t="s">
        <v>49</v>
      </c>
    </row>
    <row r="33" customFormat="false" ht="15" hidden="false" customHeight="false" outlineLevel="0" collapsed="false">
      <c r="A33" s="30" t="n">
        <v>46120</v>
      </c>
      <c r="B33" s="11" t="n">
        <v>1</v>
      </c>
      <c r="C33" s="31" t="s">
        <v>210</v>
      </c>
      <c r="D33" s="31"/>
      <c r="E33" s="11" t="s">
        <v>111</v>
      </c>
      <c r="F33" s="11" t="s">
        <v>112</v>
      </c>
      <c r="G33" s="11"/>
      <c r="H33" s="11" t="s">
        <v>21</v>
      </c>
      <c r="I33" s="11"/>
      <c r="J33" s="11" t="s">
        <v>97</v>
      </c>
      <c r="K33" s="11" t="s">
        <v>113</v>
      </c>
      <c r="L33" s="11" t="s">
        <v>194</v>
      </c>
      <c r="M33" s="11" t="s">
        <v>100</v>
      </c>
      <c r="N33" s="32" t="n">
        <v>18951</v>
      </c>
      <c r="O33" s="33" t="n">
        <v>1315683.64</v>
      </c>
      <c r="P33" s="32" t="n">
        <v>18951</v>
      </c>
      <c r="Q33" s="34" t="n">
        <v>1</v>
      </c>
      <c r="R33" s="33" t="n">
        <v>69.43</v>
      </c>
      <c r="S33" s="33" t="n">
        <v>69.43</v>
      </c>
      <c r="T33" s="33" t="n">
        <v>69.43</v>
      </c>
      <c r="U33" s="11" t="n">
        <f aca="false">IFERROR(YEAR(A33),"")</f>
        <v>2026</v>
      </c>
      <c r="V33" s="33" t="n">
        <f aca="false">IFERROR(O33*B33,0)</f>
        <v>1315683.64</v>
      </c>
      <c r="W33" s="32" t="n">
        <f aca="false">IFERROR(N33*B33,0)</f>
        <v>18951</v>
      </c>
      <c r="X33" s="11" t="n">
        <f aca="false">IF(OR(ISNUMBER(SEARCH("live nation",L33)),ISNUMBER(SEARCH("ocesa",L33))),1,0)</f>
        <v>0</v>
      </c>
      <c r="Y33" s="11" t="s">
        <v>50</v>
      </c>
    </row>
    <row r="34" customFormat="false" ht="15" hidden="false" customHeight="false" outlineLevel="0" collapsed="false">
      <c r="A34" s="25" t="n">
        <v>46119</v>
      </c>
      <c r="B34" s="13" t="n">
        <v>1</v>
      </c>
      <c r="C34" s="26" t="s">
        <v>210</v>
      </c>
      <c r="D34" s="26"/>
      <c r="E34" s="13" t="s">
        <v>111</v>
      </c>
      <c r="F34" s="13" t="s">
        <v>112</v>
      </c>
      <c r="G34" s="13"/>
      <c r="H34" s="13" t="s">
        <v>21</v>
      </c>
      <c r="I34" s="13"/>
      <c r="J34" s="13" t="s">
        <v>97</v>
      </c>
      <c r="K34" s="13" t="s">
        <v>113</v>
      </c>
      <c r="L34" s="13" t="s">
        <v>194</v>
      </c>
      <c r="M34" s="13" t="s">
        <v>100</v>
      </c>
      <c r="N34" s="27" t="n">
        <v>18951</v>
      </c>
      <c r="O34" s="28" t="n">
        <v>1304250.67</v>
      </c>
      <c r="P34" s="27" t="n">
        <v>18951</v>
      </c>
      <c r="Q34" s="29" t="n">
        <v>1</v>
      </c>
      <c r="R34" s="28" t="n">
        <v>68.82</v>
      </c>
      <c r="S34" s="28" t="n">
        <v>68.82</v>
      </c>
      <c r="T34" s="28" t="n">
        <v>68.82</v>
      </c>
      <c r="U34" s="13" t="n">
        <f aca="false">IFERROR(YEAR(A34),"")</f>
        <v>2026</v>
      </c>
      <c r="V34" s="28" t="n">
        <f aca="false">IFERROR(O34*B34,0)</f>
        <v>1304250.67</v>
      </c>
      <c r="W34" s="27" t="n">
        <f aca="false">IFERROR(N34*B34,0)</f>
        <v>18951</v>
      </c>
      <c r="X34" s="13" t="n">
        <f aca="false">IF(OR(ISNUMBER(SEARCH("live nation",L34)),ISNUMBER(SEARCH("ocesa",L34))),1,0)</f>
        <v>0</v>
      </c>
      <c r="Y34" s="13" t="s">
        <v>50</v>
      </c>
    </row>
    <row r="35" customFormat="false" ht="15" hidden="false" customHeight="false" outlineLevel="0" collapsed="false">
      <c r="A35" s="30" t="n">
        <v>46117</v>
      </c>
      <c r="B35" s="11" t="n">
        <v>1</v>
      </c>
      <c r="C35" s="31" t="s">
        <v>211</v>
      </c>
      <c r="D35" s="31" t="s">
        <v>212</v>
      </c>
      <c r="E35" s="11" t="s">
        <v>111</v>
      </c>
      <c r="F35" s="11" t="s">
        <v>112</v>
      </c>
      <c r="G35" s="11"/>
      <c r="H35" s="11" t="s">
        <v>21</v>
      </c>
      <c r="I35" s="11"/>
      <c r="J35" s="11" t="s">
        <v>97</v>
      </c>
      <c r="K35" s="11" t="s">
        <v>113</v>
      </c>
      <c r="L35" s="11" t="s">
        <v>213</v>
      </c>
      <c r="M35" s="11" t="s">
        <v>100</v>
      </c>
      <c r="N35" s="32" t="n">
        <v>18123</v>
      </c>
      <c r="O35" s="33" t="n">
        <v>1362170.67</v>
      </c>
      <c r="P35" s="32" t="n">
        <v>18123</v>
      </c>
      <c r="Q35" s="34" t="n">
        <v>1</v>
      </c>
      <c r="R35" s="33" t="n">
        <v>75.16</v>
      </c>
      <c r="S35" s="33" t="n">
        <v>75.16</v>
      </c>
      <c r="T35" s="33" t="n">
        <v>75.16</v>
      </c>
      <c r="U35" s="11" t="n">
        <f aca="false">IFERROR(YEAR(A35),"")</f>
        <v>2026</v>
      </c>
      <c r="V35" s="33" t="n">
        <f aca="false">IFERROR(O35*B35,0)</f>
        <v>1362170.67</v>
      </c>
      <c r="W35" s="32" t="n">
        <f aca="false">IFERROR(N35*B35,0)</f>
        <v>18123</v>
      </c>
      <c r="X35" s="11" t="n">
        <f aca="false">IF(OR(ISNUMBER(SEARCH("live nation",L35)),ISNUMBER(SEARCH("ocesa",L35))),1,0)</f>
        <v>0</v>
      </c>
      <c r="Y35" s="11" t="s">
        <v>50</v>
      </c>
    </row>
    <row r="36" customFormat="false" ht="15" hidden="false" customHeight="false" outlineLevel="0" collapsed="false">
      <c r="A36" s="25" t="n">
        <v>46116</v>
      </c>
      <c r="B36" s="13" t="n">
        <v>1</v>
      </c>
      <c r="C36" s="26" t="s">
        <v>211</v>
      </c>
      <c r="D36" s="26" t="s">
        <v>214</v>
      </c>
      <c r="E36" s="13" t="s">
        <v>111</v>
      </c>
      <c r="F36" s="13" t="s">
        <v>112</v>
      </c>
      <c r="G36" s="13"/>
      <c r="H36" s="13" t="s">
        <v>21</v>
      </c>
      <c r="I36" s="13"/>
      <c r="J36" s="13" t="s">
        <v>97</v>
      </c>
      <c r="K36" s="13" t="s">
        <v>113</v>
      </c>
      <c r="L36" s="13" t="s">
        <v>213</v>
      </c>
      <c r="M36" s="13" t="s">
        <v>100</v>
      </c>
      <c r="N36" s="27" t="n">
        <v>11544</v>
      </c>
      <c r="O36" s="28" t="n">
        <v>867676.33</v>
      </c>
      <c r="P36" s="27" t="n">
        <v>11544</v>
      </c>
      <c r="Q36" s="29" t="n">
        <v>1</v>
      </c>
      <c r="R36" s="28" t="n">
        <v>75.16</v>
      </c>
      <c r="S36" s="28" t="n">
        <v>75.16</v>
      </c>
      <c r="T36" s="28" t="n">
        <v>75.16</v>
      </c>
      <c r="U36" s="13" t="n">
        <f aca="false">IFERROR(YEAR(A36),"")</f>
        <v>2026</v>
      </c>
      <c r="V36" s="28" t="n">
        <f aca="false">IFERROR(O36*B36,0)</f>
        <v>867676.33</v>
      </c>
      <c r="W36" s="27" t="n">
        <f aca="false">IFERROR(N36*B36,0)</f>
        <v>11544</v>
      </c>
      <c r="X36" s="13" t="n">
        <f aca="false">IF(OR(ISNUMBER(SEARCH("live nation",L36)),ISNUMBER(SEARCH("ocesa",L36))),1,0)</f>
        <v>0</v>
      </c>
      <c r="Y36" s="13" t="s">
        <v>50</v>
      </c>
    </row>
    <row r="37" customFormat="false" ht="15" hidden="false" customHeight="false" outlineLevel="0" collapsed="false">
      <c r="A37" s="30" t="n">
        <v>46116</v>
      </c>
      <c r="B37" s="11" t="n">
        <v>2</v>
      </c>
      <c r="C37" s="31" t="s">
        <v>62</v>
      </c>
      <c r="D37" s="31"/>
      <c r="E37" s="11" t="s">
        <v>215</v>
      </c>
      <c r="F37" s="11" t="s">
        <v>216</v>
      </c>
      <c r="G37" s="11"/>
      <c r="H37" s="11" t="s">
        <v>24</v>
      </c>
      <c r="I37" s="11"/>
      <c r="J37" s="11" t="s">
        <v>133</v>
      </c>
      <c r="K37" s="11" t="s">
        <v>148</v>
      </c>
      <c r="L37" s="11" t="s">
        <v>145</v>
      </c>
      <c r="M37" s="11" t="s">
        <v>100</v>
      </c>
      <c r="N37" s="32" t="n">
        <v>22650</v>
      </c>
      <c r="O37" s="33" t="n">
        <v>2155433.27</v>
      </c>
      <c r="P37" s="32" t="n">
        <v>25905</v>
      </c>
      <c r="Q37" s="34" t="n">
        <v>0.87</v>
      </c>
      <c r="R37" s="33" t="n">
        <v>131.11</v>
      </c>
      <c r="S37" s="33" t="n">
        <v>87.4</v>
      </c>
      <c r="T37" s="33" t="n">
        <v>95.16</v>
      </c>
      <c r="U37" s="11" t="n">
        <f aca="false">IFERROR(YEAR(A37),"")</f>
        <v>2026</v>
      </c>
      <c r="V37" s="33" t="n">
        <f aca="false">IFERROR(O37*B37,0)</f>
        <v>4310866.54</v>
      </c>
      <c r="W37" s="32" t="n">
        <f aca="false">IFERROR(N37*B37,0)</f>
        <v>45300</v>
      </c>
      <c r="X37" s="11" t="n">
        <f aca="false">IF(OR(ISNUMBER(SEARCH("live nation",L37)),ISNUMBER(SEARCH("ocesa",L37))),1,0)</f>
        <v>0</v>
      </c>
      <c r="Y37" s="11" t="s">
        <v>50</v>
      </c>
    </row>
    <row r="38" customFormat="false" ht="15" hidden="false" customHeight="false" outlineLevel="0" collapsed="false">
      <c r="A38" s="25" t="n">
        <v>46116</v>
      </c>
      <c r="B38" s="13" t="n">
        <v>1</v>
      </c>
      <c r="C38" s="26" t="s">
        <v>169</v>
      </c>
      <c r="D38" s="26"/>
      <c r="E38" s="13" t="s">
        <v>217</v>
      </c>
      <c r="F38" s="13" t="s">
        <v>218</v>
      </c>
      <c r="G38" s="13"/>
      <c r="H38" s="13" t="s">
        <v>172</v>
      </c>
      <c r="I38" s="13"/>
      <c r="J38" s="13" t="s">
        <v>97</v>
      </c>
      <c r="K38" s="13" t="s">
        <v>173</v>
      </c>
      <c r="L38" s="13" t="s">
        <v>174</v>
      </c>
      <c r="M38" s="13" t="s">
        <v>123</v>
      </c>
      <c r="N38" s="27" t="n">
        <v>5493</v>
      </c>
      <c r="O38" s="28" t="n">
        <v>363359.13</v>
      </c>
      <c r="P38" s="27" t="n">
        <v>9193</v>
      </c>
      <c r="Q38" s="29" t="n">
        <v>0.59</v>
      </c>
      <c r="R38" s="28" t="n">
        <v>39.75</v>
      </c>
      <c r="S38" s="28" t="n">
        <v>108.64</v>
      </c>
      <c r="T38" s="28" t="n">
        <v>66.15</v>
      </c>
      <c r="U38" s="13" t="n">
        <f aca="false">IFERROR(YEAR(A38),"")</f>
        <v>2026</v>
      </c>
      <c r="V38" s="28" t="n">
        <f aca="false">IFERROR(O38*B38,0)</f>
        <v>363359.13</v>
      </c>
      <c r="W38" s="27" t="n">
        <f aca="false">IFERROR(N38*B38,0)</f>
        <v>5493</v>
      </c>
      <c r="X38" s="13" t="n">
        <f aca="false">IF(OR(ISNUMBER(SEARCH("live nation",L38)),ISNUMBER(SEARCH("ocesa",L38))),1,0)</f>
        <v>0</v>
      </c>
      <c r="Y38" s="13" t="s">
        <v>49</v>
      </c>
    </row>
    <row r="39" customFormat="false" ht="15" hidden="false" customHeight="false" outlineLevel="0" collapsed="false">
      <c r="A39" s="30" t="n">
        <v>46115</v>
      </c>
      <c r="B39" s="11" t="n">
        <v>1</v>
      </c>
      <c r="C39" s="31" t="s">
        <v>116</v>
      </c>
      <c r="D39" s="31"/>
      <c r="E39" s="11" t="s">
        <v>219</v>
      </c>
      <c r="F39" s="11" t="s">
        <v>220</v>
      </c>
      <c r="G39" s="11" t="s">
        <v>221</v>
      </c>
      <c r="H39" s="11" t="s">
        <v>20</v>
      </c>
      <c r="I39" s="11" t="s">
        <v>139</v>
      </c>
      <c r="J39" s="11" t="s">
        <v>121</v>
      </c>
      <c r="K39" s="11" t="s">
        <v>107</v>
      </c>
      <c r="L39" s="11" t="s">
        <v>122</v>
      </c>
      <c r="M39" s="11" t="s">
        <v>123</v>
      </c>
      <c r="N39" s="32" t="n">
        <v>749</v>
      </c>
      <c r="O39" s="33" t="n">
        <v>43975.3</v>
      </c>
      <c r="P39" s="32" t="n">
        <v>1222</v>
      </c>
      <c r="Q39" s="34" t="n">
        <v>0.61</v>
      </c>
      <c r="R39" s="33" t="n">
        <v>35</v>
      </c>
      <c r="S39" s="33" t="n">
        <v>75</v>
      </c>
      <c r="T39" s="33" t="n">
        <v>58.71</v>
      </c>
      <c r="U39" s="11" t="n">
        <f aca="false">IFERROR(YEAR(A39),"")</f>
        <v>2026</v>
      </c>
      <c r="V39" s="33" t="n">
        <f aca="false">IFERROR(O39*B39,0)</f>
        <v>43975.3</v>
      </c>
      <c r="W39" s="32" t="n">
        <f aca="false">IFERROR(N39*B39,0)</f>
        <v>749</v>
      </c>
      <c r="X39" s="11" t="n">
        <f aca="false">IF(OR(ISNUMBER(SEARCH("live nation",L39)),ISNUMBER(SEARCH("ocesa",L39))),1,0)</f>
        <v>0</v>
      </c>
      <c r="Y39" s="11" t="s">
        <v>49</v>
      </c>
    </row>
    <row r="40" customFormat="false" ht="15" hidden="false" customHeight="false" outlineLevel="0" collapsed="false">
      <c r="A40" s="25" t="n">
        <v>46115</v>
      </c>
      <c r="B40" s="13" t="n">
        <v>2</v>
      </c>
      <c r="C40" s="26" t="s">
        <v>68</v>
      </c>
      <c r="D40" s="26"/>
      <c r="E40" s="13" t="s">
        <v>222</v>
      </c>
      <c r="F40" s="13" t="s">
        <v>223</v>
      </c>
      <c r="G40" s="13" t="s">
        <v>224</v>
      </c>
      <c r="H40" s="13" t="s">
        <v>20</v>
      </c>
      <c r="I40" s="13" t="s">
        <v>225</v>
      </c>
      <c r="J40" s="13" t="s">
        <v>97</v>
      </c>
      <c r="K40" s="13" t="s">
        <v>107</v>
      </c>
      <c r="L40" s="13" t="s">
        <v>177</v>
      </c>
      <c r="M40" s="13" t="s">
        <v>100</v>
      </c>
      <c r="N40" s="27" t="n">
        <v>14655</v>
      </c>
      <c r="O40" s="28" t="n">
        <v>2002366.5</v>
      </c>
      <c r="P40" s="27" t="n">
        <v>15248</v>
      </c>
      <c r="Q40" s="29" t="n">
        <v>0.96</v>
      </c>
      <c r="R40" s="28" t="n">
        <v>52.5</v>
      </c>
      <c r="S40" s="28" t="n">
        <v>222.5</v>
      </c>
      <c r="T40" s="28" t="n">
        <v>136.63</v>
      </c>
      <c r="U40" s="13" t="n">
        <f aca="false">IFERROR(YEAR(A40),"")</f>
        <v>2026</v>
      </c>
      <c r="V40" s="28" t="n">
        <f aca="false">IFERROR(O40*B40,0)</f>
        <v>4004733</v>
      </c>
      <c r="W40" s="27" t="n">
        <f aca="false">IFERROR(N40*B40,0)</f>
        <v>29310</v>
      </c>
      <c r="X40" s="13" t="n">
        <f aca="false">IF(OR(ISNUMBER(SEARCH("live nation",L40)),ISNUMBER(SEARCH("ocesa",L40))),1,0)</f>
        <v>1</v>
      </c>
      <c r="Y40" s="13" t="s">
        <v>49</v>
      </c>
    </row>
    <row r="41" customFormat="false" ht="15" hidden="false" customHeight="false" outlineLevel="0" collapsed="false">
      <c r="A41" s="30" t="n">
        <v>46115</v>
      </c>
      <c r="B41" s="11" t="n">
        <v>1</v>
      </c>
      <c r="C41" s="31" t="s">
        <v>211</v>
      </c>
      <c r="D41" s="31" t="s">
        <v>226</v>
      </c>
      <c r="E41" s="11" t="s">
        <v>111</v>
      </c>
      <c r="F41" s="11" t="s">
        <v>112</v>
      </c>
      <c r="G41" s="11"/>
      <c r="H41" s="11" t="s">
        <v>21</v>
      </c>
      <c r="I41" s="11"/>
      <c r="J41" s="11" t="s">
        <v>97</v>
      </c>
      <c r="K41" s="11" t="s">
        <v>113</v>
      </c>
      <c r="L41" s="11" t="s">
        <v>213</v>
      </c>
      <c r="M41" s="11" t="s">
        <v>100</v>
      </c>
      <c r="N41" s="32" t="n">
        <v>18123</v>
      </c>
      <c r="O41" s="33" t="n">
        <v>1362790.13</v>
      </c>
      <c r="P41" s="32" t="n">
        <v>18123</v>
      </c>
      <c r="Q41" s="34" t="n">
        <v>1</v>
      </c>
      <c r="R41" s="33" t="n">
        <v>75.2</v>
      </c>
      <c r="S41" s="33" t="n">
        <v>75.2</v>
      </c>
      <c r="T41" s="33" t="n">
        <v>75.2</v>
      </c>
      <c r="U41" s="11" t="n">
        <f aca="false">IFERROR(YEAR(A41),"")</f>
        <v>2026</v>
      </c>
      <c r="V41" s="33" t="n">
        <f aca="false">IFERROR(O41*B41,0)</f>
        <v>1362790.13</v>
      </c>
      <c r="W41" s="32" t="n">
        <f aca="false">IFERROR(N41*B41,0)</f>
        <v>18123</v>
      </c>
      <c r="X41" s="11" t="n">
        <f aca="false">IF(OR(ISNUMBER(SEARCH("live nation",L41)),ISNUMBER(SEARCH("ocesa",L41))),1,0)</f>
        <v>0</v>
      </c>
      <c r="Y41" s="11" t="s">
        <v>50</v>
      </c>
    </row>
    <row r="42" customFormat="false" ht="15" hidden="false" customHeight="false" outlineLevel="0" collapsed="false">
      <c r="A42" s="25" t="n">
        <v>46115</v>
      </c>
      <c r="B42" s="13" t="n">
        <v>1</v>
      </c>
      <c r="C42" s="26" t="s">
        <v>169</v>
      </c>
      <c r="D42" s="26"/>
      <c r="E42" s="13" t="s">
        <v>170</v>
      </c>
      <c r="F42" s="13" t="s">
        <v>171</v>
      </c>
      <c r="G42" s="13"/>
      <c r="H42" s="13" t="s">
        <v>172</v>
      </c>
      <c r="I42" s="13"/>
      <c r="J42" s="13" t="s">
        <v>97</v>
      </c>
      <c r="K42" s="13" t="s">
        <v>173</v>
      </c>
      <c r="L42" s="13" t="s">
        <v>174</v>
      </c>
      <c r="M42" s="13" t="s">
        <v>123</v>
      </c>
      <c r="N42" s="27" t="n">
        <v>9144</v>
      </c>
      <c r="O42" s="28" t="n">
        <v>572201.29</v>
      </c>
      <c r="P42" s="27" t="n">
        <v>10062</v>
      </c>
      <c r="Q42" s="29" t="n">
        <v>0.9</v>
      </c>
      <c r="R42" s="28" t="n">
        <v>39.8</v>
      </c>
      <c r="S42" s="28" t="n">
        <v>106.13</v>
      </c>
      <c r="T42" s="28" t="n">
        <v>62.58</v>
      </c>
      <c r="U42" s="13" t="n">
        <f aca="false">IFERROR(YEAR(A42),"")</f>
        <v>2026</v>
      </c>
      <c r="V42" s="28" t="n">
        <f aca="false">IFERROR(O42*B42,0)</f>
        <v>572201.29</v>
      </c>
      <c r="W42" s="27" t="n">
        <f aca="false">IFERROR(N42*B42,0)</f>
        <v>9144</v>
      </c>
      <c r="X42" s="13" t="n">
        <f aca="false">IF(OR(ISNUMBER(SEARCH("live nation",L42)),ISNUMBER(SEARCH("ocesa",L42))),1,0)</f>
        <v>0</v>
      </c>
      <c r="Y42" s="13" t="s">
        <v>49</v>
      </c>
    </row>
    <row r="43" customFormat="false" ht="15" hidden="false" customHeight="false" outlineLevel="0" collapsed="false">
      <c r="A43" s="30" t="n">
        <v>46114</v>
      </c>
      <c r="B43" s="11" t="n">
        <v>1</v>
      </c>
      <c r="C43" s="31" t="s">
        <v>199</v>
      </c>
      <c r="D43" s="31"/>
      <c r="E43" s="11" t="s">
        <v>227</v>
      </c>
      <c r="F43" s="11" t="s">
        <v>228</v>
      </c>
      <c r="G43" s="11" t="s">
        <v>229</v>
      </c>
      <c r="H43" s="11" t="s">
        <v>20</v>
      </c>
      <c r="I43" s="11" t="s">
        <v>190</v>
      </c>
      <c r="J43" s="11" t="s">
        <v>121</v>
      </c>
      <c r="K43" s="11" t="s">
        <v>107</v>
      </c>
      <c r="L43" s="11" t="s">
        <v>177</v>
      </c>
      <c r="M43" s="11" t="s">
        <v>100</v>
      </c>
      <c r="N43" s="32" t="n">
        <v>2792</v>
      </c>
      <c r="O43" s="33" t="n">
        <v>322444</v>
      </c>
      <c r="P43" s="32" t="n">
        <v>2900</v>
      </c>
      <c r="Q43" s="34" t="n">
        <v>0.96</v>
      </c>
      <c r="R43" s="33" t="n">
        <v>69.5</v>
      </c>
      <c r="S43" s="33" t="n">
        <v>159.5</v>
      </c>
      <c r="T43" s="33" t="n">
        <v>115.49</v>
      </c>
      <c r="U43" s="11" t="n">
        <f aca="false">IFERROR(YEAR(A43),"")</f>
        <v>2026</v>
      </c>
      <c r="V43" s="33" t="n">
        <f aca="false">IFERROR(O43*B43,0)</f>
        <v>322444</v>
      </c>
      <c r="W43" s="32" t="n">
        <f aca="false">IFERROR(N43*B43,0)</f>
        <v>2792</v>
      </c>
      <c r="X43" s="11" t="n">
        <f aca="false">IF(OR(ISNUMBER(SEARCH("live nation",L43)),ISNUMBER(SEARCH("ocesa",L43))),1,0)</f>
        <v>1</v>
      </c>
      <c r="Y43" s="11" t="s">
        <v>49</v>
      </c>
    </row>
    <row r="44" customFormat="false" ht="15" hidden="false" customHeight="false" outlineLevel="0" collapsed="false">
      <c r="A44" s="25" t="n">
        <v>46114</v>
      </c>
      <c r="B44" s="13" t="n">
        <v>1</v>
      </c>
      <c r="C44" s="26" t="s">
        <v>153</v>
      </c>
      <c r="D44" s="26"/>
      <c r="E44" s="13" t="s">
        <v>230</v>
      </c>
      <c r="F44" s="13" t="s">
        <v>231</v>
      </c>
      <c r="G44" s="13" t="s">
        <v>202</v>
      </c>
      <c r="H44" s="13" t="s">
        <v>20</v>
      </c>
      <c r="I44" s="13" t="s">
        <v>232</v>
      </c>
      <c r="J44" s="13" t="s">
        <v>97</v>
      </c>
      <c r="K44" s="13" t="s">
        <v>107</v>
      </c>
      <c r="L44" s="13" t="s">
        <v>177</v>
      </c>
      <c r="M44" s="13" t="s">
        <v>100</v>
      </c>
      <c r="N44" s="27" t="n">
        <v>7077</v>
      </c>
      <c r="O44" s="28" t="n">
        <v>730517</v>
      </c>
      <c r="P44" s="27" t="n">
        <v>7077</v>
      </c>
      <c r="Q44" s="29" t="n">
        <v>1</v>
      </c>
      <c r="R44" s="28" t="n">
        <v>19.7</v>
      </c>
      <c r="S44" s="28" t="n">
        <v>190</v>
      </c>
      <c r="T44" s="28" t="n">
        <v>103.22</v>
      </c>
      <c r="U44" s="13" t="n">
        <f aca="false">IFERROR(YEAR(A44),"")</f>
        <v>2026</v>
      </c>
      <c r="V44" s="28" t="n">
        <f aca="false">IFERROR(O44*B44,0)</f>
        <v>730517</v>
      </c>
      <c r="W44" s="27" t="n">
        <f aca="false">IFERROR(N44*B44,0)</f>
        <v>7077</v>
      </c>
      <c r="X44" s="13" t="n">
        <f aca="false">IF(OR(ISNUMBER(SEARCH("live nation",L44)),ISNUMBER(SEARCH("ocesa",L44))),1,0)</f>
        <v>1</v>
      </c>
      <c r="Y44" s="13" t="s">
        <v>49</v>
      </c>
    </row>
    <row r="45" customFormat="false" ht="15" hidden="false" customHeight="false" outlineLevel="0" collapsed="false">
      <c r="A45" s="30" t="n">
        <v>46112</v>
      </c>
      <c r="B45" s="11" t="n">
        <v>1</v>
      </c>
      <c r="C45" s="31" t="s">
        <v>68</v>
      </c>
      <c r="D45" s="31"/>
      <c r="E45" s="11" t="s">
        <v>233</v>
      </c>
      <c r="F45" s="11" t="s">
        <v>234</v>
      </c>
      <c r="G45" s="11" t="s">
        <v>235</v>
      </c>
      <c r="H45" s="11" t="s">
        <v>20</v>
      </c>
      <c r="I45" s="11" t="s">
        <v>234</v>
      </c>
      <c r="J45" s="11" t="s">
        <v>97</v>
      </c>
      <c r="K45" s="11" t="s">
        <v>107</v>
      </c>
      <c r="L45" s="11" t="s">
        <v>177</v>
      </c>
      <c r="M45" s="11" t="s">
        <v>100</v>
      </c>
      <c r="N45" s="32" t="n">
        <v>16500</v>
      </c>
      <c r="O45" s="33" t="n">
        <v>2194530</v>
      </c>
      <c r="P45" s="32" t="n">
        <v>16500</v>
      </c>
      <c r="Q45" s="34" t="n">
        <v>1</v>
      </c>
      <c r="R45" s="33" t="n">
        <v>133</v>
      </c>
      <c r="S45" s="33" t="n">
        <v>133</v>
      </c>
      <c r="T45" s="33" t="n">
        <v>133</v>
      </c>
      <c r="U45" s="11" t="n">
        <f aca="false">IFERROR(YEAR(A45),"")</f>
        <v>2026</v>
      </c>
      <c r="V45" s="33" t="n">
        <f aca="false">IFERROR(O45*B45,0)</f>
        <v>2194530</v>
      </c>
      <c r="W45" s="32" t="n">
        <f aca="false">IFERROR(N45*B45,0)</f>
        <v>16500</v>
      </c>
      <c r="X45" s="11" t="n">
        <f aca="false">IF(OR(ISNUMBER(SEARCH("live nation",L45)),ISNUMBER(SEARCH("ocesa",L45))),1,0)</f>
        <v>1</v>
      </c>
      <c r="Y45" s="11" t="s">
        <v>49</v>
      </c>
    </row>
    <row r="46" customFormat="false" ht="15" hidden="false" customHeight="false" outlineLevel="0" collapsed="false">
      <c r="A46" s="25" t="n">
        <v>46112</v>
      </c>
      <c r="B46" s="13" t="n">
        <v>1</v>
      </c>
      <c r="C46" s="26" t="s">
        <v>116</v>
      </c>
      <c r="D46" s="26"/>
      <c r="E46" s="13" t="s">
        <v>236</v>
      </c>
      <c r="F46" s="13" t="s">
        <v>237</v>
      </c>
      <c r="G46" s="13" t="s">
        <v>238</v>
      </c>
      <c r="H46" s="13" t="s">
        <v>20</v>
      </c>
      <c r="I46" s="13" t="s">
        <v>237</v>
      </c>
      <c r="J46" s="13" t="s">
        <v>239</v>
      </c>
      <c r="K46" s="13" t="s">
        <v>107</v>
      </c>
      <c r="L46" s="13" t="s">
        <v>236</v>
      </c>
      <c r="M46" s="13" t="s">
        <v>123</v>
      </c>
      <c r="N46" s="27" t="n">
        <v>668</v>
      </c>
      <c r="O46" s="28" t="n">
        <v>36182.89</v>
      </c>
      <c r="P46" s="27" t="n">
        <v>2043</v>
      </c>
      <c r="Q46" s="29" t="n">
        <v>0.32</v>
      </c>
      <c r="R46" s="28" t="n">
        <v>20</v>
      </c>
      <c r="S46" s="28" t="n">
        <v>85</v>
      </c>
      <c r="T46" s="28" t="n">
        <v>54.17</v>
      </c>
      <c r="U46" s="13" t="n">
        <f aca="false">IFERROR(YEAR(A46),"")</f>
        <v>2026</v>
      </c>
      <c r="V46" s="28" t="n">
        <f aca="false">IFERROR(O46*B46,0)</f>
        <v>36182.89</v>
      </c>
      <c r="W46" s="27" t="n">
        <f aca="false">IFERROR(N46*B46,0)</f>
        <v>668</v>
      </c>
      <c r="X46" s="13" t="n">
        <f aca="false">IF(OR(ISNUMBER(SEARCH("live nation",L46)),ISNUMBER(SEARCH("ocesa",L46))),1,0)</f>
        <v>0</v>
      </c>
      <c r="Y46" s="13" t="s">
        <v>49</v>
      </c>
    </row>
    <row r="47" customFormat="false" ht="15" hidden="false" customHeight="false" outlineLevel="0" collapsed="false">
      <c r="A47" s="30" t="n">
        <v>46110</v>
      </c>
      <c r="B47" s="11" t="n">
        <v>1</v>
      </c>
      <c r="C47" s="31" t="s">
        <v>116</v>
      </c>
      <c r="D47" s="31"/>
      <c r="E47" s="11" t="s">
        <v>240</v>
      </c>
      <c r="F47" s="11" t="s">
        <v>241</v>
      </c>
      <c r="G47" s="11" t="s">
        <v>242</v>
      </c>
      <c r="H47" s="11" t="s">
        <v>20</v>
      </c>
      <c r="I47" s="11" t="s">
        <v>243</v>
      </c>
      <c r="J47" s="11" t="s">
        <v>121</v>
      </c>
      <c r="K47" s="11" t="s">
        <v>107</v>
      </c>
      <c r="L47" s="11" t="s">
        <v>122</v>
      </c>
      <c r="M47" s="11" t="s">
        <v>123</v>
      </c>
      <c r="N47" s="32" t="n">
        <v>1379</v>
      </c>
      <c r="O47" s="33" t="n">
        <v>78725</v>
      </c>
      <c r="P47" s="32" t="n">
        <v>1430</v>
      </c>
      <c r="Q47" s="34" t="n">
        <v>0.96</v>
      </c>
      <c r="R47" s="33" t="n">
        <v>35</v>
      </c>
      <c r="S47" s="33" t="n">
        <v>95</v>
      </c>
      <c r="T47" s="33" t="n">
        <v>57.09</v>
      </c>
      <c r="U47" s="11" t="n">
        <f aca="false">IFERROR(YEAR(A47),"")</f>
        <v>2026</v>
      </c>
      <c r="V47" s="33" t="n">
        <f aca="false">IFERROR(O47*B47,0)</f>
        <v>78725</v>
      </c>
      <c r="W47" s="32" t="n">
        <f aca="false">IFERROR(N47*B47,0)</f>
        <v>1379</v>
      </c>
      <c r="X47" s="11" t="n">
        <f aca="false">IF(OR(ISNUMBER(SEARCH("live nation",L47)),ISNUMBER(SEARCH("ocesa",L47))),1,0)</f>
        <v>0</v>
      </c>
      <c r="Y47" s="11" t="s">
        <v>49</v>
      </c>
    </row>
    <row r="48" customFormat="false" ht="15" hidden="false" customHeight="false" outlineLevel="0" collapsed="false">
      <c r="A48" s="25" t="n">
        <v>46110</v>
      </c>
      <c r="B48" s="13" t="n">
        <v>1</v>
      </c>
      <c r="C48" s="26" t="s">
        <v>101</v>
      </c>
      <c r="D48" s="26"/>
      <c r="E48" s="13" t="s">
        <v>244</v>
      </c>
      <c r="F48" s="13" t="s">
        <v>245</v>
      </c>
      <c r="G48" s="13" t="s">
        <v>242</v>
      </c>
      <c r="H48" s="13" t="s">
        <v>20</v>
      </c>
      <c r="I48" s="13" t="s">
        <v>246</v>
      </c>
      <c r="J48" s="13" t="s">
        <v>106</v>
      </c>
      <c r="K48" s="13" t="s">
        <v>107</v>
      </c>
      <c r="L48" s="13" t="s">
        <v>122</v>
      </c>
      <c r="M48" s="13" t="s">
        <v>109</v>
      </c>
      <c r="N48" s="27" t="n">
        <v>600</v>
      </c>
      <c r="O48" s="28" t="n">
        <v>11750</v>
      </c>
      <c r="P48" s="27" t="n">
        <v>600</v>
      </c>
      <c r="Q48" s="29" t="n">
        <v>1</v>
      </c>
      <c r="R48" s="28" t="n">
        <v>15</v>
      </c>
      <c r="S48" s="28" t="n">
        <v>25</v>
      </c>
      <c r="T48" s="28" t="n">
        <v>19.58</v>
      </c>
      <c r="U48" s="13" t="n">
        <f aca="false">IFERROR(YEAR(A48),"")</f>
        <v>2026</v>
      </c>
      <c r="V48" s="28" t="n">
        <f aca="false">IFERROR(O48*B48,0)</f>
        <v>11750</v>
      </c>
      <c r="W48" s="27" t="n">
        <f aca="false">IFERROR(N48*B48,0)</f>
        <v>600</v>
      </c>
      <c r="X48" s="13" t="n">
        <f aca="false">IF(OR(ISNUMBER(SEARCH("live nation",L48)),ISNUMBER(SEARCH("ocesa",L48))),1,0)</f>
        <v>0</v>
      </c>
      <c r="Y48" s="13" t="s">
        <v>49</v>
      </c>
    </row>
    <row r="49" customFormat="false" ht="15" hidden="false" customHeight="false" outlineLevel="0" collapsed="false">
      <c r="A49" s="30" t="n">
        <v>46110</v>
      </c>
      <c r="B49" s="11" t="n">
        <v>1</v>
      </c>
      <c r="C49" s="31" t="s">
        <v>101</v>
      </c>
      <c r="D49" s="31"/>
      <c r="E49" s="11" t="s">
        <v>244</v>
      </c>
      <c r="F49" s="11" t="s">
        <v>245</v>
      </c>
      <c r="G49" s="11" t="s">
        <v>242</v>
      </c>
      <c r="H49" s="11" t="s">
        <v>20</v>
      </c>
      <c r="I49" s="11" t="s">
        <v>246</v>
      </c>
      <c r="J49" s="11" t="s">
        <v>106</v>
      </c>
      <c r="K49" s="11" t="s">
        <v>107</v>
      </c>
      <c r="L49" s="11" t="s">
        <v>122</v>
      </c>
      <c r="M49" s="11" t="s">
        <v>109</v>
      </c>
      <c r="N49" s="32" t="n">
        <v>600</v>
      </c>
      <c r="O49" s="33" t="n">
        <v>11750</v>
      </c>
      <c r="P49" s="32" t="n">
        <v>600</v>
      </c>
      <c r="Q49" s="34" t="n">
        <v>1</v>
      </c>
      <c r="R49" s="33" t="n">
        <v>15</v>
      </c>
      <c r="S49" s="33" t="n">
        <v>25</v>
      </c>
      <c r="T49" s="33" t="n">
        <v>19.58</v>
      </c>
      <c r="U49" s="11" t="n">
        <f aca="false">IFERROR(YEAR(A49),"")</f>
        <v>2026</v>
      </c>
      <c r="V49" s="33" t="n">
        <f aca="false">IFERROR(O49*B49,0)</f>
        <v>11750</v>
      </c>
      <c r="W49" s="32" t="n">
        <f aca="false">IFERROR(N49*B49,0)</f>
        <v>600</v>
      </c>
      <c r="X49" s="11" t="n">
        <f aca="false">IF(OR(ISNUMBER(SEARCH("live nation",L49)),ISNUMBER(SEARCH("ocesa",L49))),1,0)</f>
        <v>0</v>
      </c>
      <c r="Y49" s="11" t="s">
        <v>49</v>
      </c>
    </row>
    <row r="50" customFormat="false" ht="15" hidden="false" customHeight="false" outlineLevel="0" collapsed="false">
      <c r="A50" s="25" t="n">
        <v>46110</v>
      </c>
      <c r="B50" s="13" t="n">
        <v>1</v>
      </c>
      <c r="C50" s="26" t="s">
        <v>247</v>
      </c>
      <c r="D50" s="26"/>
      <c r="E50" s="13" t="s">
        <v>248</v>
      </c>
      <c r="F50" s="13" t="s">
        <v>249</v>
      </c>
      <c r="G50" s="13"/>
      <c r="H50" s="13" t="s">
        <v>21</v>
      </c>
      <c r="I50" s="13"/>
      <c r="J50" s="13" t="s">
        <v>239</v>
      </c>
      <c r="K50" s="13" t="s">
        <v>113</v>
      </c>
      <c r="L50" s="13" t="s">
        <v>250</v>
      </c>
      <c r="M50" s="13" t="s">
        <v>251</v>
      </c>
      <c r="N50" s="27" t="n">
        <v>2102</v>
      </c>
      <c r="O50" s="28" t="n">
        <v>275393.5</v>
      </c>
      <c r="P50" s="27" t="n">
        <v>15000</v>
      </c>
      <c r="Q50" s="29" t="n">
        <v>0.14</v>
      </c>
      <c r="R50" s="28" t="n">
        <v>99.82</v>
      </c>
      <c r="S50" s="28" t="n">
        <v>162.21</v>
      </c>
      <c r="T50" s="28" t="n">
        <v>131.01</v>
      </c>
      <c r="U50" s="13" t="n">
        <f aca="false">IFERROR(YEAR(A50),"")</f>
        <v>2026</v>
      </c>
      <c r="V50" s="28" t="n">
        <f aca="false">IFERROR(O50*B50,0)</f>
        <v>275393.5</v>
      </c>
      <c r="W50" s="27" t="n">
        <f aca="false">IFERROR(N50*B50,0)</f>
        <v>2102</v>
      </c>
      <c r="X50" s="13" t="n">
        <f aca="false">IF(OR(ISNUMBER(SEARCH("live nation",L50)),ISNUMBER(SEARCH("ocesa",L50))),1,0)</f>
        <v>0</v>
      </c>
      <c r="Y50" s="13" t="s">
        <v>50</v>
      </c>
    </row>
    <row r="51" customFormat="false" ht="15" hidden="false" customHeight="false" outlineLevel="0" collapsed="false">
      <c r="A51" s="30" t="n">
        <v>46110</v>
      </c>
      <c r="B51" s="11" t="n">
        <v>1</v>
      </c>
      <c r="C51" s="31" t="s">
        <v>252</v>
      </c>
      <c r="D51" s="31" t="s">
        <v>253</v>
      </c>
      <c r="E51" s="11" t="s">
        <v>111</v>
      </c>
      <c r="F51" s="11" t="s">
        <v>112</v>
      </c>
      <c r="G51" s="11"/>
      <c r="H51" s="11" t="s">
        <v>21</v>
      </c>
      <c r="I51" s="11"/>
      <c r="J51" s="11" t="s">
        <v>97</v>
      </c>
      <c r="K51" s="11" t="s">
        <v>113</v>
      </c>
      <c r="L51" s="11" t="s">
        <v>254</v>
      </c>
      <c r="M51" s="11" t="s">
        <v>100</v>
      </c>
      <c r="N51" s="32" t="n">
        <v>18274</v>
      </c>
      <c r="O51" s="33" t="n">
        <v>1128679.13</v>
      </c>
      <c r="P51" s="32" t="n">
        <v>18274</v>
      </c>
      <c r="Q51" s="34" t="n">
        <v>1</v>
      </c>
      <c r="R51" s="33" t="n">
        <v>61.76</v>
      </c>
      <c r="S51" s="33" t="n">
        <v>61.76</v>
      </c>
      <c r="T51" s="33" t="n">
        <v>61.76</v>
      </c>
      <c r="U51" s="11" t="n">
        <f aca="false">IFERROR(YEAR(A51),"")</f>
        <v>2026</v>
      </c>
      <c r="V51" s="33" t="n">
        <f aca="false">IFERROR(O51*B51,0)</f>
        <v>1128679.13</v>
      </c>
      <c r="W51" s="32" t="n">
        <f aca="false">IFERROR(N51*B51,0)</f>
        <v>18274</v>
      </c>
      <c r="X51" s="11" t="n">
        <f aca="false">IF(OR(ISNUMBER(SEARCH("live nation",L51)),ISNUMBER(SEARCH("ocesa",L51))),1,0)</f>
        <v>0</v>
      </c>
      <c r="Y51" s="11" t="s">
        <v>50</v>
      </c>
    </row>
    <row r="52" customFormat="false" ht="15" hidden="false" customHeight="false" outlineLevel="0" collapsed="false">
      <c r="A52" s="25" t="n">
        <v>46110</v>
      </c>
      <c r="B52" s="13" t="n">
        <v>1</v>
      </c>
      <c r="C52" s="26" t="s">
        <v>101</v>
      </c>
      <c r="D52" s="26"/>
      <c r="E52" s="13" t="s">
        <v>255</v>
      </c>
      <c r="F52" s="13" t="s">
        <v>256</v>
      </c>
      <c r="G52" s="13" t="s">
        <v>235</v>
      </c>
      <c r="H52" s="13" t="s">
        <v>20</v>
      </c>
      <c r="I52" s="13" t="s">
        <v>234</v>
      </c>
      <c r="J52" s="13" t="s">
        <v>106</v>
      </c>
      <c r="K52" s="13" t="s">
        <v>107</v>
      </c>
      <c r="L52" s="13" t="s">
        <v>122</v>
      </c>
      <c r="M52" s="13" t="s">
        <v>109</v>
      </c>
      <c r="N52" s="27" t="n">
        <v>600</v>
      </c>
      <c r="O52" s="28" t="n">
        <v>10750</v>
      </c>
      <c r="P52" s="27" t="n">
        <v>750</v>
      </c>
      <c r="Q52" s="29" t="n">
        <v>0.8</v>
      </c>
      <c r="R52" s="28" t="n">
        <v>20</v>
      </c>
      <c r="S52" s="28" t="n">
        <v>25</v>
      </c>
      <c r="T52" s="28" t="n">
        <v>17.92</v>
      </c>
      <c r="U52" s="13" t="n">
        <f aca="false">IFERROR(YEAR(A52),"")</f>
        <v>2026</v>
      </c>
      <c r="V52" s="28" t="n">
        <f aca="false">IFERROR(O52*B52,0)</f>
        <v>10750</v>
      </c>
      <c r="W52" s="27" t="n">
        <f aca="false">IFERROR(N52*B52,0)</f>
        <v>600</v>
      </c>
      <c r="X52" s="13" t="n">
        <f aca="false">IF(OR(ISNUMBER(SEARCH("live nation",L52)),ISNUMBER(SEARCH("ocesa",L52))),1,0)</f>
        <v>0</v>
      </c>
      <c r="Y52" s="13" t="s">
        <v>49</v>
      </c>
    </row>
    <row r="53" customFormat="false" ht="15" hidden="false" customHeight="false" outlineLevel="0" collapsed="false">
      <c r="A53" s="30" t="n">
        <v>46109</v>
      </c>
      <c r="B53" s="11" t="n">
        <v>1</v>
      </c>
      <c r="C53" s="31" t="s">
        <v>252</v>
      </c>
      <c r="D53" s="31" t="s">
        <v>257</v>
      </c>
      <c r="E53" s="11" t="s">
        <v>111</v>
      </c>
      <c r="F53" s="11" t="s">
        <v>112</v>
      </c>
      <c r="G53" s="11"/>
      <c r="H53" s="11" t="s">
        <v>21</v>
      </c>
      <c r="I53" s="11"/>
      <c r="J53" s="11" t="s">
        <v>97</v>
      </c>
      <c r="K53" s="11" t="s">
        <v>113</v>
      </c>
      <c r="L53" s="11" t="s">
        <v>254</v>
      </c>
      <c r="M53" s="11" t="s">
        <v>100</v>
      </c>
      <c r="N53" s="32" t="n">
        <v>18274</v>
      </c>
      <c r="O53" s="33" t="n">
        <v>1128594.72</v>
      </c>
      <c r="P53" s="32" t="n">
        <v>18274</v>
      </c>
      <c r="Q53" s="34" t="n">
        <v>1</v>
      </c>
      <c r="R53" s="33" t="n">
        <v>61.76</v>
      </c>
      <c r="S53" s="33" t="n">
        <v>61.76</v>
      </c>
      <c r="T53" s="33" t="n">
        <v>61.76</v>
      </c>
      <c r="U53" s="11" t="n">
        <f aca="false">IFERROR(YEAR(A53),"")</f>
        <v>2026</v>
      </c>
      <c r="V53" s="33" t="n">
        <f aca="false">IFERROR(O53*B53,0)</f>
        <v>1128594.72</v>
      </c>
      <c r="W53" s="32" t="n">
        <f aca="false">IFERROR(N53*B53,0)</f>
        <v>18274</v>
      </c>
      <c r="X53" s="11" t="n">
        <f aca="false">IF(OR(ISNUMBER(SEARCH("live nation",L53)),ISNUMBER(SEARCH("ocesa",L53))),1,0)</f>
        <v>0</v>
      </c>
      <c r="Y53" s="11" t="s">
        <v>50</v>
      </c>
    </row>
    <row r="54" customFormat="false" ht="15" hidden="false" customHeight="false" outlineLevel="0" collapsed="false">
      <c r="A54" s="25" t="n">
        <v>46108</v>
      </c>
      <c r="B54" s="13" t="n">
        <v>1</v>
      </c>
      <c r="C54" s="26" t="s">
        <v>258</v>
      </c>
      <c r="D54" s="26"/>
      <c r="E54" s="13" t="s">
        <v>187</v>
      </c>
      <c r="F54" s="13" t="s">
        <v>188</v>
      </c>
      <c r="G54" s="13" t="s">
        <v>189</v>
      </c>
      <c r="H54" s="13" t="s">
        <v>20</v>
      </c>
      <c r="I54" s="13" t="s">
        <v>190</v>
      </c>
      <c r="J54" s="13" t="s">
        <v>106</v>
      </c>
      <c r="K54" s="13" t="s">
        <v>107</v>
      </c>
      <c r="L54" s="13" t="s">
        <v>259</v>
      </c>
      <c r="M54" s="13" t="s">
        <v>109</v>
      </c>
      <c r="N54" s="27" t="n">
        <v>299</v>
      </c>
      <c r="O54" s="28" t="n">
        <v>6225</v>
      </c>
      <c r="P54" s="27" t="n">
        <v>500</v>
      </c>
      <c r="Q54" s="29" t="n">
        <v>0.59</v>
      </c>
      <c r="R54" s="28" t="n">
        <v>15</v>
      </c>
      <c r="S54" s="28" t="n">
        <v>25</v>
      </c>
      <c r="T54" s="28" t="n">
        <v>20.82</v>
      </c>
      <c r="U54" s="13" t="n">
        <f aca="false">IFERROR(YEAR(A54),"")</f>
        <v>2026</v>
      </c>
      <c r="V54" s="28" t="n">
        <f aca="false">IFERROR(O54*B54,0)</f>
        <v>6225</v>
      </c>
      <c r="W54" s="27" t="n">
        <f aca="false">IFERROR(N54*B54,0)</f>
        <v>299</v>
      </c>
      <c r="X54" s="13" t="n">
        <f aca="false">IF(OR(ISNUMBER(SEARCH("live nation",L54)),ISNUMBER(SEARCH("ocesa",L54))),1,0)</f>
        <v>0</v>
      </c>
      <c r="Y54" s="13" t="s">
        <v>49</v>
      </c>
    </row>
    <row r="55" customFormat="false" ht="15" hidden="false" customHeight="false" outlineLevel="0" collapsed="false">
      <c r="A55" s="30" t="n">
        <v>46108</v>
      </c>
      <c r="B55" s="11" t="n">
        <v>1</v>
      </c>
      <c r="C55" s="31" t="s">
        <v>260</v>
      </c>
      <c r="D55" s="31"/>
      <c r="E55" s="11" t="s">
        <v>261</v>
      </c>
      <c r="F55" s="11" t="s">
        <v>262</v>
      </c>
      <c r="G55" s="11" t="s">
        <v>119</v>
      </c>
      <c r="H55" s="11" t="s">
        <v>20</v>
      </c>
      <c r="I55" s="11" t="s">
        <v>263</v>
      </c>
      <c r="J55" s="11" t="s">
        <v>106</v>
      </c>
      <c r="K55" s="11" t="s">
        <v>107</v>
      </c>
      <c r="L55" s="11" t="s">
        <v>264</v>
      </c>
      <c r="M55" s="11" t="s">
        <v>100</v>
      </c>
      <c r="N55" s="32" t="n">
        <v>139</v>
      </c>
      <c r="O55" s="33" t="n">
        <v>2361</v>
      </c>
      <c r="P55" s="32" t="n">
        <v>500</v>
      </c>
      <c r="Q55" s="34" t="n">
        <v>0.27</v>
      </c>
      <c r="R55" s="33" t="n">
        <v>15</v>
      </c>
      <c r="S55" s="33" t="n">
        <v>21</v>
      </c>
      <c r="T55" s="33" t="n">
        <v>16.99</v>
      </c>
      <c r="U55" s="11" t="n">
        <f aca="false">IFERROR(YEAR(A55),"")</f>
        <v>2026</v>
      </c>
      <c r="V55" s="33" t="n">
        <f aca="false">IFERROR(O55*B55,0)</f>
        <v>2361</v>
      </c>
      <c r="W55" s="32" t="n">
        <f aca="false">IFERROR(N55*B55,0)</f>
        <v>139</v>
      </c>
      <c r="X55" s="11" t="n">
        <f aca="false">IF(OR(ISNUMBER(SEARCH("live nation",L55)),ISNUMBER(SEARCH("ocesa",L55))),1,0)</f>
        <v>0</v>
      </c>
      <c r="Y55" s="11" t="s">
        <v>49</v>
      </c>
    </row>
    <row r="56" customFormat="false" ht="15" hidden="false" customHeight="false" outlineLevel="0" collapsed="false">
      <c r="A56" s="25" t="n">
        <v>46106</v>
      </c>
      <c r="B56" s="13" t="n">
        <v>1</v>
      </c>
      <c r="C56" s="26" t="s">
        <v>116</v>
      </c>
      <c r="D56" s="26"/>
      <c r="E56" s="13" t="s">
        <v>265</v>
      </c>
      <c r="F56" s="13" t="s">
        <v>266</v>
      </c>
      <c r="G56" s="13" t="s">
        <v>208</v>
      </c>
      <c r="H56" s="13" t="s">
        <v>20</v>
      </c>
      <c r="I56" s="13" t="s">
        <v>267</v>
      </c>
      <c r="J56" s="13" t="s">
        <v>121</v>
      </c>
      <c r="K56" s="13" t="s">
        <v>107</v>
      </c>
      <c r="L56" s="13" t="s">
        <v>122</v>
      </c>
      <c r="M56" s="13" t="s">
        <v>123</v>
      </c>
      <c r="N56" s="27" t="n">
        <v>883</v>
      </c>
      <c r="O56" s="28" t="n">
        <v>32826</v>
      </c>
      <c r="P56" s="27" t="n">
        <v>1166</v>
      </c>
      <c r="Q56" s="29" t="n">
        <v>0.75</v>
      </c>
      <c r="R56" s="28" t="n">
        <v>26</v>
      </c>
      <c r="S56" s="28" t="n">
        <v>86</v>
      </c>
      <c r="T56" s="28" t="n">
        <v>37.18</v>
      </c>
      <c r="U56" s="13" t="n">
        <f aca="false">IFERROR(YEAR(A56),"")</f>
        <v>2026</v>
      </c>
      <c r="V56" s="28" t="n">
        <f aca="false">IFERROR(O56*B56,0)</f>
        <v>32826</v>
      </c>
      <c r="W56" s="27" t="n">
        <f aca="false">IFERROR(N56*B56,0)</f>
        <v>883</v>
      </c>
      <c r="X56" s="13" t="n">
        <f aca="false">IF(OR(ISNUMBER(SEARCH("live nation",L56)),ISNUMBER(SEARCH("ocesa",L56))),1,0)</f>
        <v>0</v>
      </c>
      <c r="Y56" s="13" t="s">
        <v>49</v>
      </c>
    </row>
    <row r="57" customFormat="false" ht="15" hidden="false" customHeight="false" outlineLevel="0" collapsed="false">
      <c r="A57" s="30" t="n">
        <v>46106</v>
      </c>
      <c r="B57" s="11" t="n">
        <v>2</v>
      </c>
      <c r="C57" s="31" t="s">
        <v>268</v>
      </c>
      <c r="D57" s="31"/>
      <c r="E57" s="11" t="s">
        <v>269</v>
      </c>
      <c r="F57" s="11" t="s">
        <v>185</v>
      </c>
      <c r="G57" s="11"/>
      <c r="H57" s="11" t="s">
        <v>21</v>
      </c>
      <c r="I57" s="11"/>
      <c r="J57" s="11" t="s">
        <v>97</v>
      </c>
      <c r="K57" s="11" t="s">
        <v>113</v>
      </c>
      <c r="L57" s="11" t="s">
        <v>250</v>
      </c>
      <c r="M57" s="11" t="s">
        <v>270</v>
      </c>
      <c r="N57" s="32" t="n">
        <v>15000</v>
      </c>
      <c r="O57" s="33" t="n">
        <v>1142914.92</v>
      </c>
      <c r="P57" s="32" t="n">
        <v>15000</v>
      </c>
      <c r="Q57" s="34" t="n">
        <v>1</v>
      </c>
      <c r="R57" s="33" t="n">
        <v>76.19</v>
      </c>
      <c r="S57" s="33" t="n">
        <v>76.19</v>
      </c>
      <c r="T57" s="33" t="n">
        <v>76.19</v>
      </c>
      <c r="U57" s="11" t="n">
        <f aca="false">IFERROR(YEAR(A57),"")</f>
        <v>2026</v>
      </c>
      <c r="V57" s="33" t="n">
        <f aca="false">IFERROR(O57*B57,0)</f>
        <v>2285829.84</v>
      </c>
      <c r="W57" s="32" t="n">
        <f aca="false">IFERROR(N57*B57,0)</f>
        <v>30000</v>
      </c>
      <c r="X57" s="11" t="n">
        <f aca="false">IF(OR(ISNUMBER(SEARCH("live nation",L57)),ISNUMBER(SEARCH("ocesa",L57))),1,0)</f>
        <v>0</v>
      </c>
      <c r="Y57" s="11" t="s">
        <v>50</v>
      </c>
    </row>
    <row r="58" customFormat="false" ht="15" hidden="false" customHeight="false" outlineLevel="0" collapsed="false">
      <c r="A58" s="25" t="n">
        <v>46104</v>
      </c>
      <c r="B58" s="13" t="n">
        <v>1</v>
      </c>
      <c r="C58" s="26" t="s">
        <v>271</v>
      </c>
      <c r="D58" s="26"/>
      <c r="E58" s="13" t="s">
        <v>111</v>
      </c>
      <c r="F58" s="13" t="s">
        <v>112</v>
      </c>
      <c r="G58" s="13"/>
      <c r="H58" s="13" t="s">
        <v>21</v>
      </c>
      <c r="I58" s="13"/>
      <c r="J58" s="13" t="s">
        <v>97</v>
      </c>
      <c r="K58" s="13" t="s">
        <v>113</v>
      </c>
      <c r="L58" s="13" t="s">
        <v>254</v>
      </c>
      <c r="M58" s="13" t="s">
        <v>100</v>
      </c>
      <c r="N58" s="27" t="n">
        <v>8563</v>
      </c>
      <c r="O58" s="28" t="n">
        <v>472568.04</v>
      </c>
      <c r="P58" s="27" t="n">
        <v>8563</v>
      </c>
      <c r="Q58" s="29" t="n">
        <v>1</v>
      </c>
      <c r="R58" s="28" t="n">
        <v>55.19</v>
      </c>
      <c r="S58" s="28" t="n">
        <v>55.19</v>
      </c>
      <c r="T58" s="28" t="n">
        <v>55.19</v>
      </c>
      <c r="U58" s="13" t="n">
        <f aca="false">IFERROR(YEAR(A58),"")</f>
        <v>2026</v>
      </c>
      <c r="V58" s="28" t="n">
        <f aca="false">IFERROR(O58*B58,0)</f>
        <v>472568.04</v>
      </c>
      <c r="W58" s="27" t="n">
        <f aca="false">IFERROR(N58*B58,0)</f>
        <v>8563</v>
      </c>
      <c r="X58" s="13" t="n">
        <f aca="false">IF(OR(ISNUMBER(SEARCH("live nation",L58)),ISNUMBER(SEARCH("ocesa",L58))),1,0)</f>
        <v>0</v>
      </c>
      <c r="Y58" s="13" t="s">
        <v>50</v>
      </c>
    </row>
    <row r="59" customFormat="false" ht="15" hidden="false" customHeight="false" outlineLevel="0" collapsed="false">
      <c r="A59" s="30" t="n">
        <v>46103</v>
      </c>
      <c r="B59" s="11" t="n">
        <v>1</v>
      </c>
      <c r="C59" s="31" t="s">
        <v>101</v>
      </c>
      <c r="D59" s="31"/>
      <c r="E59" s="11" t="s">
        <v>244</v>
      </c>
      <c r="F59" s="11" t="s">
        <v>245</v>
      </c>
      <c r="G59" s="11" t="s">
        <v>242</v>
      </c>
      <c r="H59" s="11" t="s">
        <v>20</v>
      </c>
      <c r="I59" s="11" t="s">
        <v>246</v>
      </c>
      <c r="J59" s="11" t="s">
        <v>106</v>
      </c>
      <c r="K59" s="11" t="s">
        <v>107</v>
      </c>
      <c r="L59" s="11" t="s">
        <v>122</v>
      </c>
      <c r="M59" s="11" t="s">
        <v>109</v>
      </c>
      <c r="N59" s="32" t="n">
        <v>600</v>
      </c>
      <c r="O59" s="33" t="n">
        <v>12000</v>
      </c>
      <c r="P59" s="32" t="n">
        <v>600</v>
      </c>
      <c r="Q59" s="34" t="n">
        <v>1</v>
      </c>
      <c r="R59" s="33" t="n">
        <v>20</v>
      </c>
      <c r="S59" s="33" t="n">
        <v>25</v>
      </c>
      <c r="T59" s="33" t="n">
        <v>20</v>
      </c>
      <c r="U59" s="11" t="n">
        <f aca="false">IFERROR(YEAR(A59),"")</f>
        <v>2026</v>
      </c>
      <c r="V59" s="33" t="n">
        <f aca="false">IFERROR(O59*B59,0)</f>
        <v>12000</v>
      </c>
      <c r="W59" s="32" t="n">
        <f aca="false">IFERROR(N59*B59,0)</f>
        <v>600</v>
      </c>
      <c r="X59" s="11" t="n">
        <f aca="false">IF(OR(ISNUMBER(SEARCH("live nation",L59)),ISNUMBER(SEARCH("ocesa",L59))),1,0)</f>
        <v>0</v>
      </c>
      <c r="Y59" s="11" t="s">
        <v>49</v>
      </c>
    </row>
    <row r="60" customFormat="false" ht="15" hidden="false" customHeight="false" outlineLevel="0" collapsed="false">
      <c r="A60" s="25" t="n">
        <v>46103</v>
      </c>
      <c r="B60" s="13" t="n">
        <v>1</v>
      </c>
      <c r="C60" s="26" t="s">
        <v>101</v>
      </c>
      <c r="D60" s="26"/>
      <c r="E60" s="13" t="s">
        <v>244</v>
      </c>
      <c r="F60" s="13" t="s">
        <v>245</v>
      </c>
      <c r="G60" s="13" t="s">
        <v>242</v>
      </c>
      <c r="H60" s="13" t="s">
        <v>20</v>
      </c>
      <c r="I60" s="13" t="s">
        <v>246</v>
      </c>
      <c r="J60" s="13" t="s">
        <v>106</v>
      </c>
      <c r="K60" s="13" t="s">
        <v>107</v>
      </c>
      <c r="L60" s="13" t="s">
        <v>122</v>
      </c>
      <c r="M60" s="13" t="s">
        <v>109</v>
      </c>
      <c r="N60" s="27" t="n">
        <v>465</v>
      </c>
      <c r="O60" s="28" t="n">
        <v>9405</v>
      </c>
      <c r="P60" s="27" t="n">
        <v>600</v>
      </c>
      <c r="Q60" s="29" t="n">
        <v>0.77</v>
      </c>
      <c r="R60" s="28" t="n">
        <v>20</v>
      </c>
      <c r="S60" s="28" t="n">
        <v>25</v>
      </c>
      <c r="T60" s="28" t="n">
        <v>20.23</v>
      </c>
      <c r="U60" s="13" t="n">
        <f aca="false">IFERROR(YEAR(A60),"")</f>
        <v>2026</v>
      </c>
      <c r="V60" s="28" t="n">
        <f aca="false">IFERROR(O60*B60,0)</f>
        <v>9405</v>
      </c>
      <c r="W60" s="27" t="n">
        <f aca="false">IFERROR(N60*B60,0)</f>
        <v>465</v>
      </c>
      <c r="X60" s="13" t="n">
        <f aca="false">IF(OR(ISNUMBER(SEARCH("live nation",L60)),ISNUMBER(SEARCH("ocesa",L60))),1,0)</f>
        <v>0</v>
      </c>
      <c r="Y60" s="13" t="s">
        <v>49</v>
      </c>
    </row>
    <row r="61" customFormat="false" ht="15" hidden="false" customHeight="false" outlineLevel="0" collapsed="false">
      <c r="A61" s="30" t="n">
        <v>46103</v>
      </c>
      <c r="B61" s="11" t="n">
        <v>1</v>
      </c>
      <c r="C61" s="31" t="s">
        <v>271</v>
      </c>
      <c r="D61" s="31"/>
      <c r="E61" s="11" t="s">
        <v>111</v>
      </c>
      <c r="F61" s="11" t="s">
        <v>112</v>
      </c>
      <c r="G61" s="11"/>
      <c r="H61" s="11" t="s">
        <v>21</v>
      </c>
      <c r="I61" s="11"/>
      <c r="J61" s="11" t="s">
        <v>97</v>
      </c>
      <c r="K61" s="11" t="s">
        <v>113</v>
      </c>
      <c r="L61" s="11" t="s">
        <v>254</v>
      </c>
      <c r="M61" s="11" t="s">
        <v>100</v>
      </c>
      <c r="N61" s="32" t="n">
        <v>8563</v>
      </c>
      <c r="O61" s="33" t="n">
        <v>473227.51</v>
      </c>
      <c r="P61" s="32" t="n">
        <v>8563</v>
      </c>
      <c r="Q61" s="34" t="n">
        <v>1</v>
      </c>
      <c r="R61" s="33" t="n">
        <v>55.26</v>
      </c>
      <c r="S61" s="33" t="n">
        <v>55.26</v>
      </c>
      <c r="T61" s="33" t="n">
        <v>55.26</v>
      </c>
      <c r="U61" s="11" t="n">
        <f aca="false">IFERROR(YEAR(A61),"")</f>
        <v>2026</v>
      </c>
      <c r="V61" s="33" t="n">
        <f aca="false">IFERROR(O61*B61,0)</f>
        <v>473227.51</v>
      </c>
      <c r="W61" s="32" t="n">
        <f aca="false">IFERROR(N61*B61,0)</f>
        <v>8563</v>
      </c>
      <c r="X61" s="11" t="n">
        <f aca="false">IF(OR(ISNUMBER(SEARCH("live nation",L61)),ISNUMBER(SEARCH("ocesa",L61))),1,0)</f>
        <v>0</v>
      </c>
      <c r="Y61" s="11" t="s">
        <v>50</v>
      </c>
    </row>
    <row r="62" customFormat="false" ht="15" hidden="false" customHeight="false" outlineLevel="0" collapsed="false">
      <c r="A62" s="25" t="n">
        <v>46103</v>
      </c>
      <c r="B62" s="13" t="n">
        <v>1</v>
      </c>
      <c r="C62" s="26" t="s">
        <v>272</v>
      </c>
      <c r="D62" s="26"/>
      <c r="E62" s="13" t="s">
        <v>273</v>
      </c>
      <c r="F62" s="13" t="s">
        <v>274</v>
      </c>
      <c r="G62" s="13"/>
      <c r="H62" s="13" t="s">
        <v>28</v>
      </c>
      <c r="I62" s="13"/>
      <c r="J62" s="13" t="s">
        <v>275</v>
      </c>
      <c r="K62" s="13" t="s">
        <v>98</v>
      </c>
      <c r="L62" s="13" t="s">
        <v>276</v>
      </c>
      <c r="M62" s="13" t="s">
        <v>277</v>
      </c>
      <c r="N62" s="27" t="n">
        <v>3416</v>
      </c>
      <c r="O62" s="28" t="n">
        <v>371589.39</v>
      </c>
      <c r="P62" s="27" t="n">
        <v>8500</v>
      </c>
      <c r="Q62" s="29" t="n">
        <v>0.4</v>
      </c>
      <c r="R62" s="28" t="n">
        <v>108.78</v>
      </c>
      <c r="S62" s="28" t="n">
        <v>108.78</v>
      </c>
      <c r="T62" s="28" t="n">
        <v>108.78</v>
      </c>
      <c r="U62" s="13" t="n">
        <f aca="false">IFERROR(YEAR(A62),"")</f>
        <v>2026</v>
      </c>
      <c r="V62" s="28" t="n">
        <f aca="false">IFERROR(O62*B62,0)</f>
        <v>371589.39</v>
      </c>
      <c r="W62" s="27" t="n">
        <f aca="false">IFERROR(N62*B62,0)</f>
        <v>3416</v>
      </c>
      <c r="X62" s="13" t="n">
        <f aca="false">IF(OR(ISNUMBER(SEARCH("live nation",L62)),ISNUMBER(SEARCH("ocesa",L62))),1,0)</f>
        <v>0</v>
      </c>
      <c r="Y62" s="13" t="s">
        <v>49</v>
      </c>
    </row>
    <row r="63" customFormat="false" ht="15" hidden="false" customHeight="false" outlineLevel="0" collapsed="false">
      <c r="A63" s="30" t="n">
        <v>46102</v>
      </c>
      <c r="B63" s="11" t="n">
        <v>1</v>
      </c>
      <c r="C63" s="31" t="s">
        <v>278</v>
      </c>
      <c r="D63" s="31"/>
      <c r="E63" s="11" t="s">
        <v>279</v>
      </c>
      <c r="F63" s="11" t="s">
        <v>280</v>
      </c>
      <c r="G63" s="11" t="s">
        <v>281</v>
      </c>
      <c r="H63" s="11" t="s">
        <v>20</v>
      </c>
      <c r="I63" s="11" t="s">
        <v>280</v>
      </c>
      <c r="J63" s="11" t="s">
        <v>106</v>
      </c>
      <c r="K63" s="11" t="s">
        <v>107</v>
      </c>
      <c r="L63" s="11" t="s">
        <v>282</v>
      </c>
      <c r="M63" s="11" t="s">
        <v>109</v>
      </c>
      <c r="N63" s="32" t="n">
        <v>122</v>
      </c>
      <c r="O63" s="33" t="n">
        <v>2602</v>
      </c>
      <c r="P63" s="32" t="n">
        <v>220</v>
      </c>
      <c r="Q63" s="34" t="n">
        <v>0.55</v>
      </c>
      <c r="R63" s="33" t="n">
        <v>18</v>
      </c>
      <c r="S63" s="33" t="n">
        <v>35</v>
      </c>
      <c r="T63" s="33" t="n">
        <v>21.33</v>
      </c>
      <c r="U63" s="11" t="n">
        <f aca="false">IFERROR(YEAR(A63),"")</f>
        <v>2026</v>
      </c>
      <c r="V63" s="33" t="n">
        <f aca="false">IFERROR(O63*B63,0)</f>
        <v>2602</v>
      </c>
      <c r="W63" s="32" t="n">
        <f aca="false">IFERROR(N63*B63,0)</f>
        <v>122</v>
      </c>
      <c r="X63" s="11" t="n">
        <f aca="false">IF(OR(ISNUMBER(SEARCH("live nation",L63)),ISNUMBER(SEARCH("ocesa",L63))),1,0)</f>
        <v>0</v>
      </c>
      <c r="Y63" s="11" t="s">
        <v>49</v>
      </c>
    </row>
    <row r="64" customFormat="false" ht="15" hidden="false" customHeight="false" outlineLevel="0" collapsed="false">
      <c r="A64" s="25" t="n">
        <v>46102</v>
      </c>
      <c r="B64" s="13" t="n">
        <v>1</v>
      </c>
      <c r="C64" s="26" t="s">
        <v>62</v>
      </c>
      <c r="D64" s="26"/>
      <c r="E64" s="13" t="s">
        <v>283</v>
      </c>
      <c r="F64" s="13" t="s">
        <v>284</v>
      </c>
      <c r="G64" s="13"/>
      <c r="H64" s="13" t="s">
        <v>285</v>
      </c>
      <c r="I64" s="13"/>
      <c r="J64" s="13" t="s">
        <v>133</v>
      </c>
      <c r="K64" s="13" t="s">
        <v>134</v>
      </c>
      <c r="L64" s="13" t="s">
        <v>145</v>
      </c>
      <c r="M64" s="13" t="s">
        <v>100</v>
      </c>
      <c r="N64" s="27" t="n">
        <v>21887</v>
      </c>
      <c r="O64" s="28" t="n">
        <v>4983331.44</v>
      </c>
      <c r="P64" s="27" t="n">
        <v>22157</v>
      </c>
      <c r="Q64" s="29" t="n">
        <v>0.98</v>
      </c>
      <c r="R64" s="28" t="n">
        <v>91.68</v>
      </c>
      <c r="S64" s="28" t="n">
        <v>333.37</v>
      </c>
      <c r="T64" s="28" t="n">
        <v>227.68</v>
      </c>
      <c r="U64" s="13" t="n">
        <f aca="false">IFERROR(YEAR(A64),"")</f>
        <v>2026</v>
      </c>
      <c r="V64" s="28" t="n">
        <f aca="false">IFERROR(O64*B64,0)</f>
        <v>4983331.44</v>
      </c>
      <c r="W64" s="27" t="n">
        <f aca="false">IFERROR(N64*B64,0)</f>
        <v>21887</v>
      </c>
      <c r="X64" s="13" t="n">
        <f aca="false">IF(OR(ISNUMBER(SEARCH("live nation",L64)),ISNUMBER(SEARCH("ocesa",L64))),1,0)</f>
        <v>0</v>
      </c>
      <c r="Y64" s="13" t="s">
        <v>50</v>
      </c>
    </row>
    <row r="65" customFormat="false" ht="15" hidden="false" customHeight="false" outlineLevel="0" collapsed="false">
      <c r="A65" s="30" t="n">
        <v>46102</v>
      </c>
      <c r="B65" s="11" t="n">
        <v>1</v>
      </c>
      <c r="C65" s="31" t="s">
        <v>286</v>
      </c>
      <c r="D65" s="31"/>
      <c r="E65" s="11" t="s">
        <v>111</v>
      </c>
      <c r="F65" s="11" t="s">
        <v>112</v>
      </c>
      <c r="G65" s="11"/>
      <c r="H65" s="11" t="s">
        <v>21</v>
      </c>
      <c r="I65" s="11"/>
      <c r="J65" s="11" t="s">
        <v>97</v>
      </c>
      <c r="K65" s="11" t="s">
        <v>113</v>
      </c>
      <c r="L65" s="11" t="s">
        <v>254</v>
      </c>
      <c r="M65" s="11" t="s">
        <v>100</v>
      </c>
      <c r="N65" s="32" t="n">
        <v>12409</v>
      </c>
      <c r="O65" s="33" t="n">
        <v>685773.71</v>
      </c>
      <c r="P65" s="32" t="n">
        <v>12409</v>
      </c>
      <c r="Q65" s="34" t="n">
        <v>1</v>
      </c>
      <c r="R65" s="33" t="n">
        <v>55.26</v>
      </c>
      <c r="S65" s="33" t="n">
        <v>55.26</v>
      </c>
      <c r="T65" s="33" t="n">
        <v>55.26</v>
      </c>
      <c r="U65" s="11" t="n">
        <f aca="false">IFERROR(YEAR(A65),"")</f>
        <v>2026</v>
      </c>
      <c r="V65" s="33" t="n">
        <f aca="false">IFERROR(O65*B65,0)</f>
        <v>685773.71</v>
      </c>
      <c r="W65" s="32" t="n">
        <f aca="false">IFERROR(N65*B65,0)</f>
        <v>12409</v>
      </c>
      <c r="X65" s="11" t="n">
        <f aca="false">IF(OR(ISNUMBER(SEARCH("live nation",L65)),ISNUMBER(SEARCH("ocesa",L65))),1,0)</f>
        <v>0</v>
      </c>
      <c r="Y65" s="11" t="s">
        <v>50</v>
      </c>
    </row>
    <row r="66" customFormat="false" ht="15" hidden="false" customHeight="false" outlineLevel="0" collapsed="false">
      <c r="A66" s="25" t="n">
        <v>46101</v>
      </c>
      <c r="B66" s="13" t="n">
        <v>1</v>
      </c>
      <c r="C66" s="26" t="s">
        <v>287</v>
      </c>
      <c r="D66" s="26"/>
      <c r="E66" s="13" t="s">
        <v>288</v>
      </c>
      <c r="F66" s="13" t="s">
        <v>223</v>
      </c>
      <c r="G66" s="13" t="s">
        <v>224</v>
      </c>
      <c r="H66" s="13" t="s">
        <v>20</v>
      </c>
      <c r="I66" s="13" t="s">
        <v>225</v>
      </c>
      <c r="J66" s="13" t="s">
        <v>106</v>
      </c>
      <c r="K66" s="13" t="s">
        <v>107</v>
      </c>
      <c r="L66" s="13" t="s">
        <v>289</v>
      </c>
      <c r="M66" s="13" t="s">
        <v>100</v>
      </c>
      <c r="N66" s="27" t="n">
        <v>134</v>
      </c>
      <c r="O66" s="28" t="n">
        <v>2360</v>
      </c>
      <c r="P66" s="27" t="n">
        <v>700</v>
      </c>
      <c r="Q66" s="29" t="n">
        <v>0.19</v>
      </c>
      <c r="R66" s="28" t="n">
        <v>15</v>
      </c>
      <c r="S66" s="28" t="n">
        <v>20</v>
      </c>
      <c r="T66" s="28" t="n">
        <v>17.61</v>
      </c>
      <c r="U66" s="13" t="n">
        <f aca="false">IFERROR(YEAR(A66),"")</f>
        <v>2026</v>
      </c>
      <c r="V66" s="28" t="n">
        <f aca="false">IFERROR(O66*B66,0)</f>
        <v>2360</v>
      </c>
      <c r="W66" s="27" t="n">
        <f aca="false">IFERROR(N66*B66,0)</f>
        <v>134</v>
      </c>
      <c r="X66" s="13" t="n">
        <f aca="false">IF(OR(ISNUMBER(SEARCH("live nation",L66)),ISNUMBER(SEARCH("ocesa",L66))),1,0)</f>
        <v>0</v>
      </c>
      <c r="Y66" s="13" t="s">
        <v>49</v>
      </c>
    </row>
    <row r="67" customFormat="false" ht="15" hidden="false" customHeight="false" outlineLevel="0" collapsed="false">
      <c r="A67" s="30" t="n">
        <v>46101</v>
      </c>
      <c r="B67" s="11" t="n">
        <v>1</v>
      </c>
      <c r="C67" s="31" t="s">
        <v>286</v>
      </c>
      <c r="D67" s="31"/>
      <c r="E67" s="11" t="s">
        <v>111</v>
      </c>
      <c r="F67" s="11" t="s">
        <v>112</v>
      </c>
      <c r="G67" s="11"/>
      <c r="H67" s="11" t="s">
        <v>21</v>
      </c>
      <c r="I67" s="11"/>
      <c r="J67" s="11" t="s">
        <v>97</v>
      </c>
      <c r="K67" s="11" t="s">
        <v>113</v>
      </c>
      <c r="L67" s="11" t="s">
        <v>254</v>
      </c>
      <c r="M67" s="11" t="s">
        <v>100</v>
      </c>
      <c r="N67" s="32" t="n">
        <v>12409</v>
      </c>
      <c r="O67" s="33" t="n">
        <v>689419.33</v>
      </c>
      <c r="P67" s="32" t="n">
        <v>12409</v>
      </c>
      <c r="Q67" s="34" t="n">
        <v>1</v>
      </c>
      <c r="R67" s="33" t="n">
        <v>55.56</v>
      </c>
      <c r="S67" s="33" t="n">
        <v>55.56</v>
      </c>
      <c r="T67" s="33" t="n">
        <v>55.56</v>
      </c>
      <c r="U67" s="11" t="n">
        <f aca="false">IFERROR(YEAR(A67),"")</f>
        <v>2026</v>
      </c>
      <c r="V67" s="33" t="n">
        <f aca="false">IFERROR(O67*B67,0)</f>
        <v>689419.33</v>
      </c>
      <c r="W67" s="32" t="n">
        <f aca="false">IFERROR(N67*B67,0)</f>
        <v>12409</v>
      </c>
      <c r="X67" s="11" t="n">
        <f aca="false">IF(OR(ISNUMBER(SEARCH("live nation",L67)),ISNUMBER(SEARCH("ocesa",L67))),1,0)</f>
        <v>0</v>
      </c>
      <c r="Y67" s="11" t="s">
        <v>50</v>
      </c>
    </row>
    <row r="68" customFormat="false" ht="15" hidden="false" customHeight="false" outlineLevel="0" collapsed="false">
      <c r="A68" s="25" t="n">
        <v>46101</v>
      </c>
      <c r="B68" s="13" t="n">
        <v>1</v>
      </c>
      <c r="C68" s="26" t="s">
        <v>272</v>
      </c>
      <c r="D68" s="26"/>
      <c r="E68" s="13" t="s">
        <v>290</v>
      </c>
      <c r="F68" s="13" t="s">
        <v>291</v>
      </c>
      <c r="G68" s="13"/>
      <c r="H68" s="13" t="s">
        <v>28</v>
      </c>
      <c r="I68" s="13"/>
      <c r="J68" s="13" t="s">
        <v>97</v>
      </c>
      <c r="K68" s="13" t="s">
        <v>98</v>
      </c>
      <c r="L68" s="13" t="s">
        <v>276</v>
      </c>
      <c r="M68" s="13" t="s">
        <v>277</v>
      </c>
      <c r="N68" s="27" t="n">
        <v>3217</v>
      </c>
      <c r="O68" s="28" t="n">
        <v>351892.33</v>
      </c>
      <c r="P68" s="27" t="n">
        <v>5550</v>
      </c>
      <c r="Q68" s="29" t="n">
        <v>0.57</v>
      </c>
      <c r="R68" s="28" t="n">
        <v>109.39</v>
      </c>
      <c r="S68" s="28" t="n">
        <v>109.39</v>
      </c>
      <c r="T68" s="28" t="n">
        <v>109.39</v>
      </c>
      <c r="U68" s="13" t="n">
        <f aca="false">IFERROR(YEAR(A68),"")</f>
        <v>2026</v>
      </c>
      <c r="V68" s="28" t="n">
        <f aca="false">IFERROR(O68*B68,0)</f>
        <v>351892.33</v>
      </c>
      <c r="W68" s="27" t="n">
        <f aca="false">IFERROR(N68*B68,0)</f>
        <v>3217</v>
      </c>
      <c r="X68" s="13" t="n">
        <f aca="false">IF(OR(ISNUMBER(SEARCH("live nation",L68)),ISNUMBER(SEARCH("ocesa",L68))),1,0)</f>
        <v>0</v>
      </c>
      <c r="Y68" s="13" t="s">
        <v>49</v>
      </c>
    </row>
    <row r="69" customFormat="false" ht="15" hidden="false" customHeight="false" outlineLevel="0" collapsed="false">
      <c r="A69" s="30" t="n">
        <v>46100</v>
      </c>
      <c r="B69" s="11" t="n">
        <v>10</v>
      </c>
      <c r="C69" s="31" t="s">
        <v>292</v>
      </c>
      <c r="D69" s="31" t="s">
        <v>293</v>
      </c>
      <c r="E69" s="11" t="s">
        <v>248</v>
      </c>
      <c r="F69" s="11" t="s">
        <v>249</v>
      </c>
      <c r="G69" s="11"/>
      <c r="H69" s="11" t="s">
        <v>21</v>
      </c>
      <c r="I69" s="11"/>
      <c r="J69" s="11" t="s">
        <v>239</v>
      </c>
      <c r="K69" s="11" t="s">
        <v>113</v>
      </c>
      <c r="L69" s="11" t="s">
        <v>250</v>
      </c>
      <c r="M69" s="11" t="s">
        <v>100</v>
      </c>
      <c r="N69" s="32" t="n">
        <v>5500</v>
      </c>
      <c r="O69" s="33" t="n">
        <v>513372.86</v>
      </c>
      <c r="P69" s="32" t="n">
        <v>5500</v>
      </c>
      <c r="Q69" s="34" t="n">
        <v>1</v>
      </c>
      <c r="R69" s="33" t="n">
        <v>61.39</v>
      </c>
      <c r="S69" s="33" t="n">
        <v>125.29</v>
      </c>
      <c r="T69" s="33" t="n">
        <v>93.34</v>
      </c>
      <c r="U69" s="11" t="n">
        <f aca="false">IFERROR(YEAR(A69),"")</f>
        <v>2026</v>
      </c>
      <c r="V69" s="33" t="n">
        <f aca="false">IFERROR(O69*B69,0)</f>
        <v>5133728.6</v>
      </c>
      <c r="W69" s="32" t="n">
        <f aca="false">IFERROR(N69*B69,0)</f>
        <v>55000</v>
      </c>
      <c r="X69" s="11" t="n">
        <f aca="false">IF(OR(ISNUMBER(SEARCH("live nation",L69)),ISNUMBER(SEARCH("ocesa",L69))),1,0)</f>
        <v>0</v>
      </c>
      <c r="Y69" s="11" t="s">
        <v>50</v>
      </c>
    </row>
    <row r="70" customFormat="false" ht="15" hidden="false" customHeight="false" outlineLevel="0" collapsed="false">
      <c r="A70" s="25" t="n">
        <v>46100</v>
      </c>
      <c r="B70" s="13" t="n">
        <v>1</v>
      </c>
      <c r="C70" s="26" t="s">
        <v>272</v>
      </c>
      <c r="D70" s="26"/>
      <c r="E70" s="13" t="s">
        <v>290</v>
      </c>
      <c r="F70" s="13" t="s">
        <v>291</v>
      </c>
      <c r="G70" s="13"/>
      <c r="H70" s="13" t="s">
        <v>28</v>
      </c>
      <c r="I70" s="13"/>
      <c r="J70" s="13" t="s">
        <v>97</v>
      </c>
      <c r="K70" s="13" t="s">
        <v>98</v>
      </c>
      <c r="L70" s="13" t="s">
        <v>276</v>
      </c>
      <c r="M70" s="13" t="s">
        <v>277</v>
      </c>
      <c r="N70" s="27" t="n">
        <v>1469</v>
      </c>
      <c r="O70" s="28" t="n">
        <v>159869.45</v>
      </c>
      <c r="P70" s="27" t="n">
        <v>5550</v>
      </c>
      <c r="Q70" s="29" t="n">
        <v>0.26</v>
      </c>
      <c r="R70" s="28" t="n">
        <v>108.83</v>
      </c>
      <c r="S70" s="28" t="n">
        <v>108.83</v>
      </c>
      <c r="T70" s="28" t="n">
        <v>108.83</v>
      </c>
      <c r="U70" s="13" t="n">
        <f aca="false">IFERROR(YEAR(A70),"")</f>
        <v>2026</v>
      </c>
      <c r="V70" s="28" t="n">
        <f aca="false">IFERROR(O70*B70,0)</f>
        <v>159869.45</v>
      </c>
      <c r="W70" s="27" t="n">
        <f aca="false">IFERROR(N70*B70,0)</f>
        <v>1469</v>
      </c>
      <c r="X70" s="13" t="n">
        <f aca="false">IF(OR(ISNUMBER(SEARCH("live nation",L70)),ISNUMBER(SEARCH("ocesa",L70))),1,0)</f>
        <v>0</v>
      </c>
      <c r="Y70" s="13" t="s">
        <v>49</v>
      </c>
    </row>
    <row r="71" customFormat="false" ht="15" hidden="false" customHeight="false" outlineLevel="0" collapsed="false">
      <c r="A71" s="30" t="n">
        <v>46098</v>
      </c>
      <c r="B71" s="11" t="n">
        <v>1</v>
      </c>
      <c r="C71" s="31" t="s">
        <v>272</v>
      </c>
      <c r="D71" s="31"/>
      <c r="E71" s="11" t="s">
        <v>294</v>
      </c>
      <c r="F71" s="11" t="s">
        <v>295</v>
      </c>
      <c r="G71" s="11"/>
      <c r="H71" s="11" t="s">
        <v>28</v>
      </c>
      <c r="I71" s="11"/>
      <c r="J71" s="11" t="s">
        <v>97</v>
      </c>
      <c r="K71" s="11" t="s">
        <v>98</v>
      </c>
      <c r="L71" s="11" t="s">
        <v>276</v>
      </c>
      <c r="M71" s="11" t="s">
        <v>277</v>
      </c>
      <c r="N71" s="32" t="n">
        <v>5509</v>
      </c>
      <c r="O71" s="33" t="n">
        <v>200804.7</v>
      </c>
      <c r="P71" s="32" t="n">
        <v>9000</v>
      </c>
      <c r="Q71" s="34" t="n">
        <v>0.61</v>
      </c>
      <c r="R71" s="33" t="n">
        <v>109.13</v>
      </c>
      <c r="S71" s="33" t="n">
        <v>128.41</v>
      </c>
      <c r="T71" s="33" t="n">
        <v>36.45</v>
      </c>
      <c r="U71" s="11" t="n">
        <f aca="false">IFERROR(YEAR(A71),"")</f>
        <v>2026</v>
      </c>
      <c r="V71" s="33" t="n">
        <f aca="false">IFERROR(O71*B71,0)</f>
        <v>200804.7</v>
      </c>
      <c r="W71" s="32" t="n">
        <f aca="false">IFERROR(N71*B71,0)</f>
        <v>5509</v>
      </c>
      <c r="X71" s="11" t="n">
        <f aca="false">IF(OR(ISNUMBER(SEARCH("live nation",L71)),ISNUMBER(SEARCH("ocesa",L71))),1,0)</f>
        <v>0</v>
      </c>
      <c r="Y71" s="11" t="s">
        <v>49</v>
      </c>
    </row>
    <row r="72" customFormat="false" ht="15" hidden="false" customHeight="false" outlineLevel="0" collapsed="false">
      <c r="A72" s="25" t="n">
        <v>46097</v>
      </c>
      <c r="B72" s="13" t="n">
        <v>1</v>
      </c>
      <c r="C72" s="26" t="s">
        <v>296</v>
      </c>
      <c r="D72" s="26" t="s">
        <v>297</v>
      </c>
      <c r="E72" s="13" t="s">
        <v>111</v>
      </c>
      <c r="F72" s="13" t="s">
        <v>112</v>
      </c>
      <c r="G72" s="13"/>
      <c r="H72" s="13" t="s">
        <v>21</v>
      </c>
      <c r="I72" s="13"/>
      <c r="J72" s="13" t="s">
        <v>97</v>
      </c>
      <c r="K72" s="13" t="s">
        <v>113</v>
      </c>
      <c r="L72" s="13" t="s">
        <v>114</v>
      </c>
      <c r="M72" s="13" t="s">
        <v>100</v>
      </c>
      <c r="N72" s="27" t="n">
        <v>18200</v>
      </c>
      <c r="O72" s="28" t="n">
        <v>2168016.01</v>
      </c>
      <c r="P72" s="27" t="n">
        <v>18200</v>
      </c>
      <c r="Q72" s="29" t="n">
        <v>1</v>
      </c>
      <c r="R72" s="28" t="n">
        <v>119.12</v>
      </c>
      <c r="S72" s="28" t="n">
        <v>119.12</v>
      </c>
      <c r="T72" s="28" t="n">
        <v>119.12</v>
      </c>
      <c r="U72" s="13" t="n">
        <f aca="false">IFERROR(YEAR(A72),"")</f>
        <v>2026</v>
      </c>
      <c r="V72" s="28" t="n">
        <f aca="false">IFERROR(O72*B72,0)</f>
        <v>2168016.01</v>
      </c>
      <c r="W72" s="27" t="n">
        <f aca="false">IFERROR(N72*B72,0)</f>
        <v>18200</v>
      </c>
      <c r="X72" s="13" t="n">
        <f aca="false">IF(OR(ISNUMBER(SEARCH("live nation",L72)),ISNUMBER(SEARCH("ocesa",L72))),1,0)</f>
        <v>0</v>
      </c>
      <c r="Y72" s="13" t="s">
        <v>50</v>
      </c>
    </row>
    <row r="73" customFormat="false" ht="15" hidden="false" customHeight="false" outlineLevel="0" collapsed="false">
      <c r="A73" s="30" t="n">
        <v>46095</v>
      </c>
      <c r="B73" s="11" t="n">
        <v>2</v>
      </c>
      <c r="C73" s="31" t="s">
        <v>62</v>
      </c>
      <c r="D73" s="31"/>
      <c r="E73" s="11" t="s">
        <v>298</v>
      </c>
      <c r="F73" s="11" t="s">
        <v>299</v>
      </c>
      <c r="G73" s="11"/>
      <c r="H73" s="11" t="s">
        <v>56</v>
      </c>
      <c r="I73" s="11"/>
      <c r="J73" s="11" t="s">
        <v>133</v>
      </c>
      <c r="K73" s="11" t="s">
        <v>300</v>
      </c>
      <c r="L73" s="11" t="s">
        <v>145</v>
      </c>
      <c r="M73" s="11" t="s">
        <v>100</v>
      </c>
      <c r="N73" s="32" t="n">
        <v>13576</v>
      </c>
      <c r="O73" s="33" t="n">
        <v>2650417.63</v>
      </c>
      <c r="P73" s="32" t="n">
        <v>31569</v>
      </c>
      <c r="Q73" s="34" t="n">
        <v>0.43</v>
      </c>
      <c r="R73" s="33" t="n">
        <v>108.53</v>
      </c>
      <c r="S73" s="33" t="n">
        <v>288.38</v>
      </c>
      <c r="T73" s="33" t="n">
        <v>195.23</v>
      </c>
      <c r="U73" s="11" t="n">
        <f aca="false">IFERROR(YEAR(A73),"")</f>
        <v>2026</v>
      </c>
      <c r="V73" s="33" t="n">
        <f aca="false">IFERROR(O73*B73,0)</f>
        <v>5300835.26</v>
      </c>
      <c r="W73" s="32" t="n">
        <f aca="false">IFERROR(N73*B73,0)</f>
        <v>27152</v>
      </c>
      <c r="X73" s="11" t="n">
        <f aca="false">IF(OR(ISNUMBER(SEARCH("live nation",L73)),ISNUMBER(SEARCH("ocesa",L73))),1,0)</f>
        <v>0</v>
      </c>
      <c r="Y73" s="11" t="s">
        <v>50</v>
      </c>
    </row>
    <row r="74" customFormat="false" ht="15" hidden="false" customHeight="false" outlineLevel="0" collapsed="false">
      <c r="A74" s="25" t="n">
        <v>46095</v>
      </c>
      <c r="B74" s="13" t="n">
        <v>1</v>
      </c>
      <c r="C74" s="26" t="s">
        <v>296</v>
      </c>
      <c r="D74" s="26" t="s">
        <v>301</v>
      </c>
      <c r="E74" s="13" t="s">
        <v>111</v>
      </c>
      <c r="F74" s="13" t="s">
        <v>112</v>
      </c>
      <c r="G74" s="13"/>
      <c r="H74" s="13" t="s">
        <v>21</v>
      </c>
      <c r="I74" s="13"/>
      <c r="J74" s="13" t="s">
        <v>97</v>
      </c>
      <c r="K74" s="13" t="s">
        <v>113</v>
      </c>
      <c r="L74" s="13" t="s">
        <v>114</v>
      </c>
      <c r="M74" s="13" t="s">
        <v>100</v>
      </c>
      <c r="N74" s="27" t="n">
        <v>18200</v>
      </c>
      <c r="O74" s="28" t="n">
        <v>2164700.01</v>
      </c>
      <c r="P74" s="27" t="n">
        <v>18200</v>
      </c>
      <c r="Q74" s="29" t="n">
        <v>1</v>
      </c>
      <c r="R74" s="28" t="n">
        <v>118.94</v>
      </c>
      <c r="S74" s="28" t="n">
        <v>118.94</v>
      </c>
      <c r="T74" s="28" t="n">
        <v>118.94</v>
      </c>
      <c r="U74" s="13" t="n">
        <f aca="false">IFERROR(YEAR(A74),"")</f>
        <v>2026</v>
      </c>
      <c r="V74" s="28" t="n">
        <f aca="false">IFERROR(O74*B74,0)</f>
        <v>2164700.01</v>
      </c>
      <c r="W74" s="27" t="n">
        <f aca="false">IFERROR(N74*B74,0)</f>
        <v>18200</v>
      </c>
      <c r="X74" s="13" t="n">
        <f aca="false">IF(OR(ISNUMBER(SEARCH("live nation",L74)),ISNUMBER(SEARCH("ocesa",L74))),1,0)</f>
        <v>0</v>
      </c>
      <c r="Y74" s="13" t="s">
        <v>50</v>
      </c>
    </row>
    <row r="75" customFormat="false" ht="15" hidden="false" customHeight="false" outlineLevel="0" collapsed="false">
      <c r="A75" s="30" t="n">
        <v>46095</v>
      </c>
      <c r="B75" s="11" t="n">
        <v>2</v>
      </c>
      <c r="C75" s="31" t="s">
        <v>302</v>
      </c>
      <c r="D75" s="31"/>
      <c r="E75" s="11" t="s">
        <v>303</v>
      </c>
      <c r="F75" s="11" t="s">
        <v>147</v>
      </c>
      <c r="G75" s="11"/>
      <c r="H75" s="11" t="s">
        <v>24</v>
      </c>
      <c r="I75" s="11"/>
      <c r="J75" s="11" t="s">
        <v>97</v>
      </c>
      <c r="K75" s="11" t="s">
        <v>148</v>
      </c>
      <c r="L75" s="11" t="s">
        <v>145</v>
      </c>
      <c r="M75" s="11" t="s">
        <v>100</v>
      </c>
      <c r="N75" s="32" t="n">
        <v>3176</v>
      </c>
      <c r="O75" s="33" t="n">
        <v>379129.65</v>
      </c>
      <c r="P75" s="32" t="n">
        <v>3150</v>
      </c>
      <c r="Q75" s="34" t="n">
        <v>1</v>
      </c>
      <c r="R75" s="33" t="n">
        <v>109.79</v>
      </c>
      <c r="S75" s="33" t="n">
        <v>146.39</v>
      </c>
      <c r="T75" s="33" t="n">
        <v>119.35</v>
      </c>
      <c r="U75" s="11" t="n">
        <f aca="false">IFERROR(YEAR(A75),"")</f>
        <v>2026</v>
      </c>
      <c r="V75" s="33" t="n">
        <f aca="false">IFERROR(O75*B75,0)</f>
        <v>758259.3</v>
      </c>
      <c r="W75" s="32" t="n">
        <f aca="false">IFERROR(N75*B75,0)</f>
        <v>6352</v>
      </c>
      <c r="X75" s="11" t="n">
        <f aca="false">IF(OR(ISNUMBER(SEARCH("live nation",L75)),ISNUMBER(SEARCH("ocesa",L75))),1,0)</f>
        <v>0</v>
      </c>
      <c r="Y75" s="11" t="s">
        <v>50</v>
      </c>
    </row>
    <row r="76" customFormat="false" ht="15" hidden="false" customHeight="false" outlineLevel="0" collapsed="false">
      <c r="A76" s="25" t="n">
        <v>46095</v>
      </c>
      <c r="B76" s="13" t="n">
        <v>1</v>
      </c>
      <c r="C76" s="26" t="s">
        <v>304</v>
      </c>
      <c r="D76" s="26"/>
      <c r="E76" s="13" t="s">
        <v>305</v>
      </c>
      <c r="F76" s="13" t="s">
        <v>306</v>
      </c>
      <c r="G76" s="13" t="s">
        <v>188</v>
      </c>
      <c r="H76" s="13" t="s">
        <v>20</v>
      </c>
      <c r="I76" s="13" t="s">
        <v>307</v>
      </c>
      <c r="J76" s="13" t="s">
        <v>97</v>
      </c>
      <c r="K76" s="13" t="s">
        <v>107</v>
      </c>
      <c r="L76" s="13" t="s">
        <v>308</v>
      </c>
      <c r="M76" s="13" t="s">
        <v>100</v>
      </c>
      <c r="N76" s="27" t="n">
        <v>9625</v>
      </c>
      <c r="O76" s="28" t="n">
        <v>2015329</v>
      </c>
      <c r="P76" s="27" t="n">
        <v>12594</v>
      </c>
      <c r="Q76" s="29" t="n">
        <v>0.76</v>
      </c>
      <c r="R76" s="28" t="n">
        <v>113.5</v>
      </c>
      <c r="S76" s="28" t="n">
        <v>403.5</v>
      </c>
      <c r="T76" s="28" t="n">
        <v>209.38</v>
      </c>
      <c r="U76" s="13" t="n">
        <f aca="false">IFERROR(YEAR(A76),"")</f>
        <v>2026</v>
      </c>
      <c r="V76" s="28" t="n">
        <f aca="false">IFERROR(O76*B76,0)</f>
        <v>2015329</v>
      </c>
      <c r="W76" s="27" t="n">
        <f aca="false">IFERROR(N76*B76,0)</f>
        <v>9625</v>
      </c>
      <c r="X76" s="13" t="n">
        <f aca="false">IF(OR(ISNUMBER(SEARCH("live nation",L76)),ISNUMBER(SEARCH("ocesa",L76))),1,0)</f>
        <v>0</v>
      </c>
      <c r="Y76" s="13" t="s">
        <v>49</v>
      </c>
    </row>
    <row r="77" customFormat="false" ht="15" hidden="false" customHeight="false" outlineLevel="0" collapsed="false">
      <c r="A77" s="30" t="n">
        <v>46095</v>
      </c>
      <c r="B77" s="11" t="n">
        <v>1</v>
      </c>
      <c r="C77" s="31" t="s">
        <v>272</v>
      </c>
      <c r="D77" s="31"/>
      <c r="E77" s="11" t="s">
        <v>309</v>
      </c>
      <c r="F77" s="11" t="s">
        <v>310</v>
      </c>
      <c r="G77" s="11"/>
      <c r="H77" s="11" t="s">
        <v>28</v>
      </c>
      <c r="I77" s="11"/>
      <c r="J77" s="11" t="s">
        <v>121</v>
      </c>
      <c r="K77" s="11" t="s">
        <v>98</v>
      </c>
      <c r="L77" s="11" t="s">
        <v>276</v>
      </c>
      <c r="M77" s="11" t="s">
        <v>277</v>
      </c>
      <c r="N77" s="32" t="n">
        <v>2578</v>
      </c>
      <c r="O77" s="33" t="n">
        <v>278322.35</v>
      </c>
      <c r="P77" s="32" t="n">
        <v>3000</v>
      </c>
      <c r="Q77" s="34" t="n">
        <v>0.85</v>
      </c>
      <c r="R77" s="33" t="n">
        <v>107.96</v>
      </c>
      <c r="S77" s="33" t="n">
        <v>107.96</v>
      </c>
      <c r="T77" s="33" t="n">
        <v>107.96</v>
      </c>
      <c r="U77" s="11" t="n">
        <f aca="false">IFERROR(YEAR(A77),"")</f>
        <v>2026</v>
      </c>
      <c r="V77" s="33" t="n">
        <f aca="false">IFERROR(O77*B77,0)</f>
        <v>278322.35</v>
      </c>
      <c r="W77" s="32" t="n">
        <f aca="false">IFERROR(N77*B77,0)</f>
        <v>2578</v>
      </c>
      <c r="X77" s="11" t="n">
        <f aca="false">IF(OR(ISNUMBER(SEARCH("live nation",L77)),ISNUMBER(SEARCH("ocesa",L77))),1,0)</f>
        <v>0</v>
      </c>
      <c r="Y77" s="11" t="s">
        <v>49</v>
      </c>
    </row>
    <row r="78" customFormat="false" ht="15" hidden="false" customHeight="false" outlineLevel="0" collapsed="false">
      <c r="A78" s="25" t="n">
        <v>46094</v>
      </c>
      <c r="B78" s="13" t="n">
        <v>1</v>
      </c>
      <c r="C78" s="26" t="s">
        <v>311</v>
      </c>
      <c r="D78" s="26"/>
      <c r="E78" s="13" t="s">
        <v>312</v>
      </c>
      <c r="F78" s="13" t="s">
        <v>313</v>
      </c>
      <c r="G78" s="13"/>
      <c r="H78" s="13" t="s">
        <v>27</v>
      </c>
      <c r="I78" s="13"/>
      <c r="J78" s="13" t="s">
        <v>97</v>
      </c>
      <c r="K78" s="13" t="s">
        <v>314</v>
      </c>
      <c r="L78" s="13" t="s">
        <v>122</v>
      </c>
      <c r="M78" s="13" t="s">
        <v>100</v>
      </c>
      <c r="N78" s="27" t="n">
        <v>3217</v>
      </c>
      <c r="O78" s="28" t="n">
        <v>737332.67</v>
      </c>
      <c r="P78" s="27" t="n">
        <v>4253</v>
      </c>
      <c r="Q78" s="29" t="n">
        <v>0.75</v>
      </c>
      <c r="R78" s="28" t="n">
        <v>104.1</v>
      </c>
      <c r="S78" s="28" t="n">
        <v>304.29</v>
      </c>
      <c r="T78" s="28" t="n">
        <v>229.2</v>
      </c>
      <c r="U78" s="13" t="n">
        <f aca="false">IFERROR(YEAR(A78),"")</f>
        <v>2026</v>
      </c>
      <c r="V78" s="28" t="n">
        <f aca="false">IFERROR(O78*B78,0)</f>
        <v>737332.67</v>
      </c>
      <c r="W78" s="27" t="n">
        <f aca="false">IFERROR(N78*B78,0)</f>
        <v>3217</v>
      </c>
      <c r="X78" s="13" t="n">
        <f aca="false">IF(OR(ISNUMBER(SEARCH("live nation",L78)),ISNUMBER(SEARCH("ocesa",L78))),1,0)</f>
        <v>0</v>
      </c>
      <c r="Y78" s="13" t="s">
        <v>49</v>
      </c>
    </row>
    <row r="79" customFormat="false" ht="15" hidden="false" customHeight="false" outlineLevel="0" collapsed="false">
      <c r="A79" s="30" t="n">
        <v>46094</v>
      </c>
      <c r="B79" s="11" t="n">
        <v>1</v>
      </c>
      <c r="C79" s="31" t="s">
        <v>296</v>
      </c>
      <c r="D79" s="31" t="s">
        <v>315</v>
      </c>
      <c r="E79" s="11" t="s">
        <v>111</v>
      </c>
      <c r="F79" s="11" t="s">
        <v>112</v>
      </c>
      <c r="G79" s="11"/>
      <c r="H79" s="11" t="s">
        <v>21</v>
      </c>
      <c r="I79" s="11"/>
      <c r="J79" s="11" t="s">
        <v>97</v>
      </c>
      <c r="K79" s="11" t="s">
        <v>113</v>
      </c>
      <c r="L79" s="11" t="s">
        <v>114</v>
      </c>
      <c r="M79" s="11" t="s">
        <v>100</v>
      </c>
      <c r="N79" s="32" t="n">
        <v>18200</v>
      </c>
      <c r="O79" s="33" t="n">
        <v>2169912.09</v>
      </c>
      <c r="P79" s="32" t="n">
        <v>18200</v>
      </c>
      <c r="Q79" s="34" t="n">
        <v>1</v>
      </c>
      <c r="R79" s="33" t="n">
        <v>119.23</v>
      </c>
      <c r="S79" s="33" t="n">
        <v>119.23</v>
      </c>
      <c r="T79" s="33" t="n">
        <v>119.23</v>
      </c>
      <c r="U79" s="11" t="n">
        <f aca="false">IFERROR(YEAR(A79),"")</f>
        <v>2026</v>
      </c>
      <c r="V79" s="33" t="n">
        <f aca="false">IFERROR(O79*B79,0)</f>
        <v>2169912.09</v>
      </c>
      <c r="W79" s="32" t="n">
        <f aca="false">IFERROR(N79*B79,0)</f>
        <v>18200</v>
      </c>
      <c r="X79" s="11" t="n">
        <f aca="false">IF(OR(ISNUMBER(SEARCH("live nation",L79)),ISNUMBER(SEARCH("ocesa",L79))),1,0)</f>
        <v>0</v>
      </c>
      <c r="Y79" s="11" t="s">
        <v>50</v>
      </c>
    </row>
    <row r="80" customFormat="false" ht="15" hidden="false" customHeight="false" outlineLevel="0" collapsed="false">
      <c r="A80" s="25" t="n">
        <v>46093</v>
      </c>
      <c r="B80" s="13" t="n">
        <v>1</v>
      </c>
      <c r="C80" s="26" t="s">
        <v>272</v>
      </c>
      <c r="D80" s="26" t="s">
        <v>316</v>
      </c>
      <c r="E80" s="13" t="s">
        <v>317</v>
      </c>
      <c r="F80" s="13" t="s">
        <v>318</v>
      </c>
      <c r="G80" s="13"/>
      <c r="H80" s="13" t="s">
        <v>28</v>
      </c>
      <c r="I80" s="13"/>
      <c r="J80" s="13" t="s">
        <v>133</v>
      </c>
      <c r="K80" s="13" t="s">
        <v>98</v>
      </c>
      <c r="L80" s="13" t="s">
        <v>276</v>
      </c>
      <c r="M80" s="13" t="s">
        <v>277</v>
      </c>
      <c r="N80" s="27" t="n">
        <v>3253</v>
      </c>
      <c r="O80" s="28" t="n">
        <v>63612.66</v>
      </c>
      <c r="P80" s="27" t="n">
        <v>4500</v>
      </c>
      <c r="Q80" s="29" t="n">
        <v>0.72</v>
      </c>
      <c r="R80" s="28" t="n">
        <v>110.8</v>
      </c>
      <c r="S80" s="28" t="n">
        <v>130.37</v>
      </c>
      <c r="T80" s="28" t="n">
        <v>19.56</v>
      </c>
      <c r="U80" s="13" t="n">
        <f aca="false">IFERROR(YEAR(A80),"")</f>
        <v>2026</v>
      </c>
      <c r="V80" s="28" t="n">
        <f aca="false">IFERROR(O80*B80,0)</f>
        <v>63612.66</v>
      </c>
      <c r="W80" s="27" t="n">
        <f aca="false">IFERROR(N80*B80,0)</f>
        <v>3253</v>
      </c>
      <c r="X80" s="13" t="n">
        <f aca="false">IF(OR(ISNUMBER(SEARCH("live nation",L80)),ISNUMBER(SEARCH("ocesa",L80))),1,0)</f>
        <v>0</v>
      </c>
      <c r="Y80" s="13" t="s">
        <v>49</v>
      </c>
    </row>
    <row r="81" customFormat="false" ht="15" hidden="false" customHeight="false" outlineLevel="0" collapsed="false">
      <c r="A81" s="30" t="n">
        <v>46089</v>
      </c>
      <c r="B81" s="11" t="n">
        <v>1</v>
      </c>
      <c r="C81" s="31" t="s">
        <v>319</v>
      </c>
      <c r="D81" s="31" t="s">
        <v>320</v>
      </c>
      <c r="E81" s="11" t="s">
        <v>111</v>
      </c>
      <c r="F81" s="11" t="s">
        <v>112</v>
      </c>
      <c r="G81" s="11"/>
      <c r="H81" s="11" t="s">
        <v>21</v>
      </c>
      <c r="I81" s="11"/>
      <c r="J81" s="11" t="s">
        <v>97</v>
      </c>
      <c r="K81" s="11" t="s">
        <v>113</v>
      </c>
      <c r="L81" s="11" t="s">
        <v>321</v>
      </c>
      <c r="M81" s="11" t="s">
        <v>100</v>
      </c>
      <c r="N81" s="32" t="n">
        <v>19800</v>
      </c>
      <c r="O81" s="33" t="n">
        <v>1505846.58</v>
      </c>
      <c r="P81" s="32" t="n">
        <v>19800</v>
      </c>
      <c r="Q81" s="34" t="n">
        <v>1</v>
      </c>
      <c r="R81" s="33" t="n">
        <v>76.05</v>
      </c>
      <c r="S81" s="33" t="n">
        <v>76.05</v>
      </c>
      <c r="T81" s="33" t="n">
        <v>76.05</v>
      </c>
      <c r="U81" s="11" t="n">
        <f aca="false">IFERROR(YEAR(A81),"")</f>
        <v>2026</v>
      </c>
      <c r="V81" s="33" t="n">
        <f aca="false">IFERROR(O81*B81,0)</f>
        <v>1505846.58</v>
      </c>
      <c r="W81" s="32" t="n">
        <f aca="false">IFERROR(N81*B81,0)</f>
        <v>19800</v>
      </c>
      <c r="X81" s="11" t="n">
        <f aca="false">IF(OR(ISNUMBER(SEARCH("live nation",L81)),ISNUMBER(SEARCH("ocesa",L81))),1,0)</f>
        <v>0</v>
      </c>
      <c r="Y81" s="11" t="s">
        <v>50</v>
      </c>
    </row>
    <row r="82" customFormat="false" ht="15" hidden="false" customHeight="false" outlineLevel="0" collapsed="false">
      <c r="A82" s="25" t="n">
        <v>46088</v>
      </c>
      <c r="B82" s="13" t="n">
        <v>2</v>
      </c>
      <c r="C82" s="26" t="s">
        <v>304</v>
      </c>
      <c r="D82" s="26"/>
      <c r="E82" s="13" t="s">
        <v>196</v>
      </c>
      <c r="F82" s="13" t="s">
        <v>197</v>
      </c>
      <c r="G82" s="13" t="s">
        <v>139</v>
      </c>
      <c r="H82" s="13" t="s">
        <v>20</v>
      </c>
      <c r="I82" s="13" t="s">
        <v>139</v>
      </c>
      <c r="J82" s="13" t="s">
        <v>97</v>
      </c>
      <c r="K82" s="13" t="s">
        <v>107</v>
      </c>
      <c r="L82" s="13" t="s">
        <v>322</v>
      </c>
      <c r="M82" s="13" t="s">
        <v>100</v>
      </c>
      <c r="N82" s="27" t="n">
        <v>10207</v>
      </c>
      <c r="O82" s="28" t="n">
        <v>2273561.38</v>
      </c>
      <c r="P82" s="27" t="n">
        <v>10207</v>
      </c>
      <c r="Q82" s="29" t="n">
        <v>1</v>
      </c>
      <c r="R82" s="28" t="n">
        <v>98</v>
      </c>
      <c r="S82" s="28" t="n">
        <v>398</v>
      </c>
      <c r="T82" s="28" t="n">
        <v>222.75</v>
      </c>
      <c r="U82" s="13" t="n">
        <f aca="false">IFERROR(YEAR(A82),"")</f>
        <v>2026</v>
      </c>
      <c r="V82" s="28" t="n">
        <f aca="false">IFERROR(O82*B82,0)</f>
        <v>4547122.76</v>
      </c>
      <c r="W82" s="27" t="n">
        <f aca="false">IFERROR(N82*B82,0)</f>
        <v>20414</v>
      </c>
      <c r="X82" s="13" t="n">
        <f aca="false">IF(OR(ISNUMBER(SEARCH("live nation",L82)),ISNUMBER(SEARCH("ocesa",L82))),1,0)</f>
        <v>0</v>
      </c>
      <c r="Y82" s="13" t="s">
        <v>49</v>
      </c>
    </row>
    <row r="83" customFormat="false" ht="15" hidden="false" customHeight="false" outlineLevel="0" collapsed="false">
      <c r="A83" s="30" t="n">
        <v>46088</v>
      </c>
      <c r="B83" s="11" t="n">
        <v>1</v>
      </c>
      <c r="C83" s="31" t="s">
        <v>62</v>
      </c>
      <c r="D83" s="31"/>
      <c r="E83" s="11" t="s">
        <v>323</v>
      </c>
      <c r="F83" s="11" t="s">
        <v>324</v>
      </c>
      <c r="G83" s="11"/>
      <c r="H83" s="11" t="s">
        <v>324</v>
      </c>
      <c r="I83" s="11"/>
      <c r="J83" s="11" t="s">
        <v>133</v>
      </c>
      <c r="K83" s="11" t="s">
        <v>324</v>
      </c>
      <c r="L83" s="11" t="s">
        <v>145</v>
      </c>
      <c r="M83" s="11" t="s">
        <v>100</v>
      </c>
      <c r="N83" s="32" t="n">
        <v>33649</v>
      </c>
      <c r="O83" s="33" t="n">
        <v>8596110.85</v>
      </c>
      <c r="P83" s="32" t="n">
        <v>34329</v>
      </c>
      <c r="Q83" s="34" t="n">
        <v>0.98</v>
      </c>
      <c r="R83" s="33" t="n">
        <v>155.61</v>
      </c>
      <c r="S83" s="33" t="n">
        <v>272.91</v>
      </c>
      <c r="T83" s="33" t="n">
        <v>255.46</v>
      </c>
      <c r="U83" s="11" t="n">
        <f aca="false">IFERROR(YEAR(A83),"")</f>
        <v>2026</v>
      </c>
      <c r="V83" s="33" t="n">
        <f aca="false">IFERROR(O83*B83,0)</f>
        <v>8596110.85</v>
      </c>
      <c r="W83" s="32" t="n">
        <f aca="false">IFERROR(N83*B83,0)</f>
        <v>33649</v>
      </c>
      <c r="X83" s="11" t="n">
        <f aca="false">IF(OR(ISNUMBER(SEARCH("live nation",L83)),ISNUMBER(SEARCH("ocesa",L83))),1,0)</f>
        <v>0</v>
      </c>
      <c r="Y83" s="11" t="s">
        <v>50</v>
      </c>
    </row>
    <row r="84" customFormat="false" ht="15" hidden="false" customHeight="false" outlineLevel="0" collapsed="false">
      <c r="A84" s="25" t="n">
        <v>46088</v>
      </c>
      <c r="B84" s="13" t="n">
        <v>1</v>
      </c>
      <c r="C84" s="26" t="s">
        <v>319</v>
      </c>
      <c r="D84" s="26" t="s">
        <v>325</v>
      </c>
      <c r="E84" s="13" t="s">
        <v>111</v>
      </c>
      <c r="F84" s="13" t="s">
        <v>112</v>
      </c>
      <c r="G84" s="13"/>
      <c r="H84" s="13" t="s">
        <v>21</v>
      </c>
      <c r="I84" s="13"/>
      <c r="J84" s="13" t="s">
        <v>97</v>
      </c>
      <c r="K84" s="13" t="s">
        <v>113</v>
      </c>
      <c r="L84" s="13" t="s">
        <v>321</v>
      </c>
      <c r="M84" s="13" t="s">
        <v>100</v>
      </c>
      <c r="N84" s="27" t="n">
        <v>19800</v>
      </c>
      <c r="O84" s="28" t="n">
        <v>1505679.51</v>
      </c>
      <c r="P84" s="27" t="n">
        <v>19800</v>
      </c>
      <c r="Q84" s="29" t="n">
        <v>1</v>
      </c>
      <c r="R84" s="28" t="n">
        <v>76.04</v>
      </c>
      <c r="S84" s="28" t="n">
        <v>76.04</v>
      </c>
      <c r="T84" s="28" t="n">
        <v>76.04</v>
      </c>
      <c r="U84" s="13" t="n">
        <f aca="false">IFERROR(YEAR(A84),"")</f>
        <v>2026</v>
      </c>
      <c r="V84" s="28" t="n">
        <f aca="false">IFERROR(O84*B84,0)</f>
        <v>1505679.51</v>
      </c>
      <c r="W84" s="27" t="n">
        <f aca="false">IFERROR(N84*B84,0)</f>
        <v>19800</v>
      </c>
      <c r="X84" s="13" t="n">
        <f aca="false">IF(OR(ISNUMBER(SEARCH("live nation",L84)),ISNUMBER(SEARCH("ocesa",L84))),1,0)</f>
        <v>0</v>
      </c>
      <c r="Y84" s="13" t="s">
        <v>50</v>
      </c>
    </row>
    <row r="85" customFormat="false" ht="15" hidden="false" customHeight="false" outlineLevel="0" collapsed="false">
      <c r="A85" s="30" t="n">
        <v>46087</v>
      </c>
      <c r="B85" s="11" t="n">
        <v>2</v>
      </c>
      <c r="C85" s="31" t="s">
        <v>68</v>
      </c>
      <c r="D85" s="31"/>
      <c r="E85" s="11" t="s">
        <v>326</v>
      </c>
      <c r="F85" s="11" t="s">
        <v>327</v>
      </c>
      <c r="G85" s="11" t="s">
        <v>328</v>
      </c>
      <c r="H85" s="11" t="s">
        <v>128</v>
      </c>
      <c r="I85" s="11"/>
      <c r="J85" s="11" t="s">
        <v>97</v>
      </c>
      <c r="K85" s="11" t="s">
        <v>129</v>
      </c>
      <c r="L85" s="11" t="s">
        <v>177</v>
      </c>
      <c r="M85" s="11" t="s">
        <v>100</v>
      </c>
      <c r="N85" s="32" t="n">
        <v>15073</v>
      </c>
      <c r="O85" s="33" t="n">
        <v>1852267.09</v>
      </c>
      <c r="P85" s="32" t="n">
        <v>15700</v>
      </c>
      <c r="Q85" s="34" t="n">
        <v>0.96</v>
      </c>
      <c r="R85" s="33" t="n">
        <v>58.2</v>
      </c>
      <c r="S85" s="33" t="n">
        <v>204.6</v>
      </c>
      <c r="T85" s="33" t="n">
        <v>122.89</v>
      </c>
      <c r="U85" s="11" t="n">
        <f aca="false">IFERROR(YEAR(A85),"")</f>
        <v>2026</v>
      </c>
      <c r="V85" s="33" t="n">
        <f aca="false">IFERROR(O85*B85,0)</f>
        <v>3704534.18</v>
      </c>
      <c r="W85" s="32" t="n">
        <f aca="false">IFERROR(N85*B85,0)</f>
        <v>30146</v>
      </c>
      <c r="X85" s="11" t="n">
        <f aca="false">IF(OR(ISNUMBER(SEARCH("live nation",L85)),ISNUMBER(SEARCH("ocesa",L85))),1,0)</f>
        <v>1</v>
      </c>
      <c r="Y85" s="11" t="s">
        <v>49</v>
      </c>
    </row>
    <row r="86" customFormat="false" ht="15" hidden="false" customHeight="false" outlineLevel="0" collapsed="false">
      <c r="A86" s="25" t="n">
        <v>46087</v>
      </c>
      <c r="B86" s="13" t="n">
        <v>2</v>
      </c>
      <c r="C86" s="26" t="s">
        <v>71</v>
      </c>
      <c r="D86" s="26"/>
      <c r="E86" s="13" t="s">
        <v>95</v>
      </c>
      <c r="F86" s="13" t="s">
        <v>96</v>
      </c>
      <c r="G86" s="13"/>
      <c r="H86" s="13" t="s">
        <v>28</v>
      </c>
      <c r="I86" s="13"/>
      <c r="J86" s="13" t="s">
        <v>97</v>
      </c>
      <c r="K86" s="13" t="s">
        <v>98</v>
      </c>
      <c r="L86" s="13" t="s">
        <v>329</v>
      </c>
      <c r="M86" s="13" t="s">
        <v>100</v>
      </c>
      <c r="N86" s="27" t="n">
        <v>7547</v>
      </c>
      <c r="O86" s="28" t="n">
        <v>1306096.47</v>
      </c>
      <c r="P86" s="27" t="n">
        <v>8584</v>
      </c>
      <c r="Q86" s="29" t="n">
        <v>0.87</v>
      </c>
      <c r="R86" s="28" t="n">
        <v>70.22</v>
      </c>
      <c r="S86" s="28" t="n">
        <v>245.95</v>
      </c>
      <c r="T86" s="28" t="n">
        <v>173.05</v>
      </c>
      <c r="U86" s="13" t="n">
        <f aca="false">IFERROR(YEAR(A86),"")</f>
        <v>2026</v>
      </c>
      <c r="V86" s="28" t="n">
        <f aca="false">IFERROR(O86*B86,0)</f>
        <v>2612192.94</v>
      </c>
      <c r="W86" s="27" t="n">
        <f aca="false">IFERROR(N86*B86,0)</f>
        <v>15094</v>
      </c>
      <c r="X86" s="13" t="n">
        <f aca="false">IF(OR(ISNUMBER(SEARCH("live nation",L86)),ISNUMBER(SEARCH("ocesa",L86))),1,0)</f>
        <v>0</v>
      </c>
      <c r="Y86" s="13" t="s">
        <v>49</v>
      </c>
    </row>
    <row r="87" customFormat="false" ht="15" hidden="false" customHeight="false" outlineLevel="0" collapsed="false">
      <c r="A87" s="30" t="n">
        <v>46084</v>
      </c>
      <c r="B87" s="11" t="n">
        <v>1</v>
      </c>
      <c r="C87" s="31" t="s">
        <v>71</v>
      </c>
      <c r="D87" s="31"/>
      <c r="E87" s="11" t="s">
        <v>330</v>
      </c>
      <c r="F87" s="11" t="s">
        <v>295</v>
      </c>
      <c r="G87" s="11"/>
      <c r="H87" s="11" t="s">
        <v>28</v>
      </c>
      <c r="I87" s="11"/>
      <c r="J87" s="11" t="s">
        <v>97</v>
      </c>
      <c r="K87" s="11" t="s">
        <v>98</v>
      </c>
      <c r="L87" s="11" t="s">
        <v>329</v>
      </c>
      <c r="M87" s="11" t="s">
        <v>100</v>
      </c>
      <c r="N87" s="32" t="n">
        <v>8876</v>
      </c>
      <c r="O87" s="33" t="n">
        <v>1750596.45</v>
      </c>
      <c r="P87" s="32" t="n">
        <v>8876</v>
      </c>
      <c r="Q87" s="34" t="n">
        <v>1</v>
      </c>
      <c r="R87" s="33" t="n">
        <v>70.97</v>
      </c>
      <c r="S87" s="33" t="n">
        <v>248.58</v>
      </c>
      <c r="T87" s="33" t="n">
        <v>197.23</v>
      </c>
      <c r="U87" s="11" t="n">
        <f aca="false">IFERROR(YEAR(A87),"")</f>
        <v>2026</v>
      </c>
      <c r="V87" s="33" t="n">
        <f aca="false">IFERROR(O87*B87,0)</f>
        <v>1750596.45</v>
      </c>
      <c r="W87" s="32" t="n">
        <f aca="false">IFERROR(N87*B87,0)</f>
        <v>8876</v>
      </c>
      <c r="X87" s="11" t="n">
        <f aca="false">IF(OR(ISNUMBER(SEARCH("live nation",L87)),ISNUMBER(SEARCH("ocesa",L87))),1,0)</f>
        <v>0</v>
      </c>
      <c r="Y87" s="11" t="s">
        <v>49</v>
      </c>
    </row>
    <row r="88" customFormat="false" ht="15" hidden="false" customHeight="false" outlineLevel="0" collapsed="false">
      <c r="A88" s="25" t="n">
        <v>46084</v>
      </c>
      <c r="B88" s="13" t="n">
        <v>1</v>
      </c>
      <c r="C88" s="26" t="s">
        <v>68</v>
      </c>
      <c r="D88" s="26"/>
      <c r="E88" s="13" t="s">
        <v>331</v>
      </c>
      <c r="F88" s="13" t="s">
        <v>126</v>
      </c>
      <c r="G88" s="13" t="s">
        <v>127</v>
      </c>
      <c r="H88" s="13" t="s">
        <v>128</v>
      </c>
      <c r="I88" s="13"/>
      <c r="J88" s="13" t="s">
        <v>97</v>
      </c>
      <c r="K88" s="13" t="s">
        <v>129</v>
      </c>
      <c r="L88" s="13" t="s">
        <v>332</v>
      </c>
      <c r="M88" s="13" t="s">
        <v>100</v>
      </c>
      <c r="N88" s="27" t="n">
        <v>17885</v>
      </c>
      <c r="O88" s="28" t="n">
        <v>2083140.66</v>
      </c>
      <c r="P88" s="27" t="n">
        <v>17885</v>
      </c>
      <c r="Q88" s="29" t="n">
        <v>1</v>
      </c>
      <c r="R88" s="28" t="n">
        <v>58.15</v>
      </c>
      <c r="S88" s="28" t="n">
        <v>204.43</v>
      </c>
      <c r="T88" s="28" t="n">
        <v>116.47</v>
      </c>
      <c r="U88" s="13" t="n">
        <f aca="false">IFERROR(YEAR(A88),"")</f>
        <v>2026</v>
      </c>
      <c r="V88" s="28" t="n">
        <f aca="false">IFERROR(O88*B88,0)</f>
        <v>2083140.66</v>
      </c>
      <c r="W88" s="27" t="n">
        <f aca="false">IFERROR(N88*B88,0)</f>
        <v>17885</v>
      </c>
      <c r="X88" s="13" t="n">
        <f aca="false">IF(OR(ISNUMBER(SEARCH("live nation",L88)),ISNUMBER(SEARCH("ocesa",L88))),1,0)</f>
        <v>1</v>
      </c>
      <c r="Y88" s="13" t="s">
        <v>49</v>
      </c>
    </row>
    <row r="89" customFormat="false" ht="15" hidden="false" customHeight="false" outlineLevel="0" collapsed="false">
      <c r="A89" s="30" t="n">
        <v>46083</v>
      </c>
      <c r="B89" s="11" t="n">
        <v>1</v>
      </c>
      <c r="C89" s="31" t="s">
        <v>71</v>
      </c>
      <c r="D89" s="31"/>
      <c r="E89" s="11" t="s">
        <v>330</v>
      </c>
      <c r="F89" s="11" t="s">
        <v>295</v>
      </c>
      <c r="G89" s="11"/>
      <c r="H89" s="11" t="s">
        <v>28</v>
      </c>
      <c r="I89" s="11"/>
      <c r="J89" s="11" t="s">
        <v>97</v>
      </c>
      <c r="K89" s="11" t="s">
        <v>98</v>
      </c>
      <c r="L89" s="11" t="s">
        <v>329</v>
      </c>
      <c r="M89" s="11" t="s">
        <v>100</v>
      </c>
      <c r="N89" s="32" t="n">
        <v>4626</v>
      </c>
      <c r="O89" s="33" t="n">
        <v>845033.28</v>
      </c>
      <c r="P89" s="32" t="n">
        <v>4626</v>
      </c>
      <c r="Q89" s="34" t="n">
        <v>1</v>
      </c>
      <c r="R89" s="33" t="n">
        <v>70.87</v>
      </c>
      <c r="S89" s="33" t="n">
        <v>247.95</v>
      </c>
      <c r="T89" s="33" t="n">
        <v>182.67</v>
      </c>
      <c r="U89" s="11" t="n">
        <f aca="false">IFERROR(YEAR(A89),"")</f>
        <v>2026</v>
      </c>
      <c r="V89" s="33" t="n">
        <f aca="false">IFERROR(O89*B89,0)</f>
        <v>845033.28</v>
      </c>
      <c r="W89" s="32" t="n">
        <f aca="false">IFERROR(N89*B89,0)</f>
        <v>4626</v>
      </c>
      <c r="X89" s="11" t="n">
        <f aca="false">IF(OR(ISNUMBER(SEARCH("live nation",L89)),ISNUMBER(SEARCH("ocesa",L89))),1,0)</f>
        <v>0</v>
      </c>
      <c r="Y89" s="11" t="s">
        <v>49</v>
      </c>
    </row>
    <row r="90" customFormat="false" ht="15" hidden="false" customHeight="false" outlineLevel="0" collapsed="false">
      <c r="A90" s="25" t="n">
        <v>46082</v>
      </c>
      <c r="B90" s="13" t="n">
        <v>1</v>
      </c>
      <c r="C90" s="26" t="s">
        <v>101</v>
      </c>
      <c r="D90" s="26"/>
      <c r="E90" s="13" t="s">
        <v>187</v>
      </c>
      <c r="F90" s="13" t="s">
        <v>188</v>
      </c>
      <c r="G90" s="13" t="s">
        <v>189</v>
      </c>
      <c r="H90" s="13" t="s">
        <v>20</v>
      </c>
      <c r="I90" s="13" t="s">
        <v>190</v>
      </c>
      <c r="J90" s="13" t="s">
        <v>106</v>
      </c>
      <c r="K90" s="13" t="s">
        <v>107</v>
      </c>
      <c r="L90" s="13" t="s">
        <v>191</v>
      </c>
      <c r="M90" s="13" t="s">
        <v>109</v>
      </c>
      <c r="N90" s="27" t="n">
        <v>307</v>
      </c>
      <c r="O90" s="28" t="n">
        <v>4928</v>
      </c>
      <c r="P90" s="27" t="n">
        <v>500</v>
      </c>
      <c r="Q90" s="29" t="n">
        <v>0.61</v>
      </c>
      <c r="R90" s="28" t="n">
        <v>15</v>
      </c>
      <c r="S90" s="28" t="n">
        <v>22</v>
      </c>
      <c r="T90" s="28" t="n">
        <v>16.05</v>
      </c>
      <c r="U90" s="13" t="n">
        <f aca="false">IFERROR(YEAR(A90),"")</f>
        <v>2026</v>
      </c>
      <c r="V90" s="28" t="n">
        <f aca="false">IFERROR(O90*B90,0)</f>
        <v>4928</v>
      </c>
      <c r="W90" s="27" t="n">
        <f aca="false">IFERROR(N90*B90,0)</f>
        <v>307</v>
      </c>
      <c r="X90" s="13" t="n">
        <f aca="false">IF(OR(ISNUMBER(SEARCH("live nation",L90)),ISNUMBER(SEARCH("ocesa",L90))),1,0)</f>
        <v>0</v>
      </c>
      <c r="Y90" s="13" t="s">
        <v>49</v>
      </c>
    </row>
    <row r="91" customFormat="false" ht="15" hidden="false" customHeight="false" outlineLevel="0" collapsed="false">
      <c r="A91" s="30" t="n">
        <v>46082</v>
      </c>
      <c r="B91" s="11" t="n">
        <v>1</v>
      </c>
      <c r="C91" s="31" t="s">
        <v>333</v>
      </c>
      <c r="D91" s="31" t="s">
        <v>334</v>
      </c>
      <c r="E91" s="11" t="s">
        <v>111</v>
      </c>
      <c r="F91" s="11" t="s">
        <v>112</v>
      </c>
      <c r="G91" s="11"/>
      <c r="H91" s="11" t="s">
        <v>21</v>
      </c>
      <c r="I91" s="11"/>
      <c r="J91" s="11" t="s">
        <v>97</v>
      </c>
      <c r="K91" s="11" t="s">
        <v>113</v>
      </c>
      <c r="L91" s="11" t="s">
        <v>250</v>
      </c>
      <c r="M91" s="11" t="s">
        <v>100</v>
      </c>
      <c r="N91" s="32" t="n">
        <v>20000</v>
      </c>
      <c r="O91" s="33" t="n">
        <v>1268864.75</v>
      </c>
      <c r="P91" s="32" t="n">
        <v>20000</v>
      </c>
      <c r="Q91" s="34" t="n">
        <v>1</v>
      </c>
      <c r="R91" s="33" t="n">
        <v>63.44</v>
      </c>
      <c r="S91" s="33" t="n">
        <v>63.44</v>
      </c>
      <c r="T91" s="33" t="n">
        <v>63.44</v>
      </c>
      <c r="U91" s="11" t="n">
        <f aca="false">IFERROR(YEAR(A91),"")</f>
        <v>2026</v>
      </c>
      <c r="V91" s="33" t="n">
        <f aca="false">IFERROR(O91*B91,0)</f>
        <v>1268864.75</v>
      </c>
      <c r="W91" s="32" t="n">
        <f aca="false">IFERROR(N91*B91,0)</f>
        <v>20000</v>
      </c>
      <c r="X91" s="11" t="n">
        <f aca="false">IF(OR(ISNUMBER(SEARCH("live nation",L91)),ISNUMBER(SEARCH("ocesa",L91))),1,0)</f>
        <v>0</v>
      </c>
      <c r="Y91" s="11" t="s">
        <v>50</v>
      </c>
    </row>
    <row r="92" customFormat="false" ht="15" hidden="false" customHeight="false" outlineLevel="0" collapsed="false">
      <c r="A92" s="25" t="n">
        <v>46081</v>
      </c>
      <c r="B92" s="13" t="n">
        <v>1</v>
      </c>
      <c r="C92" s="26" t="s">
        <v>335</v>
      </c>
      <c r="D92" s="26" t="s">
        <v>336</v>
      </c>
      <c r="E92" s="13" t="s">
        <v>227</v>
      </c>
      <c r="F92" s="13" t="s">
        <v>228</v>
      </c>
      <c r="G92" s="13" t="s">
        <v>229</v>
      </c>
      <c r="H92" s="13" t="s">
        <v>20</v>
      </c>
      <c r="I92" s="13" t="s">
        <v>190</v>
      </c>
      <c r="J92" s="13" t="s">
        <v>121</v>
      </c>
      <c r="K92" s="13" t="s">
        <v>107</v>
      </c>
      <c r="L92" s="13" t="s">
        <v>337</v>
      </c>
      <c r="M92" s="13" t="s">
        <v>251</v>
      </c>
      <c r="N92" s="27" t="n">
        <v>1974</v>
      </c>
      <c r="O92" s="28" t="n">
        <v>192928</v>
      </c>
      <c r="P92" s="27" t="n">
        <v>2900</v>
      </c>
      <c r="Q92" s="29" t="n">
        <v>0.68</v>
      </c>
      <c r="R92" s="28" t="n">
        <v>33.2</v>
      </c>
      <c r="S92" s="28" t="n">
        <v>148</v>
      </c>
      <c r="T92" s="28" t="n">
        <v>97.73</v>
      </c>
      <c r="U92" s="13" t="n">
        <f aca="false">IFERROR(YEAR(A92),"")</f>
        <v>2026</v>
      </c>
      <c r="V92" s="28" t="n">
        <f aca="false">IFERROR(O92*B92,0)</f>
        <v>192928</v>
      </c>
      <c r="W92" s="27" t="n">
        <f aca="false">IFERROR(N92*B92,0)</f>
        <v>1974</v>
      </c>
      <c r="X92" s="13" t="n">
        <f aca="false">IF(OR(ISNUMBER(SEARCH("live nation",L92)),ISNUMBER(SEARCH("ocesa",L92))),1,0)</f>
        <v>0</v>
      </c>
      <c r="Y92" s="13" t="s">
        <v>49</v>
      </c>
    </row>
    <row r="93" customFormat="false" ht="15" hidden="false" customHeight="false" outlineLevel="0" collapsed="false">
      <c r="A93" s="30" t="n">
        <v>46081</v>
      </c>
      <c r="B93" s="11" t="n">
        <v>1</v>
      </c>
      <c r="C93" s="31" t="s">
        <v>101</v>
      </c>
      <c r="D93" s="31"/>
      <c r="E93" s="11" t="s">
        <v>338</v>
      </c>
      <c r="F93" s="11" t="s">
        <v>339</v>
      </c>
      <c r="G93" s="11" t="s">
        <v>340</v>
      </c>
      <c r="H93" s="11" t="s">
        <v>20</v>
      </c>
      <c r="I93" s="11" t="s">
        <v>190</v>
      </c>
      <c r="J93" s="11" t="s">
        <v>106</v>
      </c>
      <c r="K93" s="11" t="s">
        <v>107</v>
      </c>
      <c r="L93" s="11" t="s">
        <v>191</v>
      </c>
      <c r="M93" s="11" t="s">
        <v>109</v>
      </c>
      <c r="N93" s="32" t="n">
        <v>175</v>
      </c>
      <c r="O93" s="33" t="n">
        <v>4928</v>
      </c>
      <c r="P93" s="32" t="n">
        <v>180</v>
      </c>
      <c r="Q93" s="34" t="n">
        <v>0.97</v>
      </c>
      <c r="R93" s="33" t="n">
        <v>15</v>
      </c>
      <c r="S93" s="33" t="n">
        <v>22</v>
      </c>
      <c r="T93" s="33" t="n">
        <v>28.16</v>
      </c>
      <c r="U93" s="11" t="n">
        <f aca="false">IFERROR(YEAR(A93),"")</f>
        <v>2026</v>
      </c>
      <c r="V93" s="33" t="n">
        <f aca="false">IFERROR(O93*B93,0)</f>
        <v>4928</v>
      </c>
      <c r="W93" s="32" t="n">
        <f aca="false">IFERROR(N93*B93,0)</f>
        <v>175</v>
      </c>
      <c r="X93" s="11" t="n">
        <f aca="false">IF(OR(ISNUMBER(SEARCH("live nation",L93)),ISNUMBER(SEARCH("ocesa",L93))),1,0)</f>
        <v>0</v>
      </c>
      <c r="Y93" s="11" t="s">
        <v>49</v>
      </c>
    </row>
    <row r="94" customFormat="false" ht="15" hidden="false" customHeight="false" outlineLevel="0" collapsed="false">
      <c r="A94" s="25" t="n">
        <v>46081</v>
      </c>
      <c r="B94" s="13" t="n">
        <v>1</v>
      </c>
      <c r="C94" s="26" t="s">
        <v>341</v>
      </c>
      <c r="D94" s="26" t="s">
        <v>342</v>
      </c>
      <c r="E94" s="13" t="s">
        <v>111</v>
      </c>
      <c r="F94" s="13" t="s">
        <v>112</v>
      </c>
      <c r="G94" s="13"/>
      <c r="H94" s="13" t="s">
        <v>21</v>
      </c>
      <c r="I94" s="13"/>
      <c r="J94" s="13" t="s">
        <v>97</v>
      </c>
      <c r="K94" s="13" t="s">
        <v>113</v>
      </c>
      <c r="L94" s="13" t="s">
        <v>250</v>
      </c>
      <c r="M94" s="13" t="s">
        <v>100</v>
      </c>
      <c r="N94" s="27" t="n">
        <v>20000</v>
      </c>
      <c r="O94" s="28" t="n">
        <v>1281517.27</v>
      </c>
      <c r="P94" s="27" t="n">
        <v>20000</v>
      </c>
      <c r="Q94" s="29" t="n">
        <v>1</v>
      </c>
      <c r="R94" s="28" t="n">
        <v>64.08</v>
      </c>
      <c r="S94" s="28" t="n">
        <v>64.08</v>
      </c>
      <c r="T94" s="28" t="n">
        <v>64.08</v>
      </c>
      <c r="U94" s="13" t="n">
        <f aca="false">IFERROR(YEAR(A94),"")</f>
        <v>2026</v>
      </c>
      <c r="V94" s="28" t="n">
        <f aca="false">IFERROR(O94*B94,0)</f>
        <v>1281517.27</v>
      </c>
      <c r="W94" s="27" t="n">
        <f aca="false">IFERROR(N94*B94,0)</f>
        <v>20000</v>
      </c>
      <c r="X94" s="13" t="n">
        <f aca="false">IF(OR(ISNUMBER(SEARCH("live nation",L94)),ISNUMBER(SEARCH("ocesa",L94))),1,0)</f>
        <v>0</v>
      </c>
      <c r="Y94" s="13" t="s">
        <v>50</v>
      </c>
    </row>
    <row r="95" customFormat="false" ht="15" hidden="false" customHeight="false" outlineLevel="0" collapsed="false">
      <c r="A95" s="30" t="n">
        <v>46081</v>
      </c>
      <c r="B95" s="11" t="n">
        <v>2</v>
      </c>
      <c r="C95" s="31" t="s">
        <v>62</v>
      </c>
      <c r="D95" s="31"/>
      <c r="E95" s="11" t="s">
        <v>343</v>
      </c>
      <c r="F95" s="11" t="s">
        <v>344</v>
      </c>
      <c r="G95" s="11"/>
      <c r="H95" s="11" t="s">
        <v>25</v>
      </c>
      <c r="I95" s="11"/>
      <c r="J95" s="11" t="s">
        <v>133</v>
      </c>
      <c r="K95" s="11" t="s">
        <v>25</v>
      </c>
      <c r="L95" s="11" t="s">
        <v>145</v>
      </c>
      <c r="M95" s="11" t="s">
        <v>100</v>
      </c>
      <c r="N95" s="32" t="n">
        <v>36621</v>
      </c>
      <c r="O95" s="33" t="n">
        <v>8422939.3</v>
      </c>
      <c r="P95" s="32" t="n">
        <v>36584</v>
      </c>
      <c r="Q95" s="34" t="n">
        <v>1</v>
      </c>
      <c r="R95" s="33" t="n">
        <v>114.92</v>
      </c>
      <c r="S95" s="33" t="n">
        <v>370.57</v>
      </c>
      <c r="T95" s="33" t="n">
        <v>230</v>
      </c>
      <c r="U95" s="11" t="n">
        <f aca="false">IFERROR(YEAR(A95),"")</f>
        <v>2026</v>
      </c>
      <c r="V95" s="33" t="n">
        <f aca="false">IFERROR(O95*B95,0)</f>
        <v>16845878.6</v>
      </c>
      <c r="W95" s="32" t="n">
        <f aca="false">IFERROR(N95*B95,0)</f>
        <v>73242</v>
      </c>
      <c r="X95" s="11" t="n">
        <f aca="false">IF(OR(ISNUMBER(SEARCH("live nation",L95)),ISNUMBER(SEARCH("ocesa",L95))),1,0)</f>
        <v>0</v>
      </c>
      <c r="Y95" s="11" t="s">
        <v>50</v>
      </c>
    </row>
    <row r="96" customFormat="false" ht="15" hidden="false" customHeight="false" outlineLevel="0" collapsed="false">
      <c r="A96" s="25" t="n">
        <v>46080</v>
      </c>
      <c r="B96" s="13" t="n">
        <v>1</v>
      </c>
      <c r="C96" s="26" t="s">
        <v>68</v>
      </c>
      <c r="D96" s="26"/>
      <c r="E96" s="13" t="s">
        <v>345</v>
      </c>
      <c r="F96" s="13" t="s">
        <v>346</v>
      </c>
      <c r="G96" s="13" t="s">
        <v>347</v>
      </c>
      <c r="H96" s="13" t="s">
        <v>20</v>
      </c>
      <c r="I96" s="13" t="s">
        <v>346</v>
      </c>
      <c r="J96" s="13" t="s">
        <v>97</v>
      </c>
      <c r="K96" s="13" t="s">
        <v>107</v>
      </c>
      <c r="L96" s="13" t="s">
        <v>177</v>
      </c>
      <c r="M96" s="13" t="s">
        <v>100</v>
      </c>
      <c r="N96" s="27" t="n">
        <v>15084</v>
      </c>
      <c r="O96" s="28" t="n">
        <v>2099562</v>
      </c>
      <c r="P96" s="27" t="n">
        <v>15084</v>
      </c>
      <c r="Q96" s="29" t="n">
        <v>1</v>
      </c>
      <c r="R96" s="28" t="n">
        <v>59.5</v>
      </c>
      <c r="S96" s="28" t="n">
        <v>229.5</v>
      </c>
      <c r="T96" s="28" t="n">
        <v>139.19</v>
      </c>
      <c r="U96" s="13" t="n">
        <f aca="false">IFERROR(YEAR(A96),"")</f>
        <v>2026</v>
      </c>
      <c r="V96" s="28" t="n">
        <f aca="false">IFERROR(O96*B96,0)</f>
        <v>2099562</v>
      </c>
      <c r="W96" s="27" t="n">
        <f aca="false">IFERROR(N96*B96,0)</f>
        <v>15084</v>
      </c>
      <c r="X96" s="13" t="n">
        <f aca="false">IF(OR(ISNUMBER(SEARCH("live nation",L96)),ISNUMBER(SEARCH("ocesa",L96))),1,0)</f>
        <v>1</v>
      </c>
      <c r="Y96" s="13" t="s">
        <v>49</v>
      </c>
    </row>
    <row r="97" customFormat="false" ht="15" hidden="false" customHeight="false" outlineLevel="0" collapsed="false">
      <c r="A97" s="30" t="n">
        <v>46080</v>
      </c>
      <c r="B97" s="11" t="n">
        <v>1</v>
      </c>
      <c r="C97" s="31" t="s">
        <v>137</v>
      </c>
      <c r="D97" s="31"/>
      <c r="E97" s="11" t="s">
        <v>348</v>
      </c>
      <c r="F97" s="11" t="s">
        <v>349</v>
      </c>
      <c r="G97" s="11"/>
      <c r="H97" s="11" t="s">
        <v>350</v>
      </c>
      <c r="I97" s="11"/>
      <c r="J97" s="11" t="s">
        <v>121</v>
      </c>
      <c r="K97" s="11" t="s">
        <v>173</v>
      </c>
      <c r="L97" s="11" t="s">
        <v>351</v>
      </c>
      <c r="M97" s="11" t="s">
        <v>100</v>
      </c>
      <c r="N97" s="32" t="n">
        <v>693</v>
      </c>
      <c r="O97" s="33" t="n">
        <v>66254.31</v>
      </c>
      <c r="P97" s="32" t="n">
        <v>1316</v>
      </c>
      <c r="Q97" s="34" t="n">
        <v>0.52</v>
      </c>
      <c r="R97" s="33" t="n">
        <v>59.05</v>
      </c>
      <c r="S97" s="33" t="n">
        <v>124.01</v>
      </c>
      <c r="T97" s="33" t="n">
        <v>95.61</v>
      </c>
      <c r="U97" s="11" t="n">
        <f aca="false">IFERROR(YEAR(A97),"")</f>
        <v>2026</v>
      </c>
      <c r="V97" s="33" t="n">
        <f aca="false">IFERROR(O97*B97,0)</f>
        <v>66254.31</v>
      </c>
      <c r="W97" s="32" t="n">
        <f aca="false">IFERROR(N97*B97,0)</f>
        <v>693</v>
      </c>
      <c r="X97" s="11" t="n">
        <f aca="false">IF(OR(ISNUMBER(SEARCH("live nation",L97)),ISNUMBER(SEARCH("ocesa",L97))),1,0)</f>
        <v>0</v>
      </c>
      <c r="Y97" s="11" t="s">
        <v>49</v>
      </c>
    </row>
    <row r="98" customFormat="false" ht="15" hidden="false" customHeight="false" outlineLevel="0" collapsed="false">
      <c r="A98" s="25" t="n">
        <v>46076</v>
      </c>
      <c r="B98" s="13" t="n">
        <v>2</v>
      </c>
      <c r="C98" s="26" t="s">
        <v>352</v>
      </c>
      <c r="D98" s="26"/>
      <c r="E98" s="13" t="s">
        <v>111</v>
      </c>
      <c r="F98" s="13" t="s">
        <v>112</v>
      </c>
      <c r="G98" s="13"/>
      <c r="H98" s="13" t="s">
        <v>21</v>
      </c>
      <c r="I98" s="13"/>
      <c r="J98" s="13" t="s">
        <v>97</v>
      </c>
      <c r="K98" s="13" t="s">
        <v>113</v>
      </c>
      <c r="L98" s="13" t="s">
        <v>321</v>
      </c>
      <c r="M98" s="13" t="s">
        <v>100</v>
      </c>
      <c r="N98" s="27" t="n">
        <v>6500</v>
      </c>
      <c r="O98" s="28" t="n">
        <v>833572.85</v>
      </c>
      <c r="P98" s="27" t="n">
        <v>11</v>
      </c>
      <c r="Q98" s="29" t="n">
        <v>590.9</v>
      </c>
      <c r="R98" s="28" t="n">
        <v>64.12</v>
      </c>
      <c r="S98" s="28" t="n">
        <v>64.12</v>
      </c>
      <c r="T98" s="28" t="n">
        <v>128.24</v>
      </c>
      <c r="U98" s="13" t="n">
        <f aca="false">IFERROR(YEAR(A98),"")</f>
        <v>2026</v>
      </c>
      <c r="V98" s="28" t="n">
        <f aca="false">IFERROR(O98*B98,0)</f>
        <v>1667145.7</v>
      </c>
      <c r="W98" s="27" t="n">
        <f aca="false">IFERROR(N98*B98,0)</f>
        <v>13000</v>
      </c>
      <c r="X98" s="13" t="n">
        <f aca="false">IF(OR(ISNUMBER(SEARCH("live nation",L98)),ISNUMBER(SEARCH("ocesa",L98))),1,0)</f>
        <v>0</v>
      </c>
      <c r="Y98" s="13" t="s">
        <v>50</v>
      </c>
    </row>
    <row r="99" customFormat="false" ht="15" hidden="false" customHeight="false" outlineLevel="0" collapsed="false">
      <c r="A99" s="30" t="n">
        <v>46074</v>
      </c>
      <c r="B99" s="11" t="n">
        <v>1</v>
      </c>
      <c r="C99" s="31" t="s">
        <v>353</v>
      </c>
      <c r="D99" s="31"/>
      <c r="E99" s="11" t="s">
        <v>111</v>
      </c>
      <c r="F99" s="11" t="s">
        <v>112</v>
      </c>
      <c r="G99" s="11"/>
      <c r="H99" s="11" t="s">
        <v>21</v>
      </c>
      <c r="I99" s="11"/>
      <c r="J99" s="11" t="s">
        <v>97</v>
      </c>
      <c r="K99" s="11" t="s">
        <v>113</v>
      </c>
      <c r="L99" s="11" t="s">
        <v>321</v>
      </c>
      <c r="M99" s="11" t="s">
        <v>100</v>
      </c>
      <c r="N99" s="32" t="n">
        <v>19800</v>
      </c>
      <c r="O99" s="33" t="n">
        <v>1060223.84</v>
      </c>
      <c r="P99" s="32" t="n">
        <v>19800</v>
      </c>
      <c r="Q99" s="34" t="n">
        <v>1</v>
      </c>
      <c r="R99" s="33" t="n">
        <v>53.55</v>
      </c>
      <c r="S99" s="33" t="n">
        <v>53.55</v>
      </c>
      <c r="T99" s="33" t="n">
        <v>53.55</v>
      </c>
      <c r="U99" s="11" t="n">
        <f aca="false">IFERROR(YEAR(A99),"")</f>
        <v>2026</v>
      </c>
      <c r="V99" s="33" t="n">
        <f aca="false">IFERROR(O99*B99,0)</f>
        <v>1060223.84</v>
      </c>
      <c r="W99" s="32" t="n">
        <f aca="false">IFERROR(N99*B99,0)</f>
        <v>19800</v>
      </c>
      <c r="X99" s="11" t="n">
        <f aca="false">IF(OR(ISNUMBER(SEARCH("live nation",L99)),ISNUMBER(SEARCH("ocesa",L99))),1,0)</f>
        <v>0</v>
      </c>
      <c r="Y99" s="11" t="s">
        <v>50</v>
      </c>
    </row>
    <row r="100" customFormat="false" ht="15" hidden="false" customHeight="false" outlineLevel="0" collapsed="false">
      <c r="A100" s="25" t="n">
        <v>46072</v>
      </c>
      <c r="B100" s="13" t="n">
        <v>1</v>
      </c>
      <c r="C100" s="26" t="s">
        <v>354</v>
      </c>
      <c r="D100" s="26"/>
      <c r="E100" s="13" t="s">
        <v>111</v>
      </c>
      <c r="F100" s="13" t="s">
        <v>112</v>
      </c>
      <c r="G100" s="13"/>
      <c r="H100" s="13" t="s">
        <v>21</v>
      </c>
      <c r="I100" s="13"/>
      <c r="J100" s="13" t="s">
        <v>97</v>
      </c>
      <c r="K100" s="13" t="s">
        <v>113</v>
      </c>
      <c r="L100" s="13" t="s">
        <v>321</v>
      </c>
      <c r="M100" s="13" t="s">
        <v>100</v>
      </c>
      <c r="N100" s="27" t="n">
        <v>18000</v>
      </c>
      <c r="O100" s="28" t="n">
        <v>2367839.24</v>
      </c>
      <c r="P100" s="27" t="n">
        <v>18000</v>
      </c>
      <c r="Q100" s="29" t="n">
        <v>1</v>
      </c>
      <c r="R100" s="28" t="n">
        <v>95.73</v>
      </c>
      <c r="S100" s="28" t="n">
        <v>95.73</v>
      </c>
      <c r="T100" s="28" t="n">
        <v>131.55</v>
      </c>
      <c r="U100" s="13" t="n">
        <f aca="false">IFERROR(YEAR(A100),"")</f>
        <v>2026</v>
      </c>
      <c r="V100" s="28" t="n">
        <f aca="false">IFERROR(O100*B100,0)</f>
        <v>2367839.24</v>
      </c>
      <c r="W100" s="27" t="n">
        <f aca="false">IFERROR(N100*B100,0)</f>
        <v>18000</v>
      </c>
      <c r="X100" s="13" t="n">
        <f aca="false">IF(OR(ISNUMBER(SEARCH("live nation",L100)),ISNUMBER(SEARCH("ocesa",L100))),1,0)</f>
        <v>0</v>
      </c>
      <c r="Y100" s="13" t="s">
        <v>50</v>
      </c>
    </row>
    <row r="101" customFormat="false" ht="15" hidden="false" customHeight="false" outlineLevel="0" collapsed="false">
      <c r="A101" s="30" t="n">
        <v>46071</v>
      </c>
      <c r="B101" s="11" t="n">
        <v>3</v>
      </c>
      <c r="C101" s="31" t="s">
        <v>68</v>
      </c>
      <c r="D101" s="31"/>
      <c r="E101" s="11" t="s">
        <v>355</v>
      </c>
      <c r="F101" s="11" t="s">
        <v>356</v>
      </c>
      <c r="G101" s="11" t="s">
        <v>139</v>
      </c>
      <c r="H101" s="11" t="s">
        <v>20</v>
      </c>
      <c r="I101" s="11" t="s">
        <v>139</v>
      </c>
      <c r="J101" s="11" t="s">
        <v>97</v>
      </c>
      <c r="K101" s="11" t="s">
        <v>107</v>
      </c>
      <c r="L101" s="11" t="s">
        <v>177</v>
      </c>
      <c r="M101" s="11" t="s">
        <v>100</v>
      </c>
      <c r="N101" s="32" t="n">
        <v>14258</v>
      </c>
      <c r="O101" s="33" t="n">
        <v>1805231.17</v>
      </c>
      <c r="P101" s="32" t="n">
        <v>14262</v>
      </c>
      <c r="Q101" s="34" t="n">
        <v>0.99</v>
      </c>
      <c r="R101" s="33" t="n">
        <v>53.5</v>
      </c>
      <c r="S101" s="33" t="n">
        <v>223.5</v>
      </c>
      <c r="T101" s="33" t="n">
        <v>126.61</v>
      </c>
      <c r="U101" s="11" t="n">
        <f aca="false">IFERROR(YEAR(A101),"")</f>
        <v>2026</v>
      </c>
      <c r="V101" s="33" t="n">
        <f aca="false">IFERROR(O101*B101,0)</f>
        <v>5415693.51</v>
      </c>
      <c r="W101" s="32" t="n">
        <f aca="false">IFERROR(N101*B101,0)</f>
        <v>42774</v>
      </c>
      <c r="X101" s="11" t="n">
        <f aca="false">IF(OR(ISNUMBER(SEARCH("live nation",L101)),ISNUMBER(SEARCH("ocesa",L101))),1,0)</f>
        <v>1</v>
      </c>
      <c r="Y101" s="11" t="s">
        <v>49</v>
      </c>
    </row>
    <row r="102" customFormat="false" ht="15" hidden="false" customHeight="false" outlineLevel="0" collapsed="false">
      <c r="A102" s="25" t="n">
        <v>46071</v>
      </c>
      <c r="B102" s="13" t="n">
        <v>1</v>
      </c>
      <c r="C102" s="26" t="s">
        <v>354</v>
      </c>
      <c r="D102" s="26"/>
      <c r="E102" s="13" t="s">
        <v>111</v>
      </c>
      <c r="F102" s="13" t="s">
        <v>112</v>
      </c>
      <c r="G102" s="13"/>
      <c r="H102" s="13" t="s">
        <v>21</v>
      </c>
      <c r="I102" s="13"/>
      <c r="J102" s="13" t="s">
        <v>97</v>
      </c>
      <c r="K102" s="13" t="s">
        <v>113</v>
      </c>
      <c r="L102" s="13" t="s">
        <v>321</v>
      </c>
      <c r="M102" s="13" t="s">
        <v>100</v>
      </c>
      <c r="N102" s="27" t="n">
        <v>18000</v>
      </c>
      <c r="O102" s="28" t="n">
        <v>1740222.88</v>
      </c>
      <c r="P102" s="27" t="n">
        <v>18000</v>
      </c>
      <c r="Q102" s="29" t="n">
        <v>1</v>
      </c>
      <c r="R102" s="28" t="n">
        <v>96.68</v>
      </c>
      <c r="S102" s="28" t="n">
        <v>96.68</v>
      </c>
      <c r="T102" s="28" t="n">
        <v>96.68</v>
      </c>
      <c r="U102" s="13" t="n">
        <f aca="false">IFERROR(YEAR(A102),"")</f>
        <v>2026</v>
      </c>
      <c r="V102" s="28" t="n">
        <f aca="false">IFERROR(O102*B102,0)</f>
        <v>1740222.88</v>
      </c>
      <c r="W102" s="27" t="n">
        <f aca="false">IFERROR(N102*B102,0)</f>
        <v>18000</v>
      </c>
      <c r="X102" s="13" t="n">
        <f aca="false">IF(OR(ISNUMBER(SEARCH("live nation",L102)),ISNUMBER(SEARCH("ocesa",L102))),1,0)</f>
        <v>0</v>
      </c>
      <c r="Y102" s="13" t="s">
        <v>50</v>
      </c>
    </row>
    <row r="103" customFormat="false" ht="15" hidden="false" customHeight="false" outlineLevel="0" collapsed="false">
      <c r="A103" s="30" t="n">
        <v>46068</v>
      </c>
      <c r="B103" s="11" t="n">
        <v>1</v>
      </c>
      <c r="C103" s="31" t="s">
        <v>357</v>
      </c>
      <c r="D103" s="31" t="s">
        <v>358</v>
      </c>
      <c r="E103" s="11" t="s">
        <v>111</v>
      </c>
      <c r="F103" s="11" t="s">
        <v>112</v>
      </c>
      <c r="G103" s="11"/>
      <c r="H103" s="11" t="s">
        <v>21</v>
      </c>
      <c r="I103" s="11"/>
      <c r="J103" s="11" t="s">
        <v>97</v>
      </c>
      <c r="K103" s="11" t="s">
        <v>113</v>
      </c>
      <c r="L103" s="11" t="s">
        <v>359</v>
      </c>
      <c r="M103" s="11" t="s">
        <v>100</v>
      </c>
      <c r="N103" s="32" t="n">
        <v>10000</v>
      </c>
      <c r="O103" s="33" t="n">
        <v>589410.23</v>
      </c>
      <c r="P103" s="32" t="n">
        <v>10000</v>
      </c>
      <c r="Q103" s="34" t="n">
        <v>1</v>
      </c>
      <c r="R103" s="33" t="n">
        <v>58.94</v>
      </c>
      <c r="S103" s="33" t="n">
        <v>58.94</v>
      </c>
      <c r="T103" s="33" t="n">
        <v>58.94</v>
      </c>
      <c r="U103" s="11" t="n">
        <f aca="false">IFERROR(YEAR(A103),"")</f>
        <v>2026</v>
      </c>
      <c r="V103" s="33" t="n">
        <f aca="false">IFERROR(O103*B103,0)</f>
        <v>589410.23</v>
      </c>
      <c r="W103" s="32" t="n">
        <f aca="false">IFERROR(N103*B103,0)</f>
        <v>10000</v>
      </c>
      <c r="X103" s="11" t="n">
        <f aca="false">IF(OR(ISNUMBER(SEARCH("live nation",L103)),ISNUMBER(SEARCH("ocesa",L103))),1,0)</f>
        <v>0</v>
      </c>
      <c r="Y103" s="11" t="s">
        <v>50</v>
      </c>
    </row>
    <row r="104" customFormat="false" ht="15" hidden="false" customHeight="false" outlineLevel="0" collapsed="false">
      <c r="A104" s="25" t="n">
        <v>46067</v>
      </c>
      <c r="B104" s="13" t="n">
        <v>1</v>
      </c>
      <c r="C104" s="26" t="s">
        <v>63</v>
      </c>
      <c r="D104" s="26"/>
      <c r="E104" s="13" t="s">
        <v>360</v>
      </c>
      <c r="F104" s="13" t="s">
        <v>361</v>
      </c>
      <c r="G104" s="13"/>
      <c r="H104" s="13" t="s">
        <v>362</v>
      </c>
      <c r="I104" s="13"/>
      <c r="J104" s="13" t="s">
        <v>97</v>
      </c>
      <c r="K104" s="13" t="s">
        <v>363</v>
      </c>
      <c r="L104" s="13" t="s">
        <v>145</v>
      </c>
      <c r="M104" s="13" t="s">
        <v>100</v>
      </c>
      <c r="N104" s="27" t="n">
        <v>8065</v>
      </c>
      <c r="O104" s="28" t="n">
        <v>1852148.5</v>
      </c>
      <c r="P104" s="27" t="n">
        <v>8300</v>
      </c>
      <c r="Q104" s="29" t="n">
        <v>0.97</v>
      </c>
      <c r="R104" s="28" t="n">
        <v>101.86</v>
      </c>
      <c r="S104" s="28" t="n">
        <v>281</v>
      </c>
      <c r="T104" s="28" t="n">
        <v>229.65</v>
      </c>
      <c r="U104" s="13" t="n">
        <f aca="false">IFERROR(YEAR(A104),"")</f>
        <v>2026</v>
      </c>
      <c r="V104" s="28" t="n">
        <f aca="false">IFERROR(O104*B104,0)</f>
        <v>1852148.5</v>
      </c>
      <c r="W104" s="27" t="n">
        <f aca="false">IFERROR(N104*B104,0)</f>
        <v>8065</v>
      </c>
      <c r="X104" s="13" t="n">
        <f aca="false">IF(OR(ISNUMBER(SEARCH("live nation",L104)),ISNUMBER(SEARCH("ocesa",L104))),1,0)</f>
        <v>0</v>
      </c>
      <c r="Y104" s="13" t="s">
        <v>50</v>
      </c>
    </row>
    <row r="105" customFormat="false" ht="15" hidden="false" customHeight="false" outlineLevel="0" collapsed="false">
      <c r="A105" s="30" t="n">
        <v>46067</v>
      </c>
      <c r="B105" s="11" t="n">
        <v>1</v>
      </c>
      <c r="C105" s="31" t="s">
        <v>357</v>
      </c>
      <c r="D105" s="31" t="s">
        <v>364</v>
      </c>
      <c r="E105" s="11" t="s">
        <v>111</v>
      </c>
      <c r="F105" s="11" t="s">
        <v>112</v>
      </c>
      <c r="G105" s="11"/>
      <c r="H105" s="11" t="s">
        <v>21</v>
      </c>
      <c r="I105" s="11"/>
      <c r="J105" s="11" t="s">
        <v>97</v>
      </c>
      <c r="K105" s="11" t="s">
        <v>113</v>
      </c>
      <c r="L105" s="11" t="s">
        <v>359</v>
      </c>
      <c r="M105" s="11" t="s">
        <v>100</v>
      </c>
      <c r="N105" s="32" t="n">
        <v>12400</v>
      </c>
      <c r="O105" s="33" t="n">
        <v>812023.32</v>
      </c>
      <c r="P105" s="32" t="n">
        <v>12400</v>
      </c>
      <c r="Q105" s="34" t="n">
        <v>1</v>
      </c>
      <c r="R105" s="33" t="n">
        <v>65.49</v>
      </c>
      <c r="S105" s="33" t="n">
        <v>65.49</v>
      </c>
      <c r="T105" s="33" t="n">
        <v>65.49</v>
      </c>
      <c r="U105" s="11" t="n">
        <f aca="false">IFERROR(YEAR(A105),"")</f>
        <v>2026</v>
      </c>
      <c r="V105" s="33" t="n">
        <f aca="false">IFERROR(O105*B105,0)</f>
        <v>812023.32</v>
      </c>
      <c r="W105" s="32" t="n">
        <f aca="false">IFERROR(N105*B105,0)</f>
        <v>12400</v>
      </c>
      <c r="X105" s="11" t="n">
        <f aca="false">IF(OR(ISNUMBER(SEARCH("live nation",L105)),ISNUMBER(SEARCH("ocesa",L105))),1,0)</f>
        <v>0</v>
      </c>
      <c r="Y105" s="11" t="s">
        <v>50</v>
      </c>
    </row>
    <row r="106" customFormat="false" ht="15" hidden="false" customHeight="false" outlineLevel="0" collapsed="false">
      <c r="A106" s="25" t="n">
        <v>46066</v>
      </c>
      <c r="B106" s="13" t="n">
        <v>2</v>
      </c>
      <c r="C106" s="26" t="s">
        <v>68</v>
      </c>
      <c r="D106" s="26"/>
      <c r="E106" s="13" t="s">
        <v>365</v>
      </c>
      <c r="F106" s="13" t="s">
        <v>188</v>
      </c>
      <c r="G106" s="13" t="s">
        <v>189</v>
      </c>
      <c r="H106" s="13" t="s">
        <v>20</v>
      </c>
      <c r="I106" s="13" t="s">
        <v>190</v>
      </c>
      <c r="J106" s="13" t="s">
        <v>97</v>
      </c>
      <c r="K106" s="13" t="s">
        <v>107</v>
      </c>
      <c r="L106" s="13" t="s">
        <v>177</v>
      </c>
      <c r="M106" s="13" t="s">
        <v>100</v>
      </c>
      <c r="N106" s="27" t="n">
        <v>15669</v>
      </c>
      <c r="O106" s="28" t="n">
        <v>2245141.53</v>
      </c>
      <c r="P106" s="27" t="n">
        <v>16496</v>
      </c>
      <c r="Q106" s="29" t="n">
        <v>0.94</v>
      </c>
      <c r="R106" s="28" t="n">
        <v>59.5</v>
      </c>
      <c r="S106" s="28" t="n">
        <v>149.5</v>
      </c>
      <c r="T106" s="28" t="n">
        <v>143.28</v>
      </c>
      <c r="U106" s="13" t="n">
        <f aca="false">IFERROR(YEAR(A106),"")</f>
        <v>2026</v>
      </c>
      <c r="V106" s="28" t="n">
        <f aca="false">IFERROR(O106*B106,0)</f>
        <v>4490283.06</v>
      </c>
      <c r="W106" s="27" t="n">
        <f aca="false">IFERROR(N106*B106,0)</f>
        <v>31338</v>
      </c>
      <c r="X106" s="13" t="n">
        <f aca="false">IF(OR(ISNUMBER(SEARCH("live nation",L106)),ISNUMBER(SEARCH("ocesa",L106))),1,0)</f>
        <v>1</v>
      </c>
      <c r="Y106" s="13" t="s">
        <v>49</v>
      </c>
    </row>
    <row r="107" customFormat="false" ht="15" hidden="false" customHeight="false" outlineLevel="0" collapsed="false">
      <c r="A107" s="30" t="n">
        <v>46066</v>
      </c>
      <c r="B107" s="11" t="n">
        <v>1</v>
      </c>
      <c r="C107" s="31" t="s">
        <v>357</v>
      </c>
      <c r="D107" s="31" t="s">
        <v>366</v>
      </c>
      <c r="E107" s="11" t="s">
        <v>111</v>
      </c>
      <c r="F107" s="11" t="s">
        <v>112</v>
      </c>
      <c r="G107" s="11"/>
      <c r="H107" s="11" t="s">
        <v>21</v>
      </c>
      <c r="I107" s="11"/>
      <c r="J107" s="11" t="s">
        <v>97</v>
      </c>
      <c r="K107" s="11" t="s">
        <v>113</v>
      </c>
      <c r="L107" s="11" t="s">
        <v>359</v>
      </c>
      <c r="M107" s="11" t="s">
        <v>100</v>
      </c>
      <c r="N107" s="32" t="n">
        <v>5600</v>
      </c>
      <c r="O107" s="33" t="n">
        <v>328866.6</v>
      </c>
      <c r="P107" s="32" t="n">
        <v>5600</v>
      </c>
      <c r="Q107" s="34" t="n">
        <v>1</v>
      </c>
      <c r="R107" s="33" t="n">
        <v>58.73</v>
      </c>
      <c r="S107" s="33" t="n">
        <v>58.73</v>
      </c>
      <c r="T107" s="33" t="n">
        <v>58.73</v>
      </c>
      <c r="U107" s="11" t="n">
        <f aca="false">IFERROR(YEAR(A107),"")</f>
        <v>2026</v>
      </c>
      <c r="V107" s="33" t="n">
        <f aca="false">IFERROR(O107*B107,0)</f>
        <v>328866.6</v>
      </c>
      <c r="W107" s="32" t="n">
        <f aca="false">IFERROR(N107*B107,0)</f>
        <v>5600</v>
      </c>
      <c r="X107" s="11" t="n">
        <f aca="false">IF(OR(ISNUMBER(SEARCH("live nation",L107)),ISNUMBER(SEARCH("ocesa",L107))),1,0)</f>
        <v>0</v>
      </c>
      <c r="Y107" s="11" t="s">
        <v>50</v>
      </c>
    </row>
    <row r="108" customFormat="false" ht="15" hidden="false" customHeight="false" outlineLevel="0" collapsed="false">
      <c r="A108" s="25" t="n">
        <v>46065</v>
      </c>
      <c r="B108" s="13" t="n">
        <v>1</v>
      </c>
      <c r="C108" s="26" t="s">
        <v>357</v>
      </c>
      <c r="D108" s="26" t="s">
        <v>367</v>
      </c>
      <c r="E108" s="13" t="s">
        <v>111</v>
      </c>
      <c r="F108" s="13" t="s">
        <v>112</v>
      </c>
      <c r="G108" s="13"/>
      <c r="H108" s="13" t="s">
        <v>21</v>
      </c>
      <c r="I108" s="13"/>
      <c r="J108" s="13" t="s">
        <v>97</v>
      </c>
      <c r="K108" s="13" t="s">
        <v>113</v>
      </c>
      <c r="L108" s="13" t="s">
        <v>359</v>
      </c>
      <c r="M108" s="13" t="s">
        <v>100</v>
      </c>
      <c r="N108" s="27" t="n">
        <v>14500</v>
      </c>
      <c r="O108" s="28" t="n">
        <v>853759.68</v>
      </c>
      <c r="P108" s="27" t="n">
        <v>14500</v>
      </c>
      <c r="Q108" s="29" t="n">
        <v>1</v>
      </c>
      <c r="R108" s="28" t="n">
        <v>58.88</v>
      </c>
      <c r="S108" s="28" t="n">
        <v>58.88</v>
      </c>
      <c r="T108" s="28" t="n">
        <v>58.88</v>
      </c>
      <c r="U108" s="13" t="n">
        <f aca="false">IFERROR(YEAR(A108),"")</f>
        <v>2026</v>
      </c>
      <c r="V108" s="28" t="n">
        <f aca="false">IFERROR(O108*B108,0)</f>
        <v>853759.68</v>
      </c>
      <c r="W108" s="27" t="n">
        <f aca="false">IFERROR(N108*B108,0)</f>
        <v>14500</v>
      </c>
      <c r="X108" s="13" t="n">
        <f aca="false">IF(OR(ISNUMBER(SEARCH("live nation",L108)),ISNUMBER(SEARCH("ocesa",L108))),1,0)</f>
        <v>0</v>
      </c>
      <c r="Y108" s="13" t="s">
        <v>50</v>
      </c>
    </row>
    <row r="109" customFormat="false" ht="15" hidden="false" customHeight="false" outlineLevel="0" collapsed="false">
      <c r="A109" s="30" t="n">
        <v>46064</v>
      </c>
      <c r="B109" s="11" t="n">
        <v>1</v>
      </c>
      <c r="C109" s="31" t="s">
        <v>357</v>
      </c>
      <c r="D109" s="31" t="s">
        <v>368</v>
      </c>
      <c r="E109" s="11" t="s">
        <v>111</v>
      </c>
      <c r="F109" s="11" t="s">
        <v>112</v>
      </c>
      <c r="G109" s="11"/>
      <c r="H109" s="11" t="s">
        <v>21</v>
      </c>
      <c r="I109" s="11"/>
      <c r="J109" s="11" t="s">
        <v>97</v>
      </c>
      <c r="K109" s="11" t="s">
        <v>113</v>
      </c>
      <c r="L109" s="11" t="s">
        <v>359</v>
      </c>
      <c r="M109" s="11" t="s">
        <v>100</v>
      </c>
      <c r="N109" s="32" t="n">
        <v>11800</v>
      </c>
      <c r="O109" s="33" t="n">
        <v>769653.73</v>
      </c>
      <c r="P109" s="32" t="n">
        <v>11800</v>
      </c>
      <c r="Q109" s="34" t="n">
        <v>1</v>
      </c>
      <c r="R109" s="33" t="n">
        <v>65.22</v>
      </c>
      <c r="S109" s="33" t="n">
        <v>65.22</v>
      </c>
      <c r="T109" s="33" t="n">
        <v>65.22</v>
      </c>
      <c r="U109" s="11" t="n">
        <f aca="false">IFERROR(YEAR(A109),"")</f>
        <v>2026</v>
      </c>
      <c r="V109" s="33" t="n">
        <f aca="false">IFERROR(O109*B109,0)</f>
        <v>769653.73</v>
      </c>
      <c r="W109" s="32" t="n">
        <f aca="false">IFERROR(N109*B109,0)</f>
        <v>11800</v>
      </c>
      <c r="X109" s="11" t="n">
        <f aca="false">IF(OR(ISNUMBER(SEARCH("live nation",L109)),ISNUMBER(SEARCH("ocesa",L109))),1,0)</f>
        <v>0</v>
      </c>
      <c r="Y109" s="11" t="s">
        <v>50</v>
      </c>
    </row>
    <row r="110" customFormat="false" ht="15" hidden="false" customHeight="false" outlineLevel="0" collapsed="false">
      <c r="A110" s="25" t="n">
        <v>46060</v>
      </c>
      <c r="B110" s="13" t="n">
        <v>2</v>
      </c>
      <c r="C110" s="26" t="s">
        <v>63</v>
      </c>
      <c r="D110" s="26"/>
      <c r="E110" s="13" t="s">
        <v>369</v>
      </c>
      <c r="F110" s="13" t="s">
        <v>370</v>
      </c>
      <c r="G110" s="13"/>
      <c r="H110" s="13" t="s">
        <v>21</v>
      </c>
      <c r="I110" s="13"/>
      <c r="J110" s="13" t="s">
        <v>133</v>
      </c>
      <c r="K110" s="13" t="s">
        <v>113</v>
      </c>
      <c r="L110" s="13" t="s">
        <v>145</v>
      </c>
      <c r="M110" s="13" t="s">
        <v>100</v>
      </c>
      <c r="N110" s="27" t="n">
        <v>30777</v>
      </c>
      <c r="O110" s="28" t="n">
        <v>3227459.09</v>
      </c>
      <c r="P110" s="27" t="n">
        <v>31721</v>
      </c>
      <c r="Q110" s="29" t="n">
        <v>0.97</v>
      </c>
      <c r="R110" s="28" t="n">
        <v>10.18</v>
      </c>
      <c r="S110" s="28" t="n">
        <v>174.94</v>
      </c>
      <c r="T110" s="28" t="n">
        <v>104.86</v>
      </c>
      <c r="U110" s="13" t="n">
        <f aca="false">IFERROR(YEAR(A110),"")</f>
        <v>2026</v>
      </c>
      <c r="V110" s="28" t="n">
        <f aca="false">IFERROR(O110*B110,0)</f>
        <v>6454918.18</v>
      </c>
      <c r="W110" s="27" t="n">
        <f aca="false">IFERROR(N110*B110,0)</f>
        <v>61554</v>
      </c>
      <c r="X110" s="13" t="n">
        <f aca="false">IF(OR(ISNUMBER(SEARCH("live nation",L110)),ISNUMBER(SEARCH("ocesa",L110))),1,0)</f>
        <v>0</v>
      </c>
      <c r="Y110" s="13" t="s">
        <v>50</v>
      </c>
    </row>
    <row r="111" customFormat="false" ht="15" hidden="false" customHeight="false" outlineLevel="0" collapsed="false">
      <c r="A111" s="30" t="n">
        <v>46054</v>
      </c>
      <c r="B111" s="11" t="n">
        <v>1</v>
      </c>
      <c r="C111" s="31" t="s">
        <v>371</v>
      </c>
      <c r="D111" s="31"/>
      <c r="E111" s="11" t="s">
        <v>372</v>
      </c>
      <c r="F111" s="11" t="s">
        <v>188</v>
      </c>
      <c r="G111" s="11" t="s">
        <v>189</v>
      </c>
      <c r="H111" s="11" t="s">
        <v>20</v>
      </c>
      <c r="I111" s="11" t="s">
        <v>190</v>
      </c>
      <c r="J111" s="11" t="s">
        <v>106</v>
      </c>
      <c r="K111" s="11" t="s">
        <v>107</v>
      </c>
      <c r="L111" s="11" t="s">
        <v>191</v>
      </c>
      <c r="M111" s="11" t="s">
        <v>100</v>
      </c>
      <c r="N111" s="32" t="n">
        <v>141</v>
      </c>
      <c r="O111" s="33" t="n">
        <v>5265</v>
      </c>
      <c r="P111" s="32" t="n">
        <v>600</v>
      </c>
      <c r="Q111" s="34" t="n">
        <v>0.23</v>
      </c>
      <c r="R111" s="33" t="n">
        <v>19.5</v>
      </c>
      <c r="S111" s="33" t="n">
        <v>39</v>
      </c>
      <c r="T111" s="33" t="n">
        <v>37.34</v>
      </c>
      <c r="U111" s="11" t="n">
        <f aca="false">IFERROR(YEAR(A111),"")</f>
        <v>2026</v>
      </c>
      <c r="V111" s="33" t="n">
        <f aca="false">IFERROR(O111*B111,0)</f>
        <v>5265</v>
      </c>
      <c r="W111" s="32" t="n">
        <f aca="false">IFERROR(N111*B111,0)</f>
        <v>141</v>
      </c>
      <c r="X111" s="11" t="n">
        <f aca="false">IF(OR(ISNUMBER(SEARCH("live nation",L111)),ISNUMBER(SEARCH("ocesa",L111))),1,0)</f>
        <v>0</v>
      </c>
      <c r="Y111" s="11" t="s">
        <v>49</v>
      </c>
    </row>
    <row r="112" customFormat="false" ht="15" hidden="false" customHeight="false" outlineLevel="0" collapsed="false">
      <c r="A112" s="25" t="n">
        <v>46053</v>
      </c>
      <c r="B112" s="13" t="n">
        <v>2</v>
      </c>
      <c r="C112" s="26" t="s">
        <v>68</v>
      </c>
      <c r="D112" s="26"/>
      <c r="E112" s="13" t="s">
        <v>373</v>
      </c>
      <c r="F112" s="13" t="s">
        <v>374</v>
      </c>
      <c r="G112" s="13" t="s">
        <v>143</v>
      </c>
      <c r="H112" s="13" t="s">
        <v>20</v>
      </c>
      <c r="I112" s="13" t="s">
        <v>375</v>
      </c>
      <c r="J112" s="13" t="s">
        <v>97</v>
      </c>
      <c r="K112" s="13" t="s">
        <v>107</v>
      </c>
      <c r="L112" s="13" t="s">
        <v>177</v>
      </c>
      <c r="M112" s="13" t="s">
        <v>100</v>
      </c>
      <c r="N112" s="27" t="n">
        <v>14398</v>
      </c>
      <c r="O112" s="28" t="n">
        <v>1910281.85</v>
      </c>
      <c r="P112" s="27" t="n">
        <v>14399</v>
      </c>
      <c r="Q112" s="29" t="n">
        <v>0.99</v>
      </c>
      <c r="R112" s="28" t="n">
        <v>59.5</v>
      </c>
      <c r="S112" s="28" t="n">
        <v>229.5</v>
      </c>
      <c r="T112" s="28" t="n">
        <v>132.67</v>
      </c>
      <c r="U112" s="13" t="n">
        <f aca="false">IFERROR(YEAR(A112),"")</f>
        <v>2026</v>
      </c>
      <c r="V112" s="28" t="n">
        <f aca="false">IFERROR(O112*B112,0)</f>
        <v>3820563.7</v>
      </c>
      <c r="W112" s="27" t="n">
        <f aca="false">IFERROR(N112*B112,0)</f>
        <v>28796</v>
      </c>
      <c r="X112" s="13" t="n">
        <f aca="false">IF(OR(ISNUMBER(SEARCH("live nation",L112)),ISNUMBER(SEARCH("ocesa",L112))),1,0)</f>
        <v>1</v>
      </c>
      <c r="Y112" s="13" t="s">
        <v>49</v>
      </c>
    </row>
    <row r="113" customFormat="false" ht="15" hidden="false" customHeight="false" outlineLevel="0" collapsed="false">
      <c r="A113" s="30" t="n">
        <v>46053</v>
      </c>
      <c r="B113" s="11" t="n">
        <v>2</v>
      </c>
      <c r="C113" s="31" t="s">
        <v>63</v>
      </c>
      <c r="D113" s="31"/>
      <c r="E113" s="11" t="s">
        <v>376</v>
      </c>
      <c r="F113" s="11" t="s">
        <v>377</v>
      </c>
      <c r="G113" s="11"/>
      <c r="H113" s="11" t="s">
        <v>378</v>
      </c>
      <c r="I113" s="11"/>
      <c r="J113" s="11" t="s">
        <v>133</v>
      </c>
      <c r="K113" s="11" t="s">
        <v>379</v>
      </c>
      <c r="L113" s="11" t="s">
        <v>145</v>
      </c>
      <c r="M113" s="11" t="s">
        <v>100</v>
      </c>
      <c r="N113" s="32" t="n">
        <v>23136</v>
      </c>
      <c r="O113" s="33" t="n">
        <v>3919514.72</v>
      </c>
      <c r="P113" s="32" t="n">
        <v>23933</v>
      </c>
      <c r="Q113" s="34" t="n">
        <v>0.96</v>
      </c>
      <c r="R113" s="33" t="n">
        <v>94.31</v>
      </c>
      <c r="S113" s="33" t="n">
        <v>220.9</v>
      </c>
      <c r="T113" s="33" t="n">
        <v>169.41</v>
      </c>
      <c r="U113" s="11" t="n">
        <f aca="false">IFERROR(YEAR(A113),"")</f>
        <v>2026</v>
      </c>
      <c r="V113" s="33" t="n">
        <f aca="false">IFERROR(O113*B113,0)</f>
        <v>7839029.44</v>
      </c>
      <c r="W113" s="32" t="n">
        <f aca="false">IFERROR(N113*B113,0)</f>
        <v>46272</v>
      </c>
      <c r="X113" s="11" t="n">
        <f aca="false">IF(OR(ISNUMBER(SEARCH("live nation",L113)),ISNUMBER(SEARCH("ocesa",L113))),1,0)</f>
        <v>0</v>
      </c>
      <c r="Y113" s="11" t="s">
        <v>50</v>
      </c>
    </row>
    <row r="114" customFormat="false" ht="15" hidden="false" customHeight="false" outlineLevel="0" collapsed="false">
      <c r="A114" s="25" t="n">
        <v>46052</v>
      </c>
      <c r="B114" s="13" t="n">
        <v>1</v>
      </c>
      <c r="C114" s="26" t="s">
        <v>380</v>
      </c>
      <c r="D114" s="26"/>
      <c r="E114" s="13" t="s">
        <v>312</v>
      </c>
      <c r="F114" s="13" t="s">
        <v>313</v>
      </c>
      <c r="G114" s="13"/>
      <c r="H114" s="13" t="s">
        <v>27</v>
      </c>
      <c r="I114" s="13"/>
      <c r="J114" s="13" t="s">
        <v>97</v>
      </c>
      <c r="K114" s="13" t="s">
        <v>314</v>
      </c>
      <c r="L114" s="13" t="s">
        <v>381</v>
      </c>
      <c r="M114" s="13" t="s">
        <v>100</v>
      </c>
      <c r="N114" s="27" t="n">
        <v>7819</v>
      </c>
      <c r="O114" s="28" t="n">
        <v>1158945.82</v>
      </c>
      <c r="P114" s="27" t="n">
        <v>8722</v>
      </c>
      <c r="Q114" s="29" t="n">
        <v>0.89</v>
      </c>
      <c r="R114" s="28" t="n">
        <v>97.37</v>
      </c>
      <c r="S114" s="28" t="n">
        <v>508.86</v>
      </c>
      <c r="T114" s="28" t="n">
        <v>148.22</v>
      </c>
      <c r="U114" s="13" t="n">
        <f aca="false">IFERROR(YEAR(A114),"")</f>
        <v>2026</v>
      </c>
      <c r="V114" s="28" t="n">
        <f aca="false">IFERROR(O114*B114,0)</f>
        <v>1158945.82</v>
      </c>
      <c r="W114" s="27" t="n">
        <f aca="false">IFERROR(N114*B114,0)</f>
        <v>7819</v>
      </c>
      <c r="X114" s="13" t="n">
        <f aca="false">IF(OR(ISNUMBER(SEARCH("live nation",L114)),ISNUMBER(SEARCH("ocesa",L114))),1,0)</f>
        <v>0</v>
      </c>
      <c r="Y114" s="13" t="s">
        <v>49</v>
      </c>
    </row>
    <row r="115" customFormat="false" ht="15" hidden="false" customHeight="false" outlineLevel="0" collapsed="false">
      <c r="A115" s="30" t="n">
        <v>46050</v>
      </c>
      <c r="B115" s="11" t="n">
        <v>1</v>
      </c>
      <c r="C115" s="31" t="s">
        <v>68</v>
      </c>
      <c r="D115" s="31"/>
      <c r="E115" s="11" t="s">
        <v>382</v>
      </c>
      <c r="F115" s="11" t="s">
        <v>383</v>
      </c>
      <c r="G115" s="11" t="s">
        <v>119</v>
      </c>
      <c r="H115" s="11" t="s">
        <v>20</v>
      </c>
      <c r="I115" s="11" t="s">
        <v>120</v>
      </c>
      <c r="J115" s="11" t="s">
        <v>97</v>
      </c>
      <c r="K115" s="11" t="s">
        <v>107</v>
      </c>
      <c r="L115" s="11" t="s">
        <v>177</v>
      </c>
      <c r="M115" s="11" t="s">
        <v>100</v>
      </c>
      <c r="N115" s="32" t="n">
        <v>14272</v>
      </c>
      <c r="O115" s="33" t="n">
        <v>2607605</v>
      </c>
      <c r="P115" s="32" t="n">
        <v>14722</v>
      </c>
      <c r="Q115" s="34" t="n">
        <v>0.96</v>
      </c>
      <c r="R115" s="33" t="n">
        <v>54.5</v>
      </c>
      <c r="S115" s="33" t="n">
        <v>474.5</v>
      </c>
      <c r="T115" s="33" t="n">
        <v>182.71</v>
      </c>
      <c r="U115" s="11" t="n">
        <f aca="false">IFERROR(YEAR(A115),"")</f>
        <v>2026</v>
      </c>
      <c r="V115" s="33" t="n">
        <f aca="false">IFERROR(O115*B115,0)</f>
        <v>2607605</v>
      </c>
      <c r="W115" s="32" t="n">
        <f aca="false">IFERROR(N115*B115,0)</f>
        <v>14272</v>
      </c>
      <c r="X115" s="11" t="n">
        <f aca="false">IF(OR(ISNUMBER(SEARCH("live nation",L115)),ISNUMBER(SEARCH("ocesa",L115))),1,0)</f>
        <v>1</v>
      </c>
      <c r="Y115" s="11" t="s">
        <v>49</v>
      </c>
    </row>
    <row r="116" customFormat="false" ht="15" hidden="false" customHeight="false" outlineLevel="0" collapsed="false">
      <c r="A116" s="25" t="n">
        <v>46049</v>
      </c>
      <c r="B116" s="13" t="n">
        <v>1</v>
      </c>
      <c r="C116" s="26" t="s">
        <v>384</v>
      </c>
      <c r="D116" s="26" t="s">
        <v>385</v>
      </c>
      <c r="E116" s="13" t="s">
        <v>111</v>
      </c>
      <c r="F116" s="13" t="s">
        <v>112</v>
      </c>
      <c r="G116" s="13"/>
      <c r="H116" s="13" t="s">
        <v>21</v>
      </c>
      <c r="I116" s="13"/>
      <c r="J116" s="13" t="s">
        <v>97</v>
      </c>
      <c r="K116" s="13" t="s">
        <v>113</v>
      </c>
      <c r="L116" s="13" t="s">
        <v>321</v>
      </c>
      <c r="M116" s="13" t="s">
        <v>100</v>
      </c>
      <c r="N116" s="27" t="n">
        <v>20000</v>
      </c>
      <c r="O116" s="28" t="n">
        <v>1552440.44</v>
      </c>
      <c r="P116" s="27" t="n">
        <v>20000</v>
      </c>
      <c r="Q116" s="29" t="n">
        <v>1</v>
      </c>
      <c r="R116" s="28" t="n">
        <v>77.62</v>
      </c>
      <c r="S116" s="28" t="n">
        <v>77.62</v>
      </c>
      <c r="T116" s="28" t="n">
        <v>77.62</v>
      </c>
      <c r="U116" s="13" t="n">
        <f aca="false">IFERROR(YEAR(A116),"")</f>
        <v>2026</v>
      </c>
      <c r="V116" s="28" t="n">
        <f aca="false">IFERROR(O116*B116,0)</f>
        <v>1552440.44</v>
      </c>
      <c r="W116" s="27" t="n">
        <f aca="false">IFERROR(N116*B116,0)</f>
        <v>20000</v>
      </c>
      <c r="X116" s="13" t="n">
        <f aca="false">IF(OR(ISNUMBER(SEARCH("live nation",L116)),ISNUMBER(SEARCH("ocesa",L116))),1,0)</f>
        <v>0</v>
      </c>
      <c r="Y116" s="13" t="s">
        <v>50</v>
      </c>
    </row>
    <row r="117" customFormat="false" ht="15" hidden="false" customHeight="false" outlineLevel="0" collapsed="false">
      <c r="A117" s="30" t="n">
        <v>46047</v>
      </c>
      <c r="B117" s="11" t="n">
        <v>1</v>
      </c>
      <c r="C117" s="31" t="s">
        <v>384</v>
      </c>
      <c r="D117" s="31" t="s">
        <v>386</v>
      </c>
      <c r="E117" s="11" t="s">
        <v>111</v>
      </c>
      <c r="F117" s="11" t="s">
        <v>112</v>
      </c>
      <c r="G117" s="11"/>
      <c r="H117" s="11" t="s">
        <v>21</v>
      </c>
      <c r="I117" s="11"/>
      <c r="J117" s="11" t="s">
        <v>97</v>
      </c>
      <c r="K117" s="11" t="s">
        <v>113</v>
      </c>
      <c r="L117" s="11" t="s">
        <v>321</v>
      </c>
      <c r="M117" s="11" t="s">
        <v>100</v>
      </c>
      <c r="N117" s="32" t="n">
        <v>20000</v>
      </c>
      <c r="O117" s="33" t="n">
        <v>1541475.57</v>
      </c>
      <c r="P117" s="32" t="n">
        <v>20000</v>
      </c>
      <c r="Q117" s="34" t="n">
        <v>1</v>
      </c>
      <c r="R117" s="33" t="n">
        <v>77.07</v>
      </c>
      <c r="S117" s="33" t="n">
        <v>77.07</v>
      </c>
      <c r="T117" s="33" t="n">
        <v>77.07</v>
      </c>
      <c r="U117" s="11" t="n">
        <f aca="false">IFERROR(YEAR(A117),"")</f>
        <v>2026</v>
      </c>
      <c r="V117" s="33" t="n">
        <f aca="false">IFERROR(O117*B117,0)</f>
        <v>1541475.57</v>
      </c>
      <c r="W117" s="32" t="n">
        <f aca="false">IFERROR(N117*B117,0)</f>
        <v>20000</v>
      </c>
      <c r="X117" s="11" t="n">
        <f aca="false">IF(OR(ISNUMBER(SEARCH("live nation",L117)),ISNUMBER(SEARCH("ocesa",L117))),1,0)</f>
        <v>0</v>
      </c>
      <c r="Y117" s="11" t="s">
        <v>50</v>
      </c>
    </row>
    <row r="118" customFormat="false" ht="15" hidden="false" customHeight="false" outlineLevel="0" collapsed="false">
      <c r="A118" s="25" t="n">
        <v>46046</v>
      </c>
      <c r="B118" s="13" t="n">
        <v>1</v>
      </c>
      <c r="C118" s="26" t="s">
        <v>384</v>
      </c>
      <c r="D118" s="26" t="s">
        <v>387</v>
      </c>
      <c r="E118" s="13" t="s">
        <v>111</v>
      </c>
      <c r="F118" s="13" t="s">
        <v>112</v>
      </c>
      <c r="G118" s="13"/>
      <c r="H118" s="13" t="s">
        <v>21</v>
      </c>
      <c r="I118" s="13"/>
      <c r="J118" s="13" t="s">
        <v>97</v>
      </c>
      <c r="K118" s="13" t="s">
        <v>113</v>
      </c>
      <c r="L118" s="13" t="s">
        <v>321</v>
      </c>
      <c r="M118" s="13" t="s">
        <v>100</v>
      </c>
      <c r="N118" s="27" t="n">
        <v>20000</v>
      </c>
      <c r="O118" s="28" t="n">
        <v>1284480.28</v>
      </c>
      <c r="P118" s="27" t="n">
        <v>20000</v>
      </c>
      <c r="Q118" s="29" t="n">
        <v>1</v>
      </c>
      <c r="R118" s="28" t="n">
        <v>64.22</v>
      </c>
      <c r="S118" s="28" t="n">
        <v>64.22</v>
      </c>
      <c r="T118" s="28" t="n">
        <v>64.22</v>
      </c>
      <c r="U118" s="13" t="n">
        <f aca="false">IFERROR(YEAR(A118),"")</f>
        <v>2026</v>
      </c>
      <c r="V118" s="28" t="n">
        <f aca="false">IFERROR(O118*B118,0)</f>
        <v>1284480.28</v>
      </c>
      <c r="W118" s="27" t="n">
        <f aca="false">IFERROR(N118*B118,0)</f>
        <v>20000</v>
      </c>
      <c r="X118" s="13" t="n">
        <f aca="false">IF(OR(ISNUMBER(SEARCH("live nation",L118)),ISNUMBER(SEARCH("ocesa",L118))),1,0)</f>
        <v>0</v>
      </c>
      <c r="Y118" s="13" t="s">
        <v>50</v>
      </c>
    </row>
    <row r="119" customFormat="false" ht="15" hidden="false" customHeight="false" outlineLevel="0" collapsed="false">
      <c r="A119" s="30" t="n">
        <v>46043</v>
      </c>
      <c r="B119" s="11" t="n">
        <v>2</v>
      </c>
      <c r="C119" s="31" t="s">
        <v>63</v>
      </c>
      <c r="D119" s="31"/>
      <c r="E119" s="11" t="s">
        <v>184</v>
      </c>
      <c r="F119" s="11" t="s">
        <v>185</v>
      </c>
      <c r="G119" s="11"/>
      <c r="H119" s="11" t="s">
        <v>21</v>
      </c>
      <c r="I119" s="11"/>
      <c r="J119" s="11" t="s">
        <v>133</v>
      </c>
      <c r="K119" s="11" t="s">
        <v>113</v>
      </c>
      <c r="L119" s="11" t="s">
        <v>145</v>
      </c>
      <c r="M119" s="11" t="s">
        <v>100</v>
      </c>
      <c r="N119" s="32" t="n">
        <v>33951</v>
      </c>
      <c r="O119" s="33" t="n">
        <v>3508037.27</v>
      </c>
      <c r="P119" s="32" t="n">
        <v>44100</v>
      </c>
      <c r="Q119" s="34" t="n">
        <v>0.76</v>
      </c>
      <c r="R119" s="33" t="n">
        <v>1.01</v>
      </c>
      <c r="S119" s="33" t="n">
        <v>174.01</v>
      </c>
      <c r="T119" s="33" t="n">
        <v>103.32</v>
      </c>
      <c r="U119" s="11" t="n">
        <f aca="false">IFERROR(YEAR(A119),"")</f>
        <v>2026</v>
      </c>
      <c r="V119" s="33" t="n">
        <f aca="false">IFERROR(O119*B119,0)</f>
        <v>7016074.54</v>
      </c>
      <c r="W119" s="32" t="n">
        <f aca="false">IFERROR(N119*B119,0)</f>
        <v>67902</v>
      </c>
      <c r="X119" s="11" t="n">
        <f aca="false">IF(OR(ISNUMBER(SEARCH("live nation",L119)),ISNUMBER(SEARCH("ocesa",L119))),1,0)</f>
        <v>0</v>
      </c>
      <c r="Y119" s="11" t="s">
        <v>50</v>
      </c>
    </row>
    <row r="120" customFormat="false" ht="15" hidden="false" customHeight="false" outlineLevel="0" collapsed="false">
      <c r="A120" s="25" t="n">
        <v>46040</v>
      </c>
      <c r="B120" s="13" t="n">
        <v>1</v>
      </c>
      <c r="C120" s="26" t="s">
        <v>388</v>
      </c>
      <c r="D120" s="26"/>
      <c r="E120" s="13" t="s">
        <v>389</v>
      </c>
      <c r="F120" s="13" t="s">
        <v>346</v>
      </c>
      <c r="G120" s="13" t="s">
        <v>347</v>
      </c>
      <c r="H120" s="13" t="s">
        <v>20</v>
      </c>
      <c r="I120" s="13" t="s">
        <v>346</v>
      </c>
      <c r="J120" s="13" t="s">
        <v>121</v>
      </c>
      <c r="K120" s="13" t="s">
        <v>107</v>
      </c>
      <c r="L120" s="13" t="s">
        <v>390</v>
      </c>
      <c r="M120" s="13" t="s">
        <v>100</v>
      </c>
      <c r="N120" s="27" t="n">
        <v>1033</v>
      </c>
      <c r="O120" s="28" t="n">
        <v>91516.02</v>
      </c>
      <c r="P120" s="27" t="n">
        <v>1806</v>
      </c>
      <c r="Q120" s="29" t="n">
        <v>0.57</v>
      </c>
      <c r="R120" s="28" t="n">
        <v>50</v>
      </c>
      <c r="S120" s="28" t="n">
        <v>95</v>
      </c>
      <c r="T120" s="28" t="n">
        <v>88.59</v>
      </c>
      <c r="U120" s="13" t="n">
        <f aca="false">IFERROR(YEAR(A120),"")</f>
        <v>2026</v>
      </c>
      <c r="V120" s="28" t="n">
        <f aca="false">IFERROR(O120*B120,0)</f>
        <v>91516.02</v>
      </c>
      <c r="W120" s="27" t="n">
        <f aca="false">IFERROR(N120*B120,0)</f>
        <v>1033</v>
      </c>
      <c r="X120" s="13" t="n">
        <f aca="false">IF(OR(ISNUMBER(SEARCH("live nation",L120)),ISNUMBER(SEARCH("ocesa",L120))),1,0)</f>
        <v>0</v>
      </c>
      <c r="Y120" s="13" t="s">
        <v>49</v>
      </c>
    </row>
    <row r="121" customFormat="false" ht="15" hidden="false" customHeight="false" outlineLevel="0" collapsed="false">
      <c r="A121" s="30" t="n">
        <v>46039</v>
      </c>
      <c r="B121" s="11" t="n">
        <v>1</v>
      </c>
      <c r="C121" s="31" t="s">
        <v>258</v>
      </c>
      <c r="D121" s="31"/>
      <c r="E121" s="11" t="s">
        <v>187</v>
      </c>
      <c r="F121" s="11" t="s">
        <v>188</v>
      </c>
      <c r="G121" s="11" t="s">
        <v>189</v>
      </c>
      <c r="H121" s="11" t="s">
        <v>20</v>
      </c>
      <c r="I121" s="11" t="s">
        <v>190</v>
      </c>
      <c r="J121" s="11" t="s">
        <v>106</v>
      </c>
      <c r="K121" s="11" t="s">
        <v>107</v>
      </c>
      <c r="L121" s="11" t="s">
        <v>191</v>
      </c>
      <c r="M121" s="11" t="s">
        <v>109</v>
      </c>
      <c r="N121" s="32" t="n">
        <v>290</v>
      </c>
      <c r="O121" s="33" t="n">
        <v>6050</v>
      </c>
      <c r="P121" s="32" t="n">
        <v>500</v>
      </c>
      <c r="Q121" s="34" t="n">
        <v>0.58</v>
      </c>
      <c r="R121" s="33" t="n">
        <v>15</v>
      </c>
      <c r="S121" s="33" t="n">
        <v>25</v>
      </c>
      <c r="T121" s="33" t="n">
        <v>20.86</v>
      </c>
      <c r="U121" s="11" t="n">
        <f aca="false">IFERROR(YEAR(A121),"")</f>
        <v>2026</v>
      </c>
      <c r="V121" s="33" t="n">
        <f aca="false">IFERROR(O121*B121,0)</f>
        <v>6050</v>
      </c>
      <c r="W121" s="32" t="n">
        <f aca="false">IFERROR(N121*B121,0)</f>
        <v>290</v>
      </c>
      <c r="X121" s="11" t="n">
        <f aca="false">IF(OR(ISNUMBER(SEARCH("live nation",L121)),ISNUMBER(SEARCH("ocesa",L121))),1,0)</f>
        <v>0</v>
      </c>
      <c r="Y121" s="11" t="s">
        <v>49</v>
      </c>
    </row>
    <row r="122" customFormat="false" ht="15" hidden="false" customHeight="false" outlineLevel="0" collapsed="false">
      <c r="A122" s="25" t="n">
        <v>46039</v>
      </c>
      <c r="B122" s="13" t="n">
        <v>2</v>
      </c>
      <c r="C122" s="26" t="s">
        <v>63</v>
      </c>
      <c r="D122" s="26"/>
      <c r="E122" s="13" t="s">
        <v>391</v>
      </c>
      <c r="F122" s="13" t="s">
        <v>324</v>
      </c>
      <c r="G122" s="13"/>
      <c r="H122" s="13" t="s">
        <v>324</v>
      </c>
      <c r="I122" s="13"/>
      <c r="J122" s="13" t="s">
        <v>97</v>
      </c>
      <c r="K122" s="13" t="s">
        <v>324</v>
      </c>
      <c r="L122" s="13" t="s">
        <v>145</v>
      </c>
      <c r="M122" s="13" t="s">
        <v>100</v>
      </c>
      <c r="N122" s="27" t="n">
        <v>5358</v>
      </c>
      <c r="O122" s="28" t="n">
        <v>1324658.83</v>
      </c>
      <c r="P122" s="27" t="n">
        <v>6952</v>
      </c>
      <c r="Q122" s="29" t="n">
        <v>0.77</v>
      </c>
      <c r="R122" s="28" t="n">
        <v>130.44</v>
      </c>
      <c r="S122" s="28" t="n">
        <v>285.74</v>
      </c>
      <c r="T122" s="28" t="n">
        <v>247.21</v>
      </c>
      <c r="U122" s="13" t="n">
        <f aca="false">IFERROR(YEAR(A122),"")</f>
        <v>2026</v>
      </c>
      <c r="V122" s="28" t="n">
        <f aca="false">IFERROR(O122*B122,0)</f>
        <v>2649317.66</v>
      </c>
      <c r="W122" s="27" t="n">
        <f aca="false">IFERROR(N122*B122,0)</f>
        <v>10716</v>
      </c>
      <c r="X122" s="13" t="n">
        <f aca="false">IF(OR(ISNUMBER(SEARCH("live nation",L122)),ISNUMBER(SEARCH("ocesa",L122))),1,0)</f>
        <v>0</v>
      </c>
      <c r="Y122" s="13" t="s">
        <v>50</v>
      </c>
    </row>
    <row r="123" customFormat="false" ht="15" hidden="false" customHeight="false" outlineLevel="0" collapsed="false">
      <c r="A123" s="30" t="n">
        <v>46038</v>
      </c>
      <c r="B123" s="11" t="n">
        <v>1</v>
      </c>
      <c r="C123" s="31" t="s">
        <v>388</v>
      </c>
      <c r="D123" s="31"/>
      <c r="E123" s="11" t="s">
        <v>392</v>
      </c>
      <c r="F123" s="11" t="s">
        <v>197</v>
      </c>
      <c r="G123" s="11" t="s">
        <v>139</v>
      </c>
      <c r="H123" s="11" t="s">
        <v>20</v>
      </c>
      <c r="I123" s="11" t="s">
        <v>139</v>
      </c>
      <c r="J123" s="11" t="s">
        <v>121</v>
      </c>
      <c r="K123" s="11" t="s">
        <v>107</v>
      </c>
      <c r="L123" s="11" t="s">
        <v>390</v>
      </c>
      <c r="M123" s="11" t="s">
        <v>100</v>
      </c>
      <c r="N123" s="32" t="n">
        <v>1001</v>
      </c>
      <c r="O123" s="33" t="n">
        <v>92666</v>
      </c>
      <c r="P123" s="32" t="n">
        <v>2351</v>
      </c>
      <c r="Q123" s="34" t="n">
        <v>0.42</v>
      </c>
      <c r="R123" s="33" t="n">
        <v>50</v>
      </c>
      <c r="S123" s="33" t="n">
        <v>95</v>
      </c>
      <c r="T123" s="33" t="n">
        <v>92.57</v>
      </c>
      <c r="U123" s="11" t="n">
        <f aca="false">IFERROR(YEAR(A123),"")</f>
        <v>2026</v>
      </c>
      <c r="V123" s="33" t="n">
        <f aca="false">IFERROR(O123*B123,0)</f>
        <v>92666</v>
      </c>
      <c r="W123" s="32" t="n">
        <f aca="false">IFERROR(N123*B123,0)</f>
        <v>1001</v>
      </c>
      <c r="X123" s="11" t="n">
        <f aca="false">IF(OR(ISNUMBER(SEARCH("live nation",L123)),ISNUMBER(SEARCH("ocesa",L123))),1,0)</f>
        <v>0</v>
      </c>
      <c r="Y123" s="11" t="s">
        <v>49</v>
      </c>
    </row>
    <row r="124" customFormat="false" ht="15" hidden="false" customHeight="false" outlineLevel="0" collapsed="false">
      <c r="A124" s="25" t="n">
        <v>46038</v>
      </c>
      <c r="B124" s="13" t="n">
        <v>1</v>
      </c>
      <c r="C124" s="26" t="s">
        <v>393</v>
      </c>
      <c r="D124" s="26"/>
      <c r="E124" s="13" t="s">
        <v>394</v>
      </c>
      <c r="F124" s="13" t="s">
        <v>395</v>
      </c>
      <c r="G124" s="13" t="s">
        <v>396</v>
      </c>
      <c r="H124" s="13" t="s">
        <v>20</v>
      </c>
      <c r="I124" s="13" t="s">
        <v>395</v>
      </c>
      <c r="J124" s="13" t="s">
        <v>121</v>
      </c>
      <c r="K124" s="13" t="s">
        <v>107</v>
      </c>
      <c r="L124" s="13" t="s">
        <v>322</v>
      </c>
      <c r="M124" s="13" t="s">
        <v>100</v>
      </c>
      <c r="N124" s="27" t="n">
        <v>5102</v>
      </c>
      <c r="O124" s="28" t="n">
        <v>1110795</v>
      </c>
      <c r="P124" s="27" t="n">
        <v>5203</v>
      </c>
      <c r="Q124" s="29" t="n">
        <v>0.98</v>
      </c>
      <c r="R124" s="28" t="n">
        <v>103.1</v>
      </c>
      <c r="S124" s="28" t="n">
        <v>386.5</v>
      </c>
      <c r="T124" s="28" t="n">
        <v>217.72</v>
      </c>
      <c r="U124" s="13" t="n">
        <f aca="false">IFERROR(YEAR(A124),"")</f>
        <v>2026</v>
      </c>
      <c r="V124" s="28" t="n">
        <f aca="false">IFERROR(O124*B124,0)</f>
        <v>1110795</v>
      </c>
      <c r="W124" s="27" t="n">
        <f aca="false">IFERROR(N124*B124,0)</f>
        <v>5102</v>
      </c>
      <c r="X124" s="13" t="n">
        <f aca="false">IF(OR(ISNUMBER(SEARCH("live nation",L124)),ISNUMBER(SEARCH("ocesa",L124))),1,0)</f>
        <v>0</v>
      </c>
      <c r="Y124" s="13" t="s">
        <v>49</v>
      </c>
    </row>
    <row r="125" customFormat="false" ht="15" hidden="false" customHeight="false" outlineLevel="0" collapsed="false">
      <c r="A125" s="30" t="n">
        <v>46036</v>
      </c>
      <c r="B125" s="11" t="n">
        <v>1</v>
      </c>
      <c r="C125" s="31" t="s">
        <v>388</v>
      </c>
      <c r="D125" s="31"/>
      <c r="E125" s="11" t="s">
        <v>397</v>
      </c>
      <c r="F125" s="11" t="s">
        <v>209</v>
      </c>
      <c r="G125" s="11" t="s">
        <v>208</v>
      </c>
      <c r="H125" s="11" t="s">
        <v>20</v>
      </c>
      <c r="I125" s="11" t="s">
        <v>209</v>
      </c>
      <c r="J125" s="11" t="s">
        <v>121</v>
      </c>
      <c r="K125" s="11" t="s">
        <v>107</v>
      </c>
      <c r="L125" s="11" t="s">
        <v>390</v>
      </c>
      <c r="M125" s="11" t="s">
        <v>100</v>
      </c>
      <c r="N125" s="32" t="n">
        <v>924</v>
      </c>
      <c r="O125" s="33" t="n">
        <v>72510</v>
      </c>
      <c r="P125" s="32" t="n">
        <v>1834</v>
      </c>
      <c r="Q125" s="34" t="n">
        <v>0.5</v>
      </c>
      <c r="R125" s="33" t="n">
        <v>45</v>
      </c>
      <c r="S125" s="33" t="n">
        <v>80</v>
      </c>
      <c r="T125" s="33" t="n">
        <v>78.47</v>
      </c>
      <c r="U125" s="11" t="n">
        <f aca="false">IFERROR(YEAR(A125),"")</f>
        <v>2026</v>
      </c>
      <c r="V125" s="33" t="n">
        <f aca="false">IFERROR(O125*B125,0)</f>
        <v>72510</v>
      </c>
      <c r="W125" s="32" t="n">
        <f aca="false">IFERROR(N125*B125,0)</f>
        <v>924</v>
      </c>
      <c r="X125" s="11" t="n">
        <f aca="false">IF(OR(ISNUMBER(SEARCH("live nation",L125)),ISNUMBER(SEARCH("ocesa",L125))),1,0)</f>
        <v>0</v>
      </c>
      <c r="Y125" s="11" t="s">
        <v>49</v>
      </c>
    </row>
    <row r="126" customFormat="false" ht="15" hidden="false" customHeight="false" outlineLevel="0" collapsed="false">
      <c r="A126" s="25" t="n">
        <v>46035</v>
      </c>
      <c r="B126" s="13" t="n">
        <v>2</v>
      </c>
      <c r="C126" s="26" t="s">
        <v>68</v>
      </c>
      <c r="D126" s="26"/>
      <c r="E126" s="13" t="s">
        <v>305</v>
      </c>
      <c r="F126" s="13" t="s">
        <v>306</v>
      </c>
      <c r="G126" s="13" t="s">
        <v>188</v>
      </c>
      <c r="H126" s="13" t="s">
        <v>20</v>
      </c>
      <c r="I126" s="13" t="s">
        <v>307</v>
      </c>
      <c r="J126" s="13" t="s">
        <v>97</v>
      </c>
      <c r="K126" s="13" t="s">
        <v>107</v>
      </c>
      <c r="L126" s="13" t="s">
        <v>177</v>
      </c>
      <c r="M126" s="13" t="s">
        <v>100</v>
      </c>
      <c r="N126" s="27" t="n">
        <v>14053</v>
      </c>
      <c r="O126" s="28" t="n">
        <v>1833991</v>
      </c>
      <c r="P126" s="27" t="n">
        <v>14053</v>
      </c>
      <c r="Q126" s="29" t="n">
        <v>1</v>
      </c>
      <c r="R126" s="28" t="n">
        <v>59.5</v>
      </c>
      <c r="S126" s="28" t="n">
        <v>229.5</v>
      </c>
      <c r="T126" s="28" t="n">
        <v>130.51</v>
      </c>
      <c r="U126" s="13" t="n">
        <f aca="false">IFERROR(YEAR(A126),"")</f>
        <v>2026</v>
      </c>
      <c r="V126" s="28" t="n">
        <f aca="false">IFERROR(O126*B126,0)</f>
        <v>3667982</v>
      </c>
      <c r="W126" s="27" t="n">
        <f aca="false">IFERROR(N126*B126,0)</f>
        <v>28106</v>
      </c>
      <c r="X126" s="13" t="n">
        <f aca="false">IF(OR(ISNUMBER(SEARCH("live nation",L126)),ISNUMBER(SEARCH("ocesa",L126))),1,0)</f>
        <v>1</v>
      </c>
      <c r="Y126" s="13" t="s">
        <v>49</v>
      </c>
    </row>
    <row r="127" customFormat="false" ht="15" hidden="false" customHeight="false" outlineLevel="0" collapsed="false">
      <c r="A127" s="30" t="n">
        <v>46034</v>
      </c>
      <c r="B127" s="11" t="n">
        <v>1</v>
      </c>
      <c r="C127" s="31" t="s">
        <v>398</v>
      </c>
      <c r="D127" s="31"/>
      <c r="E127" s="11" t="s">
        <v>111</v>
      </c>
      <c r="F127" s="11" t="s">
        <v>112</v>
      </c>
      <c r="G127" s="11"/>
      <c r="H127" s="11" t="s">
        <v>21</v>
      </c>
      <c r="I127" s="11"/>
      <c r="J127" s="11" t="s">
        <v>97</v>
      </c>
      <c r="K127" s="11" t="s">
        <v>113</v>
      </c>
      <c r="L127" s="11" t="s">
        <v>399</v>
      </c>
      <c r="M127" s="11" t="s">
        <v>100</v>
      </c>
      <c r="N127" s="32" t="n">
        <v>65000</v>
      </c>
      <c r="O127" s="33" t="n">
        <v>506381.2</v>
      </c>
      <c r="P127" s="32" t="n">
        <v>65000</v>
      </c>
      <c r="Q127" s="34" t="n">
        <v>1</v>
      </c>
      <c r="R127" s="33" t="n">
        <v>75.89</v>
      </c>
      <c r="S127" s="33" t="n">
        <v>75.89</v>
      </c>
      <c r="T127" s="33" t="n">
        <v>7.79</v>
      </c>
      <c r="U127" s="11" t="n">
        <f aca="false">IFERROR(YEAR(A127),"")</f>
        <v>2026</v>
      </c>
      <c r="V127" s="33" t="n">
        <f aca="false">IFERROR(O127*B127,0)</f>
        <v>506381.2</v>
      </c>
      <c r="W127" s="32" t="n">
        <f aca="false">IFERROR(N127*B127,0)</f>
        <v>65000</v>
      </c>
      <c r="X127" s="11" t="n">
        <f aca="false">IF(OR(ISNUMBER(SEARCH("live nation",L127)),ISNUMBER(SEARCH("ocesa",L127))),1,0)</f>
        <v>0</v>
      </c>
      <c r="Y127" s="11" t="s">
        <v>50</v>
      </c>
    </row>
    <row r="128" customFormat="false" ht="15" hidden="false" customHeight="false" outlineLevel="0" collapsed="false">
      <c r="A128" s="25" t="n">
        <v>46033</v>
      </c>
      <c r="B128" s="13" t="n">
        <v>1</v>
      </c>
      <c r="C128" s="26" t="s">
        <v>388</v>
      </c>
      <c r="D128" s="26"/>
      <c r="E128" s="13" t="s">
        <v>400</v>
      </c>
      <c r="F128" s="13" t="s">
        <v>203</v>
      </c>
      <c r="G128" s="13" t="s">
        <v>202</v>
      </c>
      <c r="H128" s="13" t="s">
        <v>20</v>
      </c>
      <c r="I128" s="13" t="s">
        <v>203</v>
      </c>
      <c r="J128" s="13" t="s">
        <v>121</v>
      </c>
      <c r="K128" s="13" t="s">
        <v>107</v>
      </c>
      <c r="L128" s="13" t="s">
        <v>390</v>
      </c>
      <c r="M128" s="13" t="s">
        <v>100</v>
      </c>
      <c r="N128" s="27" t="n">
        <v>1087</v>
      </c>
      <c r="O128" s="28" t="n">
        <v>94469.05</v>
      </c>
      <c r="P128" s="27" t="n">
        <v>1976</v>
      </c>
      <c r="Q128" s="29" t="n">
        <v>0.55</v>
      </c>
      <c r="R128" s="28" t="n">
        <v>45</v>
      </c>
      <c r="S128" s="28" t="n">
        <v>90</v>
      </c>
      <c r="T128" s="28" t="n">
        <v>86.91</v>
      </c>
      <c r="U128" s="13" t="n">
        <f aca="false">IFERROR(YEAR(A128),"")</f>
        <v>2026</v>
      </c>
      <c r="V128" s="28" t="n">
        <f aca="false">IFERROR(O128*B128,0)</f>
        <v>94469.05</v>
      </c>
      <c r="W128" s="27" t="n">
        <f aca="false">IFERROR(N128*B128,0)</f>
        <v>1087</v>
      </c>
      <c r="X128" s="13" t="n">
        <f aca="false">IF(OR(ISNUMBER(SEARCH("live nation",L128)),ISNUMBER(SEARCH("ocesa",L128))),1,0)</f>
        <v>0</v>
      </c>
      <c r="Y128" s="13" t="s">
        <v>49</v>
      </c>
    </row>
    <row r="129" customFormat="false" ht="15" hidden="false" customHeight="false" outlineLevel="0" collapsed="false">
      <c r="A129" s="30" t="n">
        <v>46033</v>
      </c>
      <c r="B129" s="11" t="n">
        <v>1</v>
      </c>
      <c r="C129" s="31" t="s">
        <v>401</v>
      </c>
      <c r="D129" s="31"/>
      <c r="E129" s="11" t="s">
        <v>111</v>
      </c>
      <c r="F129" s="11" t="s">
        <v>112</v>
      </c>
      <c r="G129" s="11"/>
      <c r="H129" s="11" t="s">
        <v>21</v>
      </c>
      <c r="I129" s="11"/>
      <c r="J129" s="11" t="s">
        <v>97</v>
      </c>
      <c r="K129" s="11" t="s">
        <v>113</v>
      </c>
      <c r="L129" s="11" t="s">
        <v>402</v>
      </c>
      <c r="M129" s="11" t="s">
        <v>100</v>
      </c>
      <c r="N129" s="32" t="n">
        <v>18000</v>
      </c>
      <c r="O129" s="33" t="n">
        <v>1710007.94</v>
      </c>
      <c r="P129" s="32" t="n">
        <v>18000</v>
      </c>
      <c r="Q129" s="34" t="n">
        <v>1</v>
      </c>
      <c r="R129" s="33" t="n">
        <v>95</v>
      </c>
      <c r="S129" s="33" t="n">
        <v>95</v>
      </c>
      <c r="T129" s="33" t="n">
        <v>95</v>
      </c>
      <c r="U129" s="11" t="n">
        <f aca="false">IFERROR(YEAR(A129),"")</f>
        <v>2026</v>
      </c>
      <c r="V129" s="33" t="n">
        <f aca="false">IFERROR(O129*B129,0)</f>
        <v>1710007.94</v>
      </c>
      <c r="W129" s="32" t="n">
        <f aca="false">IFERROR(N129*B129,0)</f>
        <v>18000</v>
      </c>
      <c r="X129" s="11" t="n">
        <f aca="false">IF(OR(ISNUMBER(SEARCH("live nation",L129)),ISNUMBER(SEARCH("ocesa",L129))),1,0)</f>
        <v>0</v>
      </c>
      <c r="Y129" s="11" t="s">
        <v>50</v>
      </c>
    </row>
    <row r="130" customFormat="false" ht="15" hidden="false" customHeight="false" outlineLevel="0" collapsed="false">
      <c r="A130" s="25" t="n">
        <v>46032</v>
      </c>
      <c r="B130" s="13" t="n">
        <v>1</v>
      </c>
      <c r="C130" s="26" t="s">
        <v>401</v>
      </c>
      <c r="D130" s="26"/>
      <c r="E130" s="13" t="s">
        <v>111</v>
      </c>
      <c r="F130" s="13" t="s">
        <v>112</v>
      </c>
      <c r="G130" s="13"/>
      <c r="H130" s="13" t="s">
        <v>21</v>
      </c>
      <c r="I130" s="13"/>
      <c r="J130" s="13" t="s">
        <v>97</v>
      </c>
      <c r="K130" s="13" t="s">
        <v>113</v>
      </c>
      <c r="L130" s="13" t="s">
        <v>402</v>
      </c>
      <c r="M130" s="13" t="s">
        <v>100</v>
      </c>
      <c r="N130" s="27" t="n">
        <v>18000</v>
      </c>
      <c r="O130" s="28" t="n">
        <v>1710071.94</v>
      </c>
      <c r="P130" s="27" t="n">
        <v>18000</v>
      </c>
      <c r="Q130" s="29" t="n">
        <v>1</v>
      </c>
      <c r="R130" s="28" t="n">
        <v>95</v>
      </c>
      <c r="S130" s="28" t="n">
        <v>95</v>
      </c>
      <c r="T130" s="28" t="n">
        <v>95</v>
      </c>
      <c r="U130" s="13" t="n">
        <f aca="false">IFERROR(YEAR(A130),"")</f>
        <v>2026</v>
      </c>
      <c r="V130" s="28" t="n">
        <f aca="false">IFERROR(O130*B130,0)</f>
        <v>1710071.94</v>
      </c>
      <c r="W130" s="27" t="n">
        <f aca="false">IFERROR(N130*B130,0)</f>
        <v>18000</v>
      </c>
      <c r="X130" s="13" t="n">
        <f aca="false">IF(OR(ISNUMBER(SEARCH("live nation",L130)),ISNUMBER(SEARCH("ocesa",L130))),1,0)</f>
        <v>0</v>
      </c>
      <c r="Y130" s="13" t="s">
        <v>50</v>
      </c>
    </row>
    <row r="131" customFormat="false" ht="15" hidden="false" customHeight="false" outlineLevel="0" collapsed="false">
      <c r="A131" s="30" t="n">
        <v>46031</v>
      </c>
      <c r="B131" s="11" t="n">
        <v>1</v>
      </c>
      <c r="C131" s="31" t="s">
        <v>388</v>
      </c>
      <c r="D131" s="31"/>
      <c r="E131" s="11" t="s">
        <v>403</v>
      </c>
      <c r="F131" s="11" t="s">
        <v>404</v>
      </c>
      <c r="G131" s="11" t="s">
        <v>202</v>
      </c>
      <c r="H131" s="11" t="s">
        <v>20</v>
      </c>
      <c r="I131" s="11" t="s">
        <v>232</v>
      </c>
      <c r="J131" s="11" t="s">
        <v>121</v>
      </c>
      <c r="K131" s="11" t="s">
        <v>107</v>
      </c>
      <c r="L131" s="11" t="s">
        <v>390</v>
      </c>
      <c r="M131" s="11" t="s">
        <v>100</v>
      </c>
      <c r="N131" s="32" t="n">
        <v>985</v>
      </c>
      <c r="O131" s="33" t="n">
        <v>80649.96</v>
      </c>
      <c r="P131" s="32" t="n">
        <v>2708</v>
      </c>
      <c r="Q131" s="34" t="n">
        <v>0.36</v>
      </c>
      <c r="R131" s="33" t="n">
        <v>40</v>
      </c>
      <c r="S131" s="33" t="n">
        <v>85</v>
      </c>
      <c r="T131" s="33" t="n">
        <v>81.88</v>
      </c>
      <c r="U131" s="11" t="n">
        <f aca="false">IFERROR(YEAR(A131),"")</f>
        <v>2026</v>
      </c>
      <c r="V131" s="33" t="n">
        <f aca="false">IFERROR(O131*B131,0)</f>
        <v>80649.96</v>
      </c>
      <c r="W131" s="32" t="n">
        <f aca="false">IFERROR(N131*B131,0)</f>
        <v>985</v>
      </c>
      <c r="X131" s="11" t="n">
        <f aca="false">IF(OR(ISNUMBER(SEARCH("live nation",L131)),ISNUMBER(SEARCH("ocesa",L131))),1,0)</f>
        <v>0</v>
      </c>
      <c r="Y131" s="11" t="s">
        <v>49</v>
      </c>
    </row>
    <row r="132" customFormat="false" ht="15" hidden="false" customHeight="false" outlineLevel="0" collapsed="false">
      <c r="A132" s="25" t="n">
        <v>46031</v>
      </c>
      <c r="B132" s="13" t="n">
        <v>3</v>
      </c>
      <c r="C132" s="26" t="s">
        <v>63</v>
      </c>
      <c r="D132" s="26"/>
      <c r="E132" s="13" t="s">
        <v>405</v>
      </c>
      <c r="F132" s="13" t="s">
        <v>25</v>
      </c>
      <c r="G132" s="13"/>
      <c r="H132" s="13" t="s">
        <v>22</v>
      </c>
      <c r="I132" s="13"/>
      <c r="J132" s="13" t="s">
        <v>97</v>
      </c>
      <c r="K132" s="13" t="s">
        <v>406</v>
      </c>
      <c r="L132" s="13" t="s">
        <v>145</v>
      </c>
      <c r="M132" s="13" t="s">
        <v>100</v>
      </c>
      <c r="N132" s="27" t="n">
        <v>8874</v>
      </c>
      <c r="O132" s="28" t="n">
        <v>2172249.92</v>
      </c>
      <c r="P132" s="27" t="n">
        <v>9144</v>
      </c>
      <c r="Q132" s="29" t="n">
        <v>0.97</v>
      </c>
      <c r="R132" s="28" t="n">
        <v>114.46</v>
      </c>
      <c r="S132" s="28" t="n">
        <v>300.68</v>
      </c>
      <c r="T132" s="28" t="n">
        <v>244.79</v>
      </c>
      <c r="U132" s="13" t="n">
        <f aca="false">IFERROR(YEAR(A132),"")</f>
        <v>2026</v>
      </c>
      <c r="V132" s="28" t="n">
        <f aca="false">IFERROR(O132*B132,0)</f>
        <v>6516749.76</v>
      </c>
      <c r="W132" s="27" t="n">
        <f aca="false">IFERROR(N132*B132,0)</f>
        <v>26622</v>
      </c>
      <c r="X132" s="13" t="n">
        <f aca="false">IF(OR(ISNUMBER(SEARCH("live nation",L132)),ISNUMBER(SEARCH("ocesa",L132))),1,0)</f>
        <v>0</v>
      </c>
      <c r="Y132" s="13" t="s">
        <v>50</v>
      </c>
    </row>
    <row r="133" customFormat="false" ht="15" hidden="false" customHeight="false" outlineLevel="0" collapsed="false">
      <c r="A133" s="30" t="n">
        <v>46018</v>
      </c>
      <c r="B133" s="11" t="n">
        <v>2</v>
      </c>
      <c r="C133" s="31" t="s">
        <v>63</v>
      </c>
      <c r="D133" s="31"/>
      <c r="E133" s="11" t="s">
        <v>407</v>
      </c>
      <c r="F133" s="11" t="s">
        <v>408</v>
      </c>
      <c r="G133" s="11"/>
      <c r="H133" s="11" t="s">
        <v>21</v>
      </c>
      <c r="I133" s="11"/>
      <c r="J133" s="11" t="s">
        <v>133</v>
      </c>
      <c r="K133" s="11" t="s">
        <v>113</v>
      </c>
      <c r="L133" s="11" t="s">
        <v>145</v>
      </c>
      <c r="M133" s="11" t="s">
        <v>100</v>
      </c>
      <c r="N133" s="32" t="n">
        <v>24831</v>
      </c>
      <c r="O133" s="33" t="n">
        <v>2643937.82</v>
      </c>
      <c r="P133" s="32" t="n">
        <v>27822</v>
      </c>
      <c r="Q133" s="34" t="n">
        <v>0.89</v>
      </c>
      <c r="R133" s="33" t="n">
        <v>102.19</v>
      </c>
      <c r="S133" s="33" t="n">
        <v>175.63</v>
      </c>
      <c r="T133" s="33" t="n">
        <v>106.48</v>
      </c>
      <c r="U133" s="11" t="n">
        <f aca="false">IFERROR(YEAR(A133),"")</f>
        <v>2025</v>
      </c>
      <c r="V133" s="33" t="n">
        <f aca="false">IFERROR(O133*B133,0)</f>
        <v>5287875.64</v>
      </c>
      <c r="W133" s="32" t="n">
        <f aca="false">IFERROR(N133*B133,0)</f>
        <v>49662</v>
      </c>
      <c r="X133" s="11" t="n">
        <f aca="false">IF(OR(ISNUMBER(SEARCH("live nation",L133)),ISNUMBER(SEARCH("ocesa",L133))),1,0)</f>
        <v>0</v>
      </c>
      <c r="Y133" s="11" t="s">
        <v>50</v>
      </c>
    </row>
    <row r="134" customFormat="false" ht="15" hidden="false" customHeight="false" outlineLevel="0" collapsed="false">
      <c r="A134" s="25" t="n">
        <v>46012</v>
      </c>
      <c r="B134" s="13" t="n">
        <v>1</v>
      </c>
      <c r="C134" s="26" t="s">
        <v>409</v>
      </c>
      <c r="D134" s="26"/>
      <c r="E134" s="13" t="s">
        <v>111</v>
      </c>
      <c r="F134" s="13" t="s">
        <v>112</v>
      </c>
      <c r="G134" s="13"/>
      <c r="H134" s="13" t="s">
        <v>21</v>
      </c>
      <c r="I134" s="13"/>
      <c r="J134" s="13" t="s">
        <v>97</v>
      </c>
      <c r="K134" s="13" t="s">
        <v>113</v>
      </c>
      <c r="L134" s="13" t="s">
        <v>321</v>
      </c>
      <c r="M134" s="13" t="s">
        <v>100</v>
      </c>
      <c r="N134" s="27" t="n">
        <v>13000</v>
      </c>
      <c r="O134" s="28" t="n">
        <v>741696.29</v>
      </c>
      <c r="P134" s="27" t="n">
        <v>13000</v>
      </c>
      <c r="Q134" s="29" t="n">
        <v>1</v>
      </c>
      <c r="R134" s="28" t="n">
        <v>57.05</v>
      </c>
      <c r="S134" s="28" t="n">
        <v>57.05</v>
      </c>
      <c r="T134" s="28" t="n">
        <v>57.05</v>
      </c>
      <c r="U134" s="13" t="n">
        <f aca="false">IFERROR(YEAR(A134),"")</f>
        <v>2025</v>
      </c>
      <c r="V134" s="28" t="n">
        <f aca="false">IFERROR(O134*B134,0)</f>
        <v>741696.29</v>
      </c>
      <c r="W134" s="27" t="n">
        <f aca="false">IFERROR(N134*B134,0)</f>
        <v>13000</v>
      </c>
      <c r="X134" s="13" t="n">
        <f aca="false">IF(OR(ISNUMBER(SEARCH("live nation",L134)),ISNUMBER(SEARCH("ocesa",L134))),1,0)</f>
        <v>0</v>
      </c>
      <c r="Y134" s="13" t="s">
        <v>50</v>
      </c>
    </row>
    <row r="135" customFormat="false" ht="15" hidden="false" customHeight="false" outlineLevel="0" collapsed="false">
      <c r="A135" s="30" t="n">
        <v>46011</v>
      </c>
      <c r="B135" s="11" t="n">
        <v>1</v>
      </c>
      <c r="C135" s="31" t="s">
        <v>409</v>
      </c>
      <c r="D135" s="31"/>
      <c r="E135" s="11" t="s">
        <v>111</v>
      </c>
      <c r="F135" s="11" t="s">
        <v>112</v>
      </c>
      <c r="G135" s="11"/>
      <c r="H135" s="11" t="s">
        <v>21</v>
      </c>
      <c r="I135" s="11"/>
      <c r="J135" s="11" t="s">
        <v>97</v>
      </c>
      <c r="K135" s="11" t="s">
        <v>113</v>
      </c>
      <c r="L135" s="11" t="s">
        <v>321</v>
      </c>
      <c r="M135" s="11" t="s">
        <v>100</v>
      </c>
      <c r="N135" s="32" t="n">
        <v>13000</v>
      </c>
      <c r="O135" s="33" t="n">
        <v>741655.98</v>
      </c>
      <c r="P135" s="32" t="n">
        <v>13000</v>
      </c>
      <c r="Q135" s="34" t="n">
        <v>1</v>
      </c>
      <c r="R135" s="33" t="n">
        <v>57.05</v>
      </c>
      <c r="S135" s="33" t="n">
        <v>57.05</v>
      </c>
      <c r="T135" s="33" t="n">
        <v>57.05</v>
      </c>
      <c r="U135" s="11" t="n">
        <f aca="false">IFERROR(YEAR(A135),"")</f>
        <v>2025</v>
      </c>
      <c r="V135" s="33" t="n">
        <f aca="false">IFERROR(O135*B135,0)</f>
        <v>741655.98</v>
      </c>
      <c r="W135" s="32" t="n">
        <f aca="false">IFERROR(N135*B135,0)</f>
        <v>13000</v>
      </c>
      <c r="X135" s="11" t="n">
        <f aca="false">IF(OR(ISNUMBER(SEARCH("live nation",L135)),ISNUMBER(SEARCH("ocesa",L135))),1,0)</f>
        <v>0</v>
      </c>
      <c r="Y135" s="11" t="s">
        <v>50</v>
      </c>
    </row>
    <row r="136" customFormat="false" ht="15" hidden="false" customHeight="false" outlineLevel="0" collapsed="false">
      <c r="A136" s="25" t="n">
        <v>46011</v>
      </c>
      <c r="B136" s="13" t="n">
        <v>2</v>
      </c>
      <c r="C136" s="26" t="s">
        <v>62</v>
      </c>
      <c r="D136" s="26"/>
      <c r="E136" s="13" t="s">
        <v>407</v>
      </c>
      <c r="F136" s="13" t="s">
        <v>408</v>
      </c>
      <c r="G136" s="13"/>
      <c r="H136" s="13" t="s">
        <v>21</v>
      </c>
      <c r="I136" s="13"/>
      <c r="J136" s="13" t="s">
        <v>133</v>
      </c>
      <c r="K136" s="13" t="s">
        <v>113</v>
      </c>
      <c r="L136" s="13" t="s">
        <v>145</v>
      </c>
      <c r="M136" s="13" t="s">
        <v>100</v>
      </c>
      <c r="N136" s="27" t="n">
        <v>30773</v>
      </c>
      <c r="O136" s="28" t="n">
        <v>3306382.45</v>
      </c>
      <c r="P136" s="27" t="n">
        <v>31197</v>
      </c>
      <c r="Q136" s="29" t="n">
        <v>0.98</v>
      </c>
      <c r="R136" s="28" t="n">
        <v>95.08</v>
      </c>
      <c r="S136" s="28" t="n">
        <v>158.47</v>
      </c>
      <c r="T136" s="28" t="n">
        <v>107.44</v>
      </c>
      <c r="U136" s="13" t="n">
        <f aca="false">IFERROR(YEAR(A136),"")</f>
        <v>2025</v>
      </c>
      <c r="V136" s="28" t="n">
        <f aca="false">IFERROR(O136*B136,0)</f>
        <v>6612764.9</v>
      </c>
      <c r="W136" s="27" t="n">
        <f aca="false">IFERROR(N136*B136,0)</f>
        <v>61546</v>
      </c>
      <c r="X136" s="13" t="n">
        <f aca="false">IF(OR(ISNUMBER(SEARCH("live nation",L136)),ISNUMBER(SEARCH("ocesa",L136))),1,0)</f>
        <v>0</v>
      </c>
      <c r="Y136" s="13" t="s">
        <v>50</v>
      </c>
    </row>
    <row r="137" customFormat="false" ht="15" hidden="false" customHeight="false" outlineLevel="0" collapsed="false">
      <c r="A137" s="30" t="n">
        <v>46007</v>
      </c>
      <c r="B137" s="11" t="n">
        <v>1</v>
      </c>
      <c r="C137" s="31" t="s">
        <v>410</v>
      </c>
      <c r="D137" s="31"/>
      <c r="E137" s="11" t="s">
        <v>411</v>
      </c>
      <c r="F137" s="11" t="s">
        <v>412</v>
      </c>
      <c r="G137" s="11" t="s">
        <v>413</v>
      </c>
      <c r="H137" s="11" t="s">
        <v>20</v>
      </c>
      <c r="I137" s="11"/>
      <c r="J137" s="11" t="s">
        <v>121</v>
      </c>
      <c r="K137" s="11" t="s">
        <v>107</v>
      </c>
      <c r="L137" s="11" t="s">
        <v>414</v>
      </c>
      <c r="M137" s="11" t="s">
        <v>109</v>
      </c>
      <c r="N137" s="32" t="n">
        <v>491</v>
      </c>
      <c r="O137" s="33" t="n">
        <v>60296</v>
      </c>
      <c r="P137" s="32" t="n">
        <v>3100</v>
      </c>
      <c r="Q137" s="34" t="n">
        <v>0.15</v>
      </c>
      <c r="R137" s="33" t="n">
        <v>71.2</v>
      </c>
      <c r="S137" s="33" t="n">
        <v>199</v>
      </c>
      <c r="T137" s="33" t="n">
        <v>122.8</v>
      </c>
      <c r="U137" s="11" t="n">
        <f aca="false">IFERROR(YEAR(A137),"")</f>
        <v>2025</v>
      </c>
      <c r="V137" s="33" t="n">
        <f aca="false">IFERROR(O137*B137,0)</f>
        <v>60296</v>
      </c>
      <c r="W137" s="32" t="n">
        <f aca="false">IFERROR(N137*B137,0)</f>
        <v>491</v>
      </c>
      <c r="X137" s="11" t="n">
        <f aca="false">IF(OR(ISNUMBER(SEARCH("live nation",L137)),ISNUMBER(SEARCH("ocesa",L137))),1,0)</f>
        <v>0</v>
      </c>
      <c r="Y137" s="11" t="s">
        <v>49</v>
      </c>
    </row>
    <row r="138" customFormat="false" ht="15" hidden="false" customHeight="false" outlineLevel="0" collapsed="false">
      <c r="A138" s="25" t="n">
        <v>46005</v>
      </c>
      <c r="B138" s="13" t="n">
        <v>1</v>
      </c>
      <c r="C138" s="26" t="s">
        <v>415</v>
      </c>
      <c r="D138" s="26" t="s">
        <v>416</v>
      </c>
      <c r="E138" s="13" t="s">
        <v>111</v>
      </c>
      <c r="F138" s="13" t="s">
        <v>112</v>
      </c>
      <c r="G138" s="13"/>
      <c r="H138" s="13" t="s">
        <v>21</v>
      </c>
      <c r="I138" s="13"/>
      <c r="J138" s="13" t="s">
        <v>97</v>
      </c>
      <c r="K138" s="13" t="s">
        <v>113</v>
      </c>
      <c r="L138" s="13" t="s">
        <v>321</v>
      </c>
      <c r="M138" s="13" t="s">
        <v>100</v>
      </c>
      <c r="N138" s="27" t="n">
        <v>14000</v>
      </c>
      <c r="O138" s="28" t="n">
        <v>889859.11</v>
      </c>
      <c r="P138" s="27" t="n">
        <v>14000</v>
      </c>
      <c r="Q138" s="29" t="n">
        <v>1</v>
      </c>
      <c r="R138" s="28" t="n">
        <v>63.56</v>
      </c>
      <c r="S138" s="28" t="n">
        <v>63.56</v>
      </c>
      <c r="T138" s="28" t="n">
        <v>63.56</v>
      </c>
      <c r="U138" s="13" t="n">
        <f aca="false">IFERROR(YEAR(A138),"")</f>
        <v>2025</v>
      </c>
      <c r="V138" s="28" t="n">
        <f aca="false">IFERROR(O138*B138,0)</f>
        <v>889859.11</v>
      </c>
      <c r="W138" s="27" t="n">
        <f aca="false">IFERROR(N138*B138,0)</f>
        <v>14000</v>
      </c>
      <c r="X138" s="13" t="n">
        <f aca="false">IF(OR(ISNUMBER(SEARCH("live nation",L138)),ISNUMBER(SEARCH("ocesa",L138))),1,0)</f>
        <v>0</v>
      </c>
      <c r="Y138" s="13" t="s">
        <v>50</v>
      </c>
    </row>
    <row r="139" customFormat="false" ht="15" hidden="false" customHeight="false" outlineLevel="0" collapsed="false">
      <c r="A139" s="30" t="n">
        <v>46004</v>
      </c>
      <c r="B139" s="11" t="n">
        <v>1</v>
      </c>
      <c r="C139" s="31" t="s">
        <v>357</v>
      </c>
      <c r="D139" s="31" t="s">
        <v>417</v>
      </c>
      <c r="E139" s="11" t="s">
        <v>111</v>
      </c>
      <c r="F139" s="11" t="s">
        <v>112</v>
      </c>
      <c r="G139" s="11"/>
      <c r="H139" s="11" t="s">
        <v>21</v>
      </c>
      <c r="I139" s="11"/>
      <c r="J139" s="11" t="s">
        <v>97</v>
      </c>
      <c r="K139" s="11" t="s">
        <v>113</v>
      </c>
      <c r="L139" s="11" t="s">
        <v>321</v>
      </c>
      <c r="M139" s="11" t="s">
        <v>100</v>
      </c>
      <c r="N139" s="32" t="n">
        <v>18000</v>
      </c>
      <c r="O139" s="33" t="n">
        <v>982305.67</v>
      </c>
      <c r="P139" s="32" t="n">
        <v>18000</v>
      </c>
      <c r="Q139" s="34" t="n">
        <v>1</v>
      </c>
      <c r="R139" s="33" t="n">
        <v>54.57</v>
      </c>
      <c r="S139" s="33" t="n">
        <v>54.57</v>
      </c>
      <c r="T139" s="33" t="n">
        <v>54.57</v>
      </c>
      <c r="U139" s="11" t="n">
        <f aca="false">IFERROR(YEAR(A139),"")</f>
        <v>2025</v>
      </c>
      <c r="V139" s="33" t="n">
        <f aca="false">IFERROR(O139*B139,0)</f>
        <v>982305.67</v>
      </c>
      <c r="W139" s="32" t="n">
        <f aca="false">IFERROR(N139*B139,0)</f>
        <v>18000</v>
      </c>
      <c r="X139" s="11" t="n">
        <f aca="false">IF(OR(ISNUMBER(SEARCH("live nation",L139)),ISNUMBER(SEARCH("ocesa",L139))),1,0)</f>
        <v>0</v>
      </c>
      <c r="Y139" s="11" t="s">
        <v>50</v>
      </c>
    </row>
    <row r="140" customFormat="false" ht="15" hidden="false" customHeight="false" outlineLevel="0" collapsed="false">
      <c r="A140" s="25" t="n">
        <v>46003</v>
      </c>
      <c r="B140" s="13" t="n">
        <v>1</v>
      </c>
      <c r="C140" s="26" t="s">
        <v>357</v>
      </c>
      <c r="D140" s="26" t="s">
        <v>417</v>
      </c>
      <c r="E140" s="13" t="s">
        <v>111</v>
      </c>
      <c r="F140" s="13" t="s">
        <v>112</v>
      </c>
      <c r="G140" s="13"/>
      <c r="H140" s="13" t="s">
        <v>21</v>
      </c>
      <c r="I140" s="13"/>
      <c r="J140" s="13" t="s">
        <v>97</v>
      </c>
      <c r="K140" s="13" t="s">
        <v>113</v>
      </c>
      <c r="L140" s="13" t="s">
        <v>321</v>
      </c>
      <c r="M140" s="13" t="s">
        <v>100</v>
      </c>
      <c r="N140" s="27" t="n">
        <v>18000</v>
      </c>
      <c r="O140" s="28" t="n">
        <v>981163.73</v>
      </c>
      <c r="P140" s="27" t="n">
        <v>18000</v>
      </c>
      <c r="Q140" s="29" t="n">
        <v>1</v>
      </c>
      <c r="R140" s="28" t="n">
        <v>54.51</v>
      </c>
      <c r="S140" s="28" t="n">
        <v>54.51</v>
      </c>
      <c r="T140" s="28" t="n">
        <v>54.51</v>
      </c>
      <c r="U140" s="13" t="n">
        <f aca="false">IFERROR(YEAR(A140),"")</f>
        <v>2025</v>
      </c>
      <c r="V140" s="28" t="n">
        <f aca="false">IFERROR(O140*B140,0)</f>
        <v>981163.73</v>
      </c>
      <c r="W140" s="27" t="n">
        <f aca="false">IFERROR(N140*B140,0)</f>
        <v>18000</v>
      </c>
      <c r="X140" s="13" t="n">
        <f aca="false">IF(OR(ISNUMBER(SEARCH("live nation",L140)),ISNUMBER(SEARCH("ocesa",L140))),1,0)</f>
        <v>0</v>
      </c>
      <c r="Y140" s="13" t="s">
        <v>50</v>
      </c>
    </row>
    <row r="141" customFormat="false" ht="15" hidden="false" customHeight="false" outlineLevel="0" collapsed="false">
      <c r="A141" s="30" t="n">
        <v>46002</v>
      </c>
      <c r="B141" s="11" t="n">
        <v>2</v>
      </c>
      <c r="C141" s="31" t="s">
        <v>62</v>
      </c>
      <c r="D141" s="31"/>
      <c r="E141" s="11" t="s">
        <v>184</v>
      </c>
      <c r="F141" s="11" t="s">
        <v>185</v>
      </c>
      <c r="G141" s="11"/>
      <c r="H141" s="11" t="s">
        <v>21</v>
      </c>
      <c r="I141" s="11"/>
      <c r="J141" s="11" t="s">
        <v>133</v>
      </c>
      <c r="K141" s="11" t="s">
        <v>113</v>
      </c>
      <c r="L141" s="11" t="s">
        <v>145</v>
      </c>
      <c r="M141" s="11" t="s">
        <v>100</v>
      </c>
      <c r="N141" s="32" t="n">
        <v>41922</v>
      </c>
      <c r="O141" s="33" t="n">
        <v>4426234.81</v>
      </c>
      <c r="P141" s="32" t="n">
        <v>41970</v>
      </c>
      <c r="Q141" s="34" t="n">
        <v>0.99</v>
      </c>
      <c r="R141" s="33" t="n">
        <v>96.19</v>
      </c>
      <c r="S141" s="33" t="n">
        <v>160.32</v>
      </c>
      <c r="T141" s="33" t="n">
        <v>105.58</v>
      </c>
      <c r="U141" s="11" t="n">
        <f aca="false">IFERROR(YEAR(A141),"")</f>
        <v>2025</v>
      </c>
      <c r="V141" s="33" t="n">
        <f aca="false">IFERROR(O141*B141,0)</f>
        <v>8852469.62</v>
      </c>
      <c r="W141" s="32" t="n">
        <f aca="false">IFERROR(N141*B141,0)</f>
        <v>83844</v>
      </c>
      <c r="X141" s="11" t="n">
        <f aca="false">IF(OR(ISNUMBER(SEARCH("live nation",L141)),ISNUMBER(SEARCH("ocesa",L141))),1,0)</f>
        <v>0</v>
      </c>
      <c r="Y141" s="11" t="s">
        <v>50</v>
      </c>
    </row>
    <row r="142" customFormat="false" ht="15" hidden="false" customHeight="false" outlineLevel="0" collapsed="false">
      <c r="A142" s="25" t="n">
        <v>45999</v>
      </c>
      <c r="B142" s="13" t="n">
        <v>1</v>
      </c>
      <c r="C142" s="26" t="s">
        <v>418</v>
      </c>
      <c r="D142" s="26"/>
      <c r="E142" s="13" t="s">
        <v>419</v>
      </c>
      <c r="F142" s="13" t="s">
        <v>420</v>
      </c>
      <c r="G142" s="13"/>
      <c r="H142" s="13" t="s">
        <v>28</v>
      </c>
      <c r="I142" s="13"/>
      <c r="J142" s="13" t="s">
        <v>97</v>
      </c>
      <c r="K142" s="13" t="s">
        <v>98</v>
      </c>
      <c r="L142" s="13" t="s">
        <v>421</v>
      </c>
      <c r="M142" s="13" t="s">
        <v>100</v>
      </c>
      <c r="N142" s="27" t="n">
        <v>1981</v>
      </c>
      <c r="O142" s="28" t="n">
        <v>144832.31</v>
      </c>
      <c r="P142" s="27" t="n">
        <v>1981</v>
      </c>
      <c r="Q142" s="29" t="n">
        <v>1</v>
      </c>
      <c r="R142" s="28" t="n">
        <v>65.78</v>
      </c>
      <c r="S142" s="28" t="n">
        <v>165.45</v>
      </c>
      <c r="T142" s="28" t="n">
        <v>73.11</v>
      </c>
      <c r="U142" s="13" t="n">
        <f aca="false">IFERROR(YEAR(A142),"")</f>
        <v>2025</v>
      </c>
      <c r="V142" s="28" t="n">
        <f aca="false">IFERROR(O142*B142,0)</f>
        <v>144832.31</v>
      </c>
      <c r="W142" s="27" t="n">
        <f aca="false">IFERROR(N142*B142,0)</f>
        <v>1981</v>
      </c>
      <c r="X142" s="13" t="n">
        <f aca="false">IF(OR(ISNUMBER(SEARCH("live nation",L142)),ISNUMBER(SEARCH("ocesa",L142))),1,0)</f>
        <v>0</v>
      </c>
      <c r="Y142" s="13" t="s">
        <v>49</v>
      </c>
    </row>
    <row r="143" customFormat="false" ht="15" hidden="false" customHeight="false" outlineLevel="0" collapsed="false">
      <c r="A143" s="30" t="n">
        <v>45997</v>
      </c>
      <c r="B143" s="11" t="n">
        <v>2</v>
      </c>
      <c r="C143" s="31" t="s">
        <v>63</v>
      </c>
      <c r="D143" s="31"/>
      <c r="E143" s="11" t="s">
        <v>422</v>
      </c>
      <c r="F143" s="11" t="s">
        <v>423</v>
      </c>
      <c r="G143" s="11"/>
      <c r="H143" s="11" t="s">
        <v>21</v>
      </c>
      <c r="I143" s="11"/>
      <c r="J143" s="11" t="s">
        <v>133</v>
      </c>
      <c r="K143" s="11" t="s">
        <v>113</v>
      </c>
      <c r="L143" s="11" t="s">
        <v>145</v>
      </c>
      <c r="M143" s="11" t="s">
        <v>100</v>
      </c>
      <c r="N143" s="32" t="n">
        <v>33104</v>
      </c>
      <c r="O143" s="33" t="n">
        <v>3455161.83</v>
      </c>
      <c r="P143" s="32" t="n">
        <v>36252</v>
      </c>
      <c r="Q143" s="34" t="n">
        <v>0.91</v>
      </c>
      <c r="R143" s="33" t="n">
        <v>102.98</v>
      </c>
      <c r="S143" s="33" t="n">
        <v>176.99</v>
      </c>
      <c r="T143" s="33" t="n">
        <v>104.37</v>
      </c>
      <c r="U143" s="11" t="n">
        <f aca="false">IFERROR(YEAR(A143),"")</f>
        <v>2025</v>
      </c>
      <c r="V143" s="33" t="n">
        <f aca="false">IFERROR(O143*B143,0)</f>
        <v>6910323.66</v>
      </c>
      <c r="W143" s="32" t="n">
        <f aca="false">IFERROR(N143*B143,0)</f>
        <v>66208</v>
      </c>
      <c r="X143" s="11" t="n">
        <f aca="false">IF(OR(ISNUMBER(SEARCH("live nation",L143)),ISNUMBER(SEARCH("ocesa",L143))),1,0)</f>
        <v>0</v>
      </c>
      <c r="Y143" s="11" t="s">
        <v>50</v>
      </c>
    </row>
    <row r="144" customFormat="false" ht="15" hidden="false" customHeight="false" outlineLevel="0" collapsed="false">
      <c r="A144" s="25" t="n">
        <v>45995</v>
      </c>
      <c r="B144" s="13" t="n">
        <v>1</v>
      </c>
      <c r="C144" s="26" t="s">
        <v>418</v>
      </c>
      <c r="D144" s="26"/>
      <c r="E144" s="13" t="s">
        <v>290</v>
      </c>
      <c r="F144" s="13" t="s">
        <v>291</v>
      </c>
      <c r="G144" s="13"/>
      <c r="H144" s="13" t="s">
        <v>28</v>
      </c>
      <c r="I144" s="13"/>
      <c r="J144" s="13" t="s">
        <v>97</v>
      </c>
      <c r="K144" s="13" t="s">
        <v>98</v>
      </c>
      <c r="L144" s="13" t="s">
        <v>421</v>
      </c>
      <c r="M144" s="13" t="s">
        <v>100</v>
      </c>
      <c r="N144" s="27" t="n">
        <v>1321</v>
      </c>
      <c r="O144" s="28" t="n">
        <v>99223.69</v>
      </c>
      <c r="P144" s="27" t="n">
        <v>1321</v>
      </c>
      <c r="Q144" s="29" t="n">
        <v>1</v>
      </c>
      <c r="R144" s="28" t="n">
        <v>65.47</v>
      </c>
      <c r="S144" s="28" t="n">
        <v>164.68</v>
      </c>
      <c r="T144" s="28" t="n">
        <v>75.11</v>
      </c>
      <c r="U144" s="13" t="n">
        <f aca="false">IFERROR(YEAR(A144),"")</f>
        <v>2025</v>
      </c>
      <c r="V144" s="28" t="n">
        <f aca="false">IFERROR(O144*B144,0)</f>
        <v>99223.69</v>
      </c>
      <c r="W144" s="27" t="n">
        <f aca="false">IFERROR(N144*B144,0)</f>
        <v>1321</v>
      </c>
      <c r="X144" s="13" t="n">
        <f aca="false">IF(OR(ISNUMBER(SEARCH("live nation",L144)),ISNUMBER(SEARCH("ocesa",L144))),1,0)</f>
        <v>0</v>
      </c>
      <c r="Y144" s="13" t="s">
        <v>49</v>
      </c>
    </row>
    <row r="145" customFormat="false" ht="15" hidden="false" customHeight="false" outlineLevel="0" collapsed="false">
      <c r="A145" s="30" t="n">
        <v>45995</v>
      </c>
      <c r="B145" s="11" t="n">
        <v>3</v>
      </c>
      <c r="C145" s="31" t="s">
        <v>62</v>
      </c>
      <c r="D145" s="31"/>
      <c r="E145" s="11" t="s">
        <v>369</v>
      </c>
      <c r="F145" s="11" t="s">
        <v>370</v>
      </c>
      <c r="G145" s="11"/>
      <c r="H145" s="11" t="s">
        <v>21</v>
      </c>
      <c r="I145" s="11"/>
      <c r="J145" s="11" t="s">
        <v>133</v>
      </c>
      <c r="K145" s="11" t="s">
        <v>113</v>
      </c>
      <c r="L145" s="11" t="s">
        <v>145</v>
      </c>
      <c r="M145" s="11" t="s">
        <v>100</v>
      </c>
      <c r="N145" s="32" t="n">
        <v>32408</v>
      </c>
      <c r="O145" s="33" t="n">
        <v>3512889.87</v>
      </c>
      <c r="P145" s="32" t="n">
        <v>32556</v>
      </c>
      <c r="Q145" s="34" t="n">
        <v>0.99</v>
      </c>
      <c r="R145" s="33" t="n">
        <v>96.49</v>
      </c>
      <c r="S145" s="33" t="n">
        <v>160.81</v>
      </c>
      <c r="T145" s="33" t="n">
        <v>108.4</v>
      </c>
      <c r="U145" s="11" t="n">
        <f aca="false">IFERROR(YEAR(A145),"")</f>
        <v>2025</v>
      </c>
      <c r="V145" s="33" t="n">
        <f aca="false">IFERROR(O145*B145,0)</f>
        <v>10538669.61</v>
      </c>
      <c r="W145" s="32" t="n">
        <f aca="false">IFERROR(N145*B145,0)</f>
        <v>97224</v>
      </c>
      <c r="X145" s="11" t="n">
        <f aca="false">IF(OR(ISNUMBER(SEARCH("live nation",L145)),ISNUMBER(SEARCH("ocesa",L145))),1,0)</f>
        <v>0</v>
      </c>
      <c r="Y145" s="11" t="s">
        <v>50</v>
      </c>
    </row>
    <row r="146" customFormat="false" ht="15" hidden="false" customHeight="false" outlineLevel="0" collapsed="false">
      <c r="A146" s="25" t="n">
        <v>45991</v>
      </c>
      <c r="B146" s="13" t="n">
        <v>1</v>
      </c>
      <c r="C146" s="26" t="s">
        <v>424</v>
      </c>
      <c r="D146" s="26"/>
      <c r="E146" s="13" t="s">
        <v>425</v>
      </c>
      <c r="F146" s="13" t="s">
        <v>426</v>
      </c>
      <c r="G146" s="13" t="s">
        <v>202</v>
      </c>
      <c r="H146" s="13" t="s">
        <v>20</v>
      </c>
      <c r="I146" s="13" t="s">
        <v>427</v>
      </c>
      <c r="J146" s="13" t="s">
        <v>106</v>
      </c>
      <c r="K146" s="13" t="s">
        <v>107</v>
      </c>
      <c r="L146" s="13" t="s">
        <v>122</v>
      </c>
      <c r="M146" s="13" t="s">
        <v>100</v>
      </c>
      <c r="N146" s="27" t="n">
        <v>360</v>
      </c>
      <c r="O146" s="28" t="n">
        <v>20660</v>
      </c>
      <c r="P146" s="27" t="n">
        <v>844</v>
      </c>
      <c r="Q146" s="29" t="n">
        <v>0.42</v>
      </c>
      <c r="R146" s="28" t="n">
        <v>40</v>
      </c>
      <c r="S146" s="28" t="n">
        <v>150</v>
      </c>
      <c r="T146" s="28" t="n">
        <v>57.39</v>
      </c>
      <c r="U146" s="13" t="n">
        <f aca="false">IFERROR(YEAR(A146),"")</f>
        <v>2025</v>
      </c>
      <c r="V146" s="28" t="n">
        <f aca="false">IFERROR(O146*B146,0)</f>
        <v>20660</v>
      </c>
      <c r="W146" s="27" t="n">
        <f aca="false">IFERROR(N146*B146,0)</f>
        <v>360</v>
      </c>
      <c r="X146" s="13" t="n">
        <f aca="false">IF(OR(ISNUMBER(SEARCH("live nation",L146)),ISNUMBER(SEARCH("ocesa",L146))),1,0)</f>
        <v>0</v>
      </c>
      <c r="Y146" s="13" t="s">
        <v>49</v>
      </c>
    </row>
    <row r="147" customFormat="false" ht="15" hidden="false" customHeight="false" outlineLevel="0" collapsed="false">
      <c r="A147" s="30" t="n">
        <v>45991</v>
      </c>
      <c r="B147" s="11" t="n">
        <v>1</v>
      </c>
      <c r="C147" s="31" t="s">
        <v>428</v>
      </c>
      <c r="D147" s="31" t="s">
        <v>429</v>
      </c>
      <c r="E147" s="11" t="s">
        <v>111</v>
      </c>
      <c r="F147" s="11" t="s">
        <v>112</v>
      </c>
      <c r="G147" s="11"/>
      <c r="H147" s="11" t="s">
        <v>21</v>
      </c>
      <c r="I147" s="11"/>
      <c r="J147" s="11" t="s">
        <v>97</v>
      </c>
      <c r="K147" s="11" t="s">
        <v>113</v>
      </c>
      <c r="L147" s="11" t="s">
        <v>430</v>
      </c>
      <c r="M147" s="11" t="s">
        <v>100</v>
      </c>
      <c r="N147" s="32" t="n">
        <v>15000</v>
      </c>
      <c r="O147" s="33" t="n">
        <v>941312.13</v>
      </c>
      <c r="P147" s="32" t="n">
        <v>15000</v>
      </c>
      <c r="Q147" s="34" t="n">
        <v>1</v>
      </c>
      <c r="R147" s="33" t="n">
        <v>62.75</v>
      </c>
      <c r="S147" s="33" t="n">
        <v>62.75</v>
      </c>
      <c r="T147" s="33" t="n">
        <v>62.75</v>
      </c>
      <c r="U147" s="11" t="n">
        <f aca="false">IFERROR(YEAR(A147),"")</f>
        <v>2025</v>
      </c>
      <c r="V147" s="33" t="n">
        <f aca="false">IFERROR(O147*B147,0)</f>
        <v>941312.13</v>
      </c>
      <c r="W147" s="32" t="n">
        <f aca="false">IFERROR(N147*B147,0)</f>
        <v>15000</v>
      </c>
      <c r="X147" s="11" t="n">
        <f aca="false">IF(OR(ISNUMBER(SEARCH("live nation",L147)),ISNUMBER(SEARCH("ocesa",L147))),1,0)</f>
        <v>0</v>
      </c>
      <c r="Y147" s="11" t="s">
        <v>50</v>
      </c>
    </row>
    <row r="148" customFormat="false" ht="15" hidden="false" customHeight="false" outlineLevel="0" collapsed="false">
      <c r="A148" s="25" t="n">
        <v>45990</v>
      </c>
      <c r="B148" s="13" t="n">
        <v>1</v>
      </c>
      <c r="C148" s="26" t="s">
        <v>431</v>
      </c>
      <c r="D148" s="26"/>
      <c r="E148" s="13" t="s">
        <v>111</v>
      </c>
      <c r="F148" s="13" t="s">
        <v>112</v>
      </c>
      <c r="G148" s="13"/>
      <c r="H148" s="13" t="s">
        <v>21</v>
      </c>
      <c r="I148" s="13"/>
      <c r="J148" s="13" t="s">
        <v>97</v>
      </c>
      <c r="K148" s="13" t="s">
        <v>113</v>
      </c>
      <c r="L148" s="13" t="s">
        <v>430</v>
      </c>
      <c r="M148" s="13" t="s">
        <v>100</v>
      </c>
      <c r="N148" s="27" t="n">
        <v>18546</v>
      </c>
      <c r="O148" s="28" t="n">
        <v>1187590.12</v>
      </c>
      <c r="P148" s="27" t="n">
        <v>18546</v>
      </c>
      <c r="Q148" s="29" t="n">
        <v>1</v>
      </c>
      <c r="R148" s="28" t="n">
        <v>64.03</v>
      </c>
      <c r="S148" s="28" t="n">
        <v>64.03</v>
      </c>
      <c r="T148" s="28" t="n">
        <v>64.03</v>
      </c>
      <c r="U148" s="13" t="n">
        <f aca="false">IFERROR(YEAR(A148),"")</f>
        <v>2025</v>
      </c>
      <c r="V148" s="28" t="n">
        <f aca="false">IFERROR(O148*B148,0)</f>
        <v>1187590.12</v>
      </c>
      <c r="W148" s="27" t="n">
        <f aca="false">IFERROR(N148*B148,0)</f>
        <v>18546</v>
      </c>
      <c r="X148" s="13" t="n">
        <f aca="false">IF(OR(ISNUMBER(SEARCH("live nation",L148)),ISNUMBER(SEARCH("ocesa",L148))),1,0)</f>
        <v>0</v>
      </c>
      <c r="Y148" s="13" t="s">
        <v>50</v>
      </c>
    </row>
    <row r="149" customFormat="false" ht="15" hidden="false" customHeight="false" outlineLevel="0" collapsed="false">
      <c r="A149" s="30" t="n">
        <v>45989</v>
      </c>
      <c r="B149" s="11" t="n">
        <v>1</v>
      </c>
      <c r="C149" s="31" t="s">
        <v>432</v>
      </c>
      <c r="D149" s="31"/>
      <c r="E149" s="11" t="s">
        <v>433</v>
      </c>
      <c r="F149" s="11" t="s">
        <v>139</v>
      </c>
      <c r="G149" s="11" t="s">
        <v>139</v>
      </c>
      <c r="H149" s="11" t="s">
        <v>20</v>
      </c>
      <c r="I149" s="11" t="s">
        <v>139</v>
      </c>
      <c r="J149" s="11" t="s">
        <v>121</v>
      </c>
      <c r="K149" s="11" t="s">
        <v>107</v>
      </c>
      <c r="L149" s="11" t="s">
        <v>434</v>
      </c>
      <c r="M149" s="11" t="s">
        <v>100</v>
      </c>
      <c r="N149" s="32" t="n">
        <v>4689</v>
      </c>
      <c r="O149" s="33" t="n">
        <v>1223225.6</v>
      </c>
      <c r="P149" s="32" t="n">
        <v>5185</v>
      </c>
      <c r="Q149" s="34" t="n">
        <v>0.9</v>
      </c>
      <c r="R149" s="33" t="n">
        <v>96</v>
      </c>
      <c r="S149" s="33" t="n">
        <v>406</v>
      </c>
      <c r="T149" s="33" t="n">
        <v>260.87</v>
      </c>
      <c r="U149" s="11" t="n">
        <f aca="false">IFERROR(YEAR(A149),"")</f>
        <v>2025</v>
      </c>
      <c r="V149" s="33" t="n">
        <f aca="false">IFERROR(O149*B149,0)</f>
        <v>1223225.6</v>
      </c>
      <c r="W149" s="32" t="n">
        <f aca="false">IFERROR(N149*B149,0)</f>
        <v>4689</v>
      </c>
      <c r="X149" s="11" t="n">
        <f aca="false">IF(OR(ISNUMBER(SEARCH("live nation",L149)),ISNUMBER(SEARCH("ocesa",L149))),1,0)</f>
        <v>0</v>
      </c>
      <c r="Y149" s="11" t="s">
        <v>49</v>
      </c>
    </row>
    <row r="150" customFormat="false" ht="15" hidden="false" customHeight="false" outlineLevel="0" collapsed="false">
      <c r="A150" s="25" t="n">
        <v>45989</v>
      </c>
      <c r="B150" s="13" t="n">
        <v>1</v>
      </c>
      <c r="C150" s="26" t="s">
        <v>435</v>
      </c>
      <c r="D150" s="26"/>
      <c r="E150" s="13" t="s">
        <v>111</v>
      </c>
      <c r="F150" s="13" t="s">
        <v>112</v>
      </c>
      <c r="G150" s="13"/>
      <c r="H150" s="13" t="s">
        <v>21</v>
      </c>
      <c r="I150" s="13"/>
      <c r="J150" s="13" t="s">
        <v>97</v>
      </c>
      <c r="K150" s="13" t="s">
        <v>113</v>
      </c>
      <c r="L150" s="13" t="s">
        <v>321</v>
      </c>
      <c r="M150" s="13" t="s">
        <v>100</v>
      </c>
      <c r="N150" s="27" t="n">
        <v>15000</v>
      </c>
      <c r="O150" s="28" t="n">
        <v>1248144.34</v>
      </c>
      <c r="P150" s="27" t="n">
        <v>15000</v>
      </c>
      <c r="Q150" s="29" t="n">
        <v>1</v>
      </c>
      <c r="R150" s="28" t="n">
        <v>83.21</v>
      </c>
      <c r="S150" s="28" t="n">
        <v>83.21</v>
      </c>
      <c r="T150" s="28" t="n">
        <v>83.21</v>
      </c>
      <c r="U150" s="13" t="n">
        <f aca="false">IFERROR(YEAR(A150),"")</f>
        <v>2025</v>
      </c>
      <c r="V150" s="28" t="n">
        <f aca="false">IFERROR(O150*B150,0)</f>
        <v>1248144.34</v>
      </c>
      <c r="W150" s="27" t="n">
        <f aca="false">IFERROR(N150*B150,0)</f>
        <v>15000</v>
      </c>
      <c r="X150" s="13" t="n">
        <f aca="false">IF(OR(ISNUMBER(SEARCH("live nation",L150)),ISNUMBER(SEARCH("ocesa",L150))),1,0)</f>
        <v>0</v>
      </c>
      <c r="Y150" s="13" t="s">
        <v>50</v>
      </c>
    </row>
    <row r="151" customFormat="false" ht="15" hidden="false" customHeight="false" outlineLevel="0" collapsed="false">
      <c r="A151" s="30" t="n">
        <v>45988</v>
      </c>
      <c r="B151" s="11" t="n">
        <v>1</v>
      </c>
      <c r="C151" s="31" t="s">
        <v>388</v>
      </c>
      <c r="D151" s="31"/>
      <c r="E151" s="11" t="s">
        <v>436</v>
      </c>
      <c r="F151" s="11" t="s">
        <v>349</v>
      </c>
      <c r="G151" s="11"/>
      <c r="H151" s="11" t="s">
        <v>350</v>
      </c>
      <c r="I151" s="11"/>
      <c r="J151" s="11" t="s">
        <v>106</v>
      </c>
      <c r="K151" s="11" t="s">
        <v>173</v>
      </c>
      <c r="L151" s="11" t="s">
        <v>351</v>
      </c>
      <c r="M151" s="11" t="s">
        <v>100</v>
      </c>
      <c r="N151" s="32" t="n">
        <v>888</v>
      </c>
      <c r="O151" s="33" t="n">
        <v>64545.02</v>
      </c>
      <c r="P151" s="32" t="n">
        <v>1520</v>
      </c>
      <c r="Q151" s="34" t="n">
        <v>0.58</v>
      </c>
      <c r="R151" s="33" t="n">
        <v>69.61</v>
      </c>
      <c r="S151" s="33" t="n">
        <v>139.23</v>
      </c>
      <c r="T151" s="33" t="n">
        <v>72.69</v>
      </c>
      <c r="U151" s="11" t="n">
        <f aca="false">IFERROR(YEAR(A151),"")</f>
        <v>2025</v>
      </c>
      <c r="V151" s="33" t="n">
        <f aca="false">IFERROR(O151*B151,0)</f>
        <v>64545.02</v>
      </c>
      <c r="W151" s="32" t="n">
        <f aca="false">IFERROR(N151*B151,0)</f>
        <v>888</v>
      </c>
      <c r="X151" s="11" t="n">
        <f aca="false">IF(OR(ISNUMBER(SEARCH("live nation",L151)),ISNUMBER(SEARCH("ocesa",L151))),1,0)</f>
        <v>0</v>
      </c>
      <c r="Y151" s="11" t="s">
        <v>49</v>
      </c>
    </row>
    <row r="152" customFormat="false" ht="15" hidden="false" customHeight="false" outlineLevel="0" collapsed="false">
      <c r="A152" s="25" t="n">
        <v>45988</v>
      </c>
      <c r="B152" s="13" t="n">
        <v>3</v>
      </c>
      <c r="C152" s="26" t="s">
        <v>62</v>
      </c>
      <c r="D152" s="26"/>
      <c r="E152" s="13" t="s">
        <v>422</v>
      </c>
      <c r="F152" s="13" t="s">
        <v>423</v>
      </c>
      <c r="G152" s="13"/>
      <c r="H152" s="13" t="s">
        <v>21</v>
      </c>
      <c r="I152" s="13"/>
      <c r="J152" s="13" t="s">
        <v>133</v>
      </c>
      <c r="K152" s="13" t="s">
        <v>113</v>
      </c>
      <c r="L152" s="13" t="s">
        <v>145</v>
      </c>
      <c r="M152" s="13" t="s">
        <v>100</v>
      </c>
      <c r="N152" s="27" t="n">
        <v>30292</v>
      </c>
      <c r="O152" s="28" t="n">
        <v>3286471.53</v>
      </c>
      <c r="P152" s="27" t="n">
        <v>32243</v>
      </c>
      <c r="Q152" s="29" t="n">
        <v>0.93</v>
      </c>
      <c r="R152" s="28" t="n">
        <v>96.1</v>
      </c>
      <c r="S152" s="28" t="n">
        <v>160.17</v>
      </c>
      <c r="T152" s="28" t="n">
        <v>108.49</v>
      </c>
      <c r="U152" s="13" t="n">
        <f aca="false">IFERROR(YEAR(A152),"")</f>
        <v>2025</v>
      </c>
      <c r="V152" s="28" t="n">
        <f aca="false">IFERROR(O152*B152,0)</f>
        <v>9859414.59</v>
      </c>
      <c r="W152" s="27" t="n">
        <f aca="false">IFERROR(N152*B152,0)</f>
        <v>90876</v>
      </c>
      <c r="X152" s="13" t="n">
        <f aca="false">IF(OR(ISNUMBER(SEARCH("live nation",L152)),ISNUMBER(SEARCH("ocesa",L152))),1,0)</f>
        <v>0</v>
      </c>
      <c r="Y152" s="13" t="s">
        <v>50</v>
      </c>
    </row>
    <row r="153" customFormat="false" ht="15" hidden="false" customHeight="false" outlineLevel="0" collapsed="false">
      <c r="A153" s="30" t="n">
        <v>45985</v>
      </c>
      <c r="B153" s="11" t="n">
        <v>1</v>
      </c>
      <c r="C153" s="31" t="s">
        <v>401</v>
      </c>
      <c r="D153" s="31"/>
      <c r="E153" s="11" t="s">
        <v>111</v>
      </c>
      <c r="F153" s="11" t="s">
        <v>112</v>
      </c>
      <c r="G153" s="11"/>
      <c r="H153" s="11" t="s">
        <v>21</v>
      </c>
      <c r="I153" s="11"/>
      <c r="J153" s="11" t="s">
        <v>97</v>
      </c>
      <c r="K153" s="11" t="s">
        <v>113</v>
      </c>
      <c r="L153" s="11" t="s">
        <v>437</v>
      </c>
      <c r="M153" s="11" t="s">
        <v>100</v>
      </c>
      <c r="N153" s="32" t="n">
        <v>17000</v>
      </c>
      <c r="O153" s="33" t="n">
        <v>1628843.51</v>
      </c>
      <c r="P153" s="32" t="n">
        <v>17000</v>
      </c>
      <c r="Q153" s="34" t="n">
        <v>1</v>
      </c>
      <c r="R153" s="33" t="n">
        <v>95.81</v>
      </c>
      <c r="S153" s="33" t="n">
        <v>95.81</v>
      </c>
      <c r="T153" s="33" t="n">
        <v>95.81</v>
      </c>
      <c r="U153" s="11" t="n">
        <f aca="false">IFERROR(YEAR(A153),"")</f>
        <v>2025</v>
      </c>
      <c r="V153" s="33" t="n">
        <f aca="false">IFERROR(O153*B153,0)</f>
        <v>1628843.51</v>
      </c>
      <c r="W153" s="32" t="n">
        <f aca="false">IFERROR(N153*B153,0)</f>
        <v>17000</v>
      </c>
      <c r="X153" s="11" t="n">
        <f aca="false">IF(OR(ISNUMBER(SEARCH("live nation",L153)),ISNUMBER(SEARCH("ocesa",L153))),1,0)</f>
        <v>0</v>
      </c>
      <c r="Y153" s="11" t="s">
        <v>50</v>
      </c>
    </row>
    <row r="154" customFormat="false" ht="15" hidden="false" customHeight="false" outlineLevel="0" collapsed="false">
      <c r="A154" s="25" t="n">
        <v>45984</v>
      </c>
      <c r="B154" s="13" t="n">
        <v>1</v>
      </c>
      <c r="C154" s="26" t="s">
        <v>438</v>
      </c>
      <c r="D154" s="26"/>
      <c r="E154" s="13" t="s">
        <v>439</v>
      </c>
      <c r="F154" s="13" t="s">
        <v>440</v>
      </c>
      <c r="G154" s="13"/>
      <c r="H154" s="13" t="s">
        <v>441</v>
      </c>
      <c r="I154" s="13"/>
      <c r="J154" s="13" t="s">
        <v>121</v>
      </c>
      <c r="K154" s="13" t="s">
        <v>442</v>
      </c>
      <c r="L154" s="13" t="s">
        <v>443</v>
      </c>
      <c r="M154" s="13" t="s">
        <v>100</v>
      </c>
      <c r="N154" s="27" t="n">
        <v>707</v>
      </c>
      <c r="O154" s="28" t="n">
        <v>81417.51</v>
      </c>
      <c r="P154" s="27" t="n">
        <v>1100</v>
      </c>
      <c r="Q154" s="29" t="n">
        <v>0.64</v>
      </c>
      <c r="R154" s="28" t="n">
        <v>41.35</v>
      </c>
      <c r="S154" s="28" t="n">
        <v>115.16</v>
      </c>
      <c r="T154" s="28" t="n">
        <v>115.16</v>
      </c>
      <c r="U154" s="13" t="n">
        <f aca="false">IFERROR(YEAR(A154),"")</f>
        <v>2025</v>
      </c>
      <c r="V154" s="28" t="n">
        <f aca="false">IFERROR(O154*B154,0)</f>
        <v>81417.51</v>
      </c>
      <c r="W154" s="27" t="n">
        <f aca="false">IFERROR(N154*B154,0)</f>
        <v>707</v>
      </c>
      <c r="X154" s="13" t="n">
        <f aca="false">IF(OR(ISNUMBER(SEARCH("live nation",L154)),ISNUMBER(SEARCH("ocesa",L154))),1,0)</f>
        <v>0</v>
      </c>
      <c r="Y154" s="13" t="s">
        <v>49</v>
      </c>
    </row>
    <row r="155" customFormat="false" ht="15" hidden="false" customHeight="false" outlineLevel="0" collapsed="false">
      <c r="A155" s="30" t="n">
        <v>45984</v>
      </c>
      <c r="B155" s="11" t="n">
        <v>1</v>
      </c>
      <c r="C155" s="31" t="s">
        <v>401</v>
      </c>
      <c r="D155" s="31"/>
      <c r="E155" s="11" t="s">
        <v>111</v>
      </c>
      <c r="F155" s="11" t="s">
        <v>112</v>
      </c>
      <c r="G155" s="11"/>
      <c r="H155" s="11" t="s">
        <v>21</v>
      </c>
      <c r="I155" s="11"/>
      <c r="J155" s="11" t="s">
        <v>97</v>
      </c>
      <c r="K155" s="11" t="s">
        <v>113</v>
      </c>
      <c r="L155" s="11" t="s">
        <v>437</v>
      </c>
      <c r="M155" s="11" t="s">
        <v>100</v>
      </c>
      <c r="N155" s="32" t="n">
        <v>17000</v>
      </c>
      <c r="O155" s="33" t="n">
        <v>1630591.06</v>
      </c>
      <c r="P155" s="32" t="n">
        <v>17000</v>
      </c>
      <c r="Q155" s="34" t="n">
        <v>1</v>
      </c>
      <c r="R155" s="33" t="n">
        <v>95.92</v>
      </c>
      <c r="S155" s="33" t="n">
        <v>95.92</v>
      </c>
      <c r="T155" s="33" t="n">
        <v>95.92</v>
      </c>
      <c r="U155" s="11" t="n">
        <f aca="false">IFERROR(YEAR(A155),"")</f>
        <v>2025</v>
      </c>
      <c r="V155" s="33" t="n">
        <f aca="false">IFERROR(O155*B155,0)</f>
        <v>1630591.06</v>
      </c>
      <c r="W155" s="32" t="n">
        <f aca="false">IFERROR(N155*B155,0)</f>
        <v>17000</v>
      </c>
      <c r="X155" s="11" t="n">
        <f aca="false">IF(OR(ISNUMBER(SEARCH("live nation",L155)),ISNUMBER(SEARCH("ocesa",L155))),1,0)</f>
        <v>0</v>
      </c>
      <c r="Y155" s="11" t="s">
        <v>50</v>
      </c>
    </row>
    <row r="156" customFormat="false" ht="15" hidden="false" customHeight="false" outlineLevel="0" collapsed="false">
      <c r="A156" s="25" t="n">
        <v>45983</v>
      </c>
      <c r="B156" s="13" t="n">
        <v>1</v>
      </c>
      <c r="C156" s="26" t="s">
        <v>444</v>
      </c>
      <c r="D156" s="26"/>
      <c r="E156" s="13" t="s">
        <v>445</v>
      </c>
      <c r="F156" s="13" t="s">
        <v>446</v>
      </c>
      <c r="G156" s="13"/>
      <c r="H156" s="13" t="s">
        <v>23</v>
      </c>
      <c r="I156" s="13"/>
      <c r="J156" s="13" t="s">
        <v>121</v>
      </c>
      <c r="K156" s="13" t="s">
        <v>134</v>
      </c>
      <c r="L156" s="13" t="s">
        <v>122</v>
      </c>
      <c r="M156" s="13" t="s">
        <v>100</v>
      </c>
      <c r="N156" s="27" t="n">
        <v>2180</v>
      </c>
      <c r="O156" s="28" t="n">
        <v>64513.85</v>
      </c>
      <c r="P156" s="27" t="n">
        <v>2435</v>
      </c>
      <c r="Q156" s="29" t="n">
        <v>0.89</v>
      </c>
      <c r="R156" s="28" t="n">
        <v>16.24</v>
      </c>
      <c r="S156" s="28" t="n">
        <v>43.29</v>
      </c>
      <c r="T156" s="28" t="n">
        <v>29.59</v>
      </c>
      <c r="U156" s="13" t="n">
        <f aca="false">IFERROR(YEAR(A156),"")</f>
        <v>2025</v>
      </c>
      <c r="V156" s="28" t="n">
        <f aca="false">IFERROR(O156*B156,0)</f>
        <v>64513.85</v>
      </c>
      <c r="W156" s="27" t="n">
        <f aca="false">IFERROR(N156*B156,0)</f>
        <v>2180</v>
      </c>
      <c r="X156" s="13" t="n">
        <f aca="false">IF(OR(ISNUMBER(SEARCH("live nation",L156)),ISNUMBER(SEARCH("ocesa",L156))),1,0)</f>
        <v>0</v>
      </c>
      <c r="Y156" s="13" t="s">
        <v>49</v>
      </c>
    </row>
    <row r="157" customFormat="false" ht="15" hidden="false" customHeight="false" outlineLevel="0" collapsed="false">
      <c r="A157" s="30" t="n">
        <v>45983</v>
      </c>
      <c r="B157" s="11" t="n">
        <v>1</v>
      </c>
      <c r="C157" s="31" t="s">
        <v>401</v>
      </c>
      <c r="D157" s="31"/>
      <c r="E157" s="11" t="s">
        <v>111</v>
      </c>
      <c r="F157" s="11" t="s">
        <v>112</v>
      </c>
      <c r="G157" s="11"/>
      <c r="H157" s="11" t="s">
        <v>21</v>
      </c>
      <c r="I157" s="11"/>
      <c r="J157" s="11" t="s">
        <v>97</v>
      </c>
      <c r="K157" s="11" t="s">
        <v>113</v>
      </c>
      <c r="L157" s="11" t="s">
        <v>437</v>
      </c>
      <c r="M157" s="11" t="s">
        <v>100</v>
      </c>
      <c r="N157" s="32" t="n">
        <v>17000</v>
      </c>
      <c r="O157" s="33" t="n">
        <v>1630747.68</v>
      </c>
      <c r="P157" s="32" t="n">
        <v>17000</v>
      </c>
      <c r="Q157" s="34" t="n">
        <v>1</v>
      </c>
      <c r="R157" s="33" t="n">
        <v>95.93</v>
      </c>
      <c r="S157" s="33" t="n">
        <v>95.93</v>
      </c>
      <c r="T157" s="33" t="n">
        <v>95.93</v>
      </c>
      <c r="U157" s="11" t="n">
        <f aca="false">IFERROR(YEAR(A157),"")</f>
        <v>2025</v>
      </c>
      <c r="V157" s="33" t="n">
        <f aca="false">IFERROR(O157*B157,0)</f>
        <v>1630747.68</v>
      </c>
      <c r="W157" s="32" t="n">
        <f aca="false">IFERROR(N157*B157,0)</f>
        <v>17000</v>
      </c>
      <c r="X157" s="11" t="n">
        <f aca="false">IF(OR(ISNUMBER(SEARCH("live nation",L157)),ISNUMBER(SEARCH("ocesa",L157))),1,0)</f>
        <v>0</v>
      </c>
      <c r="Y157" s="11" t="s">
        <v>50</v>
      </c>
    </row>
    <row r="158" customFormat="false" ht="15" hidden="false" customHeight="false" outlineLevel="0" collapsed="false">
      <c r="A158" s="25" t="n">
        <v>45981</v>
      </c>
      <c r="B158" s="13" t="n">
        <v>1</v>
      </c>
      <c r="C158" s="26" t="s">
        <v>438</v>
      </c>
      <c r="D158" s="26"/>
      <c r="E158" s="13" t="s">
        <v>447</v>
      </c>
      <c r="F158" s="13" t="s">
        <v>448</v>
      </c>
      <c r="G158" s="13"/>
      <c r="H158" s="13" t="s">
        <v>449</v>
      </c>
      <c r="I158" s="13"/>
      <c r="J158" s="13" t="s">
        <v>121</v>
      </c>
      <c r="K158" s="13" t="s">
        <v>173</v>
      </c>
      <c r="L158" s="13" t="s">
        <v>450</v>
      </c>
      <c r="M158" s="13" t="s">
        <v>100</v>
      </c>
      <c r="N158" s="27" t="n">
        <v>755</v>
      </c>
      <c r="O158" s="28" t="n">
        <v>30440.57</v>
      </c>
      <c r="P158" s="27" t="n">
        <v>2000</v>
      </c>
      <c r="Q158" s="29" t="n">
        <v>0.37</v>
      </c>
      <c r="R158" s="28" t="n">
        <v>40.32</v>
      </c>
      <c r="S158" s="28" t="n">
        <v>40.32</v>
      </c>
      <c r="T158" s="28" t="n">
        <v>40.32</v>
      </c>
      <c r="U158" s="13" t="n">
        <f aca="false">IFERROR(YEAR(A158),"")</f>
        <v>2025</v>
      </c>
      <c r="V158" s="28" t="n">
        <f aca="false">IFERROR(O158*B158,0)</f>
        <v>30440.57</v>
      </c>
      <c r="W158" s="27" t="n">
        <f aca="false">IFERROR(N158*B158,0)</f>
        <v>755</v>
      </c>
      <c r="X158" s="13" t="n">
        <f aca="false">IF(OR(ISNUMBER(SEARCH("live nation",L158)),ISNUMBER(SEARCH("ocesa",L158))),1,0)</f>
        <v>0</v>
      </c>
      <c r="Y158" s="13" t="s">
        <v>49</v>
      </c>
    </row>
    <row r="159" customFormat="false" ht="15" hidden="false" customHeight="false" outlineLevel="0" collapsed="false">
      <c r="A159" s="30" t="n">
        <v>45981</v>
      </c>
      <c r="B159" s="11" t="n">
        <v>1</v>
      </c>
      <c r="C159" s="31" t="s">
        <v>388</v>
      </c>
      <c r="D159" s="31"/>
      <c r="E159" s="11" t="s">
        <v>451</v>
      </c>
      <c r="F159" s="11" t="s">
        <v>452</v>
      </c>
      <c r="G159" s="11"/>
      <c r="H159" s="11" t="s">
        <v>449</v>
      </c>
      <c r="I159" s="11"/>
      <c r="J159" s="11" t="s">
        <v>106</v>
      </c>
      <c r="K159" s="11" t="s">
        <v>173</v>
      </c>
      <c r="L159" s="11" t="s">
        <v>453</v>
      </c>
      <c r="M159" s="11" t="s">
        <v>100</v>
      </c>
      <c r="N159" s="32" t="n">
        <v>931</v>
      </c>
      <c r="O159" s="33" t="n">
        <v>79521.59</v>
      </c>
      <c r="P159" s="32" t="n">
        <v>2850</v>
      </c>
      <c r="Q159" s="34" t="n">
        <v>0.32</v>
      </c>
      <c r="R159" s="33" t="n">
        <v>51.26</v>
      </c>
      <c r="S159" s="33" t="n">
        <v>119.8</v>
      </c>
      <c r="T159" s="33" t="n">
        <v>85.42</v>
      </c>
      <c r="U159" s="11" t="n">
        <f aca="false">IFERROR(YEAR(A159),"")</f>
        <v>2025</v>
      </c>
      <c r="V159" s="33" t="n">
        <f aca="false">IFERROR(O159*B159,0)</f>
        <v>79521.59</v>
      </c>
      <c r="W159" s="32" t="n">
        <f aca="false">IFERROR(N159*B159,0)</f>
        <v>931</v>
      </c>
      <c r="X159" s="11" t="n">
        <f aca="false">IF(OR(ISNUMBER(SEARCH("live nation",L159)),ISNUMBER(SEARCH("ocesa",L159))),1,0)</f>
        <v>0</v>
      </c>
      <c r="Y159" s="11" t="s">
        <v>49</v>
      </c>
    </row>
    <row r="160" customFormat="false" ht="15" hidden="false" customHeight="false" outlineLevel="0" collapsed="false">
      <c r="A160" s="25" t="n">
        <v>45979</v>
      </c>
      <c r="B160" s="13" t="n">
        <v>1</v>
      </c>
      <c r="C160" s="26" t="s">
        <v>438</v>
      </c>
      <c r="D160" s="26"/>
      <c r="E160" s="13" t="s">
        <v>454</v>
      </c>
      <c r="F160" s="13" t="s">
        <v>455</v>
      </c>
      <c r="G160" s="13"/>
      <c r="H160" s="13" t="s">
        <v>350</v>
      </c>
      <c r="I160" s="13"/>
      <c r="J160" s="13" t="s">
        <v>121</v>
      </c>
      <c r="K160" s="13" t="s">
        <v>173</v>
      </c>
      <c r="L160" s="13" t="s">
        <v>443</v>
      </c>
      <c r="M160" s="13" t="s">
        <v>100</v>
      </c>
      <c r="N160" s="27" t="n">
        <v>1095</v>
      </c>
      <c r="O160" s="28" t="n">
        <v>44454.21</v>
      </c>
      <c r="P160" s="27" t="n">
        <v>1100</v>
      </c>
      <c r="Q160" s="29" t="n">
        <v>0.99</v>
      </c>
      <c r="R160" s="28" t="n">
        <v>40.6</v>
      </c>
      <c r="S160" s="28" t="n">
        <v>40.6</v>
      </c>
      <c r="T160" s="28" t="n">
        <v>40.6</v>
      </c>
      <c r="U160" s="13" t="n">
        <f aca="false">IFERROR(YEAR(A160),"")</f>
        <v>2025</v>
      </c>
      <c r="V160" s="28" t="n">
        <f aca="false">IFERROR(O160*B160,0)</f>
        <v>44454.21</v>
      </c>
      <c r="W160" s="27" t="n">
        <f aca="false">IFERROR(N160*B160,0)</f>
        <v>1095</v>
      </c>
      <c r="X160" s="13" t="n">
        <f aca="false">IF(OR(ISNUMBER(SEARCH("live nation",L160)),ISNUMBER(SEARCH("ocesa",L160))),1,0)</f>
        <v>0</v>
      </c>
      <c r="Y160" s="13" t="s">
        <v>49</v>
      </c>
    </row>
    <row r="161" customFormat="false" ht="15" hidden="false" customHeight="false" outlineLevel="0" collapsed="false">
      <c r="A161" s="30" t="n">
        <v>45977</v>
      </c>
      <c r="B161" s="11" t="n">
        <v>1</v>
      </c>
      <c r="C161" s="31" t="s">
        <v>456</v>
      </c>
      <c r="D161" s="31"/>
      <c r="E161" s="11" t="s">
        <v>111</v>
      </c>
      <c r="F161" s="11" t="s">
        <v>112</v>
      </c>
      <c r="G161" s="11"/>
      <c r="H161" s="11" t="s">
        <v>21</v>
      </c>
      <c r="I161" s="11"/>
      <c r="J161" s="11" t="s">
        <v>97</v>
      </c>
      <c r="K161" s="11" t="s">
        <v>113</v>
      </c>
      <c r="L161" s="11" t="s">
        <v>437</v>
      </c>
      <c r="M161" s="11" t="s">
        <v>100</v>
      </c>
      <c r="N161" s="32" t="n">
        <v>15000</v>
      </c>
      <c r="O161" s="33" t="n">
        <v>757061.36</v>
      </c>
      <c r="P161" s="32" t="n">
        <v>15000</v>
      </c>
      <c r="Q161" s="34" t="n">
        <v>1</v>
      </c>
      <c r="R161" s="33" t="n">
        <v>50.47</v>
      </c>
      <c r="S161" s="33" t="n">
        <v>50.47</v>
      </c>
      <c r="T161" s="33" t="n">
        <v>50.47</v>
      </c>
      <c r="U161" s="11" t="n">
        <f aca="false">IFERROR(YEAR(A161),"")</f>
        <v>2025</v>
      </c>
      <c r="V161" s="33" t="n">
        <f aca="false">IFERROR(O161*B161,0)</f>
        <v>757061.36</v>
      </c>
      <c r="W161" s="32" t="n">
        <f aca="false">IFERROR(N161*B161,0)</f>
        <v>15000</v>
      </c>
      <c r="X161" s="11" t="n">
        <f aca="false">IF(OR(ISNUMBER(SEARCH("live nation",L161)),ISNUMBER(SEARCH("ocesa",L161))),1,0)</f>
        <v>0</v>
      </c>
      <c r="Y161" s="11" t="s">
        <v>50</v>
      </c>
    </row>
    <row r="162" customFormat="false" ht="15" hidden="false" customHeight="false" outlineLevel="0" collapsed="false">
      <c r="A162" s="25" t="n">
        <v>45976</v>
      </c>
      <c r="B162" s="13" t="n">
        <v>2</v>
      </c>
      <c r="C162" s="26" t="s">
        <v>456</v>
      </c>
      <c r="D162" s="26"/>
      <c r="E162" s="13" t="s">
        <v>111</v>
      </c>
      <c r="F162" s="13" t="s">
        <v>112</v>
      </c>
      <c r="G162" s="13"/>
      <c r="H162" s="13" t="s">
        <v>21</v>
      </c>
      <c r="I162" s="13"/>
      <c r="J162" s="13" t="s">
        <v>97</v>
      </c>
      <c r="K162" s="13" t="s">
        <v>113</v>
      </c>
      <c r="L162" s="13" t="s">
        <v>437</v>
      </c>
      <c r="M162" s="13" t="s">
        <v>100</v>
      </c>
      <c r="N162" s="27" t="n">
        <v>15000</v>
      </c>
      <c r="O162" s="28" t="n">
        <v>757061.03</v>
      </c>
      <c r="P162" s="27" t="n">
        <v>15000</v>
      </c>
      <c r="Q162" s="29" t="n">
        <v>1</v>
      </c>
      <c r="R162" s="28" t="n">
        <v>50.47</v>
      </c>
      <c r="S162" s="28" t="n">
        <v>50.47</v>
      </c>
      <c r="T162" s="28" t="n">
        <v>50.47</v>
      </c>
      <c r="U162" s="13" t="n">
        <f aca="false">IFERROR(YEAR(A162),"")</f>
        <v>2025</v>
      </c>
      <c r="V162" s="28" t="n">
        <f aca="false">IFERROR(O162*B162,0)</f>
        <v>1514122.06</v>
      </c>
      <c r="W162" s="27" t="n">
        <f aca="false">IFERROR(N162*B162,0)</f>
        <v>30000</v>
      </c>
      <c r="X162" s="13" t="n">
        <f aca="false">IF(OR(ISNUMBER(SEARCH("live nation",L162)),ISNUMBER(SEARCH("ocesa",L162))),1,0)</f>
        <v>0</v>
      </c>
      <c r="Y162" s="13" t="s">
        <v>50</v>
      </c>
    </row>
    <row r="163" customFormat="false" ht="15" hidden="false" customHeight="false" outlineLevel="0" collapsed="false">
      <c r="A163" s="30" t="n">
        <v>45976</v>
      </c>
      <c r="B163" s="11" t="n">
        <v>2</v>
      </c>
      <c r="C163" s="31" t="s">
        <v>63</v>
      </c>
      <c r="D163" s="31"/>
      <c r="E163" s="11" t="s">
        <v>457</v>
      </c>
      <c r="F163" s="11" t="s">
        <v>458</v>
      </c>
      <c r="G163" s="11"/>
      <c r="H163" s="11" t="s">
        <v>21</v>
      </c>
      <c r="I163" s="11"/>
      <c r="J163" s="11" t="s">
        <v>133</v>
      </c>
      <c r="K163" s="11" t="s">
        <v>113</v>
      </c>
      <c r="L163" s="11" t="s">
        <v>145</v>
      </c>
      <c r="M163" s="11" t="s">
        <v>100</v>
      </c>
      <c r="N163" s="32" t="n">
        <v>29533</v>
      </c>
      <c r="O163" s="33" t="n">
        <v>3124812.07</v>
      </c>
      <c r="P163" s="32" t="n">
        <v>31022</v>
      </c>
      <c r="Q163" s="34" t="n">
        <v>0.95</v>
      </c>
      <c r="R163" s="33" t="n">
        <v>103.53</v>
      </c>
      <c r="S163" s="33" t="n">
        <v>177.94</v>
      </c>
      <c r="T163" s="33" t="n">
        <v>105.81</v>
      </c>
      <c r="U163" s="11" t="n">
        <f aca="false">IFERROR(YEAR(A163),"")</f>
        <v>2025</v>
      </c>
      <c r="V163" s="33" t="n">
        <f aca="false">IFERROR(O163*B163,0)</f>
        <v>6249624.14</v>
      </c>
      <c r="W163" s="32" t="n">
        <f aca="false">IFERROR(N163*B163,0)</f>
        <v>59066</v>
      </c>
      <c r="X163" s="11" t="n">
        <f aca="false">IF(OR(ISNUMBER(SEARCH("live nation",L163)),ISNUMBER(SEARCH("ocesa",L163))),1,0)</f>
        <v>0</v>
      </c>
      <c r="Y163" s="11" t="s">
        <v>50</v>
      </c>
    </row>
    <row r="164" customFormat="false" ht="15" hidden="false" customHeight="false" outlineLevel="0" collapsed="false">
      <c r="A164" s="25" t="n">
        <v>45970</v>
      </c>
      <c r="B164" s="13" t="n">
        <v>1</v>
      </c>
      <c r="C164" s="26" t="s">
        <v>459</v>
      </c>
      <c r="D164" s="26"/>
      <c r="E164" s="13" t="s">
        <v>111</v>
      </c>
      <c r="F164" s="13" t="s">
        <v>112</v>
      </c>
      <c r="G164" s="13"/>
      <c r="H164" s="13" t="s">
        <v>21</v>
      </c>
      <c r="I164" s="13"/>
      <c r="J164" s="13" t="s">
        <v>97</v>
      </c>
      <c r="K164" s="13" t="s">
        <v>113</v>
      </c>
      <c r="L164" s="13" t="s">
        <v>183</v>
      </c>
      <c r="M164" s="13" t="s">
        <v>100</v>
      </c>
      <c r="N164" s="27" t="n">
        <v>12000</v>
      </c>
      <c r="O164" s="28" t="n">
        <v>781529.99</v>
      </c>
      <c r="P164" s="27" t="n">
        <v>12000</v>
      </c>
      <c r="Q164" s="29" t="n">
        <v>1</v>
      </c>
      <c r="R164" s="28" t="n">
        <v>65.13</v>
      </c>
      <c r="S164" s="28" t="n">
        <v>65.13</v>
      </c>
      <c r="T164" s="28" t="n">
        <v>65.13</v>
      </c>
      <c r="U164" s="13" t="n">
        <f aca="false">IFERROR(YEAR(A164),"")</f>
        <v>2025</v>
      </c>
      <c r="V164" s="28" t="n">
        <f aca="false">IFERROR(O164*B164,0)</f>
        <v>781529.99</v>
      </c>
      <c r="W164" s="27" t="n">
        <f aca="false">IFERROR(N164*B164,0)</f>
        <v>12000</v>
      </c>
      <c r="X164" s="13" t="n">
        <f aca="false">IF(OR(ISNUMBER(SEARCH("live nation",L164)),ISNUMBER(SEARCH("ocesa",L164))),1,0)</f>
        <v>0</v>
      </c>
      <c r="Y164" s="13" t="s">
        <v>50</v>
      </c>
    </row>
    <row r="165" customFormat="false" ht="15" hidden="false" customHeight="false" outlineLevel="0" collapsed="false">
      <c r="A165" s="30" t="n">
        <v>45969</v>
      </c>
      <c r="B165" s="11" t="n">
        <v>1</v>
      </c>
      <c r="C165" s="31" t="s">
        <v>459</v>
      </c>
      <c r="D165" s="31"/>
      <c r="E165" s="11" t="s">
        <v>111</v>
      </c>
      <c r="F165" s="11" t="s">
        <v>112</v>
      </c>
      <c r="G165" s="11"/>
      <c r="H165" s="11" t="s">
        <v>21</v>
      </c>
      <c r="I165" s="11"/>
      <c r="J165" s="11" t="s">
        <v>97</v>
      </c>
      <c r="K165" s="11" t="s">
        <v>113</v>
      </c>
      <c r="L165" s="11" t="s">
        <v>183</v>
      </c>
      <c r="M165" s="11" t="s">
        <v>100</v>
      </c>
      <c r="N165" s="32" t="n">
        <v>12000</v>
      </c>
      <c r="O165" s="33" t="n">
        <v>781529.99</v>
      </c>
      <c r="P165" s="32" t="n">
        <v>12000</v>
      </c>
      <c r="Q165" s="34" t="n">
        <v>1</v>
      </c>
      <c r="R165" s="33" t="n">
        <v>65.13</v>
      </c>
      <c r="S165" s="33" t="n">
        <v>65.13</v>
      </c>
      <c r="T165" s="33" t="n">
        <v>65.13</v>
      </c>
      <c r="U165" s="11" t="n">
        <f aca="false">IFERROR(YEAR(A165),"")</f>
        <v>2025</v>
      </c>
      <c r="V165" s="33" t="n">
        <f aca="false">IFERROR(O165*B165,0)</f>
        <v>781529.99</v>
      </c>
      <c r="W165" s="32" t="n">
        <f aca="false">IFERROR(N165*B165,0)</f>
        <v>12000</v>
      </c>
      <c r="X165" s="11" t="n">
        <f aca="false">IF(OR(ISNUMBER(SEARCH("live nation",L165)),ISNUMBER(SEARCH("ocesa",L165))),1,0)</f>
        <v>0</v>
      </c>
      <c r="Y165" s="11" t="s">
        <v>50</v>
      </c>
    </row>
    <row r="166" customFormat="false" ht="15" hidden="false" customHeight="false" outlineLevel="0" collapsed="false">
      <c r="A166" s="25" t="n">
        <v>45968</v>
      </c>
      <c r="B166" s="13" t="n">
        <v>1</v>
      </c>
      <c r="C166" s="26" t="s">
        <v>272</v>
      </c>
      <c r="D166" s="26"/>
      <c r="E166" s="13" t="s">
        <v>460</v>
      </c>
      <c r="F166" s="13" t="s">
        <v>132</v>
      </c>
      <c r="G166" s="13"/>
      <c r="H166" s="13" t="s">
        <v>23</v>
      </c>
      <c r="I166" s="13"/>
      <c r="J166" s="13" t="s">
        <v>97</v>
      </c>
      <c r="K166" s="13" t="s">
        <v>134</v>
      </c>
      <c r="L166" s="13" t="s">
        <v>461</v>
      </c>
      <c r="M166" s="13" t="s">
        <v>277</v>
      </c>
      <c r="N166" s="27" t="n">
        <v>17012</v>
      </c>
      <c r="O166" s="28" t="n">
        <v>2194738.76</v>
      </c>
      <c r="P166" s="27" t="n">
        <v>17093</v>
      </c>
      <c r="Q166" s="29" t="n">
        <v>0.99</v>
      </c>
      <c r="R166" s="28" t="n">
        <v>42.52</v>
      </c>
      <c r="S166" s="28" t="n">
        <v>150.18</v>
      </c>
      <c r="T166" s="28" t="n">
        <v>129.01</v>
      </c>
      <c r="U166" s="13" t="n">
        <f aca="false">IFERROR(YEAR(A166),"")</f>
        <v>2025</v>
      </c>
      <c r="V166" s="28" t="n">
        <f aca="false">IFERROR(O166*B166,0)</f>
        <v>2194738.76</v>
      </c>
      <c r="W166" s="27" t="n">
        <f aca="false">IFERROR(N166*B166,0)</f>
        <v>17012</v>
      </c>
      <c r="X166" s="13" t="n">
        <f aca="false">IF(OR(ISNUMBER(SEARCH("live nation",L166)),ISNUMBER(SEARCH("ocesa",L166))),1,0)</f>
        <v>0</v>
      </c>
      <c r="Y166" s="13" t="s">
        <v>49</v>
      </c>
    </row>
    <row r="167" customFormat="false" ht="15" hidden="false" customHeight="false" outlineLevel="0" collapsed="false">
      <c r="A167" s="30" t="n">
        <v>45965</v>
      </c>
      <c r="B167" s="11" t="n">
        <v>1</v>
      </c>
      <c r="C167" s="31" t="s">
        <v>380</v>
      </c>
      <c r="D167" s="31"/>
      <c r="E167" s="11" t="s">
        <v>462</v>
      </c>
      <c r="F167" s="11" t="s">
        <v>463</v>
      </c>
      <c r="G167" s="11"/>
      <c r="H167" s="11" t="s">
        <v>23</v>
      </c>
      <c r="I167" s="11"/>
      <c r="J167" s="11" t="s">
        <v>121</v>
      </c>
      <c r="K167" s="11" t="s">
        <v>134</v>
      </c>
      <c r="L167" s="11" t="s">
        <v>464</v>
      </c>
      <c r="M167" s="11" t="s">
        <v>100</v>
      </c>
      <c r="N167" s="32" t="n">
        <v>2575</v>
      </c>
      <c r="O167" s="33" t="n">
        <v>174861.62</v>
      </c>
      <c r="P167" s="32" t="n">
        <v>7343</v>
      </c>
      <c r="Q167" s="34" t="n">
        <v>0.35</v>
      </c>
      <c r="R167" s="33" t="n">
        <v>25.93</v>
      </c>
      <c r="S167" s="33" t="n">
        <v>129.64</v>
      </c>
      <c r="T167" s="33" t="n">
        <v>67.91</v>
      </c>
      <c r="U167" s="11" t="n">
        <f aca="false">IFERROR(YEAR(A167),"")</f>
        <v>2025</v>
      </c>
      <c r="V167" s="33" t="n">
        <f aca="false">IFERROR(O167*B167,0)</f>
        <v>174861.62</v>
      </c>
      <c r="W167" s="32" t="n">
        <f aca="false">IFERROR(N167*B167,0)</f>
        <v>2575</v>
      </c>
      <c r="X167" s="11" t="n">
        <f aca="false">IF(OR(ISNUMBER(SEARCH("live nation",L167)),ISNUMBER(SEARCH("ocesa",L167))),1,0)</f>
        <v>0</v>
      </c>
      <c r="Y167" s="11" t="s">
        <v>49</v>
      </c>
    </row>
    <row r="168" customFormat="false" ht="15" hidden="false" customHeight="false" outlineLevel="0" collapsed="false">
      <c r="A168" s="25" t="n">
        <v>45963</v>
      </c>
      <c r="B168" s="13" t="n">
        <v>1</v>
      </c>
      <c r="C168" s="26" t="s">
        <v>465</v>
      </c>
      <c r="D168" s="26"/>
      <c r="E168" s="13" t="s">
        <v>269</v>
      </c>
      <c r="F168" s="13" t="s">
        <v>185</v>
      </c>
      <c r="G168" s="13"/>
      <c r="H168" s="13" t="s">
        <v>21</v>
      </c>
      <c r="I168" s="13"/>
      <c r="J168" s="13" t="s">
        <v>97</v>
      </c>
      <c r="K168" s="13" t="s">
        <v>113</v>
      </c>
      <c r="L168" s="13" t="s">
        <v>250</v>
      </c>
      <c r="M168" s="13" t="s">
        <v>100</v>
      </c>
      <c r="N168" s="27" t="n">
        <v>10000</v>
      </c>
      <c r="O168" s="28" t="n">
        <v>974121.03</v>
      </c>
      <c r="P168" s="27" t="n">
        <v>10000</v>
      </c>
      <c r="Q168" s="29" t="n">
        <v>1</v>
      </c>
      <c r="R168" s="28" t="n">
        <v>84.42</v>
      </c>
      <c r="S168" s="28" t="n">
        <v>116.89</v>
      </c>
      <c r="T168" s="28" t="n">
        <v>97.41</v>
      </c>
      <c r="U168" s="13" t="n">
        <f aca="false">IFERROR(YEAR(A168),"")</f>
        <v>2025</v>
      </c>
      <c r="V168" s="28" t="n">
        <f aca="false">IFERROR(O168*B168,0)</f>
        <v>974121.03</v>
      </c>
      <c r="W168" s="27" t="n">
        <f aca="false">IFERROR(N168*B168,0)</f>
        <v>10000</v>
      </c>
      <c r="X168" s="13" t="n">
        <f aca="false">IF(OR(ISNUMBER(SEARCH("live nation",L168)),ISNUMBER(SEARCH("ocesa",L168))),1,0)</f>
        <v>0</v>
      </c>
      <c r="Y168" s="13" t="s">
        <v>50</v>
      </c>
    </row>
    <row r="169" customFormat="false" ht="15" hidden="false" customHeight="false" outlineLevel="0" collapsed="false">
      <c r="A169" s="30" t="n">
        <v>45962</v>
      </c>
      <c r="B169" s="11" t="n">
        <v>2</v>
      </c>
      <c r="C169" s="31" t="s">
        <v>68</v>
      </c>
      <c r="D169" s="31"/>
      <c r="E169" s="11" t="s">
        <v>95</v>
      </c>
      <c r="F169" s="11" t="s">
        <v>96</v>
      </c>
      <c r="G169" s="11"/>
      <c r="H169" s="11" t="s">
        <v>28</v>
      </c>
      <c r="I169" s="11"/>
      <c r="J169" s="11" t="s">
        <v>97</v>
      </c>
      <c r="K169" s="11" t="s">
        <v>98</v>
      </c>
      <c r="L169" s="11" t="s">
        <v>177</v>
      </c>
      <c r="M169" s="11" t="s">
        <v>100</v>
      </c>
      <c r="N169" s="32" t="n">
        <v>14786</v>
      </c>
      <c r="O169" s="33" t="n">
        <v>2142031.95</v>
      </c>
      <c r="P169" s="32" t="n">
        <v>15840</v>
      </c>
      <c r="Q169" s="34" t="n">
        <v>0.93</v>
      </c>
      <c r="R169" s="33" t="n">
        <v>86.66</v>
      </c>
      <c r="S169" s="33" t="n">
        <v>173.39</v>
      </c>
      <c r="T169" s="33" t="n">
        <v>144.87</v>
      </c>
      <c r="U169" s="11" t="n">
        <f aca="false">IFERROR(YEAR(A169),"")</f>
        <v>2025</v>
      </c>
      <c r="V169" s="33" t="n">
        <f aca="false">IFERROR(O169*B169,0)</f>
        <v>4284063.9</v>
      </c>
      <c r="W169" s="32" t="n">
        <f aca="false">IFERROR(N169*B169,0)</f>
        <v>29572</v>
      </c>
      <c r="X169" s="11" t="n">
        <f aca="false">IF(OR(ISNUMBER(SEARCH("live nation",L169)),ISNUMBER(SEARCH("ocesa",L169))),1,0)</f>
        <v>1</v>
      </c>
      <c r="Y169" s="11" t="s">
        <v>49</v>
      </c>
    </row>
    <row r="170" customFormat="false" ht="15" hidden="false" customHeight="false" outlineLevel="0" collapsed="false">
      <c r="A170" s="25" t="n">
        <v>45962</v>
      </c>
      <c r="B170" s="13" t="n">
        <v>1</v>
      </c>
      <c r="C170" s="26" t="s">
        <v>272</v>
      </c>
      <c r="D170" s="26" t="s">
        <v>466</v>
      </c>
      <c r="E170" s="13" t="s">
        <v>467</v>
      </c>
      <c r="F170" s="13" t="s">
        <v>201</v>
      </c>
      <c r="G170" s="13" t="s">
        <v>202</v>
      </c>
      <c r="H170" s="13" t="s">
        <v>20</v>
      </c>
      <c r="I170" s="13" t="s">
        <v>203</v>
      </c>
      <c r="J170" s="13" t="s">
        <v>97</v>
      </c>
      <c r="K170" s="13" t="s">
        <v>107</v>
      </c>
      <c r="L170" s="13" t="s">
        <v>177</v>
      </c>
      <c r="M170" s="13" t="s">
        <v>277</v>
      </c>
      <c r="N170" s="27" t="n">
        <v>9419</v>
      </c>
      <c r="O170" s="28" t="n">
        <v>867992</v>
      </c>
      <c r="P170" s="27" t="n">
        <v>9419</v>
      </c>
      <c r="Q170" s="29" t="n">
        <v>1</v>
      </c>
      <c r="R170" s="28" t="n">
        <v>49.5</v>
      </c>
      <c r="S170" s="28" t="n">
        <v>119.5</v>
      </c>
      <c r="T170" s="28" t="n">
        <v>92.15</v>
      </c>
      <c r="U170" s="13" t="n">
        <f aca="false">IFERROR(YEAR(A170),"")</f>
        <v>2025</v>
      </c>
      <c r="V170" s="28" t="n">
        <f aca="false">IFERROR(O170*B170,0)</f>
        <v>867992</v>
      </c>
      <c r="W170" s="27" t="n">
        <f aca="false">IFERROR(N170*B170,0)</f>
        <v>9419</v>
      </c>
      <c r="X170" s="13" t="n">
        <f aca="false">IF(OR(ISNUMBER(SEARCH("live nation",L170)),ISNUMBER(SEARCH("ocesa",L170))),1,0)</f>
        <v>1</v>
      </c>
      <c r="Y170" s="13" t="s">
        <v>49</v>
      </c>
    </row>
    <row r="171" customFormat="false" ht="15" hidden="false" customHeight="false" outlineLevel="0" collapsed="false">
      <c r="A171" s="30" t="n">
        <v>45962</v>
      </c>
      <c r="B171" s="11" t="n">
        <v>1</v>
      </c>
      <c r="C171" s="31" t="s">
        <v>465</v>
      </c>
      <c r="D171" s="31"/>
      <c r="E171" s="11" t="s">
        <v>269</v>
      </c>
      <c r="F171" s="11" t="s">
        <v>185</v>
      </c>
      <c r="G171" s="11"/>
      <c r="H171" s="11" t="s">
        <v>21</v>
      </c>
      <c r="I171" s="11"/>
      <c r="J171" s="11" t="s">
        <v>97</v>
      </c>
      <c r="K171" s="11" t="s">
        <v>113</v>
      </c>
      <c r="L171" s="11" t="s">
        <v>250</v>
      </c>
      <c r="M171" s="11" t="s">
        <v>100</v>
      </c>
      <c r="N171" s="32" t="n">
        <v>10000</v>
      </c>
      <c r="O171" s="33" t="n">
        <v>974095.54</v>
      </c>
      <c r="P171" s="32" t="n">
        <v>10000</v>
      </c>
      <c r="Q171" s="34" t="n">
        <v>1</v>
      </c>
      <c r="R171" s="33" t="n">
        <v>84.42</v>
      </c>
      <c r="S171" s="33" t="n">
        <v>116.89</v>
      </c>
      <c r="T171" s="33" t="n">
        <v>97.41</v>
      </c>
      <c r="U171" s="11" t="n">
        <f aca="false">IFERROR(YEAR(A171),"")</f>
        <v>2025</v>
      </c>
      <c r="V171" s="33" t="n">
        <f aca="false">IFERROR(O171*B171,0)</f>
        <v>974095.54</v>
      </c>
      <c r="W171" s="32" t="n">
        <f aca="false">IFERROR(N171*B171,0)</f>
        <v>10000</v>
      </c>
      <c r="X171" s="11" t="n">
        <f aca="false">IF(OR(ISNUMBER(SEARCH("live nation",L171)),ISNUMBER(SEARCH("ocesa",L171))),1,0)</f>
        <v>0</v>
      </c>
      <c r="Y171" s="11" t="s">
        <v>50</v>
      </c>
    </row>
    <row r="172" customFormat="false" ht="15" hidden="false" customHeight="false" outlineLevel="0" collapsed="false">
      <c r="A172" s="25" t="n">
        <v>45960</v>
      </c>
      <c r="B172" s="13" t="n">
        <v>1</v>
      </c>
      <c r="C172" s="26" t="s">
        <v>62</v>
      </c>
      <c r="D172" s="26"/>
      <c r="E172" s="13" t="s">
        <v>365</v>
      </c>
      <c r="F172" s="13" t="s">
        <v>188</v>
      </c>
      <c r="G172" s="13" t="s">
        <v>189</v>
      </c>
      <c r="H172" s="13" t="s">
        <v>20</v>
      </c>
      <c r="I172" s="13" t="s">
        <v>190</v>
      </c>
      <c r="J172" s="13" t="s">
        <v>97</v>
      </c>
      <c r="K172" s="13" t="s">
        <v>107</v>
      </c>
      <c r="L172" s="13" t="s">
        <v>468</v>
      </c>
      <c r="M172" s="13" t="s">
        <v>100</v>
      </c>
      <c r="N172" s="27" t="n">
        <v>9926</v>
      </c>
      <c r="O172" s="28" t="n">
        <v>1360830.7</v>
      </c>
      <c r="P172" s="27" t="n">
        <v>10555</v>
      </c>
      <c r="Q172" s="29" t="n">
        <v>0.94</v>
      </c>
      <c r="R172" s="28" t="n">
        <v>59.5</v>
      </c>
      <c r="S172" s="28" t="n">
        <v>199.5</v>
      </c>
      <c r="T172" s="28" t="n">
        <v>137.1</v>
      </c>
      <c r="U172" s="13" t="n">
        <f aca="false">IFERROR(YEAR(A172),"")</f>
        <v>2025</v>
      </c>
      <c r="V172" s="28" t="n">
        <f aca="false">IFERROR(O172*B172,0)</f>
        <v>1360830.7</v>
      </c>
      <c r="W172" s="27" t="n">
        <f aca="false">IFERROR(N172*B172,0)</f>
        <v>9926</v>
      </c>
      <c r="X172" s="13" t="n">
        <f aca="false">IF(OR(ISNUMBER(SEARCH("live nation",L172)),ISNUMBER(SEARCH("ocesa",L172))),1,0)</f>
        <v>1</v>
      </c>
      <c r="Y172" s="13" t="s">
        <v>49</v>
      </c>
    </row>
    <row r="173" customFormat="false" ht="15" hidden="false" customHeight="false" outlineLevel="0" collapsed="false">
      <c r="A173" s="30" t="n">
        <v>45959</v>
      </c>
      <c r="B173" s="11" t="n">
        <v>1</v>
      </c>
      <c r="C173" s="31" t="s">
        <v>62</v>
      </c>
      <c r="D173" s="31"/>
      <c r="E173" s="11" t="s">
        <v>365</v>
      </c>
      <c r="F173" s="11" t="s">
        <v>188</v>
      </c>
      <c r="G173" s="11" t="s">
        <v>189</v>
      </c>
      <c r="H173" s="11" t="s">
        <v>20</v>
      </c>
      <c r="I173" s="11" t="s">
        <v>190</v>
      </c>
      <c r="J173" s="11" t="s">
        <v>97</v>
      </c>
      <c r="K173" s="11" t="s">
        <v>107</v>
      </c>
      <c r="L173" s="11" t="s">
        <v>468</v>
      </c>
      <c r="M173" s="11" t="s">
        <v>100</v>
      </c>
      <c r="N173" s="32" t="n">
        <v>8511</v>
      </c>
      <c r="O173" s="33" t="n">
        <v>1228971.53</v>
      </c>
      <c r="P173" s="32" t="n">
        <v>9146</v>
      </c>
      <c r="Q173" s="34" t="n">
        <v>0.93</v>
      </c>
      <c r="R173" s="33" t="n">
        <v>59.5</v>
      </c>
      <c r="S173" s="33" t="n">
        <v>199.5</v>
      </c>
      <c r="T173" s="33" t="n">
        <v>144.4</v>
      </c>
      <c r="U173" s="11" t="n">
        <f aca="false">IFERROR(YEAR(A173),"")</f>
        <v>2025</v>
      </c>
      <c r="V173" s="33" t="n">
        <f aca="false">IFERROR(O173*B173,0)</f>
        <v>1228971.53</v>
      </c>
      <c r="W173" s="32" t="n">
        <f aca="false">IFERROR(N173*B173,0)</f>
        <v>8511</v>
      </c>
      <c r="X173" s="11" t="n">
        <f aca="false">IF(OR(ISNUMBER(SEARCH("live nation",L173)),ISNUMBER(SEARCH("ocesa",L173))),1,0)</f>
        <v>1</v>
      </c>
      <c r="Y173" s="11" t="s">
        <v>49</v>
      </c>
    </row>
    <row r="174" customFormat="false" ht="15" hidden="false" customHeight="false" outlineLevel="0" collapsed="false">
      <c r="A174" s="25" t="n">
        <v>45956</v>
      </c>
      <c r="B174" s="13" t="n">
        <v>2</v>
      </c>
      <c r="C174" s="26" t="s">
        <v>62</v>
      </c>
      <c r="D174" s="26"/>
      <c r="E174" s="13" t="s">
        <v>469</v>
      </c>
      <c r="F174" s="13" t="s">
        <v>470</v>
      </c>
      <c r="G174" s="13" t="s">
        <v>167</v>
      </c>
      <c r="H174" s="13" t="s">
        <v>20</v>
      </c>
      <c r="I174" s="13" t="s">
        <v>471</v>
      </c>
      <c r="J174" s="13" t="s">
        <v>97</v>
      </c>
      <c r="K174" s="13" t="s">
        <v>107</v>
      </c>
      <c r="L174" s="13" t="s">
        <v>468</v>
      </c>
      <c r="M174" s="13" t="s">
        <v>100</v>
      </c>
      <c r="N174" s="27" t="n">
        <v>6646</v>
      </c>
      <c r="O174" s="28" t="n">
        <v>1270746.75</v>
      </c>
      <c r="P174" s="27" t="n">
        <v>10375</v>
      </c>
      <c r="Q174" s="29" t="n">
        <v>0.64</v>
      </c>
      <c r="R174" s="28" t="n">
        <v>59.5</v>
      </c>
      <c r="S174" s="28" t="n">
        <v>469.5</v>
      </c>
      <c r="T174" s="28" t="n">
        <v>191.19</v>
      </c>
      <c r="U174" s="13" t="n">
        <f aca="false">IFERROR(YEAR(A174),"")</f>
        <v>2025</v>
      </c>
      <c r="V174" s="28" t="n">
        <f aca="false">IFERROR(O174*B174,0)</f>
        <v>2541493.5</v>
      </c>
      <c r="W174" s="27" t="n">
        <f aca="false">IFERROR(N174*B174,0)</f>
        <v>13292</v>
      </c>
      <c r="X174" s="13" t="n">
        <f aca="false">IF(OR(ISNUMBER(SEARCH("live nation",L174)),ISNUMBER(SEARCH("ocesa",L174))),1,0)</f>
        <v>1</v>
      </c>
      <c r="Y174" s="13" t="s">
        <v>49</v>
      </c>
    </row>
    <row r="175" customFormat="false" ht="15" hidden="false" customHeight="false" outlineLevel="0" collapsed="false">
      <c r="A175" s="30" t="n">
        <v>45955</v>
      </c>
      <c r="B175" s="11" t="n">
        <v>2</v>
      </c>
      <c r="C175" s="31" t="s">
        <v>472</v>
      </c>
      <c r="D175" s="31"/>
      <c r="E175" s="11" t="s">
        <v>473</v>
      </c>
      <c r="F175" s="11" t="s">
        <v>474</v>
      </c>
      <c r="G175" s="11"/>
      <c r="H175" s="11" t="s">
        <v>21</v>
      </c>
      <c r="I175" s="11"/>
      <c r="J175" s="11" t="s">
        <v>97</v>
      </c>
      <c r="K175" s="11" t="s">
        <v>113</v>
      </c>
      <c r="L175" s="11" t="s">
        <v>145</v>
      </c>
      <c r="M175" s="11" t="s">
        <v>100</v>
      </c>
      <c r="N175" s="32" t="n">
        <v>27130</v>
      </c>
      <c r="O175" s="33" t="n">
        <v>2900289.28</v>
      </c>
      <c r="P175" s="32" t="n">
        <v>27325</v>
      </c>
      <c r="Q175" s="34" t="n">
        <v>0.99</v>
      </c>
      <c r="R175" s="33" t="n">
        <v>94.89</v>
      </c>
      <c r="S175" s="33" t="n">
        <v>176.69</v>
      </c>
      <c r="T175" s="33" t="n">
        <v>106.9</v>
      </c>
      <c r="U175" s="11" t="n">
        <f aca="false">IFERROR(YEAR(A175),"")</f>
        <v>2025</v>
      </c>
      <c r="V175" s="33" t="n">
        <f aca="false">IFERROR(O175*B175,0)</f>
        <v>5800578.56</v>
      </c>
      <c r="W175" s="32" t="n">
        <f aca="false">IFERROR(N175*B175,0)</f>
        <v>54260</v>
      </c>
      <c r="X175" s="11" t="n">
        <f aca="false">IF(OR(ISNUMBER(SEARCH("live nation",L175)),ISNUMBER(SEARCH("ocesa",L175))),1,0)</f>
        <v>0</v>
      </c>
      <c r="Y175" s="11" t="s">
        <v>50</v>
      </c>
    </row>
    <row r="176" customFormat="false" ht="15" hidden="false" customHeight="false" outlineLevel="0" collapsed="false">
      <c r="A176" s="25" t="n">
        <v>45954</v>
      </c>
      <c r="B176" s="13" t="n">
        <v>1</v>
      </c>
      <c r="C176" s="26" t="s">
        <v>475</v>
      </c>
      <c r="D176" s="26"/>
      <c r="E176" s="13" t="s">
        <v>476</v>
      </c>
      <c r="F176" s="13" t="s">
        <v>339</v>
      </c>
      <c r="G176" s="13"/>
      <c r="H176" s="13" t="s">
        <v>477</v>
      </c>
      <c r="I176" s="13"/>
      <c r="J176" s="13" t="s">
        <v>106</v>
      </c>
      <c r="K176" s="13" t="s">
        <v>173</v>
      </c>
      <c r="L176" s="13" t="s">
        <v>478</v>
      </c>
      <c r="M176" s="13" t="s">
        <v>100</v>
      </c>
      <c r="N176" s="27" t="n">
        <v>532</v>
      </c>
      <c r="O176" s="28" t="n">
        <v>25630.63</v>
      </c>
      <c r="P176" s="27" t="n">
        <v>800</v>
      </c>
      <c r="Q176" s="29" t="n">
        <v>0.66</v>
      </c>
      <c r="R176" s="28" t="n">
        <v>48.18</v>
      </c>
      <c r="S176" s="28" t="n">
        <v>48.18</v>
      </c>
      <c r="T176" s="28" t="n">
        <v>48.18</v>
      </c>
      <c r="U176" s="13" t="n">
        <f aca="false">IFERROR(YEAR(A176),"")</f>
        <v>2025</v>
      </c>
      <c r="V176" s="28" t="n">
        <f aca="false">IFERROR(O176*B176,0)</f>
        <v>25630.63</v>
      </c>
      <c r="W176" s="27" t="n">
        <f aca="false">IFERROR(N176*B176,0)</f>
        <v>532</v>
      </c>
      <c r="X176" s="13" t="n">
        <f aca="false">IF(OR(ISNUMBER(SEARCH("live nation",L176)),ISNUMBER(SEARCH("ocesa",L176))),1,0)</f>
        <v>0</v>
      </c>
      <c r="Y176" s="13" t="s">
        <v>49</v>
      </c>
    </row>
    <row r="177" customFormat="false" ht="15" hidden="false" customHeight="false" outlineLevel="0" collapsed="false">
      <c r="A177" s="30" t="n">
        <v>45954</v>
      </c>
      <c r="B177" s="11" t="n">
        <v>3</v>
      </c>
      <c r="C177" s="31" t="s">
        <v>64</v>
      </c>
      <c r="D177" s="31"/>
      <c r="E177" s="11" t="s">
        <v>146</v>
      </c>
      <c r="F177" s="11" t="s">
        <v>147</v>
      </c>
      <c r="G177" s="11"/>
      <c r="H177" s="11" t="s">
        <v>24</v>
      </c>
      <c r="I177" s="11"/>
      <c r="J177" s="11" t="s">
        <v>97</v>
      </c>
      <c r="K177" s="11" t="s">
        <v>148</v>
      </c>
      <c r="L177" s="11" t="s">
        <v>145</v>
      </c>
      <c r="M177" s="11" t="s">
        <v>100</v>
      </c>
      <c r="N177" s="32" t="n">
        <v>9598</v>
      </c>
      <c r="O177" s="33" t="n">
        <v>1245054.59</v>
      </c>
      <c r="P177" s="32" t="n">
        <v>9613</v>
      </c>
      <c r="Q177" s="34" t="n">
        <v>0.99</v>
      </c>
      <c r="R177" s="33" t="n">
        <v>114.88</v>
      </c>
      <c r="S177" s="33" t="n">
        <v>176.15</v>
      </c>
      <c r="T177" s="33" t="n">
        <v>129.72</v>
      </c>
      <c r="U177" s="11" t="n">
        <f aca="false">IFERROR(YEAR(A177),"")</f>
        <v>2025</v>
      </c>
      <c r="V177" s="33" t="n">
        <f aca="false">IFERROR(O177*B177,0)</f>
        <v>3735163.77</v>
      </c>
      <c r="W177" s="32" t="n">
        <f aca="false">IFERROR(N177*B177,0)</f>
        <v>28794</v>
      </c>
      <c r="X177" s="11" t="n">
        <f aca="false">IF(OR(ISNUMBER(SEARCH("live nation",L177)),ISNUMBER(SEARCH("ocesa",L177))),1,0)</f>
        <v>0</v>
      </c>
      <c r="Y177" s="11" t="s">
        <v>50</v>
      </c>
    </row>
    <row r="178" customFormat="false" ht="15" hidden="false" customHeight="false" outlineLevel="0" collapsed="false">
      <c r="A178" s="25" t="n">
        <v>45952</v>
      </c>
      <c r="B178" s="13" t="n">
        <v>1</v>
      </c>
      <c r="C178" s="26" t="s">
        <v>62</v>
      </c>
      <c r="D178" s="26"/>
      <c r="E178" s="13" t="s">
        <v>175</v>
      </c>
      <c r="F178" s="13" t="s">
        <v>176</v>
      </c>
      <c r="G178" s="13" t="s">
        <v>143</v>
      </c>
      <c r="H178" s="13" t="s">
        <v>20</v>
      </c>
      <c r="I178" s="13" t="s">
        <v>176</v>
      </c>
      <c r="J178" s="13" t="s">
        <v>97</v>
      </c>
      <c r="K178" s="13" t="s">
        <v>107</v>
      </c>
      <c r="L178" s="13" t="s">
        <v>468</v>
      </c>
      <c r="M178" s="13" t="s">
        <v>100</v>
      </c>
      <c r="N178" s="27" t="n">
        <v>6598</v>
      </c>
      <c r="O178" s="28" t="n">
        <v>839798</v>
      </c>
      <c r="P178" s="27" t="n">
        <v>6598</v>
      </c>
      <c r="Q178" s="29" t="n">
        <v>1</v>
      </c>
      <c r="R178" s="28" t="n">
        <v>33.5</v>
      </c>
      <c r="S178" s="28" t="n">
        <v>193.5</v>
      </c>
      <c r="T178" s="28" t="n">
        <v>127.28</v>
      </c>
      <c r="U178" s="13" t="n">
        <f aca="false">IFERROR(YEAR(A178),"")</f>
        <v>2025</v>
      </c>
      <c r="V178" s="28" t="n">
        <f aca="false">IFERROR(O178*B178,0)</f>
        <v>839798</v>
      </c>
      <c r="W178" s="27" t="n">
        <f aca="false">IFERROR(N178*B178,0)</f>
        <v>6598</v>
      </c>
      <c r="X178" s="13" t="n">
        <f aca="false">IF(OR(ISNUMBER(SEARCH("live nation",L178)),ISNUMBER(SEARCH("ocesa",L178))),1,0)</f>
        <v>1</v>
      </c>
      <c r="Y178" s="13" t="s">
        <v>49</v>
      </c>
    </row>
    <row r="179" customFormat="false" ht="15" hidden="false" customHeight="false" outlineLevel="0" collapsed="false">
      <c r="A179" s="30" t="n">
        <v>45951</v>
      </c>
      <c r="B179" s="11" t="n">
        <v>1</v>
      </c>
      <c r="C179" s="31" t="s">
        <v>62</v>
      </c>
      <c r="D179" s="31"/>
      <c r="E179" s="11" t="s">
        <v>175</v>
      </c>
      <c r="F179" s="11" t="s">
        <v>176</v>
      </c>
      <c r="G179" s="11" t="s">
        <v>143</v>
      </c>
      <c r="H179" s="11" t="s">
        <v>20</v>
      </c>
      <c r="I179" s="11" t="s">
        <v>176</v>
      </c>
      <c r="J179" s="11" t="s">
        <v>97</v>
      </c>
      <c r="K179" s="11" t="s">
        <v>107</v>
      </c>
      <c r="L179" s="11" t="s">
        <v>468</v>
      </c>
      <c r="M179" s="11" t="s">
        <v>100</v>
      </c>
      <c r="N179" s="32" t="n">
        <v>6622</v>
      </c>
      <c r="O179" s="33" t="n">
        <v>852622</v>
      </c>
      <c r="P179" s="32" t="n">
        <v>6622</v>
      </c>
      <c r="Q179" s="34" t="n">
        <v>1</v>
      </c>
      <c r="R179" s="33" t="n">
        <v>33.5</v>
      </c>
      <c r="S179" s="33" t="n">
        <v>193.5</v>
      </c>
      <c r="T179" s="33" t="n">
        <v>128.76</v>
      </c>
      <c r="U179" s="11" t="n">
        <f aca="false">IFERROR(YEAR(A179),"")</f>
        <v>2025</v>
      </c>
      <c r="V179" s="33" t="n">
        <f aca="false">IFERROR(O179*B179,0)</f>
        <v>852622</v>
      </c>
      <c r="W179" s="32" t="n">
        <f aca="false">IFERROR(N179*B179,0)</f>
        <v>6622</v>
      </c>
      <c r="X179" s="11" t="n">
        <f aca="false">IF(OR(ISNUMBER(SEARCH("live nation",L179)),ISNUMBER(SEARCH("ocesa",L179))),1,0)</f>
        <v>1</v>
      </c>
      <c r="Y179" s="11" t="s">
        <v>49</v>
      </c>
    </row>
    <row r="180" customFormat="false" ht="15" hidden="false" customHeight="false" outlineLevel="0" collapsed="false">
      <c r="A180" s="25" t="n">
        <v>45951</v>
      </c>
      <c r="B180" s="13" t="n">
        <v>1</v>
      </c>
      <c r="C180" s="26" t="s">
        <v>479</v>
      </c>
      <c r="D180" s="26"/>
      <c r="E180" s="13" t="s">
        <v>433</v>
      </c>
      <c r="F180" s="13" t="s">
        <v>139</v>
      </c>
      <c r="G180" s="13" t="s">
        <v>139</v>
      </c>
      <c r="H180" s="13" t="s">
        <v>20</v>
      </c>
      <c r="I180" s="13" t="s">
        <v>139</v>
      </c>
      <c r="J180" s="13" t="s">
        <v>121</v>
      </c>
      <c r="K180" s="13" t="s">
        <v>107</v>
      </c>
      <c r="L180" s="13" t="s">
        <v>177</v>
      </c>
      <c r="M180" s="13" t="s">
        <v>100</v>
      </c>
      <c r="N180" s="27" t="n">
        <v>2830</v>
      </c>
      <c r="O180" s="28" t="n">
        <v>213463.25</v>
      </c>
      <c r="P180" s="27" t="n">
        <v>2830</v>
      </c>
      <c r="Q180" s="29" t="n">
        <v>1</v>
      </c>
      <c r="R180" s="28" t="n">
        <v>49.5</v>
      </c>
      <c r="S180" s="28" t="n">
        <v>159.5</v>
      </c>
      <c r="T180" s="28" t="n">
        <v>75.43</v>
      </c>
      <c r="U180" s="13" t="n">
        <f aca="false">IFERROR(YEAR(A180),"")</f>
        <v>2025</v>
      </c>
      <c r="V180" s="28" t="n">
        <f aca="false">IFERROR(O180*B180,0)</f>
        <v>213463.25</v>
      </c>
      <c r="W180" s="27" t="n">
        <f aca="false">IFERROR(N180*B180,0)</f>
        <v>2830</v>
      </c>
      <c r="X180" s="13" t="n">
        <f aca="false">IF(OR(ISNUMBER(SEARCH("live nation",L180)),ISNUMBER(SEARCH("ocesa",L180))),1,0)</f>
        <v>1</v>
      </c>
      <c r="Y180" s="13" t="s">
        <v>49</v>
      </c>
    </row>
    <row r="181" customFormat="false" ht="15" hidden="false" customHeight="false" outlineLevel="0" collapsed="false">
      <c r="A181" s="30" t="n">
        <v>45951</v>
      </c>
      <c r="B181" s="11" t="n">
        <v>1</v>
      </c>
      <c r="C181" s="31" t="s">
        <v>380</v>
      </c>
      <c r="D181" s="31"/>
      <c r="E181" s="11" t="s">
        <v>230</v>
      </c>
      <c r="F181" s="11" t="s">
        <v>231</v>
      </c>
      <c r="G181" s="11" t="s">
        <v>202</v>
      </c>
      <c r="H181" s="11" t="s">
        <v>20</v>
      </c>
      <c r="I181" s="11" t="s">
        <v>232</v>
      </c>
      <c r="J181" s="11" t="s">
        <v>97</v>
      </c>
      <c r="K181" s="11" t="s">
        <v>107</v>
      </c>
      <c r="L181" s="11" t="s">
        <v>480</v>
      </c>
      <c r="M181" s="11" t="s">
        <v>100</v>
      </c>
      <c r="N181" s="32" t="n">
        <v>4894</v>
      </c>
      <c r="O181" s="33" t="n">
        <v>585285.8</v>
      </c>
      <c r="P181" s="32" t="n">
        <v>6621</v>
      </c>
      <c r="Q181" s="34" t="n">
        <v>0.73</v>
      </c>
      <c r="R181" s="33" t="n">
        <v>60</v>
      </c>
      <c r="S181" s="33" t="n">
        <v>270</v>
      </c>
      <c r="T181" s="33" t="n">
        <v>119.59</v>
      </c>
      <c r="U181" s="11" t="n">
        <f aca="false">IFERROR(YEAR(A181),"")</f>
        <v>2025</v>
      </c>
      <c r="V181" s="33" t="n">
        <f aca="false">IFERROR(O181*B181,0)</f>
        <v>585285.8</v>
      </c>
      <c r="W181" s="32" t="n">
        <f aca="false">IFERROR(N181*B181,0)</f>
        <v>4894</v>
      </c>
      <c r="X181" s="11" t="n">
        <f aca="false">IF(OR(ISNUMBER(SEARCH("live nation",L181)),ISNUMBER(SEARCH("ocesa",L181))),1,0)</f>
        <v>0</v>
      </c>
      <c r="Y181" s="11" t="s">
        <v>49</v>
      </c>
    </row>
    <row r="182" customFormat="false" ht="15" hidden="false" customHeight="false" outlineLevel="0" collapsed="false">
      <c r="A182" s="25" t="n">
        <v>45949</v>
      </c>
      <c r="B182" s="13" t="n">
        <v>1</v>
      </c>
      <c r="C182" s="26" t="s">
        <v>481</v>
      </c>
      <c r="D182" s="26"/>
      <c r="E182" s="13" t="s">
        <v>111</v>
      </c>
      <c r="F182" s="13" t="s">
        <v>112</v>
      </c>
      <c r="G182" s="13"/>
      <c r="H182" s="13" t="s">
        <v>21</v>
      </c>
      <c r="I182" s="13"/>
      <c r="J182" s="13" t="s">
        <v>97</v>
      </c>
      <c r="K182" s="13" t="s">
        <v>113</v>
      </c>
      <c r="L182" s="13" t="s">
        <v>399</v>
      </c>
      <c r="M182" s="13" t="s">
        <v>100</v>
      </c>
      <c r="N182" s="27" t="n">
        <v>20000</v>
      </c>
      <c r="O182" s="28" t="n">
        <v>1460774.95</v>
      </c>
      <c r="P182" s="27" t="n">
        <v>20000</v>
      </c>
      <c r="Q182" s="29" t="n">
        <v>1</v>
      </c>
      <c r="R182" s="28" t="n">
        <v>73.04</v>
      </c>
      <c r="S182" s="28" t="n">
        <v>73.04</v>
      </c>
      <c r="T182" s="28" t="n">
        <v>73.04</v>
      </c>
      <c r="U182" s="13" t="n">
        <f aca="false">IFERROR(YEAR(A182),"")</f>
        <v>2025</v>
      </c>
      <c r="V182" s="28" t="n">
        <f aca="false">IFERROR(O182*B182,0)</f>
        <v>1460774.95</v>
      </c>
      <c r="W182" s="27" t="n">
        <f aca="false">IFERROR(N182*B182,0)</f>
        <v>20000</v>
      </c>
      <c r="X182" s="13" t="n">
        <f aca="false">IF(OR(ISNUMBER(SEARCH("live nation",L182)),ISNUMBER(SEARCH("ocesa",L182))),1,0)</f>
        <v>0</v>
      </c>
      <c r="Y182" s="13" t="s">
        <v>50</v>
      </c>
    </row>
    <row r="183" customFormat="false" ht="15" hidden="false" customHeight="false" outlineLevel="0" collapsed="false">
      <c r="A183" s="30" t="n">
        <v>45948</v>
      </c>
      <c r="B183" s="11" t="n">
        <v>1</v>
      </c>
      <c r="C183" s="31" t="s">
        <v>380</v>
      </c>
      <c r="D183" s="31"/>
      <c r="E183" s="11" t="s">
        <v>467</v>
      </c>
      <c r="F183" s="11" t="s">
        <v>201</v>
      </c>
      <c r="G183" s="11" t="s">
        <v>202</v>
      </c>
      <c r="H183" s="11" t="s">
        <v>20</v>
      </c>
      <c r="I183" s="11" t="s">
        <v>203</v>
      </c>
      <c r="J183" s="11" t="s">
        <v>97</v>
      </c>
      <c r="K183" s="11" t="s">
        <v>107</v>
      </c>
      <c r="L183" s="11" t="s">
        <v>480</v>
      </c>
      <c r="M183" s="11" t="s">
        <v>100</v>
      </c>
      <c r="N183" s="32" t="n">
        <v>7085</v>
      </c>
      <c r="O183" s="33" t="n">
        <v>967068</v>
      </c>
      <c r="P183" s="32" t="n">
        <v>7085</v>
      </c>
      <c r="Q183" s="34" t="n">
        <v>1</v>
      </c>
      <c r="R183" s="33" t="n">
        <v>136.5</v>
      </c>
      <c r="S183" s="33" t="n">
        <v>136.5</v>
      </c>
      <c r="T183" s="33" t="n">
        <v>136.5</v>
      </c>
      <c r="U183" s="11" t="n">
        <f aca="false">IFERROR(YEAR(A183),"")</f>
        <v>2025</v>
      </c>
      <c r="V183" s="33" t="n">
        <f aca="false">IFERROR(O183*B183,0)</f>
        <v>967068</v>
      </c>
      <c r="W183" s="32" t="n">
        <f aca="false">IFERROR(N183*B183,0)</f>
        <v>7085</v>
      </c>
      <c r="X183" s="11" t="n">
        <f aca="false">IF(OR(ISNUMBER(SEARCH("live nation",L183)),ISNUMBER(SEARCH("ocesa",L183))),1,0)</f>
        <v>0</v>
      </c>
      <c r="Y183" s="11" t="s">
        <v>49</v>
      </c>
    </row>
    <row r="184" customFormat="false" ht="15" hidden="false" customHeight="false" outlineLevel="0" collapsed="false">
      <c r="A184" s="25" t="n">
        <v>45948</v>
      </c>
      <c r="B184" s="13" t="n">
        <v>1</v>
      </c>
      <c r="C184" s="26" t="s">
        <v>479</v>
      </c>
      <c r="D184" s="26"/>
      <c r="E184" s="13" t="s">
        <v>482</v>
      </c>
      <c r="F184" s="13" t="s">
        <v>223</v>
      </c>
      <c r="G184" s="13" t="s">
        <v>224</v>
      </c>
      <c r="H184" s="13" t="s">
        <v>20</v>
      </c>
      <c r="I184" s="13" t="s">
        <v>225</v>
      </c>
      <c r="J184" s="13" t="s">
        <v>106</v>
      </c>
      <c r="K184" s="13" t="s">
        <v>107</v>
      </c>
      <c r="L184" s="13" t="s">
        <v>483</v>
      </c>
      <c r="M184" s="13" t="s">
        <v>100</v>
      </c>
      <c r="N184" s="27" t="n">
        <v>2405</v>
      </c>
      <c r="O184" s="28" t="n">
        <v>207312.5</v>
      </c>
      <c r="P184" s="27" t="n">
        <v>2405</v>
      </c>
      <c r="Q184" s="29" t="n">
        <v>1</v>
      </c>
      <c r="R184" s="28" t="n">
        <v>21</v>
      </c>
      <c r="S184" s="28" t="n">
        <v>155.5</v>
      </c>
      <c r="T184" s="28" t="n">
        <v>86.2</v>
      </c>
      <c r="U184" s="13" t="n">
        <f aca="false">IFERROR(YEAR(A184),"")</f>
        <v>2025</v>
      </c>
      <c r="V184" s="28" t="n">
        <f aca="false">IFERROR(O184*B184,0)</f>
        <v>207312.5</v>
      </c>
      <c r="W184" s="27" t="n">
        <f aca="false">IFERROR(N184*B184,0)</f>
        <v>2405</v>
      </c>
      <c r="X184" s="13" t="n">
        <f aca="false">IF(OR(ISNUMBER(SEARCH("live nation",L184)),ISNUMBER(SEARCH("ocesa",L184))),1,0)</f>
        <v>1</v>
      </c>
      <c r="Y184" s="13" t="s">
        <v>49</v>
      </c>
    </row>
    <row r="185" customFormat="false" ht="15" hidden="false" customHeight="false" outlineLevel="0" collapsed="false">
      <c r="A185" s="30" t="n">
        <v>45948</v>
      </c>
      <c r="B185" s="11" t="n">
        <v>1</v>
      </c>
      <c r="C185" s="31" t="s">
        <v>484</v>
      </c>
      <c r="D185" s="31"/>
      <c r="E185" s="11" t="s">
        <v>155</v>
      </c>
      <c r="F185" s="11" t="s">
        <v>156</v>
      </c>
      <c r="G185" s="11"/>
      <c r="H185" s="11" t="s">
        <v>157</v>
      </c>
      <c r="I185" s="11"/>
      <c r="J185" s="11" t="s">
        <v>97</v>
      </c>
      <c r="K185" s="11" t="s">
        <v>158</v>
      </c>
      <c r="L185" s="11" t="s">
        <v>485</v>
      </c>
      <c r="M185" s="11" t="s">
        <v>251</v>
      </c>
      <c r="N185" s="32" t="n">
        <v>8253</v>
      </c>
      <c r="O185" s="33" t="n">
        <v>860244.67</v>
      </c>
      <c r="P185" s="32" t="n">
        <v>16522</v>
      </c>
      <c r="Q185" s="34" t="n">
        <v>0.49</v>
      </c>
      <c r="R185" s="33" t="n">
        <v>41.79</v>
      </c>
      <c r="S185" s="33" t="n">
        <v>167.14</v>
      </c>
      <c r="T185" s="33" t="n">
        <v>104.23</v>
      </c>
      <c r="U185" s="11" t="n">
        <f aca="false">IFERROR(YEAR(A185),"")</f>
        <v>2025</v>
      </c>
      <c r="V185" s="33" t="n">
        <f aca="false">IFERROR(O185*B185,0)</f>
        <v>860244.67</v>
      </c>
      <c r="W185" s="32" t="n">
        <f aca="false">IFERROR(N185*B185,0)</f>
        <v>8253</v>
      </c>
      <c r="X185" s="11" t="n">
        <f aca="false">IF(OR(ISNUMBER(SEARCH("live nation",L185)),ISNUMBER(SEARCH("ocesa",L185))),1,0)</f>
        <v>0</v>
      </c>
      <c r="Y185" s="11" t="s">
        <v>49</v>
      </c>
    </row>
    <row r="186" customFormat="false" ht="15" hidden="false" customHeight="false" outlineLevel="0" collapsed="false">
      <c r="A186" s="25" t="n">
        <v>45948</v>
      </c>
      <c r="B186" s="13" t="n">
        <v>1</v>
      </c>
      <c r="C186" s="26" t="s">
        <v>481</v>
      </c>
      <c r="D186" s="26"/>
      <c r="E186" s="13" t="s">
        <v>111</v>
      </c>
      <c r="F186" s="13" t="s">
        <v>112</v>
      </c>
      <c r="G186" s="13"/>
      <c r="H186" s="13" t="s">
        <v>21</v>
      </c>
      <c r="I186" s="13"/>
      <c r="J186" s="13" t="s">
        <v>97</v>
      </c>
      <c r="K186" s="13" t="s">
        <v>113</v>
      </c>
      <c r="L186" s="13" t="s">
        <v>399</v>
      </c>
      <c r="M186" s="13" t="s">
        <v>100</v>
      </c>
      <c r="N186" s="27" t="n">
        <v>20000</v>
      </c>
      <c r="O186" s="28" t="n">
        <v>1460677.84</v>
      </c>
      <c r="P186" s="27" t="n">
        <v>20000</v>
      </c>
      <c r="Q186" s="29" t="n">
        <v>1</v>
      </c>
      <c r="R186" s="28" t="n">
        <v>73.03</v>
      </c>
      <c r="S186" s="28" t="n">
        <v>73.03</v>
      </c>
      <c r="T186" s="28" t="n">
        <v>73.03</v>
      </c>
      <c r="U186" s="13" t="n">
        <f aca="false">IFERROR(YEAR(A186),"")</f>
        <v>2025</v>
      </c>
      <c r="V186" s="28" t="n">
        <f aca="false">IFERROR(O186*B186,0)</f>
        <v>1460677.84</v>
      </c>
      <c r="W186" s="27" t="n">
        <f aca="false">IFERROR(N186*B186,0)</f>
        <v>20000</v>
      </c>
      <c r="X186" s="13" t="n">
        <f aca="false">IF(OR(ISNUMBER(SEARCH("live nation",L186)),ISNUMBER(SEARCH("ocesa",L186))),1,0)</f>
        <v>0</v>
      </c>
      <c r="Y186" s="13" t="s">
        <v>50</v>
      </c>
    </row>
    <row r="187" customFormat="false" ht="15" hidden="false" customHeight="false" outlineLevel="0" collapsed="false">
      <c r="A187" s="30" t="n">
        <v>45947</v>
      </c>
      <c r="B187" s="11" t="n">
        <v>1</v>
      </c>
      <c r="C187" s="31" t="s">
        <v>62</v>
      </c>
      <c r="D187" s="31"/>
      <c r="E187" s="11" t="s">
        <v>486</v>
      </c>
      <c r="F187" s="11" t="s">
        <v>203</v>
      </c>
      <c r="G187" s="11" t="s">
        <v>202</v>
      </c>
      <c r="H187" s="11" t="s">
        <v>20</v>
      </c>
      <c r="I187" s="11" t="s">
        <v>203</v>
      </c>
      <c r="J187" s="11" t="s">
        <v>133</v>
      </c>
      <c r="K187" s="11" t="s">
        <v>107</v>
      </c>
      <c r="L187" s="11" t="s">
        <v>468</v>
      </c>
      <c r="M187" s="11" t="s">
        <v>100</v>
      </c>
      <c r="N187" s="32" t="n">
        <v>17982</v>
      </c>
      <c r="O187" s="33" t="n">
        <v>2268598</v>
      </c>
      <c r="P187" s="32" t="n">
        <v>24000</v>
      </c>
      <c r="Q187" s="34" t="n">
        <v>0.74</v>
      </c>
      <c r="R187" s="33" t="n">
        <v>126.16</v>
      </c>
      <c r="S187" s="33" t="n">
        <v>126.16</v>
      </c>
      <c r="T187" s="33" t="n">
        <v>126.16</v>
      </c>
      <c r="U187" s="11" t="n">
        <f aca="false">IFERROR(YEAR(A187),"")</f>
        <v>2025</v>
      </c>
      <c r="V187" s="33" t="n">
        <f aca="false">IFERROR(O187*B187,0)</f>
        <v>2268598</v>
      </c>
      <c r="W187" s="32" t="n">
        <f aca="false">IFERROR(N187*B187,0)</f>
        <v>17982</v>
      </c>
      <c r="X187" s="11" t="n">
        <f aca="false">IF(OR(ISNUMBER(SEARCH("live nation",L187)),ISNUMBER(SEARCH("ocesa",L187))),1,0)</f>
        <v>1</v>
      </c>
      <c r="Y187" s="11" t="s">
        <v>49</v>
      </c>
    </row>
    <row r="188" customFormat="false" ht="15" hidden="false" customHeight="false" outlineLevel="0" collapsed="false">
      <c r="A188" s="25" t="n">
        <v>45946</v>
      </c>
      <c r="B188" s="13" t="n">
        <v>1</v>
      </c>
      <c r="C188" s="26" t="s">
        <v>479</v>
      </c>
      <c r="D188" s="26"/>
      <c r="E188" s="13" t="s">
        <v>227</v>
      </c>
      <c r="F188" s="13" t="s">
        <v>228</v>
      </c>
      <c r="G188" s="13" t="s">
        <v>229</v>
      </c>
      <c r="H188" s="13" t="s">
        <v>20</v>
      </c>
      <c r="I188" s="13" t="s">
        <v>190</v>
      </c>
      <c r="J188" s="13" t="s">
        <v>121</v>
      </c>
      <c r="K188" s="13" t="s">
        <v>107</v>
      </c>
      <c r="L188" s="13" t="s">
        <v>177</v>
      </c>
      <c r="M188" s="13" t="s">
        <v>100</v>
      </c>
      <c r="N188" s="27" t="n">
        <v>2027</v>
      </c>
      <c r="O188" s="28" t="n">
        <v>191476</v>
      </c>
      <c r="P188" s="27" t="n">
        <v>2900</v>
      </c>
      <c r="Q188" s="29" t="n">
        <v>0.69</v>
      </c>
      <c r="R188" s="28" t="n">
        <v>59.5</v>
      </c>
      <c r="S188" s="28" t="n">
        <v>159.5</v>
      </c>
      <c r="T188" s="28" t="n">
        <v>94.46</v>
      </c>
      <c r="U188" s="13" t="n">
        <f aca="false">IFERROR(YEAR(A188),"")</f>
        <v>2025</v>
      </c>
      <c r="V188" s="28" t="n">
        <f aca="false">IFERROR(O188*B188,0)</f>
        <v>191476</v>
      </c>
      <c r="W188" s="27" t="n">
        <f aca="false">IFERROR(N188*B188,0)</f>
        <v>2027</v>
      </c>
      <c r="X188" s="13" t="n">
        <f aca="false">IF(OR(ISNUMBER(SEARCH("live nation",L188)),ISNUMBER(SEARCH("ocesa",L188))),1,0)</f>
        <v>1</v>
      </c>
      <c r="Y188" s="13" t="s">
        <v>49</v>
      </c>
    </row>
    <row r="189" customFormat="false" ht="15" hidden="false" customHeight="false" outlineLevel="0" collapsed="false">
      <c r="A189" s="30" t="n">
        <v>45946</v>
      </c>
      <c r="B189" s="11" t="n">
        <v>1</v>
      </c>
      <c r="C189" s="31" t="s">
        <v>62</v>
      </c>
      <c r="D189" s="31"/>
      <c r="E189" s="11" t="s">
        <v>486</v>
      </c>
      <c r="F189" s="11" t="s">
        <v>203</v>
      </c>
      <c r="G189" s="11" t="s">
        <v>202</v>
      </c>
      <c r="H189" s="11" t="s">
        <v>20</v>
      </c>
      <c r="I189" s="11" t="s">
        <v>203</v>
      </c>
      <c r="J189" s="11" t="s">
        <v>133</v>
      </c>
      <c r="K189" s="11" t="s">
        <v>107</v>
      </c>
      <c r="L189" s="11" t="s">
        <v>468</v>
      </c>
      <c r="M189" s="11" t="s">
        <v>100</v>
      </c>
      <c r="N189" s="32" t="n">
        <v>12298</v>
      </c>
      <c r="O189" s="33" t="n">
        <v>1516140</v>
      </c>
      <c r="P189" s="32" t="n">
        <v>24000</v>
      </c>
      <c r="Q189" s="34" t="n">
        <v>0.51</v>
      </c>
      <c r="R189" s="33" t="n">
        <v>123.28</v>
      </c>
      <c r="S189" s="33" t="n">
        <v>123.28</v>
      </c>
      <c r="T189" s="33" t="n">
        <v>123.28</v>
      </c>
      <c r="U189" s="11" t="n">
        <f aca="false">IFERROR(YEAR(A189),"")</f>
        <v>2025</v>
      </c>
      <c r="V189" s="33" t="n">
        <f aca="false">IFERROR(O189*B189,0)</f>
        <v>1516140</v>
      </c>
      <c r="W189" s="32" t="n">
        <f aca="false">IFERROR(N189*B189,0)</f>
        <v>12298</v>
      </c>
      <c r="X189" s="11" t="n">
        <f aca="false">IF(OR(ISNUMBER(SEARCH("live nation",L189)),ISNUMBER(SEARCH("ocesa",L189))),1,0)</f>
        <v>1</v>
      </c>
      <c r="Y189" s="11" t="s">
        <v>49</v>
      </c>
    </row>
    <row r="190" customFormat="false" ht="15" hidden="false" customHeight="false" outlineLevel="0" collapsed="false">
      <c r="A190" s="25" t="n">
        <v>45944</v>
      </c>
      <c r="B190" s="13" t="n">
        <v>1</v>
      </c>
      <c r="C190" s="26" t="s">
        <v>479</v>
      </c>
      <c r="D190" s="26"/>
      <c r="E190" s="13" t="s">
        <v>487</v>
      </c>
      <c r="F190" s="13" t="s">
        <v>207</v>
      </c>
      <c r="G190" s="13" t="s">
        <v>208</v>
      </c>
      <c r="H190" s="13" t="s">
        <v>20</v>
      </c>
      <c r="I190" s="13" t="s">
        <v>209</v>
      </c>
      <c r="J190" s="13" t="s">
        <v>121</v>
      </c>
      <c r="K190" s="13" t="s">
        <v>107</v>
      </c>
      <c r="L190" s="13" t="s">
        <v>177</v>
      </c>
      <c r="M190" s="13" t="s">
        <v>100</v>
      </c>
      <c r="N190" s="27" t="n">
        <v>1960</v>
      </c>
      <c r="O190" s="28" t="n">
        <v>160346</v>
      </c>
      <c r="P190" s="27" t="n">
        <v>1960</v>
      </c>
      <c r="Q190" s="29" t="n">
        <v>1</v>
      </c>
      <c r="R190" s="28" t="n">
        <v>49.5</v>
      </c>
      <c r="S190" s="28" t="n">
        <v>157.5</v>
      </c>
      <c r="T190" s="28" t="n">
        <v>81.81</v>
      </c>
      <c r="U190" s="13" t="n">
        <f aca="false">IFERROR(YEAR(A190),"")</f>
        <v>2025</v>
      </c>
      <c r="V190" s="28" t="n">
        <f aca="false">IFERROR(O190*B190,0)</f>
        <v>160346</v>
      </c>
      <c r="W190" s="27" t="n">
        <f aca="false">IFERROR(N190*B190,0)</f>
        <v>1960</v>
      </c>
      <c r="X190" s="13" t="n">
        <f aca="false">IF(OR(ISNUMBER(SEARCH("live nation",L190)),ISNUMBER(SEARCH("ocesa",L190))),1,0)</f>
        <v>1</v>
      </c>
      <c r="Y190" s="13" t="s">
        <v>49</v>
      </c>
    </row>
    <row r="191" customFormat="false" ht="15" hidden="false" customHeight="false" outlineLevel="0" collapsed="false">
      <c r="A191" s="30" t="n">
        <v>45944</v>
      </c>
      <c r="B191" s="11" t="n">
        <v>1</v>
      </c>
      <c r="C191" s="31" t="s">
        <v>484</v>
      </c>
      <c r="D191" s="31"/>
      <c r="E191" s="11" t="s">
        <v>462</v>
      </c>
      <c r="F191" s="11" t="s">
        <v>463</v>
      </c>
      <c r="G191" s="11"/>
      <c r="H191" s="11" t="s">
        <v>23</v>
      </c>
      <c r="I191" s="11"/>
      <c r="J191" s="11" t="s">
        <v>121</v>
      </c>
      <c r="K191" s="11" t="s">
        <v>134</v>
      </c>
      <c r="L191" s="11" t="s">
        <v>135</v>
      </c>
      <c r="M191" s="11" t="s">
        <v>251</v>
      </c>
      <c r="N191" s="32" t="n">
        <v>6632</v>
      </c>
      <c r="O191" s="33" t="n">
        <v>866299.76</v>
      </c>
      <c r="P191" s="32" t="n">
        <v>7390</v>
      </c>
      <c r="Q191" s="34" t="n">
        <v>0.89</v>
      </c>
      <c r="R191" s="33" t="n">
        <v>64.99</v>
      </c>
      <c r="S191" s="33" t="n">
        <v>433.26</v>
      </c>
      <c r="T191" s="33" t="n">
        <v>130.62</v>
      </c>
      <c r="U191" s="11" t="n">
        <f aca="false">IFERROR(YEAR(A191),"")</f>
        <v>2025</v>
      </c>
      <c r="V191" s="33" t="n">
        <f aca="false">IFERROR(O191*B191,0)</f>
        <v>866299.76</v>
      </c>
      <c r="W191" s="32" t="n">
        <f aca="false">IFERROR(N191*B191,0)</f>
        <v>6632</v>
      </c>
      <c r="X191" s="11" t="n">
        <f aca="false">IF(OR(ISNUMBER(SEARCH("live nation",L191)),ISNUMBER(SEARCH("ocesa",L191))),1,0)</f>
        <v>1</v>
      </c>
      <c r="Y191" s="11" t="s">
        <v>49</v>
      </c>
    </row>
    <row r="192" customFormat="false" ht="15" hidden="false" customHeight="false" outlineLevel="0" collapsed="false">
      <c r="A192" s="25" t="n">
        <v>45943</v>
      </c>
      <c r="B192" s="13" t="n">
        <v>1</v>
      </c>
      <c r="C192" s="26" t="s">
        <v>488</v>
      </c>
      <c r="D192" s="26" t="s">
        <v>489</v>
      </c>
      <c r="E192" s="13" t="s">
        <v>111</v>
      </c>
      <c r="F192" s="13" t="s">
        <v>112</v>
      </c>
      <c r="G192" s="13"/>
      <c r="H192" s="13" t="s">
        <v>21</v>
      </c>
      <c r="I192" s="13"/>
      <c r="J192" s="13" t="s">
        <v>97</v>
      </c>
      <c r="K192" s="13" t="s">
        <v>113</v>
      </c>
      <c r="L192" s="13" t="s">
        <v>490</v>
      </c>
      <c r="M192" s="13" t="s">
        <v>100</v>
      </c>
      <c r="N192" s="27" t="n">
        <v>18000</v>
      </c>
      <c r="O192" s="28" t="n">
        <v>1184749.91</v>
      </c>
      <c r="P192" s="27" t="n">
        <v>18000</v>
      </c>
      <c r="Q192" s="29" t="n">
        <v>1</v>
      </c>
      <c r="R192" s="28" t="n">
        <v>65.82</v>
      </c>
      <c r="S192" s="28" t="n">
        <v>65.82</v>
      </c>
      <c r="T192" s="28" t="n">
        <v>65.82</v>
      </c>
      <c r="U192" s="13" t="n">
        <f aca="false">IFERROR(YEAR(A192),"")</f>
        <v>2025</v>
      </c>
      <c r="V192" s="28" t="n">
        <f aca="false">IFERROR(O192*B192,0)</f>
        <v>1184749.91</v>
      </c>
      <c r="W192" s="27" t="n">
        <f aca="false">IFERROR(N192*B192,0)</f>
        <v>18000</v>
      </c>
      <c r="X192" s="13" t="n">
        <f aca="false">IF(OR(ISNUMBER(SEARCH("live nation",L192)),ISNUMBER(SEARCH("ocesa",L192))),1,0)</f>
        <v>0</v>
      </c>
      <c r="Y192" s="13" t="s">
        <v>50</v>
      </c>
    </row>
    <row r="193" customFormat="false" ht="15" hidden="false" customHeight="false" outlineLevel="0" collapsed="false">
      <c r="A193" s="30" t="n">
        <v>45942</v>
      </c>
      <c r="B193" s="11" t="n">
        <v>1</v>
      </c>
      <c r="C193" s="31" t="s">
        <v>484</v>
      </c>
      <c r="D193" s="31"/>
      <c r="E193" s="11" t="s">
        <v>491</v>
      </c>
      <c r="F193" s="11" t="s">
        <v>132</v>
      </c>
      <c r="G193" s="11"/>
      <c r="H193" s="11" t="s">
        <v>23</v>
      </c>
      <c r="I193" s="11"/>
      <c r="J193" s="11" t="s">
        <v>97</v>
      </c>
      <c r="K193" s="11" t="s">
        <v>134</v>
      </c>
      <c r="L193" s="11" t="s">
        <v>135</v>
      </c>
      <c r="M193" s="11" t="s">
        <v>251</v>
      </c>
      <c r="N193" s="32" t="n">
        <v>15835</v>
      </c>
      <c r="O193" s="33" t="n">
        <v>1940646.49</v>
      </c>
      <c r="P193" s="32" t="n">
        <v>17500</v>
      </c>
      <c r="Q193" s="34" t="n">
        <v>0.9</v>
      </c>
      <c r="R193" s="33" t="n">
        <v>59.16</v>
      </c>
      <c r="S193" s="33" t="n">
        <v>424.85</v>
      </c>
      <c r="T193" s="33" t="n">
        <v>122.55</v>
      </c>
      <c r="U193" s="11" t="n">
        <f aca="false">IFERROR(YEAR(A193),"")</f>
        <v>2025</v>
      </c>
      <c r="V193" s="33" t="n">
        <f aca="false">IFERROR(O193*B193,0)</f>
        <v>1940646.49</v>
      </c>
      <c r="W193" s="32" t="n">
        <f aca="false">IFERROR(N193*B193,0)</f>
        <v>15835</v>
      </c>
      <c r="X193" s="11" t="n">
        <f aca="false">IF(OR(ISNUMBER(SEARCH("live nation",L193)),ISNUMBER(SEARCH("ocesa",L193))),1,0)</f>
        <v>1</v>
      </c>
      <c r="Y193" s="11" t="s">
        <v>49</v>
      </c>
    </row>
    <row r="194" customFormat="false" ht="15" hidden="false" customHeight="false" outlineLevel="0" collapsed="false">
      <c r="A194" s="25" t="n">
        <v>45942</v>
      </c>
      <c r="B194" s="13" t="n">
        <v>1</v>
      </c>
      <c r="C194" s="26" t="s">
        <v>488</v>
      </c>
      <c r="D194" s="26" t="s">
        <v>492</v>
      </c>
      <c r="E194" s="13" t="s">
        <v>111</v>
      </c>
      <c r="F194" s="13" t="s">
        <v>112</v>
      </c>
      <c r="G194" s="13"/>
      <c r="H194" s="13" t="s">
        <v>21</v>
      </c>
      <c r="I194" s="13"/>
      <c r="J194" s="13" t="s">
        <v>97</v>
      </c>
      <c r="K194" s="13" t="s">
        <v>113</v>
      </c>
      <c r="L194" s="13" t="s">
        <v>490</v>
      </c>
      <c r="M194" s="13" t="s">
        <v>100</v>
      </c>
      <c r="N194" s="27" t="n">
        <v>18000</v>
      </c>
      <c r="O194" s="28" t="n">
        <v>1190515.48</v>
      </c>
      <c r="P194" s="27" t="n">
        <v>18000</v>
      </c>
      <c r="Q194" s="29" t="n">
        <v>1</v>
      </c>
      <c r="R194" s="28" t="n">
        <v>66.14</v>
      </c>
      <c r="S194" s="28" t="n">
        <v>66.14</v>
      </c>
      <c r="T194" s="28" t="n">
        <v>66.14</v>
      </c>
      <c r="U194" s="13" t="n">
        <f aca="false">IFERROR(YEAR(A194),"")</f>
        <v>2025</v>
      </c>
      <c r="V194" s="28" t="n">
        <f aca="false">IFERROR(O194*B194,0)</f>
        <v>1190515.48</v>
      </c>
      <c r="W194" s="27" t="n">
        <f aca="false">IFERROR(N194*B194,0)</f>
        <v>18000</v>
      </c>
      <c r="X194" s="13" t="n">
        <f aca="false">IF(OR(ISNUMBER(SEARCH("live nation",L194)),ISNUMBER(SEARCH("ocesa",L194))),1,0)</f>
        <v>0</v>
      </c>
      <c r="Y194" s="13" t="s">
        <v>50</v>
      </c>
    </row>
    <row r="195" customFormat="false" ht="15" hidden="false" customHeight="false" outlineLevel="0" collapsed="false">
      <c r="A195" s="30" t="n">
        <v>45941</v>
      </c>
      <c r="B195" s="11" t="n">
        <v>1</v>
      </c>
      <c r="C195" s="31" t="s">
        <v>62</v>
      </c>
      <c r="D195" s="31"/>
      <c r="E195" s="11" t="s">
        <v>493</v>
      </c>
      <c r="F195" s="11" t="s">
        <v>494</v>
      </c>
      <c r="G195" s="11" t="s">
        <v>188</v>
      </c>
      <c r="H195" s="11" t="s">
        <v>20</v>
      </c>
      <c r="I195" s="11" t="s">
        <v>307</v>
      </c>
      <c r="J195" s="11" t="s">
        <v>97</v>
      </c>
      <c r="K195" s="11" t="s">
        <v>107</v>
      </c>
      <c r="L195" s="11" t="s">
        <v>468</v>
      </c>
      <c r="M195" s="11" t="s">
        <v>100</v>
      </c>
      <c r="N195" s="32" t="n">
        <v>13362</v>
      </c>
      <c r="O195" s="33" t="n">
        <v>2325561.5</v>
      </c>
      <c r="P195" s="32" t="n">
        <v>16126</v>
      </c>
      <c r="Q195" s="34" t="n">
        <v>0.82</v>
      </c>
      <c r="R195" s="33" t="n">
        <v>54.5</v>
      </c>
      <c r="S195" s="33" t="n">
        <v>469.5</v>
      </c>
      <c r="T195" s="33" t="n">
        <v>174.04</v>
      </c>
      <c r="U195" s="11" t="n">
        <f aca="false">IFERROR(YEAR(A195),"")</f>
        <v>2025</v>
      </c>
      <c r="V195" s="33" t="n">
        <f aca="false">IFERROR(O195*B195,0)</f>
        <v>2325561.5</v>
      </c>
      <c r="W195" s="32" t="n">
        <f aca="false">IFERROR(N195*B195,0)</f>
        <v>13362</v>
      </c>
      <c r="X195" s="11" t="n">
        <f aca="false">IF(OR(ISNUMBER(SEARCH("live nation",L195)),ISNUMBER(SEARCH("ocesa",L195))),1,0)</f>
        <v>1</v>
      </c>
      <c r="Y195" s="11" t="s">
        <v>49</v>
      </c>
    </row>
    <row r="196" customFormat="false" ht="15" hidden="false" customHeight="false" outlineLevel="0" collapsed="false">
      <c r="A196" s="25" t="n">
        <v>45941</v>
      </c>
      <c r="B196" s="13" t="n">
        <v>1</v>
      </c>
      <c r="C196" s="26" t="s">
        <v>495</v>
      </c>
      <c r="D196" s="26"/>
      <c r="E196" s="13" t="s">
        <v>496</v>
      </c>
      <c r="F196" s="13" t="s">
        <v>497</v>
      </c>
      <c r="G196" s="13" t="s">
        <v>498</v>
      </c>
      <c r="H196" s="13" t="s">
        <v>20</v>
      </c>
      <c r="I196" s="13" t="s">
        <v>499</v>
      </c>
      <c r="J196" s="13" t="s">
        <v>106</v>
      </c>
      <c r="K196" s="13" t="s">
        <v>107</v>
      </c>
      <c r="L196" s="13" t="s">
        <v>500</v>
      </c>
      <c r="M196" s="13" t="s">
        <v>100</v>
      </c>
      <c r="N196" s="27" t="n">
        <v>140</v>
      </c>
      <c r="O196" s="28" t="n">
        <v>2425</v>
      </c>
      <c r="P196" s="27" t="n">
        <v>856</v>
      </c>
      <c r="Q196" s="29" t="n">
        <v>0.16</v>
      </c>
      <c r="R196" s="28" t="n">
        <v>15</v>
      </c>
      <c r="S196" s="28" t="n">
        <v>25</v>
      </c>
      <c r="T196" s="28" t="n">
        <v>17.32</v>
      </c>
      <c r="U196" s="13" t="n">
        <f aca="false">IFERROR(YEAR(A196),"")</f>
        <v>2025</v>
      </c>
      <c r="V196" s="28" t="n">
        <f aca="false">IFERROR(O196*B196,0)</f>
        <v>2425</v>
      </c>
      <c r="W196" s="27" t="n">
        <f aca="false">IFERROR(N196*B196,0)</f>
        <v>140</v>
      </c>
      <c r="X196" s="13" t="n">
        <f aca="false">IF(OR(ISNUMBER(SEARCH("live nation",L196)),ISNUMBER(SEARCH("ocesa",L196))),1,0)</f>
        <v>0</v>
      </c>
      <c r="Y196" s="13" t="s">
        <v>49</v>
      </c>
    </row>
    <row r="197" customFormat="false" ht="15" hidden="false" customHeight="false" outlineLevel="0" collapsed="false">
      <c r="A197" s="30" t="n">
        <v>45937</v>
      </c>
      <c r="B197" s="11" t="n">
        <v>1</v>
      </c>
      <c r="C197" s="31" t="s">
        <v>479</v>
      </c>
      <c r="D197" s="31"/>
      <c r="E197" s="11" t="s">
        <v>200</v>
      </c>
      <c r="F197" s="11" t="s">
        <v>201</v>
      </c>
      <c r="G197" s="11" t="s">
        <v>202</v>
      </c>
      <c r="H197" s="11" t="s">
        <v>20</v>
      </c>
      <c r="I197" s="11" t="s">
        <v>203</v>
      </c>
      <c r="J197" s="11" t="s">
        <v>121</v>
      </c>
      <c r="K197" s="11" t="s">
        <v>107</v>
      </c>
      <c r="L197" s="11" t="s">
        <v>177</v>
      </c>
      <c r="M197" s="11" t="s">
        <v>100</v>
      </c>
      <c r="N197" s="32" t="n">
        <v>2784</v>
      </c>
      <c r="O197" s="33" t="n">
        <v>28972</v>
      </c>
      <c r="P197" s="32" t="n">
        <v>2784</v>
      </c>
      <c r="Q197" s="34" t="n">
        <v>1</v>
      </c>
      <c r="R197" s="33" t="n">
        <v>59.5</v>
      </c>
      <c r="S197" s="33" t="n">
        <v>159.5</v>
      </c>
      <c r="T197" s="33" t="n">
        <v>10.41</v>
      </c>
      <c r="U197" s="11" t="n">
        <f aca="false">IFERROR(YEAR(A197),"")</f>
        <v>2025</v>
      </c>
      <c r="V197" s="33" t="n">
        <f aca="false">IFERROR(O197*B197,0)</f>
        <v>28972</v>
      </c>
      <c r="W197" s="32" t="n">
        <f aca="false">IFERROR(N197*B197,0)</f>
        <v>2784</v>
      </c>
      <c r="X197" s="11" t="n">
        <f aca="false">IF(OR(ISNUMBER(SEARCH("live nation",L197)),ISNUMBER(SEARCH("ocesa",L197))),1,0)</f>
        <v>1</v>
      </c>
      <c r="Y197" s="11" t="s">
        <v>49</v>
      </c>
    </row>
    <row r="198" customFormat="false" ht="15" hidden="false" customHeight="false" outlineLevel="0" collapsed="false">
      <c r="A198" s="25" t="n">
        <v>45934</v>
      </c>
      <c r="B198" s="13" t="n">
        <v>1</v>
      </c>
      <c r="C198" s="26" t="s">
        <v>380</v>
      </c>
      <c r="D198" s="26"/>
      <c r="E198" s="13" t="s">
        <v>501</v>
      </c>
      <c r="F198" s="13" t="s">
        <v>502</v>
      </c>
      <c r="G198" s="13" t="s">
        <v>143</v>
      </c>
      <c r="H198" s="13" t="s">
        <v>20</v>
      </c>
      <c r="I198" s="13" t="s">
        <v>375</v>
      </c>
      <c r="J198" s="13" t="s">
        <v>97</v>
      </c>
      <c r="K198" s="13" t="s">
        <v>107</v>
      </c>
      <c r="L198" s="13" t="s">
        <v>480</v>
      </c>
      <c r="M198" s="13" t="s">
        <v>100</v>
      </c>
      <c r="N198" s="27" t="n">
        <v>5832</v>
      </c>
      <c r="O198" s="28" t="n">
        <v>957551</v>
      </c>
      <c r="P198" s="27" t="n">
        <v>8173</v>
      </c>
      <c r="Q198" s="29" t="n">
        <v>0.71</v>
      </c>
      <c r="R198" s="28" t="n">
        <v>118</v>
      </c>
      <c r="S198" s="28" t="n">
        <v>294</v>
      </c>
      <c r="T198" s="28" t="n">
        <v>164.19</v>
      </c>
      <c r="U198" s="13" t="n">
        <f aca="false">IFERROR(YEAR(A198),"")</f>
        <v>2025</v>
      </c>
      <c r="V198" s="28" t="n">
        <f aca="false">IFERROR(O198*B198,0)</f>
        <v>957551</v>
      </c>
      <c r="W198" s="27" t="n">
        <f aca="false">IFERROR(N198*B198,0)</f>
        <v>5832</v>
      </c>
      <c r="X198" s="13" t="n">
        <f aca="false">IF(OR(ISNUMBER(SEARCH("live nation",L198)),ISNUMBER(SEARCH("ocesa",L198))),1,0)</f>
        <v>0</v>
      </c>
      <c r="Y198" s="13" t="s">
        <v>49</v>
      </c>
    </row>
    <row r="199" customFormat="false" ht="15" hidden="false" customHeight="false" outlineLevel="0" collapsed="false">
      <c r="A199" s="30" t="n">
        <v>45933</v>
      </c>
      <c r="B199" s="11" t="n">
        <v>3</v>
      </c>
      <c r="C199" s="31" t="s">
        <v>64</v>
      </c>
      <c r="D199" s="31"/>
      <c r="E199" s="11" t="s">
        <v>391</v>
      </c>
      <c r="F199" s="11" t="s">
        <v>324</v>
      </c>
      <c r="G199" s="11"/>
      <c r="H199" s="11" t="s">
        <v>324</v>
      </c>
      <c r="I199" s="11"/>
      <c r="J199" s="11" t="s">
        <v>97</v>
      </c>
      <c r="K199" s="11" t="s">
        <v>324</v>
      </c>
      <c r="L199" s="11" t="s">
        <v>145</v>
      </c>
      <c r="M199" s="11" t="s">
        <v>100</v>
      </c>
      <c r="N199" s="32" t="n">
        <v>7905</v>
      </c>
      <c r="O199" s="33" t="n">
        <v>1918070.81</v>
      </c>
      <c r="P199" s="32" t="n">
        <v>7918</v>
      </c>
      <c r="Q199" s="34" t="n">
        <v>0.99</v>
      </c>
      <c r="R199" s="33" t="n">
        <v>130.27</v>
      </c>
      <c r="S199" s="33" t="n">
        <v>285.35</v>
      </c>
      <c r="T199" s="33" t="n">
        <v>242.62</v>
      </c>
      <c r="U199" s="11" t="n">
        <f aca="false">IFERROR(YEAR(A199),"")</f>
        <v>2025</v>
      </c>
      <c r="V199" s="33" t="n">
        <f aca="false">IFERROR(O199*B199,0)</f>
        <v>5754212.43</v>
      </c>
      <c r="W199" s="32" t="n">
        <f aca="false">IFERROR(N199*B199,0)</f>
        <v>23715</v>
      </c>
      <c r="X199" s="11" t="n">
        <f aca="false">IF(OR(ISNUMBER(SEARCH("live nation",L199)),ISNUMBER(SEARCH("ocesa",L199))),1,0)</f>
        <v>0</v>
      </c>
      <c r="Y199" s="11" t="s">
        <v>50</v>
      </c>
    </row>
    <row r="200" customFormat="false" ht="15" hidden="false" customHeight="false" outlineLevel="0" collapsed="false">
      <c r="A200" s="25" t="n">
        <v>45932</v>
      </c>
      <c r="B200" s="13" t="n">
        <v>1</v>
      </c>
      <c r="C200" s="26" t="s">
        <v>479</v>
      </c>
      <c r="D200" s="26"/>
      <c r="E200" s="13" t="s">
        <v>503</v>
      </c>
      <c r="F200" s="13" t="s">
        <v>306</v>
      </c>
      <c r="G200" s="13" t="s">
        <v>188</v>
      </c>
      <c r="H200" s="13" t="s">
        <v>20</v>
      </c>
      <c r="I200" s="13" t="s">
        <v>307</v>
      </c>
      <c r="J200" s="13" t="s">
        <v>121</v>
      </c>
      <c r="K200" s="13" t="s">
        <v>107</v>
      </c>
      <c r="L200" s="13" t="s">
        <v>177</v>
      </c>
      <c r="M200" s="13" t="s">
        <v>100</v>
      </c>
      <c r="N200" s="27" t="n">
        <v>1546</v>
      </c>
      <c r="O200" s="28" t="n">
        <v>154197</v>
      </c>
      <c r="P200" s="27" t="n">
        <v>1546</v>
      </c>
      <c r="Q200" s="29" t="n">
        <v>1</v>
      </c>
      <c r="R200" s="28" t="n">
        <v>39.5</v>
      </c>
      <c r="S200" s="28" t="n">
        <v>159.5</v>
      </c>
      <c r="T200" s="28" t="n">
        <v>99.74</v>
      </c>
      <c r="U200" s="13" t="n">
        <f aca="false">IFERROR(YEAR(A200),"")</f>
        <v>2025</v>
      </c>
      <c r="V200" s="28" t="n">
        <f aca="false">IFERROR(O200*B200,0)</f>
        <v>154197</v>
      </c>
      <c r="W200" s="27" t="n">
        <f aca="false">IFERROR(N200*B200,0)</f>
        <v>1546</v>
      </c>
      <c r="X200" s="13" t="n">
        <f aca="false">IF(OR(ISNUMBER(SEARCH("live nation",L200)),ISNUMBER(SEARCH("ocesa",L200))),1,0)</f>
        <v>1</v>
      </c>
      <c r="Y200" s="13" t="s">
        <v>49</v>
      </c>
    </row>
    <row r="201" customFormat="false" ht="15" hidden="false" customHeight="false" outlineLevel="0" collapsed="false">
      <c r="A201" s="30" t="n">
        <v>45931</v>
      </c>
      <c r="B201" s="11" t="n">
        <v>1</v>
      </c>
      <c r="C201" s="31" t="s">
        <v>504</v>
      </c>
      <c r="D201" s="31"/>
      <c r="E201" s="11" t="s">
        <v>111</v>
      </c>
      <c r="F201" s="11" t="s">
        <v>112</v>
      </c>
      <c r="G201" s="11"/>
      <c r="H201" s="11" t="s">
        <v>21</v>
      </c>
      <c r="I201" s="11"/>
      <c r="J201" s="11" t="s">
        <v>97</v>
      </c>
      <c r="K201" s="11" t="s">
        <v>113</v>
      </c>
      <c r="L201" s="11" t="s">
        <v>505</v>
      </c>
      <c r="M201" s="11" t="s">
        <v>100</v>
      </c>
      <c r="N201" s="32" t="n">
        <v>18000</v>
      </c>
      <c r="O201" s="33" t="n">
        <v>851765.78</v>
      </c>
      <c r="P201" s="32" t="n">
        <v>18000</v>
      </c>
      <c r="Q201" s="34" t="n">
        <v>1</v>
      </c>
      <c r="R201" s="33" t="n">
        <v>47.32</v>
      </c>
      <c r="S201" s="33" t="n">
        <v>47.32</v>
      </c>
      <c r="T201" s="33" t="n">
        <v>47.32</v>
      </c>
      <c r="U201" s="11" t="n">
        <f aca="false">IFERROR(YEAR(A201),"")</f>
        <v>2025</v>
      </c>
      <c r="V201" s="33" t="n">
        <f aca="false">IFERROR(O201*B201,0)</f>
        <v>851765.78</v>
      </c>
      <c r="W201" s="32" t="n">
        <f aca="false">IFERROR(N201*B201,0)</f>
        <v>18000</v>
      </c>
      <c r="X201" s="11" t="n">
        <f aca="false">IF(OR(ISNUMBER(SEARCH("live nation",L201)),ISNUMBER(SEARCH("ocesa",L201))),1,0)</f>
        <v>0</v>
      </c>
      <c r="Y201" s="11" t="s">
        <v>50</v>
      </c>
    </row>
    <row r="202" customFormat="false" ht="15" hidden="false" customHeight="false" outlineLevel="0" collapsed="false">
      <c r="A202" s="25" t="n">
        <v>45931</v>
      </c>
      <c r="B202" s="13" t="n">
        <v>2</v>
      </c>
      <c r="C202" s="26" t="s">
        <v>63</v>
      </c>
      <c r="D202" s="26"/>
      <c r="E202" s="13" t="s">
        <v>506</v>
      </c>
      <c r="F202" s="13" t="s">
        <v>507</v>
      </c>
      <c r="G202" s="13" t="s">
        <v>221</v>
      </c>
      <c r="H202" s="13" t="s">
        <v>20</v>
      </c>
      <c r="I202" s="13" t="s">
        <v>139</v>
      </c>
      <c r="J202" s="13" t="s">
        <v>97</v>
      </c>
      <c r="K202" s="13" t="s">
        <v>107</v>
      </c>
      <c r="L202" s="13" t="s">
        <v>508</v>
      </c>
      <c r="M202" s="13" t="s">
        <v>100</v>
      </c>
      <c r="N202" s="27" t="n">
        <v>7844</v>
      </c>
      <c r="O202" s="28" t="n">
        <v>1511179.38</v>
      </c>
      <c r="P202" s="27" t="n">
        <v>11080</v>
      </c>
      <c r="Q202" s="29" t="n">
        <v>0.7</v>
      </c>
      <c r="R202" s="28" t="n">
        <v>65.5</v>
      </c>
      <c r="S202" s="28" t="n">
        <v>665.5</v>
      </c>
      <c r="T202" s="28" t="n">
        <v>192.64</v>
      </c>
      <c r="U202" s="13" t="n">
        <f aca="false">IFERROR(YEAR(A202),"")</f>
        <v>2025</v>
      </c>
      <c r="V202" s="28" t="n">
        <f aca="false">IFERROR(O202*B202,0)</f>
        <v>3022358.76</v>
      </c>
      <c r="W202" s="27" t="n">
        <f aca="false">IFERROR(N202*B202,0)</f>
        <v>15688</v>
      </c>
      <c r="X202" s="13" t="n">
        <f aca="false">IF(OR(ISNUMBER(SEARCH("live nation",L202)),ISNUMBER(SEARCH("ocesa",L202))),1,0)</f>
        <v>0</v>
      </c>
      <c r="Y202" s="13" t="s">
        <v>49</v>
      </c>
    </row>
    <row r="203" customFormat="false" ht="15" hidden="false" customHeight="false" outlineLevel="0" collapsed="false">
      <c r="A203" s="30" t="n">
        <v>45930</v>
      </c>
      <c r="B203" s="11" t="n">
        <v>1</v>
      </c>
      <c r="C203" s="31" t="s">
        <v>504</v>
      </c>
      <c r="D203" s="31"/>
      <c r="E203" s="11" t="s">
        <v>111</v>
      </c>
      <c r="F203" s="11" t="s">
        <v>112</v>
      </c>
      <c r="G203" s="11"/>
      <c r="H203" s="11" t="s">
        <v>21</v>
      </c>
      <c r="I203" s="11"/>
      <c r="J203" s="11" t="s">
        <v>97</v>
      </c>
      <c r="K203" s="11" t="s">
        <v>113</v>
      </c>
      <c r="L203" s="11" t="s">
        <v>505</v>
      </c>
      <c r="M203" s="11" t="s">
        <v>100</v>
      </c>
      <c r="N203" s="32" t="n">
        <v>18000</v>
      </c>
      <c r="O203" s="33" t="n">
        <v>848388.72</v>
      </c>
      <c r="P203" s="32" t="n">
        <v>18000</v>
      </c>
      <c r="Q203" s="34" t="n">
        <v>1</v>
      </c>
      <c r="R203" s="33" t="n">
        <v>47.13</v>
      </c>
      <c r="S203" s="33" t="n">
        <v>47.13</v>
      </c>
      <c r="T203" s="33" t="n">
        <v>47.13</v>
      </c>
      <c r="U203" s="11" t="n">
        <f aca="false">IFERROR(YEAR(A203),"")</f>
        <v>2025</v>
      </c>
      <c r="V203" s="33" t="n">
        <f aca="false">IFERROR(O203*B203,0)</f>
        <v>848388.72</v>
      </c>
      <c r="W203" s="32" t="n">
        <f aca="false">IFERROR(N203*B203,0)</f>
        <v>18000</v>
      </c>
      <c r="X203" s="11" t="n">
        <f aca="false">IF(OR(ISNUMBER(SEARCH("live nation",L203)),ISNUMBER(SEARCH("ocesa",L203))),1,0)</f>
        <v>0</v>
      </c>
      <c r="Y203" s="11" t="s">
        <v>50</v>
      </c>
    </row>
    <row r="204" customFormat="false" ht="15" hidden="false" customHeight="false" outlineLevel="0" collapsed="false">
      <c r="A204" s="25" t="n">
        <v>45929</v>
      </c>
      <c r="B204" s="13" t="n">
        <v>1</v>
      </c>
      <c r="C204" s="26" t="s">
        <v>380</v>
      </c>
      <c r="D204" s="26"/>
      <c r="E204" s="13" t="s">
        <v>509</v>
      </c>
      <c r="F204" s="13" t="s">
        <v>510</v>
      </c>
      <c r="G204" s="13" t="s">
        <v>340</v>
      </c>
      <c r="H204" s="13" t="s">
        <v>20</v>
      </c>
      <c r="I204" s="13" t="s">
        <v>190</v>
      </c>
      <c r="J204" s="13" t="s">
        <v>97</v>
      </c>
      <c r="K204" s="13" t="s">
        <v>107</v>
      </c>
      <c r="L204" s="13" t="s">
        <v>122</v>
      </c>
      <c r="M204" s="13" t="s">
        <v>100</v>
      </c>
      <c r="N204" s="27" t="n">
        <v>3740</v>
      </c>
      <c r="O204" s="28" t="n">
        <v>520450.65</v>
      </c>
      <c r="P204" s="27" t="n">
        <v>5842</v>
      </c>
      <c r="Q204" s="29" t="n">
        <v>0.64</v>
      </c>
      <c r="R204" s="28" t="n">
        <v>65</v>
      </c>
      <c r="S204" s="28" t="n">
        <v>260</v>
      </c>
      <c r="T204" s="28" t="n">
        <v>139.16</v>
      </c>
      <c r="U204" s="13" t="n">
        <f aca="false">IFERROR(YEAR(A204),"")</f>
        <v>2025</v>
      </c>
      <c r="V204" s="28" t="n">
        <f aca="false">IFERROR(O204*B204,0)</f>
        <v>520450.65</v>
      </c>
      <c r="W204" s="27" t="n">
        <f aca="false">IFERROR(N204*B204,0)</f>
        <v>3740</v>
      </c>
      <c r="X204" s="13" t="n">
        <f aca="false">IF(OR(ISNUMBER(SEARCH("live nation",L204)),ISNUMBER(SEARCH("ocesa",L204))),1,0)</f>
        <v>0</v>
      </c>
      <c r="Y204" s="13" t="s">
        <v>49</v>
      </c>
    </row>
    <row r="205" customFormat="false" ht="15" hidden="false" customHeight="false" outlineLevel="0" collapsed="false">
      <c r="A205" s="30" t="n">
        <v>45928</v>
      </c>
      <c r="B205" s="11" t="n">
        <v>1</v>
      </c>
      <c r="C205" s="31" t="s">
        <v>63</v>
      </c>
      <c r="D205" s="31"/>
      <c r="E205" s="11" t="s">
        <v>365</v>
      </c>
      <c r="F205" s="11" t="s">
        <v>188</v>
      </c>
      <c r="G205" s="11" t="s">
        <v>189</v>
      </c>
      <c r="H205" s="11" t="s">
        <v>20</v>
      </c>
      <c r="I205" s="11" t="s">
        <v>190</v>
      </c>
      <c r="J205" s="11" t="s">
        <v>97</v>
      </c>
      <c r="K205" s="11" t="s">
        <v>107</v>
      </c>
      <c r="L205" s="11" t="s">
        <v>508</v>
      </c>
      <c r="M205" s="11" t="s">
        <v>100</v>
      </c>
      <c r="N205" s="32" t="n">
        <v>9946</v>
      </c>
      <c r="O205" s="33" t="n">
        <v>2048715.95</v>
      </c>
      <c r="P205" s="32" t="n">
        <v>12547</v>
      </c>
      <c r="Q205" s="34" t="n">
        <v>0.79</v>
      </c>
      <c r="R205" s="33" t="n">
        <v>69.5</v>
      </c>
      <c r="S205" s="33" t="n">
        <v>259.5</v>
      </c>
      <c r="T205" s="33" t="n">
        <v>205.98</v>
      </c>
      <c r="U205" s="11" t="n">
        <f aca="false">IFERROR(YEAR(A205),"")</f>
        <v>2025</v>
      </c>
      <c r="V205" s="33" t="n">
        <f aca="false">IFERROR(O205*B205,0)</f>
        <v>2048715.95</v>
      </c>
      <c r="W205" s="32" t="n">
        <f aca="false">IFERROR(N205*B205,0)</f>
        <v>9946</v>
      </c>
      <c r="X205" s="11" t="n">
        <f aca="false">IF(OR(ISNUMBER(SEARCH("live nation",L205)),ISNUMBER(SEARCH("ocesa",L205))),1,0)</f>
        <v>0</v>
      </c>
      <c r="Y205" s="11" t="s">
        <v>49</v>
      </c>
    </row>
    <row r="206" customFormat="false" ht="15" hidden="false" customHeight="false" outlineLevel="0" collapsed="false">
      <c r="A206" s="25" t="n">
        <v>45928</v>
      </c>
      <c r="B206" s="13" t="n">
        <v>1</v>
      </c>
      <c r="C206" s="26" t="s">
        <v>511</v>
      </c>
      <c r="D206" s="26"/>
      <c r="E206" s="13" t="s">
        <v>111</v>
      </c>
      <c r="F206" s="13" t="s">
        <v>112</v>
      </c>
      <c r="G206" s="13"/>
      <c r="H206" s="13" t="s">
        <v>21</v>
      </c>
      <c r="I206" s="13"/>
      <c r="J206" s="13" t="s">
        <v>97</v>
      </c>
      <c r="K206" s="13" t="s">
        <v>113</v>
      </c>
      <c r="L206" s="13" t="s">
        <v>321</v>
      </c>
      <c r="M206" s="13" t="s">
        <v>100</v>
      </c>
      <c r="N206" s="27" t="n">
        <v>12000</v>
      </c>
      <c r="O206" s="28" t="n">
        <v>681995.95</v>
      </c>
      <c r="P206" s="27" t="n">
        <v>12000</v>
      </c>
      <c r="Q206" s="29" t="n">
        <v>1</v>
      </c>
      <c r="R206" s="28" t="n">
        <v>56.83</v>
      </c>
      <c r="S206" s="28" t="n">
        <v>56.83</v>
      </c>
      <c r="T206" s="28" t="n">
        <v>56.83</v>
      </c>
      <c r="U206" s="13" t="n">
        <f aca="false">IFERROR(YEAR(A206),"")</f>
        <v>2025</v>
      </c>
      <c r="V206" s="28" t="n">
        <f aca="false">IFERROR(O206*B206,0)</f>
        <v>681995.95</v>
      </c>
      <c r="W206" s="27" t="n">
        <f aca="false">IFERROR(N206*B206,0)</f>
        <v>12000</v>
      </c>
      <c r="X206" s="13" t="n">
        <f aca="false">IF(OR(ISNUMBER(SEARCH("live nation",L206)),ISNUMBER(SEARCH("ocesa",L206))),1,0)</f>
        <v>0</v>
      </c>
      <c r="Y206" s="13" t="s">
        <v>50</v>
      </c>
    </row>
    <row r="207" customFormat="false" ht="15" hidden="false" customHeight="false" outlineLevel="0" collapsed="false">
      <c r="A207" s="30" t="n">
        <v>45928</v>
      </c>
      <c r="B207" s="11" t="n">
        <v>1</v>
      </c>
      <c r="C207" s="31" t="s">
        <v>62</v>
      </c>
      <c r="D207" s="31"/>
      <c r="E207" s="11" t="s">
        <v>343</v>
      </c>
      <c r="F207" s="11" t="s">
        <v>344</v>
      </c>
      <c r="G207" s="11"/>
      <c r="H207" s="11" t="s">
        <v>25</v>
      </c>
      <c r="I207" s="11"/>
      <c r="J207" s="11" t="s">
        <v>133</v>
      </c>
      <c r="K207" s="11" t="s">
        <v>25</v>
      </c>
      <c r="L207" s="11" t="s">
        <v>512</v>
      </c>
      <c r="M207" s="11" t="s">
        <v>100</v>
      </c>
      <c r="N207" s="32" t="n">
        <v>38088</v>
      </c>
      <c r="O207" s="33" t="n">
        <v>8205827.18</v>
      </c>
      <c r="P207" s="32" t="n">
        <v>39953</v>
      </c>
      <c r="Q207" s="34" t="n">
        <v>0.95</v>
      </c>
      <c r="R207" s="33" t="n">
        <v>115.57</v>
      </c>
      <c r="S207" s="33" t="n">
        <v>372.68</v>
      </c>
      <c r="T207" s="33" t="n">
        <v>215.44</v>
      </c>
      <c r="U207" s="11" t="n">
        <f aca="false">IFERROR(YEAR(A207),"")</f>
        <v>2025</v>
      </c>
      <c r="V207" s="33" t="n">
        <f aca="false">IFERROR(O207*B207,0)</f>
        <v>8205827.18</v>
      </c>
      <c r="W207" s="32" t="n">
        <f aca="false">IFERROR(N207*B207,0)</f>
        <v>38088</v>
      </c>
      <c r="X207" s="11" t="n">
        <f aca="false">IF(OR(ISNUMBER(SEARCH("live nation",L207)),ISNUMBER(SEARCH("ocesa",L207))),1,0)</f>
        <v>0</v>
      </c>
      <c r="Y207" s="11" t="s">
        <v>50</v>
      </c>
    </row>
    <row r="208" customFormat="false" ht="15" hidden="false" customHeight="false" outlineLevel="0" collapsed="false">
      <c r="A208" s="25" t="n">
        <v>45927</v>
      </c>
      <c r="B208" s="13" t="n">
        <v>1</v>
      </c>
      <c r="C208" s="26" t="s">
        <v>380</v>
      </c>
      <c r="D208" s="26"/>
      <c r="E208" s="13" t="s">
        <v>506</v>
      </c>
      <c r="F208" s="13" t="s">
        <v>507</v>
      </c>
      <c r="G208" s="13" t="s">
        <v>221</v>
      </c>
      <c r="H208" s="13" t="s">
        <v>20</v>
      </c>
      <c r="I208" s="13" t="s">
        <v>139</v>
      </c>
      <c r="J208" s="13" t="s">
        <v>97</v>
      </c>
      <c r="K208" s="13" t="s">
        <v>107</v>
      </c>
      <c r="L208" s="13" t="s">
        <v>480</v>
      </c>
      <c r="M208" s="13" t="s">
        <v>100</v>
      </c>
      <c r="N208" s="27" t="n">
        <v>4574</v>
      </c>
      <c r="O208" s="28" t="n">
        <v>755663</v>
      </c>
      <c r="P208" s="27" t="n">
        <v>5922</v>
      </c>
      <c r="Q208" s="29" t="n">
        <v>0.77</v>
      </c>
      <c r="R208" s="28" t="n">
        <v>76</v>
      </c>
      <c r="S208" s="28" t="n">
        <v>286</v>
      </c>
      <c r="T208" s="28" t="n">
        <v>165.21</v>
      </c>
      <c r="U208" s="13" t="n">
        <f aca="false">IFERROR(YEAR(A208),"")</f>
        <v>2025</v>
      </c>
      <c r="V208" s="28" t="n">
        <f aca="false">IFERROR(O208*B208,0)</f>
        <v>755663</v>
      </c>
      <c r="W208" s="27" t="n">
        <f aca="false">IFERROR(N208*B208,0)</f>
        <v>4574</v>
      </c>
      <c r="X208" s="13" t="n">
        <f aca="false">IF(OR(ISNUMBER(SEARCH("live nation",L208)),ISNUMBER(SEARCH("ocesa",L208))),1,0)</f>
        <v>0</v>
      </c>
      <c r="Y208" s="13" t="s">
        <v>49</v>
      </c>
    </row>
    <row r="209" customFormat="false" ht="15" hidden="false" customHeight="false" outlineLevel="0" collapsed="false">
      <c r="A209" s="30" t="n">
        <v>45927</v>
      </c>
      <c r="B209" s="11" t="n">
        <v>1</v>
      </c>
      <c r="C209" s="31" t="s">
        <v>513</v>
      </c>
      <c r="D209" s="31"/>
      <c r="E209" s="11" t="s">
        <v>514</v>
      </c>
      <c r="F209" s="11" t="s">
        <v>515</v>
      </c>
      <c r="G209" s="11"/>
      <c r="H209" s="11" t="s">
        <v>516</v>
      </c>
      <c r="I209" s="11"/>
      <c r="J209" s="11" t="s">
        <v>121</v>
      </c>
      <c r="K209" s="11" t="s">
        <v>173</v>
      </c>
      <c r="L209" s="11" t="s">
        <v>517</v>
      </c>
      <c r="M209" s="11" t="s">
        <v>100</v>
      </c>
      <c r="N209" s="32" t="n">
        <v>1311</v>
      </c>
      <c r="O209" s="33" t="n">
        <v>120706.67</v>
      </c>
      <c r="P209" s="32" t="n">
        <v>1692</v>
      </c>
      <c r="Q209" s="34" t="n">
        <v>0.77</v>
      </c>
      <c r="R209" s="33" t="n">
        <v>75.38</v>
      </c>
      <c r="S209" s="33" t="n">
        <v>122.2</v>
      </c>
      <c r="T209" s="33" t="n">
        <v>92.07</v>
      </c>
      <c r="U209" s="11" t="n">
        <f aca="false">IFERROR(YEAR(A209),"")</f>
        <v>2025</v>
      </c>
      <c r="V209" s="33" t="n">
        <f aca="false">IFERROR(O209*B209,0)</f>
        <v>120706.67</v>
      </c>
      <c r="W209" s="32" t="n">
        <f aca="false">IFERROR(N209*B209,0)</f>
        <v>1311</v>
      </c>
      <c r="X209" s="11" t="n">
        <f aca="false">IF(OR(ISNUMBER(SEARCH("live nation",L209)),ISNUMBER(SEARCH("ocesa",L209))),1,0)</f>
        <v>0</v>
      </c>
      <c r="Y209" s="11" t="s">
        <v>50</v>
      </c>
    </row>
    <row r="210" customFormat="false" ht="15" hidden="false" customHeight="false" outlineLevel="0" collapsed="false">
      <c r="A210" s="25" t="n">
        <v>45927</v>
      </c>
      <c r="B210" s="13" t="n">
        <v>1</v>
      </c>
      <c r="C210" s="26" t="s">
        <v>511</v>
      </c>
      <c r="D210" s="26"/>
      <c r="E210" s="13" t="s">
        <v>111</v>
      </c>
      <c r="F210" s="13" t="s">
        <v>112</v>
      </c>
      <c r="G210" s="13"/>
      <c r="H210" s="13" t="s">
        <v>21</v>
      </c>
      <c r="I210" s="13"/>
      <c r="J210" s="13" t="s">
        <v>97</v>
      </c>
      <c r="K210" s="13" t="s">
        <v>113</v>
      </c>
      <c r="L210" s="13" t="s">
        <v>321</v>
      </c>
      <c r="M210" s="13" t="s">
        <v>100</v>
      </c>
      <c r="N210" s="27" t="n">
        <v>12000</v>
      </c>
      <c r="O210" s="28" t="n">
        <v>681932.21</v>
      </c>
      <c r="P210" s="27" t="n">
        <v>12000</v>
      </c>
      <c r="Q210" s="29" t="n">
        <v>1</v>
      </c>
      <c r="R210" s="28" t="n">
        <v>56.83</v>
      </c>
      <c r="S210" s="28" t="n">
        <v>56.83</v>
      </c>
      <c r="T210" s="28" t="n">
        <v>56.83</v>
      </c>
      <c r="U210" s="13" t="n">
        <f aca="false">IFERROR(YEAR(A210),"")</f>
        <v>2025</v>
      </c>
      <c r="V210" s="28" t="n">
        <f aca="false">IFERROR(O210*B210,0)</f>
        <v>681932.21</v>
      </c>
      <c r="W210" s="27" t="n">
        <f aca="false">IFERROR(N210*B210,0)</f>
        <v>12000</v>
      </c>
      <c r="X210" s="13" t="n">
        <f aca="false">IF(OR(ISNUMBER(SEARCH("live nation",L210)),ISNUMBER(SEARCH("ocesa",L210))),1,0)</f>
        <v>0</v>
      </c>
      <c r="Y210" s="13" t="s">
        <v>50</v>
      </c>
    </row>
    <row r="211" customFormat="false" ht="15" hidden="false" customHeight="false" outlineLevel="0" collapsed="false">
      <c r="A211" s="30" t="n">
        <v>45927</v>
      </c>
      <c r="B211" s="11" t="n">
        <v>1</v>
      </c>
      <c r="C211" s="31" t="s">
        <v>62</v>
      </c>
      <c r="D211" s="31"/>
      <c r="E211" s="11" t="s">
        <v>343</v>
      </c>
      <c r="F211" s="11" t="s">
        <v>344</v>
      </c>
      <c r="G211" s="11"/>
      <c r="H211" s="11" t="s">
        <v>25</v>
      </c>
      <c r="I211" s="11"/>
      <c r="J211" s="11" t="s">
        <v>133</v>
      </c>
      <c r="K211" s="11" t="s">
        <v>25</v>
      </c>
      <c r="L211" s="11" t="s">
        <v>512</v>
      </c>
      <c r="M211" s="11" t="s">
        <v>100</v>
      </c>
      <c r="N211" s="32" t="n">
        <v>38204</v>
      </c>
      <c r="O211" s="33" t="n">
        <v>8202576.14</v>
      </c>
      <c r="P211" s="32" t="n">
        <v>39953</v>
      </c>
      <c r="Q211" s="34" t="n">
        <v>0.95</v>
      </c>
      <c r="R211" s="33" t="n">
        <v>115.57</v>
      </c>
      <c r="S211" s="33" t="n">
        <v>372.68</v>
      </c>
      <c r="T211" s="33" t="n">
        <v>214.7</v>
      </c>
      <c r="U211" s="11" t="n">
        <f aca="false">IFERROR(YEAR(A211),"")</f>
        <v>2025</v>
      </c>
      <c r="V211" s="33" t="n">
        <f aca="false">IFERROR(O211*B211,0)</f>
        <v>8202576.14</v>
      </c>
      <c r="W211" s="32" t="n">
        <f aca="false">IFERROR(N211*B211,0)</f>
        <v>38204</v>
      </c>
      <c r="X211" s="11" t="n">
        <f aca="false">IF(OR(ISNUMBER(SEARCH("live nation",L211)),ISNUMBER(SEARCH("ocesa",L211))),1,0)</f>
        <v>0</v>
      </c>
      <c r="Y211" s="11" t="s">
        <v>50</v>
      </c>
    </row>
    <row r="212" customFormat="false" ht="15" hidden="false" customHeight="false" outlineLevel="0" collapsed="false">
      <c r="A212" s="25" t="n">
        <v>45925</v>
      </c>
      <c r="B212" s="13" t="n">
        <v>1</v>
      </c>
      <c r="C212" s="26" t="s">
        <v>63</v>
      </c>
      <c r="D212" s="26"/>
      <c r="E212" s="13" t="s">
        <v>345</v>
      </c>
      <c r="F212" s="13" t="s">
        <v>346</v>
      </c>
      <c r="G212" s="13" t="s">
        <v>347</v>
      </c>
      <c r="H212" s="13" t="s">
        <v>20</v>
      </c>
      <c r="I212" s="13" t="s">
        <v>346</v>
      </c>
      <c r="J212" s="13" t="s">
        <v>97</v>
      </c>
      <c r="K212" s="13" t="s">
        <v>107</v>
      </c>
      <c r="L212" s="13" t="s">
        <v>508</v>
      </c>
      <c r="M212" s="13" t="s">
        <v>100</v>
      </c>
      <c r="N212" s="27" t="n">
        <v>9753</v>
      </c>
      <c r="O212" s="28" t="n">
        <v>1577310</v>
      </c>
      <c r="P212" s="27" t="n">
        <v>10170</v>
      </c>
      <c r="Q212" s="29" t="n">
        <v>0.95</v>
      </c>
      <c r="R212" s="28" t="n">
        <v>59.5</v>
      </c>
      <c r="S212" s="28" t="n">
        <v>659.5</v>
      </c>
      <c r="T212" s="28" t="n">
        <v>161.73</v>
      </c>
      <c r="U212" s="13" t="n">
        <f aca="false">IFERROR(YEAR(A212),"")</f>
        <v>2025</v>
      </c>
      <c r="V212" s="28" t="n">
        <f aca="false">IFERROR(O212*B212,0)</f>
        <v>1577310</v>
      </c>
      <c r="W212" s="27" t="n">
        <f aca="false">IFERROR(N212*B212,0)</f>
        <v>9753</v>
      </c>
      <c r="X212" s="13" t="n">
        <f aca="false">IF(OR(ISNUMBER(SEARCH("live nation",L212)),ISNUMBER(SEARCH("ocesa",L212))),1,0)</f>
        <v>0</v>
      </c>
      <c r="Y212" s="13" t="s">
        <v>49</v>
      </c>
    </row>
    <row r="213" customFormat="false" ht="15" hidden="false" customHeight="false" outlineLevel="0" collapsed="false">
      <c r="A213" s="30" t="n">
        <v>45924</v>
      </c>
      <c r="B213" s="11" t="n">
        <v>1</v>
      </c>
      <c r="C213" s="31" t="s">
        <v>518</v>
      </c>
      <c r="D213" s="31"/>
      <c r="E213" s="11" t="s">
        <v>519</v>
      </c>
      <c r="F213" s="11" t="s">
        <v>306</v>
      </c>
      <c r="G213" s="11" t="s">
        <v>188</v>
      </c>
      <c r="H213" s="11" t="s">
        <v>20</v>
      </c>
      <c r="I213" s="11" t="s">
        <v>307</v>
      </c>
      <c r="J213" s="11" t="s">
        <v>121</v>
      </c>
      <c r="K213" s="11" t="s">
        <v>107</v>
      </c>
      <c r="L213" s="11" t="s">
        <v>390</v>
      </c>
      <c r="M213" s="11" t="s">
        <v>100</v>
      </c>
      <c r="N213" s="32" t="n">
        <v>787</v>
      </c>
      <c r="O213" s="33" t="n">
        <v>109644.65</v>
      </c>
      <c r="P213" s="32" t="n">
        <v>3883</v>
      </c>
      <c r="Q213" s="34" t="n">
        <v>0.2</v>
      </c>
      <c r="R213" s="33" t="n">
        <v>37</v>
      </c>
      <c r="S213" s="33" t="n">
        <v>242</v>
      </c>
      <c r="T213" s="33" t="n">
        <v>139.32</v>
      </c>
      <c r="U213" s="11" t="n">
        <f aca="false">IFERROR(YEAR(A213),"")</f>
        <v>2025</v>
      </c>
      <c r="V213" s="33" t="n">
        <f aca="false">IFERROR(O213*B213,0)</f>
        <v>109644.65</v>
      </c>
      <c r="W213" s="32" t="n">
        <f aca="false">IFERROR(N213*B213,0)</f>
        <v>787</v>
      </c>
      <c r="X213" s="11" t="n">
        <f aca="false">IF(OR(ISNUMBER(SEARCH("live nation",L213)),ISNUMBER(SEARCH("ocesa",L213))),1,0)</f>
        <v>0</v>
      </c>
      <c r="Y213" s="11" t="s">
        <v>49</v>
      </c>
    </row>
    <row r="214" customFormat="false" ht="15" hidden="false" customHeight="false" outlineLevel="0" collapsed="false">
      <c r="A214" s="25" t="n">
        <v>45923</v>
      </c>
      <c r="B214" s="13" t="n">
        <v>1</v>
      </c>
      <c r="C214" s="26" t="s">
        <v>520</v>
      </c>
      <c r="D214" s="26" t="s">
        <v>521</v>
      </c>
      <c r="E214" s="13" t="s">
        <v>111</v>
      </c>
      <c r="F214" s="13" t="s">
        <v>112</v>
      </c>
      <c r="G214" s="13"/>
      <c r="H214" s="13" t="s">
        <v>21</v>
      </c>
      <c r="I214" s="13"/>
      <c r="J214" s="13" t="s">
        <v>97</v>
      </c>
      <c r="K214" s="13" t="s">
        <v>113</v>
      </c>
      <c r="L214" s="13" t="s">
        <v>359</v>
      </c>
      <c r="M214" s="13" t="s">
        <v>100</v>
      </c>
      <c r="N214" s="27" t="n">
        <v>12000</v>
      </c>
      <c r="O214" s="28" t="n">
        <v>893325.45</v>
      </c>
      <c r="P214" s="27" t="n">
        <v>12000</v>
      </c>
      <c r="Q214" s="29" t="n">
        <v>1</v>
      </c>
      <c r="R214" s="28" t="n">
        <v>74.44</v>
      </c>
      <c r="S214" s="28" t="n">
        <v>74.44</v>
      </c>
      <c r="T214" s="28" t="n">
        <v>74.44</v>
      </c>
      <c r="U214" s="13" t="n">
        <f aca="false">IFERROR(YEAR(A214),"")</f>
        <v>2025</v>
      </c>
      <c r="V214" s="28" t="n">
        <f aca="false">IFERROR(O214*B214,0)</f>
        <v>893325.45</v>
      </c>
      <c r="W214" s="27" t="n">
        <f aca="false">IFERROR(N214*B214,0)</f>
        <v>12000</v>
      </c>
      <c r="X214" s="13" t="n">
        <f aca="false">IF(OR(ISNUMBER(SEARCH("live nation",L214)),ISNUMBER(SEARCH("ocesa",L214))),1,0)</f>
        <v>0</v>
      </c>
      <c r="Y214" s="13" t="s">
        <v>50</v>
      </c>
    </row>
    <row r="215" customFormat="false" ht="15" hidden="false" customHeight="false" outlineLevel="0" collapsed="false">
      <c r="A215" s="30" t="n">
        <v>45922</v>
      </c>
      <c r="B215" s="11" t="n">
        <v>1</v>
      </c>
      <c r="C215" s="31" t="s">
        <v>522</v>
      </c>
      <c r="D215" s="31"/>
      <c r="E215" s="11" t="s">
        <v>523</v>
      </c>
      <c r="F215" s="11" t="s">
        <v>524</v>
      </c>
      <c r="G215" s="11" t="s">
        <v>525</v>
      </c>
      <c r="H215" s="11" t="s">
        <v>128</v>
      </c>
      <c r="I215" s="11"/>
      <c r="J215" s="11" t="s">
        <v>121</v>
      </c>
      <c r="K215" s="11" t="s">
        <v>129</v>
      </c>
      <c r="L215" s="11" t="s">
        <v>177</v>
      </c>
      <c r="M215" s="11" t="s">
        <v>100</v>
      </c>
      <c r="N215" s="32" t="n">
        <v>836</v>
      </c>
      <c r="O215" s="33" t="n">
        <v>60581.54</v>
      </c>
      <c r="P215" s="32" t="n">
        <v>1805</v>
      </c>
      <c r="Q215" s="34" t="n">
        <v>0.46</v>
      </c>
      <c r="R215" s="33" t="n">
        <v>21.38</v>
      </c>
      <c r="S215" s="33" t="n">
        <v>129.75</v>
      </c>
      <c r="T215" s="33" t="n">
        <v>72.47</v>
      </c>
      <c r="U215" s="11" t="n">
        <f aca="false">IFERROR(YEAR(A215),"")</f>
        <v>2025</v>
      </c>
      <c r="V215" s="33" t="n">
        <f aca="false">IFERROR(O215*B215,0)</f>
        <v>60581.54</v>
      </c>
      <c r="W215" s="32" t="n">
        <f aca="false">IFERROR(N215*B215,0)</f>
        <v>836</v>
      </c>
      <c r="X215" s="11" t="n">
        <f aca="false">IF(OR(ISNUMBER(SEARCH("live nation",L215)),ISNUMBER(SEARCH("ocesa",L215))),1,0)</f>
        <v>1</v>
      </c>
      <c r="Y215" s="11" t="s">
        <v>49</v>
      </c>
    </row>
    <row r="216" customFormat="false" ht="15" hidden="false" customHeight="false" outlineLevel="0" collapsed="false">
      <c r="A216" s="25" t="n">
        <v>45922</v>
      </c>
      <c r="B216" s="13" t="n">
        <v>1</v>
      </c>
      <c r="C216" s="26" t="s">
        <v>63</v>
      </c>
      <c r="D216" s="26"/>
      <c r="E216" s="13" t="s">
        <v>206</v>
      </c>
      <c r="F216" s="13" t="s">
        <v>207</v>
      </c>
      <c r="G216" s="13" t="s">
        <v>208</v>
      </c>
      <c r="H216" s="13" t="s">
        <v>20</v>
      </c>
      <c r="I216" s="13" t="s">
        <v>209</v>
      </c>
      <c r="J216" s="13" t="s">
        <v>97</v>
      </c>
      <c r="K216" s="13" t="s">
        <v>107</v>
      </c>
      <c r="L216" s="13" t="s">
        <v>508</v>
      </c>
      <c r="M216" s="13" t="s">
        <v>100</v>
      </c>
      <c r="N216" s="27" t="n">
        <v>6116</v>
      </c>
      <c r="O216" s="28" t="n">
        <v>1076362.25</v>
      </c>
      <c r="P216" s="27" t="n">
        <v>8348</v>
      </c>
      <c r="Q216" s="29" t="n">
        <v>0.73</v>
      </c>
      <c r="R216" s="28" t="n">
        <v>59.5</v>
      </c>
      <c r="S216" s="28" t="n">
        <v>659.5</v>
      </c>
      <c r="T216" s="28" t="n">
        <v>175.99</v>
      </c>
      <c r="U216" s="13" t="n">
        <f aca="false">IFERROR(YEAR(A216),"")</f>
        <v>2025</v>
      </c>
      <c r="V216" s="28" t="n">
        <f aca="false">IFERROR(O216*B216,0)</f>
        <v>1076362.25</v>
      </c>
      <c r="W216" s="27" t="n">
        <f aca="false">IFERROR(N216*B216,0)</f>
        <v>6116</v>
      </c>
      <c r="X216" s="13" t="n">
        <f aca="false">IF(OR(ISNUMBER(SEARCH("live nation",L216)),ISNUMBER(SEARCH("ocesa",L216))),1,0)</f>
        <v>0</v>
      </c>
      <c r="Y216" s="13" t="s">
        <v>49</v>
      </c>
    </row>
    <row r="217" customFormat="false" ht="15" hidden="false" customHeight="false" outlineLevel="0" collapsed="false">
      <c r="A217" s="30" t="n">
        <v>45921</v>
      </c>
      <c r="B217" s="11" t="n">
        <v>1</v>
      </c>
      <c r="C217" s="31" t="s">
        <v>518</v>
      </c>
      <c r="D217" s="31"/>
      <c r="E217" s="11" t="s">
        <v>400</v>
      </c>
      <c r="F217" s="11" t="s">
        <v>203</v>
      </c>
      <c r="G217" s="11" t="s">
        <v>202</v>
      </c>
      <c r="H217" s="11" t="s">
        <v>20</v>
      </c>
      <c r="I217" s="11" t="s">
        <v>203</v>
      </c>
      <c r="J217" s="11" t="s">
        <v>121</v>
      </c>
      <c r="K217" s="11" t="s">
        <v>107</v>
      </c>
      <c r="L217" s="11" t="s">
        <v>390</v>
      </c>
      <c r="M217" s="11" t="s">
        <v>100</v>
      </c>
      <c r="N217" s="32" t="n">
        <v>1186</v>
      </c>
      <c r="O217" s="33" t="n">
        <v>187751.55</v>
      </c>
      <c r="P217" s="32" t="n">
        <v>1976</v>
      </c>
      <c r="Q217" s="34" t="n">
        <v>0.6</v>
      </c>
      <c r="R217" s="33" t="n">
        <v>44</v>
      </c>
      <c r="S217" s="33" t="n">
        <v>250</v>
      </c>
      <c r="T217" s="33" t="n">
        <v>158.31</v>
      </c>
      <c r="U217" s="11" t="n">
        <f aca="false">IFERROR(YEAR(A217),"")</f>
        <v>2025</v>
      </c>
      <c r="V217" s="33" t="n">
        <f aca="false">IFERROR(O217*B217,0)</f>
        <v>187751.55</v>
      </c>
      <c r="W217" s="32" t="n">
        <f aca="false">IFERROR(N217*B217,0)</f>
        <v>1186</v>
      </c>
      <c r="X217" s="11" t="n">
        <f aca="false">IF(OR(ISNUMBER(SEARCH("live nation",L217)),ISNUMBER(SEARCH("ocesa",L217))),1,0)</f>
        <v>0</v>
      </c>
      <c r="Y217" s="11" t="s">
        <v>49</v>
      </c>
    </row>
    <row r="218" customFormat="false" ht="15" hidden="false" customHeight="false" outlineLevel="0" collapsed="false">
      <c r="A218" s="25" t="n">
        <v>45921</v>
      </c>
      <c r="B218" s="13" t="n">
        <v>1</v>
      </c>
      <c r="C218" s="26" t="s">
        <v>526</v>
      </c>
      <c r="D218" s="26" t="s">
        <v>527</v>
      </c>
      <c r="E218" s="13" t="s">
        <v>111</v>
      </c>
      <c r="F218" s="13" t="s">
        <v>112</v>
      </c>
      <c r="G218" s="13"/>
      <c r="H218" s="13" t="s">
        <v>21</v>
      </c>
      <c r="I218" s="13"/>
      <c r="J218" s="13" t="s">
        <v>97</v>
      </c>
      <c r="K218" s="13" t="s">
        <v>113</v>
      </c>
      <c r="L218" s="13" t="s">
        <v>250</v>
      </c>
      <c r="M218" s="13" t="s">
        <v>100</v>
      </c>
      <c r="N218" s="27" t="n">
        <v>20000</v>
      </c>
      <c r="O218" s="28" t="n">
        <v>784181.15</v>
      </c>
      <c r="P218" s="27" t="n">
        <v>20000</v>
      </c>
      <c r="Q218" s="29" t="n">
        <v>1</v>
      </c>
      <c r="R218" s="28" t="n">
        <v>39.21</v>
      </c>
      <c r="S218" s="28" t="n">
        <v>39.21</v>
      </c>
      <c r="T218" s="28" t="n">
        <v>39.21</v>
      </c>
      <c r="U218" s="13" t="n">
        <f aca="false">IFERROR(YEAR(A218),"")</f>
        <v>2025</v>
      </c>
      <c r="V218" s="28" t="n">
        <f aca="false">IFERROR(O218*B218,0)</f>
        <v>784181.15</v>
      </c>
      <c r="W218" s="27" t="n">
        <f aca="false">IFERROR(N218*B218,0)</f>
        <v>20000</v>
      </c>
      <c r="X218" s="13" t="n">
        <f aca="false">IF(OR(ISNUMBER(SEARCH("live nation",L218)),ISNUMBER(SEARCH("ocesa",L218))),1,0)</f>
        <v>0</v>
      </c>
      <c r="Y218" s="13" t="s">
        <v>50</v>
      </c>
    </row>
    <row r="219" customFormat="false" ht="15" hidden="false" customHeight="false" outlineLevel="0" collapsed="false">
      <c r="A219" s="30" t="n">
        <v>45921</v>
      </c>
      <c r="B219" s="11" t="n">
        <v>1</v>
      </c>
      <c r="C219" s="31" t="s">
        <v>63</v>
      </c>
      <c r="D219" s="31"/>
      <c r="E219" s="11" t="s">
        <v>206</v>
      </c>
      <c r="F219" s="11" t="s">
        <v>207</v>
      </c>
      <c r="G219" s="11" t="s">
        <v>208</v>
      </c>
      <c r="H219" s="11" t="s">
        <v>20</v>
      </c>
      <c r="I219" s="11" t="s">
        <v>209</v>
      </c>
      <c r="J219" s="11" t="s">
        <v>97</v>
      </c>
      <c r="K219" s="11" t="s">
        <v>107</v>
      </c>
      <c r="L219" s="11" t="s">
        <v>508</v>
      </c>
      <c r="M219" s="11" t="s">
        <v>100</v>
      </c>
      <c r="N219" s="32" t="n">
        <v>10350</v>
      </c>
      <c r="O219" s="33" t="n">
        <v>1685112.6</v>
      </c>
      <c r="P219" s="32" t="n">
        <v>11576</v>
      </c>
      <c r="Q219" s="34" t="n">
        <v>0.89</v>
      </c>
      <c r="R219" s="33" t="n">
        <v>59.5</v>
      </c>
      <c r="S219" s="33" t="n">
        <v>659.5</v>
      </c>
      <c r="T219" s="33" t="n">
        <v>162.81</v>
      </c>
      <c r="U219" s="11" t="n">
        <f aca="false">IFERROR(YEAR(A219),"")</f>
        <v>2025</v>
      </c>
      <c r="V219" s="33" t="n">
        <f aca="false">IFERROR(O219*B219,0)</f>
        <v>1685112.6</v>
      </c>
      <c r="W219" s="32" t="n">
        <f aca="false">IFERROR(N219*B219,0)</f>
        <v>10350</v>
      </c>
      <c r="X219" s="11" t="n">
        <f aca="false">IF(OR(ISNUMBER(SEARCH("live nation",L219)),ISNUMBER(SEARCH("ocesa",L219))),1,0)</f>
        <v>0</v>
      </c>
      <c r="Y219" s="11" t="s">
        <v>49</v>
      </c>
    </row>
    <row r="220" customFormat="false" ht="15" hidden="false" customHeight="false" outlineLevel="0" collapsed="false">
      <c r="A220" s="25" t="n">
        <v>45920</v>
      </c>
      <c r="B220" s="13" t="n">
        <v>1</v>
      </c>
      <c r="C220" s="26" t="s">
        <v>528</v>
      </c>
      <c r="D220" s="26"/>
      <c r="E220" s="13" t="s">
        <v>529</v>
      </c>
      <c r="F220" s="13" t="s">
        <v>530</v>
      </c>
      <c r="G220" s="13"/>
      <c r="H220" s="13" t="s">
        <v>26</v>
      </c>
      <c r="I220" s="13"/>
      <c r="J220" s="13" t="s">
        <v>97</v>
      </c>
      <c r="K220" s="13" t="s">
        <v>173</v>
      </c>
      <c r="L220" s="13" t="s">
        <v>531</v>
      </c>
      <c r="M220" s="13" t="s">
        <v>100</v>
      </c>
      <c r="N220" s="27" t="n">
        <v>29034</v>
      </c>
      <c r="O220" s="28" t="n">
        <v>5623464.53</v>
      </c>
      <c r="P220" s="27" t="n">
        <v>30000</v>
      </c>
      <c r="Q220" s="29" t="n">
        <v>0.96</v>
      </c>
      <c r="R220" s="28" t="n">
        <v>53.44</v>
      </c>
      <c r="S220" s="28" t="n">
        <v>163.26</v>
      </c>
      <c r="T220" s="28" t="n">
        <v>193.69</v>
      </c>
      <c r="U220" s="13" t="n">
        <f aca="false">IFERROR(YEAR(A220),"")</f>
        <v>2025</v>
      </c>
      <c r="V220" s="28" t="n">
        <f aca="false">IFERROR(O220*B220,0)</f>
        <v>5623464.53</v>
      </c>
      <c r="W220" s="27" t="n">
        <f aca="false">IFERROR(N220*B220,0)</f>
        <v>29034</v>
      </c>
      <c r="X220" s="13" t="n">
        <f aca="false">IF(OR(ISNUMBER(SEARCH("live nation",L220)),ISNUMBER(SEARCH("ocesa",L220))),1,0)</f>
        <v>0</v>
      </c>
      <c r="Y220" s="13" t="s">
        <v>49</v>
      </c>
    </row>
    <row r="221" customFormat="false" ht="15" hidden="false" customHeight="false" outlineLevel="0" collapsed="false">
      <c r="A221" s="30" t="n">
        <v>45919</v>
      </c>
      <c r="B221" s="11" t="n">
        <v>1</v>
      </c>
      <c r="C221" s="31" t="s">
        <v>522</v>
      </c>
      <c r="D221" s="31"/>
      <c r="E221" s="11" t="s">
        <v>400</v>
      </c>
      <c r="F221" s="11" t="s">
        <v>203</v>
      </c>
      <c r="G221" s="11" t="s">
        <v>202</v>
      </c>
      <c r="H221" s="11" t="s">
        <v>20</v>
      </c>
      <c r="I221" s="11" t="s">
        <v>203</v>
      </c>
      <c r="J221" s="11" t="s">
        <v>121</v>
      </c>
      <c r="K221" s="11" t="s">
        <v>107</v>
      </c>
      <c r="L221" s="11" t="s">
        <v>390</v>
      </c>
      <c r="M221" s="11" t="s">
        <v>100</v>
      </c>
      <c r="N221" s="32" t="n">
        <v>665</v>
      </c>
      <c r="O221" s="33" t="n">
        <v>75251.25</v>
      </c>
      <c r="P221" s="32" t="n">
        <v>1976</v>
      </c>
      <c r="Q221" s="34" t="n">
        <v>0.33</v>
      </c>
      <c r="R221" s="33" t="n">
        <v>20</v>
      </c>
      <c r="S221" s="33" t="n">
        <v>1500</v>
      </c>
      <c r="T221" s="33" t="n">
        <v>113.16</v>
      </c>
      <c r="U221" s="11" t="n">
        <f aca="false">IFERROR(YEAR(A221),"")</f>
        <v>2025</v>
      </c>
      <c r="V221" s="33" t="n">
        <f aca="false">IFERROR(O221*B221,0)</f>
        <v>75251.25</v>
      </c>
      <c r="W221" s="32" t="n">
        <f aca="false">IFERROR(N221*B221,0)</f>
        <v>665</v>
      </c>
      <c r="X221" s="11" t="n">
        <f aca="false">IF(OR(ISNUMBER(SEARCH("live nation",L221)),ISNUMBER(SEARCH("ocesa",L221))),1,0)</f>
        <v>0</v>
      </c>
      <c r="Y221" s="11" t="s">
        <v>49</v>
      </c>
    </row>
    <row r="222" customFormat="false" ht="15" hidden="false" customHeight="false" outlineLevel="0" collapsed="false">
      <c r="A222" s="25" t="n">
        <v>45919</v>
      </c>
      <c r="B222" s="13" t="n">
        <v>1</v>
      </c>
      <c r="C222" s="26" t="s">
        <v>532</v>
      </c>
      <c r="D222" s="26"/>
      <c r="E222" s="13" t="s">
        <v>533</v>
      </c>
      <c r="F222" s="13" t="s">
        <v>132</v>
      </c>
      <c r="G222" s="13"/>
      <c r="H222" s="13" t="s">
        <v>23</v>
      </c>
      <c r="I222" s="13"/>
      <c r="J222" s="13" t="s">
        <v>121</v>
      </c>
      <c r="K222" s="13" t="s">
        <v>134</v>
      </c>
      <c r="L222" s="13" t="s">
        <v>152</v>
      </c>
      <c r="M222" s="13" t="s">
        <v>100</v>
      </c>
      <c r="N222" s="27" t="n">
        <v>6483</v>
      </c>
      <c r="O222" s="28" t="n">
        <v>675067.81</v>
      </c>
      <c r="P222" s="27" t="n">
        <v>9564</v>
      </c>
      <c r="Q222" s="29" t="n">
        <v>0.67</v>
      </c>
      <c r="R222" s="28" t="n">
        <v>70.24</v>
      </c>
      <c r="S222" s="28" t="n">
        <v>217.74</v>
      </c>
      <c r="T222" s="28" t="n">
        <v>104.13</v>
      </c>
      <c r="U222" s="13" t="n">
        <f aca="false">IFERROR(YEAR(A222),"")</f>
        <v>2025</v>
      </c>
      <c r="V222" s="28" t="n">
        <f aca="false">IFERROR(O222*B222,0)</f>
        <v>675067.81</v>
      </c>
      <c r="W222" s="27" t="n">
        <f aca="false">IFERROR(N222*B222,0)</f>
        <v>6483</v>
      </c>
      <c r="X222" s="13" t="n">
        <f aca="false">IF(OR(ISNUMBER(SEARCH("live nation",L222)),ISNUMBER(SEARCH("ocesa",L222))),1,0)</f>
        <v>0</v>
      </c>
      <c r="Y222" s="13" t="s">
        <v>49</v>
      </c>
    </row>
    <row r="223" customFormat="false" ht="15" hidden="false" customHeight="false" outlineLevel="0" collapsed="false">
      <c r="A223" s="30" t="n">
        <v>45917</v>
      </c>
      <c r="B223" s="11" t="n">
        <v>1</v>
      </c>
      <c r="C223" s="31" t="s">
        <v>522</v>
      </c>
      <c r="D223" s="31"/>
      <c r="E223" s="11" t="s">
        <v>534</v>
      </c>
      <c r="F223" s="11" t="s">
        <v>535</v>
      </c>
      <c r="G223" s="11" t="s">
        <v>202</v>
      </c>
      <c r="H223" s="11" t="s">
        <v>20</v>
      </c>
      <c r="I223" s="11" t="s">
        <v>232</v>
      </c>
      <c r="J223" s="11" t="s">
        <v>121</v>
      </c>
      <c r="K223" s="11" t="s">
        <v>107</v>
      </c>
      <c r="L223" s="11" t="s">
        <v>390</v>
      </c>
      <c r="M223" s="11" t="s">
        <v>100</v>
      </c>
      <c r="N223" s="32" t="n">
        <v>685</v>
      </c>
      <c r="O223" s="33" t="n">
        <v>62187.8</v>
      </c>
      <c r="P223" s="32" t="n">
        <v>960</v>
      </c>
      <c r="Q223" s="34" t="n">
        <v>0.71</v>
      </c>
      <c r="R223" s="33" t="n">
        <v>20</v>
      </c>
      <c r="S223" s="33" t="n">
        <v>150</v>
      </c>
      <c r="T223" s="33" t="n">
        <v>90.79</v>
      </c>
      <c r="U223" s="11" t="n">
        <f aca="false">IFERROR(YEAR(A223),"")</f>
        <v>2025</v>
      </c>
      <c r="V223" s="33" t="n">
        <f aca="false">IFERROR(O223*B223,0)</f>
        <v>62187.8</v>
      </c>
      <c r="W223" s="32" t="n">
        <f aca="false">IFERROR(N223*B223,0)</f>
        <v>685</v>
      </c>
      <c r="X223" s="11" t="n">
        <f aca="false">IF(OR(ISNUMBER(SEARCH("live nation",L223)),ISNUMBER(SEARCH("ocesa",L223))),1,0)</f>
        <v>0</v>
      </c>
      <c r="Y223" s="11" t="s">
        <v>49</v>
      </c>
    </row>
    <row r="224" customFormat="false" ht="15" hidden="false" customHeight="false" outlineLevel="0" collapsed="false">
      <c r="A224" s="25" t="n">
        <v>45917</v>
      </c>
      <c r="B224" s="13" t="n">
        <v>1</v>
      </c>
      <c r="C224" s="26" t="s">
        <v>532</v>
      </c>
      <c r="D224" s="26"/>
      <c r="E224" s="13" t="s">
        <v>536</v>
      </c>
      <c r="F224" s="13" t="s">
        <v>463</v>
      </c>
      <c r="G224" s="13"/>
      <c r="H224" s="13" t="s">
        <v>23</v>
      </c>
      <c r="I224" s="13"/>
      <c r="J224" s="13" t="s">
        <v>97</v>
      </c>
      <c r="K224" s="13" t="s">
        <v>134</v>
      </c>
      <c r="L224" s="13" t="s">
        <v>461</v>
      </c>
      <c r="M224" s="13" t="s">
        <v>100</v>
      </c>
      <c r="N224" s="27" t="n">
        <v>8002</v>
      </c>
      <c r="O224" s="28" t="n">
        <v>599347.71</v>
      </c>
      <c r="P224" s="27" t="n">
        <v>8188</v>
      </c>
      <c r="Q224" s="29" t="n">
        <v>0.97</v>
      </c>
      <c r="R224" s="28" t="n">
        <v>62.3</v>
      </c>
      <c r="S224" s="28" t="n">
        <v>168.44</v>
      </c>
      <c r="T224" s="28" t="n">
        <v>74.9</v>
      </c>
      <c r="U224" s="13" t="n">
        <f aca="false">IFERROR(YEAR(A224),"")</f>
        <v>2025</v>
      </c>
      <c r="V224" s="28" t="n">
        <f aca="false">IFERROR(O224*B224,0)</f>
        <v>599347.71</v>
      </c>
      <c r="W224" s="27" t="n">
        <f aca="false">IFERROR(N224*B224,0)</f>
        <v>8002</v>
      </c>
      <c r="X224" s="13" t="n">
        <f aca="false">IF(OR(ISNUMBER(SEARCH("live nation",L224)),ISNUMBER(SEARCH("ocesa",L224))),1,0)</f>
        <v>0</v>
      </c>
      <c r="Y224" s="13" t="s">
        <v>49</v>
      </c>
    </row>
    <row r="225" customFormat="false" ht="15" hidden="false" customHeight="false" outlineLevel="0" collapsed="false">
      <c r="A225" s="30" t="n">
        <v>45916</v>
      </c>
      <c r="B225" s="11" t="n">
        <v>1</v>
      </c>
      <c r="C225" s="31" t="s">
        <v>518</v>
      </c>
      <c r="D225" s="31"/>
      <c r="E225" s="11" t="s">
        <v>389</v>
      </c>
      <c r="F225" s="11" t="s">
        <v>346</v>
      </c>
      <c r="G225" s="11" t="s">
        <v>347</v>
      </c>
      <c r="H225" s="11" t="s">
        <v>20</v>
      </c>
      <c r="I225" s="11" t="s">
        <v>346</v>
      </c>
      <c r="J225" s="11" t="s">
        <v>121</v>
      </c>
      <c r="K225" s="11" t="s">
        <v>107</v>
      </c>
      <c r="L225" s="11" t="s">
        <v>390</v>
      </c>
      <c r="M225" s="11" t="s">
        <v>100</v>
      </c>
      <c r="N225" s="32" t="n">
        <v>564</v>
      </c>
      <c r="O225" s="33" t="n">
        <v>93737.77</v>
      </c>
      <c r="P225" s="32" t="n">
        <v>3554</v>
      </c>
      <c r="Q225" s="34" t="n">
        <v>0.15</v>
      </c>
      <c r="R225" s="33" t="n">
        <v>45</v>
      </c>
      <c r="S225" s="33" t="n">
        <v>245</v>
      </c>
      <c r="T225" s="33" t="n">
        <v>166.2</v>
      </c>
      <c r="U225" s="11" t="n">
        <f aca="false">IFERROR(YEAR(A225),"")</f>
        <v>2025</v>
      </c>
      <c r="V225" s="33" t="n">
        <f aca="false">IFERROR(O225*B225,0)</f>
        <v>93737.77</v>
      </c>
      <c r="W225" s="32" t="n">
        <f aca="false">IFERROR(N225*B225,0)</f>
        <v>564</v>
      </c>
      <c r="X225" s="11" t="n">
        <f aca="false">IF(OR(ISNUMBER(SEARCH("live nation",L225)),ISNUMBER(SEARCH("ocesa",L225))),1,0)</f>
        <v>0</v>
      </c>
      <c r="Y225" s="11" t="s">
        <v>49</v>
      </c>
    </row>
    <row r="226" customFormat="false" ht="15" hidden="false" customHeight="false" outlineLevel="0" collapsed="false">
      <c r="A226" s="25" t="n">
        <v>45916</v>
      </c>
      <c r="B226" s="13" t="n">
        <v>1</v>
      </c>
      <c r="C226" s="26" t="s">
        <v>63</v>
      </c>
      <c r="D226" s="26"/>
      <c r="E226" s="13" t="s">
        <v>373</v>
      </c>
      <c r="F226" s="13" t="s">
        <v>374</v>
      </c>
      <c r="G226" s="13" t="s">
        <v>143</v>
      </c>
      <c r="H226" s="13" t="s">
        <v>20</v>
      </c>
      <c r="I226" s="13" t="s">
        <v>375</v>
      </c>
      <c r="J226" s="13" t="s">
        <v>97</v>
      </c>
      <c r="K226" s="13" t="s">
        <v>107</v>
      </c>
      <c r="L226" s="13" t="s">
        <v>508</v>
      </c>
      <c r="M226" s="13" t="s">
        <v>100</v>
      </c>
      <c r="N226" s="27" t="n">
        <v>10193</v>
      </c>
      <c r="O226" s="28" t="n">
        <v>1996552.49</v>
      </c>
      <c r="P226" s="27" t="n">
        <v>11848</v>
      </c>
      <c r="Q226" s="29" t="n">
        <v>0.86</v>
      </c>
      <c r="R226" s="28" t="n">
        <v>59.5</v>
      </c>
      <c r="S226" s="28" t="n">
        <v>659.5</v>
      </c>
      <c r="T226" s="28" t="n">
        <v>195.87</v>
      </c>
      <c r="U226" s="13" t="n">
        <f aca="false">IFERROR(YEAR(A226),"")</f>
        <v>2025</v>
      </c>
      <c r="V226" s="28" t="n">
        <f aca="false">IFERROR(O226*B226,0)</f>
        <v>1996552.49</v>
      </c>
      <c r="W226" s="27" t="n">
        <f aca="false">IFERROR(N226*B226,0)</f>
        <v>10193</v>
      </c>
      <c r="X226" s="13" t="n">
        <f aca="false">IF(OR(ISNUMBER(SEARCH("live nation",L226)),ISNUMBER(SEARCH("ocesa",L226))),1,0)</f>
        <v>0</v>
      </c>
      <c r="Y226" s="13" t="s">
        <v>49</v>
      </c>
    </row>
    <row r="227" customFormat="false" ht="15" hidden="false" customHeight="false" outlineLevel="0" collapsed="false">
      <c r="A227" s="30" t="n">
        <v>45914</v>
      </c>
      <c r="B227" s="11" t="n">
        <v>1</v>
      </c>
      <c r="C227" s="31" t="s">
        <v>522</v>
      </c>
      <c r="D227" s="31"/>
      <c r="E227" s="11" t="s">
        <v>537</v>
      </c>
      <c r="F227" s="11" t="s">
        <v>538</v>
      </c>
      <c r="G227" s="11" t="s">
        <v>539</v>
      </c>
      <c r="H227" s="11" t="s">
        <v>20</v>
      </c>
      <c r="I227" s="11" t="s">
        <v>538</v>
      </c>
      <c r="J227" s="11" t="s">
        <v>106</v>
      </c>
      <c r="K227" s="11" t="s">
        <v>107</v>
      </c>
      <c r="L227" s="11" t="s">
        <v>177</v>
      </c>
      <c r="M227" s="11" t="s">
        <v>100</v>
      </c>
      <c r="N227" s="32" t="n">
        <v>465</v>
      </c>
      <c r="O227" s="33" t="n">
        <v>37302.5</v>
      </c>
      <c r="P227" s="32" t="n">
        <v>1695</v>
      </c>
      <c r="Q227" s="34" t="n">
        <v>0.27</v>
      </c>
      <c r="R227" s="33" t="n">
        <v>15.75</v>
      </c>
      <c r="S227" s="33" t="n">
        <v>145.5</v>
      </c>
      <c r="T227" s="33" t="n">
        <v>80.22</v>
      </c>
      <c r="U227" s="11" t="n">
        <f aca="false">IFERROR(YEAR(A227),"")</f>
        <v>2025</v>
      </c>
      <c r="V227" s="33" t="n">
        <f aca="false">IFERROR(O227*B227,0)</f>
        <v>37302.5</v>
      </c>
      <c r="W227" s="32" t="n">
        <f aca="false">IFERROR(N227*B227,0)</f>
        <v>465</v>
      </c>
      <c r="X227" s="11" t="n">
        <f aca="false">IF(OR(ISNUMBER(SEARCH("live nation",L227)),ISNUMBER(SEARCH("ocesa",L227))),1,0)</f>
        <v>1</v>
      </c>
      <c r="Y227" s="11" t="s">
        <v>49</v>
      </c>
    </row>
    <row r="228" customFormat="false" ht="15" hidden="false" customHeight="false" outlineLevel="0" collapsed="false">
      <c r="A228" s="25" t="n">
        <v>45914</v>
      </c>
      <c r="B228" s="13" t="n">
        <v>1</v>
      </c>
      <c r="C228" s="26" t="s">
        <v>518</v>
      </c>
      <c r="D228" s="26"/>
      <c r="E228" s="13" t="s">
        <v>540</v>
      </c>
      <c r="F228" s="13" t="s">
        <v>209</v>
      </c>
      <c r="G228" s="13" t="s">
        <v>208</v>
      </c>
      <c r="H228" s="13" t="s">
        <v>20</v>
      </c>
      <c r="I228" s="13" t="s">
        <v>209</v>
      </c>
      <c r="J228" s="13" t="s">
        <v>121</v>
      </c>
      <c r="K228" s="13" t="s">
        <v>107</v>
      </c>
      <c r="L228" s="13" t="s">
        <v>390</v>
      </c>
      <c r="M228" s="13" t="s">
        <v>100</v>
      </c>
      <c r="N228" s="27" t="n">
        <v>1116</v>
      </c>
      <c r="O228" s="28" t="n">
        <v>168758.9</v>
      </c>
      <c r="P228" s="27" t="n">
        <v>3552</v>
      </c>
      <c r="Q228" s="29" t="n">
        <v>0.31</v>
      </c>
      <c r="R228" s="28" t="n">
        <v>45</v>
      </c>
      <c r="S228" s="28" t="n">
        <v>225</v>
      </c>
      <c r="T228" s="28" t="n">
        <v>151.22</v>
      </c>
      <c r="U228" s="13" t="n">
        <f aca="false">IFERROR(YEAR(A228),"")</f>
        <v>2025</v>
      </c>
      <c r="V228" s="28" t="n">
        <f aca="false">IFERROR(O228*B228,0)</f>
        <v>168758.9</v>
      </c>
      <c r="W228" s="27" t="n">
        <f aca="false">IFERROR(N228*B228,0)</f>
        <v>1116</v>
      </c>
      <c r="X228" s="13" t="n">
        <f aca="false">IF(OR(ISNUMBER(SEARCH("live nation",L228)),ISNUMBER(SEARCH("ocesa",L228))),1,0)</f>
        <v>0</v>
      </c>
      <c r="Y228" s="13" t="s">
        <v>49</v>
      </c>
    </row>
    <row r="229" customFormat="false" ht="15" hidden="false" customHeight="false" outlineLevel="0" collapsed="false">
      <c r="A229" s="30" t="n">
        <v>45913</v>
      </c>
      <c r="B229" s="11" t="n">
        <v>2</v>
      </c>
      <c r="C229" s="31" t="s">
        <v>62</v>
      </c>
      <c r="D229" s="31"/>
      <c r="E229" s="11" t="s">
        <v>215</v>
      </c>
      <c r="F229" s="11" t="s">
        <v>216</v>
      </c>
      <c r="G229" s="11"/>
      <c r="H229" s="11" t="s">
        <v>24</v>
      </c>
      <c r="I229" s="11"/>
      <c r="J229" s="11" t="s">
        <v>133</v>
      </c>
      <c r="K229" s="11" t="s">
        <v>148</v>
      </c>
      <c r="L229" s="11" t="s">
        <v>145</v>
      </c>
      <c r="M229" s="11" t="s">
        <v>100</v>
      </c>
      <c r="N229" s="32" t="n">
        <v>25036</v>
      </c>
      <c r="O229" s="33" t="n">
        <v>2542629.99</v>
      </c>
      <c r="P229" s="32" t="n">
        <v>25620</v>
      </c>
      <c r="Q229" s="34" t="n">
        <v>0.97</v>
      </c>
      <c r="R229" s="33" t="n">
        <v>94.76</v>
      </c>
      <c r="S229" s="33" t="n">
        <v>142.14</v>
      </c>
      <c r="T229" s="33" t="n">
        <v>101.56</v>
      </c>
      <c r="U229" s="11" t="n">
        <f aca="false">IFERROR(YEAR(A229),"")</f>
        <v>2025</v>
      </c>
      <c r="V229" s="33" t="n">
        <f aca="false">IFERROR(O229*B229,0)</f>
        <v>5085259.98</v>
      </c>
      <c r="W229" s="32" t="n">
        <f aca="false">IFERROR(N229*B229,0)</f>
        <v>50072</v>
      </c>
      <c r="X229" s="11" t="n">
        <f aca="false">IF(OR(ISNUMBER(SEARCH("live nation",L229)),ISNUMBER(SEARCH("ocesa",L229))),1,0)</f>
        <v>0</v>
      </c>
      <c r="Y229" s="11" t="s">
        <v>50</v>
      </c>
    </row>
    <row r="230" customFormat="false" ht="15" hidden="false" customHeight="false" outlineLevel="0" collapsed="false">
      <c r="A230" s="25" t="n">
        <v>45912</v>
      </c>
      <c r="B230" s="13" t="n">
        <v>1</v>
      </c>
      <c r="C230" s="26" t="s">
        <v>522</v>
      </c>
      <c r="D230" s="26"/>
      <c r="E230" s="13" t="s">
        <v>541</v>
      </c>
      <c r="F230" s="13" t="s">
        <v>374</v>
      </c>
      <c r="G230" s="13" t="s">
        <v>143</v>
      </c>
      <c r="H230" s="13" t="s">
        <v>20</v>
      </c>
      <c r="I230" s="13" t="s">
        <v>375</v>
      </c>
      <c r="J230" s="13" t="s">
        <v>106</v>
      </c>
      <c r="K230" s="13" t="s">
        <v>107</v>
      </c>
      <c r="L230" s="13" t="s">
        <v>177</v>
      </c>
      <c r="M230" s="13" t="s">
        <v>100</v>
      </c>
      <c r="N230" s="27" t="n">
        <v>443</v>
      </c>
      <c r="O230" s="28" t="n">
        <v>43467.5</v>
      </c>
      <c r="P230" s="27" t="n">
        <v>1673</v>
      </c>
      <c r="Q230" s="29" t="n">
        <v>0.26</v>
      </c>
      <c r="R230" s="28" t="n">
        <v>17.5</v>
      </c>
      <c r="S230" s="28" t="n">
        <v>177</v>
      </c>
      <c r="T230" s="28" t="n">
        <v>98.12</v>
      </c>
      <c r="U230" s="13" t="n">
        <f aca="false">IFERROR(YEAR(A230),"")</f>
        <v>2025</v>
      </c>
      <c r="V230" s="28" t="n">
        <f aca="false">IFERROR(O230*B230,0)</f>
        <v>43467.5</v>
      </c>
      <c r="W230" s="27" t="n">
        <f aca="false">IFERROR(N230*B230,0)</f>
        <v>443</v>
      </c>
      <c r="X230" s="13" t="n">
        <f aca="false">IF(OR(ISNUMBER(SEARCH("live nation",L230)),ISNUMBER(SEARCH("ocesa",L230))),1,0)</f>
        <v>1</v>
      </c>
      <c r="Y230" s="13" t="s">
        <v>49</v>
      </c>
    </row>
    <row r="231" customFormat="false" ht="15" hidden="false" customHeight="false" outlineLevel="0" collapsed="false">
      <c r="A231" s="30" t="n">
        <v>45912</v>
      </c>
      <c r="B231" s="11" t="n">
        <v>1</v>
      </c>
      <c r="C231" s="31" t="s">
        <v>542</v>
      </c>
      <c r="D231" s="31"/>
      <c r="E231" s="11" t="s">
        <v>305</v>
      </c>
      <c r="F231" s="11" t="s">
        <v>306</v>
      </c>
      <c r="G231" s="11" t="s">
        <v>188</v>
      </c>
      <c r="H231" s="11" t="s">
        <v>20</v>
      </c>
      <c r="I231" s="11" t="s">
        <v>307</v>
      </c>
      <c r="J231" s="11" t="s">
        <v>97</v>
      </c>
      <c r="K231" s="11" t="s">
        <v>107</v>
      </c>
      <c r="L231" s="11" t="s">
        <v>177</v>
      </c>
      <c r="M231" s="11" t="s">
        <v>100</v>
      </c>
      <c r="N231" s="32" t="n">
        <v>7085</v>
      </c>
      <c r="O231" s="33" t="n">
        <v>958951.8</v>
      </c>
      <c r="P231" s="32" t="n">
        <v>7085</v>
      </c>
      <c r="Q231" s="34" t="n">
        <v>1</v>
      </c>
      <c r="R231" s="33" t="n">
        <v>59.5</v>
      </c>
      <c r="S231" s="33" t="n">
        <v>179.59</v>
      </c>
      <c r="T231" s="33" t="n">
        <v>135.35</v>
      </c>
      <c r="U231" s="11" t="n">
        <f aca="false">IFERROR(YEAR(A231),"")</f>
        <v>2025</v>
      </c>
      <c r="V231" s="33" t="n">
        <f aca="false">IFERROR(O231*B231,0)</f>
        <v>958951.8</v>
      </c>
      <c r="W231" s="32" t="n">
        <f aca="false">IFERROR(N231*B231,0)</f>
        <v>7085</v>
      </c>
      <c r="X231" s="11" t="n">
        <f aca="false">IF(OR(ISNUMBER(SEARCH("live nation",L231)),ISNUMBER(SEARCH("ocesa",L231))),1,0)</f>
        <v>1</v>
      </c>
      <c r="Y231" s="11" t="s">
        <v>49</v>
      </c>
    </row>
    <row r="232" customFormat="false" ht="15" hidden="false" customHeight="false" outlineLevel="0" collapsed="false">
      <c r="A232" s="25" t="n">
        <v>45912</v>
      </c>
      <c r="B232" s="13" t="n">
        <v>1</v>
      </c>
      <c r="C232" s="26" t="s">
        <v>63</v>
      </c>
      <c r="D232" s="26"/>
      <c r="E232" s="13" t="s">
        <v>486</v>
      </c>
      <c r="F232" s="13" t="s">
        <v>203</v>
      </c>
      <c r="G232" s="13" t="s">
        <v>202</v>
      </c>
      <c r="H232" s="13" t="s">
        <v>20</v>
      </c>
      <c r="I232" s="13" t="s">
        <v>203</v>
      </c>
      <c r="J232" s="13" t="s">
        <v>133</v>
      </c>
      <c r="K232" s="13" t="s">
        <v>107</v>
      </c>
      <c r="L232" s="13" t="s">
        <v>508</v>
      </c>
      <c r="M232" s="13" t="s">
        <v>100</v>
      </c>
      <c r="N232" s="27" t="n">
        <v>20469</v>
      </c>
      <c r="O232" s="28" t="n">
        <v>3556302</v>
      </c>
      <c r="P232" s="27" t="n">
        <v>24000</v>
      </c>
      <c r="Q232" s="29" t="n">
        <v>0.85</v>
      </c>
      <c r="R232" s="28" t="n">
        <v>173.74</v>
      </c>
      <c r="S232" s="28" t="n">
        <v>173.74</v>
      </c>
      <c r="T232" s="28" t="n">
        <v>173.74</v>
      </c>
      <c r="U232" s="13" t="n">
        <f aca="false">IFERROR(YEAR(A232),"")</f>
        <v>2025</v>
      </c>
      <c r="V232" s="28" t="n">
        <f aca="false">IFERROR(O232*B232,0)</f>
        <v>3556302</v>
      </c>
      <c r="W232" s="27" t="n">
        <f aca="false">IFERROR(N232*B232,0)</f>
        <v>20469</v>
      </c>
      <c r="X232" s="13" t="n">
        <f aca="false">IF(OR(ISNUMBER(SEARCH("live nation",L232)),ISNUMBER(SEARCH("ocesa",L232))),1,0)</f>
        <v>0</v>
      </c>
      <c r="Y232" s="13" t="s">
        <v>49</v>
      </c>
    </row>
    <row r="233" customFormat="false" ht="15" hidden="false" customHeight="false" outlineLevel="0" collapsed="false">
      <c r="A233" s="30" t="n">
        <v>45912</v>
      </c>
      <c r="B233" s="11" t="n">
        <v>1</v>
      </c>
      <c r="C233" s="31" t="s">
        <v>518</v>
      </c>
      <c r="D233" s="31"/>
      <c r="E233" s="11" t="s">
        <v>433</v>
      </c>
      <c r="F233" s="11" t="s">
        <v>139</v>
      </c>
      <c r="G233" s="11" t="s">
        <v>139</v>
      </c>
      <c r="H233" s="11" t="s">
        <v>20</v>
      </c>
      <c r="I233" s="11" t="s">
        <v>139</v>
      </c>
      <c r="J233" s="11" t="s">
        <v>121</v>
      </c>
      <c r="K233" s="11" t="s">
        <v>107</v>
      </c>
      <c r="L233" s="11" t="s">
        <v>390</v>
      </c>
      <c r="M233" s="11" t="s">
        <v>100</v>
      </c>
      <c r="N233" s="32" t="n">
        <v>2020</v>
      </c>
      <c r="O233" s="33" t="n">
        <v>229911.9</v>
      </c>
      <c r="P233" s="32" t="n">
        <v>3358</v>
      </c>
      <c r="Q233" s="34" t="n">
        <v>0.6</v>
      </c>
      <c r="R233" s="33" t="n">
        <v>47</v>
      </c>
      <c r="S233" s="33" t="n">
        <v>249</v>
      </c>
      <c r="T233" s="33" t="n">
        <v>113.82</v>
      </c>
      <c r="U233" s="11" t="n">
        <f aca="false">IFERROR(YEAR(A233),"")</f>
        <v>2025</v>
      </c>
      <c r="V233" s="33" t="n">
        <f aca="false">IFERROR(O233*B233,0)</f>
        <v>229911.9</v>
      </c>
      <c r="W233" s="32" t="n">
        <f aca="false">IFERROR(N233*B233,0)</f>
        <v>2020</v>
      </c>
      <c r="X233" s="11" t="n">
        <f aca="false">IF(OR(ISNUMBER(SEARCH("live nation",L233)),ISNUMBER(SEARCH("ocesa",L233))),1,0)</f>
        <v>0</v>
      </c>
      <c r="Y233" s="11" t="s">
        <v>49</v>
      </c>
    </row>
    <row r="234" customFormat="false" ht="15" hidden="false" customHeight="false" outlineLevel="0" collapsed="false">
      <c r="A234" s="25" t="n">
        <v>45910</v>
      </c>
      <c r="B234" s="13" t="n">
        <v>1</v>
      </c>
      <c r="C234" s="26" t="s">
        <v>542</v>
      </c>
      <c r="D234" s="26"/>
      <c r="E234" s="13" t="s">
        <v>230</v>
      </c>
      <c r="F234" s="13" t="s">
        <v>231</v>
      </c>
      <c r="G234" s="13" t="s">
        <v>202</v>
      </c>
      <c r="H234" s="13" t="s">
        <v>20</v>
      </c>
      <c r="I234" s="13" t="s">
        <v>232</v>
      </c>
      <c r="J234" s="13" t="s">
        <v>97</v>
      </c>
      <c r="K234" s="13" t="s">
        <v>107</v>
      </c>
      <c r="L234" s="13" t="s">
        <v>177</v>
      </c>
      <c r="M234" s="13" t="s">
        <v>100</v>
      </c>
      <c r="N234" s="27" t="n">
        <v>6336</v>
      </c>
      <c r="O234" s="28" t="n">
        <v>680423.39</v>
      </c>
      <c r="P234" s="27" t="n">
        <v>8247</v>
      </c>
      <c r="Q234" s="29" t="n">
        <v>0.76</v>
      </c>
      <c r="R234" s="28" t="n">
        <v>37.62</v>
      </c>
      <c r="S234" s="28" t="n">
        <v>170.95</v>
      </c>
      <c r="T234" s="28" t="n">
        <v>107.39</v>
      </c>
      <c r="U234" s="13" t="n">
        <f aca="false">IFERROR(YEAR(A234),"")</f>
        <v>2025</v>
      </c>
      <c r="V234" s="28" t="n">
        <f aca="false">IFERROR(O234*B234,0)</f>
        <v>680423.39</v>
      </c>
      <c r="W234" s="27" t="n">
        <f aca="false">IFERROR(N234*B234,0)</f>
        <v>6336</v>
      </c>
      <c r="X234" s="13" t="n">
        <f aca="false">IF(OR(ISNUMBER(SEARCH("live nation",L234)),ISNUMBER(SEARCH("ocesa",L234))),1,0)</f>
        <v>1</v>
      </c>
      <c r="Y234" s="13" t="s">
        <v>49</v>
      </c>
    </row>
    <row r="235" customFormat="false" ht="15" hidden="false" customHeight="false" outlineLevel="0" collapsed="false">
      <c r="A235" s="30" t="n">
        <v>45909</v>
      </c>
      <c r="B235" s="11" t="n">
        <v>1</v>
      </c>
      <c r="C235" s="31" t="s">
        <v>63</v>
      </c>
      <c r="D235" s="31"/>
      <c r="E235" s="11" t="s">
        <v>543</v>
      </c>
      <c r="F235" s="11" t="s">
        <v>404</v>
      </c>
      <c r="G235" s="11" t="s">
        <v>202</v>
      </c>
      <c r="H235" s="11" t="s">
        <v>20</v>
      </c>
      <c r="I235" s="11" t="s">
        <v>232</v>
      </c>
      <c r="J235" s="11" t="s">
        <v>97</v>
      </c>
      <c r="K235" s="11" t="s">
        <v>107</v>
      </c>
      <c r="L235" s="11" t="s">
        <v>508</v>
      </c>
      <c r="M235" s="11" t="s">
        <v>100</v>
      </c>
      <c r="N235" s="32" t="n">
        <v>10119</v>
      </c>
      <c r="O235" s="33" t="n">
        <v>1842778</v>
      </c>
      <c r="P235" s="32" t="n">
        <v>10739</v>
      </c>
      <c r="Q235" s="34" t="n">
        <v>0.94</v>
      </c>
      <c r="R235" s="33" t="n">
        <v>189.5</v>
      </c>
      <c r="S235" s="33" t="n">
        <v>659.5</v>
      </c>
      <c r="T235" s="33" t="n">
        <v>182.11</v>
      </c>
      <c r="U235" s="11" t="n">
        <f aca="false">IFERROR(YEAR(A235),"")</f>
        <v>2025</v>
      </c>
      <c r="V235" s="33" t="n">
        <f aca="false">IFERROR(O235*B235,0)</f>
        <v>1842778</v>
      </c>
      <c r="W235" s="32" t="n">
        <f aca="false">IFERROR(N235*B235,0)</f>
        <v>10119</v>
      </c>
      <c r="X235" s="11" t="n">
        <f aca="false">IF(OR(ISNUMBER(SEARCH("live nation",L235)),ISNUMBER(SEARCH("ocesa",L235))),1,0)</f>
        <v>0</v>
      </c>
      <c r="Y235" s="11" t="s">
        <v>49</v>
      </c>
    </row>
    <row r="236" customFormat="false" ht="15" hidden="false" customHeight="false" outlineLevel="0" collapsed="false">
      <c r="A236" s="25" t="n">
        <v>45909</v>
      </c>
      <c r="B236" s="13" t="n">
        <v>1</v>
      </c>
      <c r="C236" s="26" t="s">
        <v>522</v>
      </c>
      <c r="D236" s="26"/>
      <c r="E236" s="13" t="s">
        <v>544</v>
      </c>
      <c r="F236" s="13" t="s">
        <v>209</v>
      </c>
      <c r="G236" s="13" t="s">
        <v>208</v>
      </c>
      <c r="H236" s="13" t="s">
        <v>20</v>
      </c>
      <c r="I236" s="13" t="s">
        <v>209</v>
      </c>
      <c r="J236" s="13" t="s">
        <v>106</v>
      </c>
      <c r="K236" s="13" t="s">
        <v>107</v>
      </c>
      <c r="L236" s="13" t="s">
        <v>545</v>
      </c>
      <c r="M236" s="13" t="s">
        <v>100</v>
      </c>
      <c r="N236" s="27" t="n">
        <v>310</v>
      </c>
      <c r="O236" s="28" t="n">
        <v>29895</v>
      </c>
      <c r="P236" s="27" t="n">
        <v>948</v>
      </c>
      <c r="Q236" s="29" t="n">
        <v>0.32</v>
      </c>
      <c r="R236" s="28" t="n">
        <v>17.25</v>
      </c>
      <c r="S236" s="28" t="n">
        <v>104.5</v>
      </c>
      <c r="T236" s="28" t="n">
        <v>96.44</v>
      </c>
      <c r="U236" s="13" t="n">
        <f aca="false">IFERROR(YEAR(A236),"")</f>
        <v>2025</v>
      </c>
      <c r="V236" s="28" t="n">
        <f aca="false">IFERROR(O236*B236,0)</f>
        <v>29895</v>
      </c>
      <c r="W236" s="27" t="n">
        <f aca="false">IFERROR(N236*B236,0)</f>
        <v>310</v>
      </c>
      <c r="X236" s="13" t="n">
        <f aca="false">IF(OR(ISNUMBER(SEARCH("live nation",L236)),ISNUMBER(SEARCH("ocesa",L236))),1,0)</f>
        <v>0</v>
      </c>
      <c r="Y236" s="13" t="s">
        <v>49</v>
      </c>
    </row>
    <row r="237" customFormat="false" ht="15" hidden="false" customHeight="false" outlineLevel="0" collapsed="false">
      <c r="A237" s="30" t="n">
        <v>45907</v>
      </c>
      <c r="B237" s="11" t="n">
        <v>1</v>
      </c>
      <c r="C237" s="31" t="s">
        <v>522</v>
      </c>
      <c r="D237" s="31"/>
      <c r="E237" s="11" t="s">
        <v>546</v>
      </c>
      <c r="F237" s="11" t="s">
        <v>547</v>
      </c>
      <c r="G237" s="11" t="s">
        <v>180</v>
      </c>
      <c r="H237" s="11" t="s">
        <v>20</v>
      </c>
      <c r="I237" s="11" t="s">
        <v>547</v>
      </c>
      <c r="J237" s="11" t="s">
        <v>121</v>
      </c>
      <c r="K237" s="11" t="s">
        <v>107</v>
      </c>
      <c r="L237" s="11" t="s">
        <v>177</v>
      </c>
      <c r="M237" s="11" t="s">
        <v>100</v>
      </c>
      <c r="N237" s="32" t="n">
        <v>372</v>
      </c>
      <c r="O237" s="33" t="n">
        <v>34256.25</v>
      </c>
      <c r="P237" s="32" t="n">
        <v>1388</v>
      </c>
      <c r="Q237" s="34" t="n">
        <v>0.26</v>
      </c>
      <c r="R237" s="33" t="n">
        <v>28</v>
      </c>
      <c r="S237" s="33" t="n">
        <v>118</v>
      </c>
      <c r="T237" s="33" t="n">
        <v>92.09</v>
      </c>
      <c r="U237" s="11" t="n">
        <f aca="false">IFERROR(YEAR(A237),"")</f>
        <v>2025</v>
      </c>
      <c r="V237" s="33" t="n">
        <f aca="false">IFERROR(O237*B237,0)</f>
        <v>34256.25</v>
      </c>
      <c r="W237" s="32" t="n">
        <f aca="false">IFERROR(N237*B237,0)</f>
        <v>372</v>
      </c>
      <c r="X237" s="11" t="n">
        <f aca="false">IF(OR(ISNUMBER(SEARCH("live nation",L237)),ISNUMBER(SEARCH("ocesa",L237))),1,0)</f>
        <v>1</v>
      </c>
      <c r="Y237" s="11" t="s">
        <v>49</v>
      </c>
    </row>
    <row r="238" customFormat="false" ht="15" hidden="false" customHeight="false" outlineLevel="0" collapsed="false">
      <c r="A238" s="25" t="n">
        <v>45907</v>
      </c>
      <c r="B238" s="13" t="n">
        <v>1</v>
      </c>
      <c r="C238" s="26" t="s">
        <v>542</v>
      </c>
      <c r="D238" s="26"/>
      <c r="E238" s="13" t="s">
        <v>501</v>
      </c>
      <c r="F238" s="13" t="s">
        <v>502</v>
      </c>
      <c r="G238" s="13" t="s">
        <v>143</v>
      </c>
      <c r="H238" s="13" t="s">
        <v>20</v>
      </c>
      <c r="I238" s="13" t="s">
        <v>375</v>
      </c>
      <c r="J238" s="13" t="s">
        <v>97</v>
      </c>
      <c r="K238" s="13" t="s">
        <v>107</v>
      </c>
      <c r="L238" s="13" t="s">
        <v>177</v>
      </c>
      <c r="M238" s="13" t="s">
        <v>100</v>
      </c>
      <c r="N238" s="27" t="n">
        <v>5886</v>
      </c>
      <c r="O238" s="28" t="n">
        <v>586800</v>
      </c>
      <c r="P238" s="27" t="n">
        <v>7409</v>
      </c>
      <c r="Q238" s="29" t="n">
        <v>0.79</v>
      </c>
      <c r="R238" s="28" t="n">
        <v>59.5</v>
      </c>
      <c r="S238" s="28" t="n">
        <v>179.5</v>
      </c>
      <c r="T238" s="28" t="n">
        <v>99.69</v>
      </c>
      <c r="U238" s="13" t="n">
        <f aca="false">IFERROR(YEAR(A238),"")</f>
        <v>2025</v>
      </c>
      <c r="V238" s="28" t="n">
        <f aca="false">IFERROR(O238*B238,0)</f>
        <v>586800</v>
      </c>
      <c r="W238" s="27" t="n">
        <f aca="false">IFERROR(N238*B238,0)</f>
        <v>5886</v>
      </c>
      <c r="X238" s="13" t="n">
        <f aca="false">IF(OR(ISNUMBER(SEARCH("live nation",L238)),ISNUMBER(SEARCH("ocesa",L238))),1,0)</f>
        <v>1</v>
      </c>
      <c r="Y238" s="13" t="s">
        <v>49</v>
      </c>
    </row>
    <row r="239" customFormat="false" ht="15" hidden="false" customHeight="false" outlineLevel="0" collapsed="false">
      <c r="A239" s="30" t="n">
        <v>45905</v>
      </c>
      <c r="B239" s="11" t="n">
        <v>1</v>
      </c>
      <c r="C239" s="31" t="s">
        <v>522</v>
      </c>
      <c r="D239" s="31"/>
      <c r="E239" s="11" t="s">
        <v>548</v>
      </c>
      <c r="F239" s="11" t="s">
        <v>139</v>
      </c>
      <c r="G239" s="11" t="s">
        <v>139</v>
      </c>
      <c r="H239" s="11" t="s">
        <v>20</v>
      </c>
      <c r="I239" s="11" t="s">
        <v>139</v>
      </c>
      <c r="J239" s="11" t="s">
        <v>106</v>
      </c>
      <c r="K239" s="11" t="s">
        <v>107</v>
      </c>
      <c r="L239" s="11" t="s">
        <v>390</v>
      </c>
      <c r="M239" s="11" t="s">
        <v>100</v>
      </c>
      <c r="N239" s="32" t="n">
        <v>594</v>
      </c>
      <c r="O239" s="33" t="n">
        <v>60531.35</v>
      </c>
      <c r="P239" s="32" t="n">
        <v>1186</v>
      </c>
      <c r="Q239" s="34" t="n">
        <v>0.5</v>
      </c>
      <c r="R239" s="33" t="n">
        <v>20</v>
      </c>
      <c r="S239" s="33" t="n">
        <v>142</v>
      </c>
      <c r="T239" s="33" t="n">
        <v>101.9</v>
      </c>
      <c r="U239" s="11" t="n">
        <f aca="false">IFERROR(YEAR(A239),"")</f>
        <v>2025</v>
      </c>
      <c r="V239" s="33" t="n">
        <f aca="false">IFERROR(O239*B239,0)</f>
        <v>60531.35</v>
      </c>
      <c r="W239" s="32" t="n">
        <f aca="false">IFERROR(N239*B239,0)</f>
        <v>594</v>
      </c>
      <c r="X239" s="11" t="n">
        <f aca="false">IF(OR(ISNUMBER(SEARCH("live nation",L239)),ISNUMBER(SEARCH("ocesa",L239))),1,0)</f>
        <v>0</v>
      </c>
      <c r="Y239" s="11" t="s">
        <v>49</v>
      </c>
    </row>
    <row r="240" customFormat="false" ht="15" hidden="false" customHeight="false" outlineLevel="0" collapsed="false">
      <c r="A240" s="25" t="n">
        <v>45905</v>
      </c>
      <c r="B240" s="13" t="n">
        <v>1</v>
      </c>
      <c r="C240" s="26" t="s">
        <v>542</v>
      </c>
      <c r="D240" s="26"/>
      <c r="E240" s="13" t="s">
        <v>345</v>
      </c>
      <c r="F240" s="13" t="s">
        <v>346</v>
      </c>
      <c r="G240" s="13" t="s">
        <v>347</v>
      </c>
      <c r="H240" s="13" t="s">
        <v>20</v>
      </c>
      <c r="I240" s="13" t="s">
        <v>346</v>
      </c>
      <c r="J240" s="13" t="s">
        <v>97</v>
      </c>
      <c r="K240" s="13" t="s">
        <v>107</v>
      </c>
      <c r="L240" s="13" t="s">
        <v>177</v>
      </c>
      <c r="M240" s="13" t="s">
        <v>100</v>
      </c>
      <c r="N240" s="27" t="n">
        <v>5083</v>
      </c>
      <c r="O240" s="28" t="n">
        <v>407557.66</v>
      </c>
      <c r="P240" s="27" t="n">
        <v>5083</v>
      </c>
      <c r="Q240" s="29" t="n">
        <v>1</v>
      </c>
      <c r="R240" s="28" t="n">
        <v>39.5</v>
      </c>
      <c r="S240" s="28" t="n">
        <v>179.5</v>
      </c>
      <c r="T240" s="28" t="n">
        <v>80.18</v>
      </c>
      <c r="U240" s="13" t="n">
        <f aca="false">IFERROR(YEAR(A240),"")</f>
        <v>2025</v>
      </c>
      <c r="V240" s="28" t="n">
        <f aca="false">IFERROR(O240*B240,0)</f>
        <v>407557.66</v>
      </c>
      <c r="W240" s="27" t="n">
        <f aca="false">IFERROR(N240*B240,0)</f>
        <v>5083</v>
      </c>
      <c r="X240" s="13" t="n">
        <f aca="false">IF(OR(ISNUMBER(SEARCH("live nation",L240)),ISNUMBER(SEARCH("ocesa",L240))),1,0)</f>
        <v>1</v>
      </c>
      <c r="Y240" s="13" t="s">
        <v>49</v>
      </c>
    </row>
    <row r="241" customFormat="false" ht="15" hidden="false" customHeight="false" outlineLevel="0" collapsed="false">
      <c r="A241" s="30" t="n">
        <v>45903</v>
      </c>
      <c r="B241" s="11" t="n">
        <v>1</v>
      </c>
      <c r="C241" s="31" t="s">
        <v>522</v>
      </c>
      <c r="D241" s="31"/>
      <c r="E241" s="11" t="s">
        <v>549</v>
      </c>
      <c r="F241" s="11" t="s">
        <v>550</v>
      </c>
      <c r="G241" s="11" t="s">
        <v>328</v>
      </c>
      <c r="H241" s="11" t="s">
        <v>128</v>
      </c>
      <c r="I241" s="11"/>
      <c r="J241" s="11" t="s">
        <v>121</v>
      </c>
      <c r="K241" s="11" t="s">
        <v>129</v>
      </c>
      <c r="L241" s="11" t="s">
        <v>177</v>
      </c>
      <c r="M241" s="11" t="s">
        <v>100</v>
      </c>
      <c r="N241" s="32" t="n">
        <v>706</v>
      </c>
      <c r="O241" s="33" t="n">
        <v>53609.52</v>
      </c>
      <c r="P241" s="32" t="n">
        <v>823</v>
      </c>
      <c r="Q241" s="34" t="n">
        <v>0.85</v>
      </c>
      <c r="R241" s="33" t="n">
        <v>21.38</v>
      </c>
      <c r="S241" s="33" t="n">
        <v>129.75</v>
      </c>
      <c r="T241" s="33" t="n">
        <v>75.93</v>
      </c>
      <c r="U241" s="11" t="n">
        <f aca="false">IFERROR(YEAR(A241),"")</f>
        <v>2025</v>
      </c>
      <c r="V241" s="33" t="n">
        <f aca="false">IFERROR(O241*B241,0)</f>
        <v>53609.52</v>
      </c>
      <c r="W241" s="32" t="n">
        <f aca="false">IFERROR(N241*B241,0)</f>
        <v>706</v>
      </c>
      <c r="X241" s="11" t="n">
        <f aca="false">IF(OR(ISNUMBER(SEARCH("live nation",L241)),ISNUMBER(SEARCH("ocesa",L241))),1,0)</f>
        <v>1</v>
      </c>
      <c r="Y241" s="11" t="s">
        <v>49</v>
      </c>
    </row>
    <row r="242" customFormat="false" ht="15" hidden="false" customHeight="false" outlineLevel="0" collapsed="false">
      <c r="A242" s="25" t="n">
        <v>45903</v>
      </c>
      <c r="B242" s="13" t="n">
        <v>1</v>
      </c>
      <c r="C242" s="26" t="s">
        <v>64</v>
      </c>
      <c r="D242" s="26"/>
      <c r="E242" s="13" t="s">
        <v>551</v>
      </c>
      <c r="F242" s="13" t="s">
        <v>552</v>
      </c>
      <c r="G242" s="13"/>
      <c r="H242" s="13" t="s">
        <v>26</v>
      </c>
      <c r="I242" s="13"/>
      <c r="J242" s="13" t="s">
        <v>97</v>
      </c>
      <c r="K242" s="13" t="s">
        <v>173</v>
      </c>
      <c r="L242" s="13" t="s">
        <v>508</v>
      </c>
      <c r="M242" s="13" t="s">
        <v>100</v>
      </c>
      <c r="N242" s="27" t="n">
        <v>12953</v>
      </c>
      <c r="O242" s="28" t="n">
        <v>2292322.72</v>
      </c>
      <c r="P242" s="27" t="n">
        <v>12953</v>
      </c>
      <c r="Q242" s="29" t="n">
        <v>1</v>
      </c>
      <c r="R242" s="28" t="n">
        <v>91.83</v>
      </c>
      <c r="S242" s="28" t="n">
        <v>523.06</v>
      </c>
      <c r="T242" s="28" t="n">
        <v>176.97</v>
      </c>
      <c r="U242" s="13" t="n">
        <f aca="false">IFERROR(YEAR(A242),"")</f>
        <v>2025</v>
      </c>
      <c r="V242" s="28" t="n">
        <f aca="false">IFERROR(O242*B242,0)</f>
        <v>2292322.72</v>
      </c>
      <c r="W242" s="27" t="n">
        <f aca="false">IFERROR(N242*B242,0)</f>
        <v>12953</v>
      </c>
      <c r="X242" s="13" t="n">
        <f aca="false">IF(OR(ISNUMBER(SEARCH("live nation",L242)),ISNUMBER(SEARCH("ocesa",L242))),1,0)</f>
        <v>0</v>
      </c>
      <c r="Y242" s="13" t="s">
        <v>49</v>
      </c>
    </row>
    <row r="243" customFormat="false" ht="15" hidden="false" customHeight="false" outlineLevel="0" collapsed="false">
      <c r="A243" s="30" t="n">
        <v>45902</v>
      </c>
      <c r="B243" s="11" t="n">
        <v>1</v>
      </c>
      <c r="C243" s="31" t="s">
        <v>542</v>
      </c>
      <c r="D243" s="31"/>
      <c r="E243" s="11" t="s">
        <v>206</v>
      </c>
      <c r="F243" s="11" t="s">
        <v>207</v>
      </c>
      <c r="G243" s="11" t="s">
        <v>208</v>
      </c>
      <c r="H243" s="11" t="s">
        <v>20</v>
      </c>
      <c r="I243" s="11" t="s">
        <v>209</v>
      </c>
      <c r="J243" s="11" t="s">
        <v>97</v>
      </c>
      <c r="K243" s="11" t="s">
        <v>107</v>
      </c>
      <c r="L243" s="11" t="s">
        <v>177</v>
      </c>
      <c r="M243" s="11" t="s">
        <v>100</v>
      </c>
      <c r="N243" s="32" t="n">
        <v>3636</v>
      </c>
      <c r="O243" s="33" t="n">
        <v>338246.5</v>
      </c>
      <c r="P243" s="32" t="n">
        <v>3636</v>
      </c>
      <c r="Q243" s="34" t="n">
        <v>1</v>
      </c>
      <c r="R243" s="33" t="n">
        <v>59.5</v>
      </c>
      <c r="S243" s="33" t="n">
        <v>179.5</v>
      </c>
      <c r="T243" s="33" t="n">
        <v>93.03</v>
      </c>
      <c r="U243" s="11" t="n">
        <f aca="false">IFERROR(YEAR(A243),"")</f>
        <v>2025</v>
      </c>
      <c r="V243" s="33" t="n">
        <f aca="false">IFERROR(O243*B243,0)</f>
        <v>338246.5</v>
      </c>
      <c r="W243" s="32" t="n">
        <f aca="false">IFERROR(N243*B243,0)</f>
        <v>3636</v>
      </c>
      <c r="X243" s="11" t="n">
        <f aca="false">IF(OR(ISNUMBER(SEARCH("live nation",L243)),ISNUMBER(SEARCH("ocesa",L243))),1,0)</f>
        <v>1</v>
      </c>
      <c r="Y243" s="11" t="s">
        <v>49</v>
      </c>
    </row>
    <row r="244" customFormat="false" ht="15" hidden="false" customHeight="false" outlineLevel="0" collapsed="false">
      <c r="A244" s="25" t="n">
        <v>45901</v>
      </c>
      <c r="B244" s="13" t="n">
        <v>1</v>
      </c>
      <c r="C244" s="26" t="s">
        <v>64</v>
      </c>
      <c r="D244" s="26"/>
      <c r="E244" s="13" t="s">
        <v>553</v>
      </c>
      <c r="F244" s="13" t="s">
        <v>349</v>
      </c>
      <c r="G244" s="13"/>
      <c r="H244" s="13" t="s">
        <v>350</v>
      </c>
      <c r="I244" s="13"/>
      <c r="J244" s="13" t="s">
        <v>97</v>
      </c>
      <c r="K244" s="13" t="s">
        <v>173</v>
      </c>
      <c r="L244" s="13" t="s">
        <v>508</v>
      </c>
      <c r="M244" s="13" t="s">
        <v>100</v>
      </c>
      <c r="N244" s="27" t="n">
        <v>12658</v>
      </c>
      <c r="O244" s="28" t="n">
        <v>2278386.65</v>
      </c>
      <c r="P244" s="27" t="n">
        <v>12805</v>
      </c>
      <c r="Q244" s="29" t="n">
        <v>0.98</v>
      </c>
      <c r="R244" s="28" t="n">
        <v>70.25</v>
      </c>
      <c r="S244" s="28" t="n">
        <v>526.87</v>
      </c>
      <c r="T244" s="28" t="n">
        <v>180</v>
      </c>
      <c r="U244" s="13" t="n">
        <f aca="false">IFERROR(YEAR(A244),"")</f>
        <v>2025</v>
      </c>
      <c r="V244" s="28" t="n">
        <f aca="false">IFERROR(O244*B244,0)</f>
        <v>2278386.65</v>
      </c>
      <c r="W244" s="27" t="n">
        <f aca="false">IFERROR(N244*B244,0)</f>
        <v>12658</v>
      </c>
      <c r="X244" s="13" t="n">
        <f aca="false">IF(OR(ISNUMBER(SEARCH("live nation",L244)),ISNUMBER(SEARCH("ocesa",L244))),1,0)</f>
        <v>0</v>
      </c>
      <c r="Y244" s="13" t="s">
        <v>49</v>
      </c>
    </row>
    <row r="245" customFormat="false" ht="15" hidden="false" customHeight="false" outlineLevel="0" collapsed="false">
      <c r="A245" s="30" t="n">
        <v>45900</v>
      </c>
      <c r="B245" s="11" t="n">
        <v>1</v>
      </c>
      <c r="C245" s="31" t="s">
        <v>528</v>
      </c>
      <c r="D245" s="31"/>
      <c r="E245" s="11" t="s">
        <v>554</v>
      </c>
      <c r="F245" s="11" t="s">
        <v>395</v>
      </c>
      <c r="G245" s="11" t="s">
        <v>396</v>
      </c>
      <c r="H245" s="11" t="s">
        <v>20</v>
      </c>
      <c r="I245" s="11" t="s">
        <v>395</v>
      </c>
      <c r="J245" s="11" t="s">
        <v>97</v>
      </c>
      <c r="K245" s="11" t="s">
        <v>107</v>
      </c>
      <c r="L245" s="11" t="s">
        <v>531</v>
      </c>
      <c r="M245" s="11" t="s">
        <v>100</v>
      </c>
      <c r="N245" s="32" t="n">
        <v>13045</v>
      </c>
      <c r="O245" s="33" t="n">
        <v>3378552</v>
      </c>
      <c r="P245" s="32" t="n">
        <v>13045</v>
      </c>
      <c r="Q245" s="34" t="n">
        <v>1</v>
      </c>
      <c r="R245" s="33" t="n">
        <v>92.66</v>
      </c>
      <c r="S245" s="33" t="n">
        <v>768.46</v>
      </c>
      <c r="T245" s="33" t="n">
        <v>258.99</v>
      </c>
      <c r="U245" s="11" t="n">
        <f aca="false">IFERROR(YEAR(A245),"")</f>
        <v>2025</v>
      </c>
      <c r="V245" s="33" t="n">
        <f aca="false">IFERROR(O245*B245,0)</f>
        <v>3378552</v>
      </c>
      <c r="W245" s="32" t="n">
        <f aca="false">IFERROR(N245*B245,0)</f>
        <v>13045</v>
      </c>
      <c r="X245" s="11" t="n">
        <f aca="false">IF(OR(ISNUMBER(SEARCH("live nation",L245)),ISNUMBER(SEARCH("ocesa",L245))),1,0)</f>
        <v>0</v>
      </c>
      <c r="Y245" s="11" t="s">
        <v>49</v>
      </c>
    </row>
    <row r="246" customFormat="false" ht="15" hidden="false" customHeight="false" outlineLevel="0" collapsed="false">
      <c r="A246" s="25" t="n">
        <v>45900</v>
      </c>
      <c r="B246" s="13" t="n">
        <v>1</v>
      </c>
      <c r="C246" s="26" t="s">
        <v>555</v>
      </c>
      <c r="D246" s="26"/>
      <c r="E246" s="13" t="s">
        <v>111</v>
      </c>
      <c r="F246" s="13" t="s">
        <v>112</v>
      </c>
      <c r="G246" s="13"/>
      <c r="H246" s="13" t="s">
        <v>21</v>
      </c>
      <c r="I246" s="13"/>
      <c r="J246" s="13" t="s">
        <v>97</v>
      </c>
      <c r="K246" s="13" t="s">
        <v>113</v>
      </c>
      <c r="L246" s="13" t="s">
        <v>359</v>
      </c>
      <c r="M246" s="13" t="s">
        <v>277</v>
      </c>
      <c r="N246" s="27" t="n">
        <v>18623</v>
      </c>
      <c r="O246" s="28" t="n">
        <v>1899853.66</v>
      </c>
      <c r="P246" s="27" t="n">
        <v>18623</v>
      </c>
      <c r="Q246" s="29" t="n">
        <v>1</v>
      </c>
      <c r="R246" s="28" t="n">
        <v>102.02</v>
      </c>
      <c r="S246" s="28" t="n">
        <v>102.02</v>
      </c>
      <c r="T246" s="28" t="n">
        <v>102.02</v>
      </c>
      <c r="U246" s="13" t="n">
        <f aca="false">IFERROR(YEAR(A246),"")</f>
        <v>2025</v>
      </c>
      <c r="V246" s="28" t="n">
        <f aca="false">IFERROR(O246*B246,0)</f>
        <v>1899853.66</v>
      </c>
      <c r="W246" s="27" t="n">
        <f aca="false">IFERROR(N246*B246,0)</f>
        <v>18623</v>
      </c>
      <c r="X246" s="13" t="n">
        <f aca="false">IF(OR(ISNUMBER(SEARCH("live nation",L246)),ISNUMBER(SEARCH("ocesa",L246))),1,0)</f>
        <v>0</v>
      </c>
      <c r="Y246" s="13" t="s">
        <v>50</v>
      </c>
    </row>
    <row r="247" customFormat="false" ht="15" hidden="false" customHeight="false" outlineLevel="0" collapsed="false">
      <c r="A247" s="30" t="n">
        <v>45899</v>
      </c>
      <c r="B247" s="11" t="n">
        <v>1</v>
      </c>
      <c r="C247" s="31" t="s">
        <v>64</v>
      </c>
      <c r="D247" s="31"/>
      <c r="E247" s="11" t="s">
        <v>556</v>
      </c>
      <c r="F247" s="11" t="s">
        <v>557</v>
      </c>
      <c r="G247" s="11"/>
      <c r="H247" s="11" t="s">
        <v>558</v>
      </c>
      <c r="I247" s="11"/>
      <c r="J247" s="11" t="s">
        <v>97</v>
      </c>
      <c r="K247" s="11" t="s">
        <v>173</v>
      </c>
      <c r="L247" s="11" t="s">
        <v>508</v>
      </c>
      <c r="M247" s="11" t="s">
        <v>100</v>
      </c>
      <c r="N247" s="32" t="n">
        <v>11075</v>
      </c>
      <c r="O247" s="33" t="n">
        <v>1928110.6</v>
      </c>
      <c r="P247" s="32" t="n">
        <v>11123</v>
      </c>
      <c r="Q247" s="34" t="n">
        <v>0.99</v>
      </c>
      <c r="R247" s="33" t="n">
        <v>80.05</v>
      </c>
      <c r="S247" s="33" t="n">
        <v>523.51</v>
      </c>
      <c r="T247" s="33" t="n">
        <v>174.1</v>
      </c>
      <c r="U247" s="11" t="n">
        <f aca="false">IFERROR(YEAR(A247),"")</f>
        <v>2025</v>
      </c>
      <c r="V247" s="33" t="n">
        <f aca="false">IFERROR(O247*B247,0)</f>
        <v>1928110.6</v>
      </c>
      <c r="W247" s="32" t="n">
        <f aca="false">IFERROR(N247*B247,0)</f>
        <v>11075</v>
      </c>
      <c r="X247" s="11" t="n">
        <f aca="false">IF(OR(ISNUMBER(SEARCH("live nation",L247)),ISNUMBER(SEARCH("ocesa",L247))),1,0)</f>
        <v>0</v>
      </c>
      <c r="Y247" s="11" t="s">
        <v>49</v>
      </c>
    </row>
    <row r="248" customFormat="false" ht="15" hidden="false" customHeight="false" outlineLevel="0" collapsed="false">
      <c r="A248" s="25" t="n">
        <v>45899</v>
      </c>
      <c r="B248" s="13" t="n">
        <v>1</v>
      </c>
      <c r="C248" s="26" t="s">
        <v>555</v>
      </c>
      <c r="D248" s="26"/>
      <c r="E248" s="13" t="s">
        <v>111</v>
      </c>
      <c r="F248" s="13" t="s">
        <v>112</v>
      </c>
      <c r="G248" s="13"/>
      <c r="H248" s="13" t="s">
        <v>21</v>
      </c>
      <c r="I248" s="13"/>
      <c r="J248" s="13" t="s">
        <v>97</v>
      </c>
      <c r="K248" s="13" t="s">
        <v>113</v>
      </c>
      <c r="L248" s="13" t="s">
        <v>359</v>
      </c>
      <c r="M248" s="13" t="s">
        <v>277</v>
      </c>
      <c r="N248" s="27" t="n">
        <v>18623</v>
      </c>
      <c r="O248" s="28" t="n">
        <v>1899596.24</v>
      </c>
      <c r="P248" s="27" t="n">
        <v>18623</v>
      </c>
      <c r="Q248" s="29" t="n">
        <v>1</v>
      </c>
      <c r="R248" s="28" t="n">
        <v>102</v>
      </c>
      <c r="S248" s="28" t="n">
        <v>102</v>
      </c>
      <c r="T248" s="28" t="n">
        <v>102</v>
      </c>
      <c r="U248" s="13" t="n">
        <f aca="false">IFERROR(YEAR(A248),"")</f>
        <v>2025</v>
      </c>
      <c r="V248" s="28" t="n">
        <f aca="false">IFERROR(O248*B248,0)</f>
        <v>1899596.24</v>
      </c>
      <c r="W248" s="27" t="n">
        <f aca="false">IFERROR(N248*B248,0)</f>
        <v>18623</v>
      </c>
      <c r="X248" s="13" t="n">
        <f aca="false">IF(OR(ISNUMBER(SEARCH("live nation",L248)),ISNUMBER(SEARCH("ocesa",L248))),1,0)</f>
        <v>0</v>
      </c>
      <c r="Y248" s="13" t="s">
        <v>50</v>
      </c>
    </row>
    <row r="249" customFormat="false" ht="15" hidden="false" customHeight="false" outlineLevel="0" collapsed="false">
      <c r="A249" s="30" t="n">
        <v>45899</v>
      </c>
      <c r="B249" s="11" t="n">
        <v>1</v>
      </c>
      <c r="C249" s="31" t="s">
        <v>559</v>
      </c>
      <c r="D249" s="31"/>
      <c r="E249" s="11" t="s">
        <v>343</v>
      </c>
      <c r="F249" s="11" t="s">
        <v>344</v>
      </c>
      <c r="G249" s="11"/>
      <c r="H249" s="11" t="s">
        <v>25</v>
      </c>
      <c r="I249" s="11"/>
      <c r="J249" s="11" t="s">
        <v>133</v>
      </c>
      <c r="K249" s="11" t="s">
        <v>25</v>
      </c>
      <c r="L249" s="11" t="s">
        <v>177</v>
      </c>
      <c r="M249" s="11" t="s">
        <v>100</v>
      </c>
      <c r="N249" s="32" t="n">
        <v>38798</v>
      </c>
      <c r="O249" s="33" t="n">
        <v>6839145.47</v>
      </c>
      <c r="P249" s="32" t="n">
        <v>38798</v>
      </c>
      <c r="Q249" s="34" t="n">
        <v>1</v>
      </c>
      <c r="R249" s="33" t="n">
        <v>102.47</v>
      </c>
      <c r="S249" s="33" t="n">
        <v>320.48</v>
      </c>
      <c r="T249" s="33" t="n">
        <v>176.28</v>
      </c>
      <c r="U249" s="11" t="n">
        <f aca="false">IFERROR(YEAR(A249),"")</f>
        <v>2025</v>
      </c>
      <c r="V249" s="33" t="n">
        <f aca="false">IFERROR(O249*B249,0)</f>
        <v>6839145.47</v>
      </c>
      <c r="W249" s="32" t="n">
        <f aca="false">IFERROR(N249*B249,0)</f>
        <v>38798</v>
      </c>
      <c r="X249" s="11" t="n">
        <f aca="false">IF(OR(ISNUMBER(SEARCH("live nation",L249)),ISNUMBER(SEARCH("ocesa",L249))),1,0)</f>
        <v>1</v>
      </c>
      <c r="Y249" s="11" t="s">
        <v>50</v>
      </c>
    </row>
    <row r="250" customFormat="false" ht="15" hidden="false" customHeight="false" outlineLevel="0" collapsed="false">
      <c r="A250" s="25" t="n">
        <v>45897</v>
      </c>
      <c r="B250" s="13" t="n">
        <v>1</v>
      </c>
      <c r="C250" s="26" t="s">
        <v>64</v>
      </c>
      <c r="D250" s="26"/>
      <c r="E250" s="13" t="s">
        <v>560</v>
      </c>
      <c r="F250" s="13" t="s">
        <v>561</v>
      </c>
      <c r="G250" s="13"/>
      <c r="H250" s="13" t="s">
        <v>449</v>
      </c>
      <c r="I250" s="13"/>
      <c r="J250" s="13" t="s">
        <v>97</v>
      </c>
      <c r="K250" s="13" t="s">
        <v>173</v>
      </c>
      <c r="L250" s="13" t="s">
        <v>508</v>
      </c>
      <c r="M250" s="13" t="s">
        <v>100</v>
      </c>
      <c r="N250" s="27" t="n">
        <v>13505</v>
      </c>
      <c r="O250" s="28" t="n">
        <v>2323037.57</v>
      </c>
      <c r="P250" s="27" t="n">
        <v>13581</v>
      </c>
      <c r="Q250" s="29" t="n">
        <v>0.99</v>
      </c>
      <c r="R250" s="28" t="n">
        <v>72.19</v>
      </c>
      <c r="S250" s="28" t="n">
        <v>525.68</v>
      </c>
      <c r="T250" s="28" t="n">
        <v>172.01</v>
      </c>
      <c r="U250" s="13" t="n">
        <f aca="false">IFERROR(YEAR(A250),"")</f>
        <v>2025</v>
      </c>
      <c r="V250" s="28" t="n">
        <f aca="false">IFERROR(O250*B250,0)</f>
        <v>2323037.57</v>
      </c>
      <c r="W250" s="27" t="n">
        <f aca="false">IFERROR(N250*B250,0)</f>
        <v>13505</v>
      </c>
      <c r="X250" s="13" t="n">
        <f aca="false">IF(OR(ISNUMBER(SEARCH("live nation",L250)),ISNUMBER(SEARCH("ocesa",L250))),1,0)</f>
        <v>0</v>
      </c>
      <c r="Y250" s="13" t="s">
        <v>49</v>
      </c>
    </row>
    <row r="251" customFormat="false" ht="15" hidden="false" customHeight="false" outlineLevel="0" collapsed="false">
      <c r="A251" s="30" t="n">
        <v>45896</v>
      </c>
      <c r="B251" s="11" t="n">
        <v>1</v>
      </c>
      <c r="C251" s="31" t="s">
        <v>562</v>
      </c>
      <c r="D251" s="31"/>
      <c r="E251" s="11" t="s">
        <v>111</v>
      </c>
      <c r="F251" s="11" t="s">
        <v>112</v>
      </c>
      <c r="G251" s="11"/>
      <c r="H251" s="11" t="s">
        <v>21</v>
      </c>
      <c r="I251" s="11"/>
      <c r="J251" s="11" t="s">
        <v>97</v>
      </c>
      <c r="K251" s="11" t="s">
        <v>113</v>
      </c>
      <c r="L251" s="11"/>
      <c r="M251" s="11" t="s">
        <v>100</v>
      </c>
      <c r="N251" s="32" t="n">
        <v>18820</v>
      </c>
      <c r="O251" s="33" t="n">
        <v>763830.97</v>
      </c>
      <c r="P251" s="32" t="n">
        <v>18820</v>
      </c>
      <c r="Q251" s="34" t="n">
        <v>1</v>
      </c>
      <c r="R251" s="33" t="n">
        <v>40.59</v>
      </c>
      <c r="S251" s="33" t="n">
        <v>40.59</v>
      </c>
      <c r="T251" s="33" t="n">
        <v>40.59</v>
      </c>
      <c r="U251" s="11" t="n">
        <f aca="false">IFERROR(YEAR(A251),"")</f>
        <v>2025</v>
      </c>
      <c r="V251" s="33" t="n">
        <f aca="false">IFERROR(O251*B251,0)</f>
        <v>763830.97</v>
      </c>
      <c r="W251" s="32" t="n">
        <f aca="false">IFERROR(N251*B251,0)</f>
        <v>18820</v>
      </c>
      <c r="X251" s="11" t="n">
        <f aca="false">IF(OR(ISNUMBER(SEARCH("live nation",L251)),ISNUMBER(SEARCH("ocesa",L251))),1,0)</f>
        <v>0</v>
      </c>
      <c r="Y251" s="11" t="s">
        <v>50</v>
      </c>
    </row>
    <row r="252" customFormat="false" ht="15" hidden="false" customHeight="false" outlineLevel="0" collapsed="false">
      <c r="A252" s="25" t="n">
        <v>45895</v>
      </c>
      <c r="B252" s="13" t="n">
        <v>1</v>
      </c>
      <c r="C252" s="26" t="s">
        <v>562</v>
      </c>
      <c r="D252" s="26"/>
      <c r="E252" s="13" t="s">
        <v>111</v>
      </c>
      <c r="F252" s="13" t="s">
        <v>112</v>
      </c>
      <c r="G252" s="13"/>
      <c r="H252" s="13" t="s">
        <v>21</v>
      </c>
      <c r="I252" s="13"/>
      <c r="J252" s="13" t="s">
        <v>97</v>
      </c>
      <c r="K252" s="13" t="s">
        <v>113</v>
      </c>
      <c r="L252" s="13" t="s">
        <v>563</v>
      </c>
      <c r="M252" s="13" t="s">
        <v>100</v>
      </c>
      <c r="N252" s="27" t="n">
        <v>18820</v>
      </c>
      <c r="O252" s="28" t="n">
        <v>764005.81</v>
      </c>
      <c r="P252" s="27" t="n">
        <v>18820</v>
      </c>
      <c r="Q252" s="29" t="n">
        <v>1</v>
      </c>
      <c r="R252" s="28" t="n">
        <v>40.6</v>
      </c>
      <c r="S252" s="28" t="n">
        <v>40.6</v>
      </c>
      <c r="T252" s="28" t="n">
        <v>40.6</v>
      </c>
      <c r="U252" s="13" t="n">
        <f aca="false">IFERROR(YEAR(A252),"")</f>
        <v>2025</v>
      </c>
      <c r="V252" s="28" t="n">
        <f aca="false">IFERROR(O252*B252,0)</f>
        <v>764005.81</v>
      </c>
      <c r="W252" s="27" t="n">
        <f aca="false">IFERROR(N252*B252,0)</f>
        <v>18820</v>
      </c>
      <c r="X252" s="13" t="n">
        <f aca="false">IF(OR(ISNUMBER(SEARCH("live nation",L252)),ISNUMBER(SEARCH("ocesa",L252))),1,0)</f>
        <v>0</v>
      </c>
      <c r="Y252" s="13" t="s">
        <v>50</v>
      </c>
    </row>
    <row r="253" customFormat="false" ht="15" hidden="false" customHeight="false" outlineLevel="0" collapsed="false">
      <c r="A253" s="30" t="n">
        <v>45894</v>
      </c>
      <c r="B253" s="11" t="n">
        <v>1</v>
      </c>
      <c r="C253" s="31" t="s">
        <v>64</v>
      </c>
      <c r="D253" s="31"/>
      <c r="E253" s="11" t="s">
        <v>564</v>
      </c>
      <c r="F253" s="11" t="s">
        <v>565</v>
      </c>
      <c r="G253" s="11"/>
      <c r="H253" s="11" t="s">
        <v>27</v>
      </c>
      <c r="I253" s="11"/>
      <c r="J253" s="11" t="s">
        <v>97</v>
      </c>
      <c r="K253" s="11" t="s">
        <v>314</v>
      </c>
      <c r="L253" s="11" t="s">
        <v>508</v>
      </c>
      <c r="M253" s="11" t="s">
        <v>100</v>
      </c>
      <c r="N253" s="32" t="n">
        <v>11893</v>
      </c>
      <c r="O253" s="33" t="n">
        <v>2079598.99</v>
      </c>
      <c r="P253" s="32" t="n">
        <v>12940</v>
      </c>
      <c r="Q253" s="34" t="n">
        <v>0.91</v>
      </c>
      <c r="R253" s="33" t="n">
        <v>79.72</v>
      </c>
      <c r="S253" s="33" t="n">
        <v>593.15</v>
      </c>
      <c r="T253" s="33" t="n">
        <v>174.86</v>
      </c>
      <c r="U253" s="11" t="n">
        <f aca="false">IFERROR(YEAR(A253),"")</f>
        <v>2025</v>
      </c>
      <c r="V253" s="33" t="n">
        <f aca="false">IFERROR(O253*B253,0)</f>
        <v>2079598.99</v>
      </c>
      <c r="W253" s="32" t="n">
        <f aca="false">IFERROR(N253*B253,0)</f>
        <v>11893</v>
      </c>
      <c r="X253" s="11" t="n">
        <f aca="false">IF(OR(ISNUMBER(SEARCH("live nation",L253)),ISNUMBER(SEARCH("ocesa",L253))),1,0)</f>
        <v>0</v>
      </c>
      <c r="Y253" s="11" t="s">
        <v>49</v>
      </c>
    </row>
    <row r="254" customFormat="false" ht="15" hidden="false" customHeight="false" outlineLevel="0" collapsed="false">
      <c r="A254" s="25" t="n">
        <v>45892</v>
      </c>
      <c r="B254" s="13" t="n">
        <v>2</v>
      </c>
      <c r="C254" s="26" t="s">
        <v>566</v>
      </c>
      <c r="D254" s="26"/>
      <c r="E254" s="13" t="s">
        <v>269</v>
      </c>
      <c r="F254" s="13" t="s">
        <v>185</v>
      </c>
      <c r="G254" s="13"/>
      <c r="H254" s="13" t="s">
        <v>21</v>
      </c>
      <c r="I254" s="13"/>
      <c r="J254" s="13" t="s">
        <v>97</v>
      </c>
      <c r="K254" s="13" t="s">
        <v>113</v>
      </c>
      <c r="L254" s="13" t="s">
        <v>250</v>
      </c>
      <c r="M254" s="13" t="s">
        <v>100</v>
      </c>
      <c r="N254" s="27" t="n">
        <v>10000</v>
      </c>
      <c r="O254" s="28" t="n">
        <v>510308.29</v>
      </c>
      <c r="P254" s="27" t="n">
        <v>10000</v>
      </c>
      <c r="Q254" s="29" t="n">
        <v>1</v>
      </c>
      <c r="R254" s="28" t="n">
        <v>88.45</v>
      </c>
      <c r="S254" s="28" t="n">
        <v>122.47</v>
      </c>
      <c r="T254" s="28" t="n">
        <v>51.03</v>
      </c>
      <c r="U254" s="13" t="n">
        <f aca="false">IFERROR(YEAR(A254),"")</f>
        <v>2025</v>
      </c>
      <c r="V254" s="28" t="n">
        <f aca="false">IFERROR(O254*B254,0)</f>
        <v>1020616.58</v>
      </c>
      <c r="W254" s="27" t="n">
        <f aca="false">IFERROR(N254*B254,0)</f>
        <v>20000</v>
      </c>
      <c r="X254" s="13" t="n">
        <f aca="false">IF(OR(ISNUMBER(SEARCH("live nation",L254)),ISNUMBER(SEARCH("ocesa",L254))),1,0)</f>
        <v>0</v>
      </c>
      <c r="Y254" s="13" t="s">
        <v>50</v>
      </c>
    </row>
    <row r="255" customFormat="false" ht="15" hidden="false" customHeight="false" outlineLevel="0" collapsed="false">
      <c r="A255" s="30" t="n">
        <v>45892</v>
      </c>
      <c r="B255" s="11" t="n">
        <v>1</v>
      </c>
      <c r="C255" s="31" t="s">
        <v>71</v>
      </c>
      <c r="D255" s="31"/>
      <c r="E255" s="11" t="s">
        <v>131</v>
      </c>
      <c r="F255" s="11" t="s">
        <v>132</v>
      </c>
      <c r="G255" s="11"/>
      <c r="H255" s="11" t="s">
        <v>23</v>
      </c>
      <c r="I255" s="11"/>
      <c r="J255" s="11" t="s">
        <v>133</v>
      </c>
      <c r="K255" s="11" t="s">
        <v>134</v>
      </c>
      <c r="L255" s="11" t="s">
        <v>135</v>
      </c>
      <c r="M255" s="11" t="s">
        <v>100</v>
      </c>
      <c r="N255" s="32" t="n">
        <v>28134</v>
      </c>
      <c r="O255" s="33" t="n">
        <v>3766867.9</v>
      </c>
      <c r="P255" s="32" t="n">
        <v>72230</v>
      </c>
      <c r="Q255" s="34" t="n">
        <v>0.38</v>
      </c>
      <c r="R255" s="33" t="n">
        <v>53.77</v>
      </c>
      <c r="S255" s="33" t="n">
        <v>430.14</v>
      </c>
      <c r="T255" s="33" t="n">
        <v>133.89</v>
      </c>
      <c r="U255" s="11" t="n">
        <f aca="false">IFERROR(YEAR(A255),"")</f>
        <v>2025</v>
      </c>
      <c r="V255" s="33" t="n">
        <f aca="false">IFERROR(O255*B255,0)</f>
        <v>3766867.9</v>
      </c>
      <c r="W255" s="32" t="n">
        <f aca="false">IFERROR(N255*B255,0)</f>
        <v>28134</v>
      </c>
      <c r="X255" s="11" t="n">
        <f aca="false">IF(OR(ISNUMBER(SEARCH("live nation",L255)),ISNUMBER(SEARCH("ocesa",L255))),1,0)</f>
        <v>1</v>
      </c>
      <c r="Y255" s="11" t="s">
        <v>49</v>
      </c>
    </row>
    <row r="256" customFormat="false" ht="15" hidden="false" customHeight="false" outlineLevel="0" collapsed="false">
      <c r="A256" s="25" t="n">
        <v>45891</v>
      </c>
      <c r="B256" s="13" t="n">
        <v>1</v>
      </c>
      <c r="C256" s="26" t="s">
        <v>64</v>
      </c>
      <c r="D256" s="26"/>
      <c r="E256" s="13" t="s">
        <v>567</v>
      </c>
      <c r="F256" s="13" t="s">
        <v>313</v>
      </c>
      <c r="G256" s="13"/>
      <c r="H256" s="13" t="s">
        <v>27</v>
      </c>
      <c r="I256" s="13"/>
      <c r="J256" s="13" t="s">
        <v>97</v>
      </c>
      <c r="K256" s="13" t="s">
        <v>314</v>
      </c>
      <c r="L256" s="13" t="s">
        <v>508</v>
      </c>
      <c r="M256" s="13" t="s">
        <v>100</v>
      </c>
      <c r="N256" s="27" t="n">
        <v>15612</v>
      </c>
      <c r="O256" s="28" t="n">
        <v>2781925.08</v>
      </c>
      <c r="P256" s="27" t="n">
        <v>15612</v>
      </c>
      <c r="Q256" s="29" t="n">
        <v>1</v>
      </c>
      <c r="R256" s="28" t="n">
        <v>79.07</v>
      </c>
      <c r="S256" s="28" t="n">
        <v>601.74</v>
      </c>
      <c r="T256" s="28" t="n">
        <v>178.19</v>
      </c>
      <c r="U256" s="13" t="n">
        <f aca="false">IFERROR(YEAR(A256),"")</f>
        <v>2025</v>
      </c>
      <c r="V256" s="28" t="n">
        <f aca="false">IFERROR(O256*B256,0)</f>
        <v>2781925.08</v>
      </c>
      <c r="W256" s="27" t="n">
        <f aca="false">IFERROR(N256*B256,0)</f>
        <v>15612</v>
      </c>
      <c r="X256" s="13" t="n">
        <f aca="false">IF(OR(ISNUMBER(SEARCH("live nation",L256)),ISNUMBER(SEARCH("ocesa",L256))),1,0)</f>
        <v>0</v>
      </c>
      <c r="Y256" s="13" t="s">
        <v>49</v>
      </c>
    </row>
    <row r="257" customFormat="false" ht="15" hidden="false" customHeight="false" outlineLevel="0" collapsed="false">
      <c r="A257" s="30" t="n">
        <v>45891</v>
      </c>
      <c r="B257" s="11" t="n">
        <v>2</v>
      </c>
      <c r="C257" s="31" t="s">
        <v>63</v>
      </c>
      <c r="D257" s="31"/>
      <c r="E257" s="11" t="s">
        <v>568</v>
      </c>
      <c r="F257" s="11" t="s">
        <v>147</v>
      </c>
      <c r="G257" s="11"/>
      <c r="H257" s="11" t="s">
        <v>24</v>
      </c>
      <c r="I257" s="11"/>
      <c r="J257" s="11" t="s">
        <v>133</v>
      </c>
      <c r="K257" s="11" t="s">
        <v>148</v>
      </c>
      <c r="L257" s="11" t="s">
        <v>145</v>
      </c>
      <c r="M257" s="11" t="s">
        <v>100</v>
      </c>
      <c r="N257" s="32" t="n">
        <v>15301</v>
      </c>
      <c r="O257" s="33" t="n">
        <v>1129659.76</v>
      </c>
      <c r="P257" s="32" t="n">
        <v>15662</v>
      </c>
      <c r="Q257" s="34" t="n">
        <v>0.97</v>
      </c>
      <c r="R257" s="33" t="n">
        <v>94.65</v>
      </c>
      <c r="S257" s="33" t="n">
        <v>141.98</v>
      </c>
      <c r="T257" s="33" t="n">
        <v>73.83</v>
      </c>
      <c r="U257" s="11" t="n">
        <f aca="false">IFERROR(YEAR(A257),"")</f>
        <v>2025</v>
      </c>
      <c r="V257" s="33" t="n">
        <f aca="false">IFERROR(O257*B257,0)</f>
        <v>2259319.52</v>
      </c>
      <c r="W257" s="32" t="n">
        <f aca="false">IFERROR(N257*B257,0)</f>
        <v>30602</v>
      </c>
      <c r="X257" s="11" t="n">
        <f aca="false">IF(OR(ISNUMBER(SEARCH("live nation",L257)),ISNUMBER(SEARCH("ocesa",L257))),1,0)</f>
        <v>0</v>
      </c>
      <c r="Y257" s="11" t="s">
        <v>50</v>
      </c>
    </row>
    <row r="258" customFormat="false" ht="15" hidden="false" customHeight="false" outlineLevel="0" collapsed="false">
      <c r="A258" s="25" t="n">
        <v>45891</v>
      </c>
      <c r="B258" s="13" t="n">
        <v>2</v>
      </c>
      <c r="C258" s="26" t="s">
        <v>528</v>
      </c>
      <c r="D258" s="26"/>
      <c r="E258" s="13" t="s">
        <v>506</v>
      </c>
      <c r="F258" s="13" t="s">
        <v>507</v>
      </c>
      <c r="G258" s="13" t="s">
        <v>221</v>
      </c>
      <c r="H258" s="13" t="s">
        <v>20</v>
      </c>
      <c r="I258" s="13" t="s">
        <v>139</v>
      </c>
      <c r="J258" s="13" t="s">
        <v>97</v>
      </c>
      <c r="K258" s="13" t="s">
        <v>107</v>
      </c>
      <c r="L258" s="13" t="s">
        <v>531</v>
      </c>
      <c r="M258" s="13" t="s">
        <v>100</v>
      </c>
      <c r="N258" s="27" t="n">
        <v>10357</v>
      </c>
      <c r="O258" s="28" t="n">
        <v>2968978.38</v>
      </c>
      <c r="P258" s="27" t="n">
        <v>10357</v>
      </c>
      <c r="Q258" s="29" t="n">
        <v>1</v>
      </c>
      <c r="R258" s="28" t="n">
        <v>85.5</v>
      </c>
      <c r="S258" s="28" t="n">
        <v>705.5</v>
      </c>
      <c r="T258" s="28" t="n">
        <v>286.66</v>
      </c>
      <c r="U258" s="13" t="n">
        <f aca="false">IFERROR(YEAR(A258),"")</f>
        <v>2025</v>
      </c>
      <c r="V258" s="28" t="n">
        <f aca="false">IFERROR(O258*B258,0)</f>
        <v>5937956.76</v>
      </c>
      <c r="W258" s="27" t="n">
        <f aca="false">IFERROR(N258*B258,0)</f>
        <v>20714</v>
      </c>
      <c r="X258" s="13" t="n">
        <f aca="false">IF(OR(ISNUMBER(SEARCH("live nation",L258)),ISNUMBER(SEARCH("ocesa",L258))),1,0)</f>
        <v>0</v>
      </c>
      <c r="Y258" s="13" t="s">
        <v>49</v>
      </c>
    </row>
    <row r="259" customFormat="false" ht="15" hidden="false" customHeight="false" outlineLevel="0" collapsed="false">
      <c r="A259" s="30" t="n">
        <v>45889</v>
      </c>
      <c r="B259" s="11" t="n">
        <v>1</v>
      </c>
      <c r="C259" s="31" t="s">
        <v>569</v>
      </c>
      <c r="D259" s="31"/>
      <c r="E259" s="11" t="s">
        <v>343</v>
      </c>
      <c r="F259" s="11" t="s">
        <v>344</v>
      </c>
      <c r="G259" s="11"/>
      <c r="H259" s="11" t="s">
        <v>25</v>
      </c>
      <c r="I259" s="11"/>
      <c r="J259" s="11" t="s">
        <v>133</v>
      </c>
      <c r="K259" s="11" t="s">
        <v>25</v>
      </c>
      <c r="L259" s="11" t="s">
        <v>570</v>
      </c>
      <c r="M259" s="11" t="s">
        <v>100</v>
      </c>
      <c r="N259" s="32" t="n">
        <v>41514</v>
      </c>
      <c r="O259" s="33" t="n">
        <v>6370528.61</v>
      </c>
      <c r="P259" s="32" t="n">
        <v>41524</v>
      </c>
      <c r="Q259" s="34" t="n">
        <v>0.99</v>
      </c>
      <c r="R259" s="33" t="n">
        <v>87.12</v>
      </c>
      <c r="S259" s="33" t="n">
        <v>228.05</v>
      </c>
      <c r="T259" s="33" t="n">
        <v>153.45</v>
      </c>
      <c r="U259" s="11" t="n">
        <f aca="false">IFERROR(YEAR(A259),"")</f>
        <v>2025</v>
      </c>
      <c r="V259" s="33" t="n">
        <f aca="false">IFERROR(O259*B259,0)</f>
        <v>6370528.61</v>
      </c>
      <c r="W259" s="32" t="n">
        <f aca="false">IFERROR(N259*B259,0)</f>
        <v>41514</v>
      </c>
      <c r="X259" s="11" t="n">
        <f aca="false">IF(OR(ISNUMBER(SEARCH("live nation",L259)),ISNUMBER(SEARCH("ocesa",L259))),1,0)</f>
        <v>0</v>
      </c>
      <c r="Y259" s="11" t="s">
        <v>50</v>
      </c>
    </row>
    <row r="260" customFormat="false" ht="15" hidden="false" customHeight="false" outlineLevel="0" collapsed="false">
      <c r="A260" s="25" t="n">
        <v>45888</v>
      </c>
      <c r="B260" s="13" t="n">
        <v>1</v>
      </c>
      <c r="C260" s="26" t="s">
        <v>571</v>
      </c>
      <c r="D260" s="26"/>
      <c r="E260" s="13" t="s">
        <v>572</v>
      </c>
      <c r="F260" s="13" t="s">
        <v>188</v>
      </c>
      <c r="G260" s="13" t="s">
        <v>189</v>
      </c>
      <c r="H260" s="13" t="s">
        <v>20</v>
      </c>
      <c r="I260" s="13" t="s">
        <v>190</v>
      </c>
      <c r="J260" s="13" t="s">
        <v>106</v>
      </c>
      <c r="K260" s="13" t="s">
        <v>107</v>
      </c>
      <c r="L260" s="13" t="s">
        <v>573</v>
      </c>
      <c r="M260" s="13" t="s">
        <v>109</v>
      </c>
      <c r="N260" s="27" t="n">
        <v>207</v>
      </c>
      <c r="O260" s="28" t="n">
        <v>6210</v>
      </c>
      <c r="P260" s="27" t="n">
        <v>300</v>
      </c>
      <c r="Q260" s="29" t="n">
        <v>0.69</v>
      </c>
      <c r="R260" s="28" t="n">
        <v>30</v>
      </c>
      <c r="S260" s="28" t="n">
        <v>30</v>
      </c>
      <c r="T260" s="28" t="n">
        <v>30</v>
      </c>
      <c r="U260" s="13" t="n">
        <f aca="false">IFERROR(YEAR(A260),"")</f>
        <v>2025</v>
      </c>
      <c r="V260" s="28" t="n">
        <f aca="false">IFERROR(O260*B260,0)</f>
        <v>6210</v>
      </c>
      <c r="W260" s="27" t="n">
        <f aca="false">IFERROR(N260*B260,0)</f>
        <v>207</v>
      </c>
      <c r="X260" s="13" t="n">
        <f aca="false">IF(OR(ISNUMBER(SEARCH("live nation",L260)),ISNUMBER(SEARCH("ocesa",L260))),1,0)</f>
        <v>0</v>
      </c>
      <c r="Y260" s="13" t="s">
        <v>49</v>
      </c>
    </row>
    <row r="261" customFormat="false" ht="15" hidden="false" customHeight="false" outlineLevel="0" collapsed="false">
      <c r="A261" s="30" t="n">
        <v>45888</v>
      </c>
      <c r="B261" s="11" t="n">
        <v>1</v>
      </c>
      <c r="C261" s="31" t="s">
        <v>569</v>
      </c>
      <c r="D261" s="31"/>
      <c r="E261" s="11" t="s">
        <v>343</v>
      </c>
      <c r="F261" s="11" t="s">
        <v>344</v>
      </c>
      <c r="G261" s="11"/>
      <c r="H261" s="11" t="s">
        <v>25</v>
      </c>
      <c r="I261" s="11"/>
      <c r="J261" s="11" t="s">
        <v>133</v>
      </c>
      <c r="K261" s="11" t="s">
        <v>25</v>
      </c>
      <c r="L261" s="11" t="s">
        <v>570</v>
      </c>
      <c r="M261" s="11" t="s">
        <v>100</v>
      </c>
      <c r="N261" s="32" t="n">
        <v>41585</v>
      </c>
      <c r="O261" s="33" t="n">
        <v>6377752.46</v>
      </c>
      <c r="P261" s="32" t="n">
        <v>41585</v>
      </c>
      <c r="Q261" s="34" t="n">
        <v>1</v>
      </c>
      <c r="R261" s="33" t="n">
        <v>87.23</v>
      </c>
      <c r="S261" s="33" t="n">
        <v>228.34</v>
      </c>
      <c r="T261" s="33" t="n">
        <v>153.37</v>
      </c>
      <c r="U261" s="11" t="n">
        <f aca="false">IFERROR(YEAR(A261),"")</f>
        <v>2025</v>
      </c>
      <c r="V261" s="33" t="n">
        <f aca="false">IFERROR(O261*B261,0)</f>
        <v>6377752.46</v>
      </c>
      <c r="W261" s="32" t="n">
        <f aca="false">IFERROR(N261*B261,0)</f>
        <v>41585</v>
      </c>
      <c r="X261" s="11" t="n">
        <f aca="false">IF(OR(ISNUMBER(SEARCH("live nation",L261)),ISNUMBER(SEARCH("ocesa",L261))),1,0)</f>
        <v>0</v>
      </c>
      <c r="Y261" s="11" t="s">
        <v>50</v>
      </c>
    </row>
    <row r="262" customFormat="false" ht="15" hidden="false" customHeight="false" outlineLevel="0" collapsed="false">
      <c r="A262" s="25" t="n">
        <v>45887</v>
      </c>
      <c r="B262" s="13" t="n">
        <v>1</v>
      </c>
      <c r="C262" s="26" t="s">
        <v>574</v>
      </c>
      <c r="D262" s="26"/>
      <c r="E262" s="13" t="s">
        <v>155</v>
      </c>
      <c r="F262" s="13" t="s">
        <v>156</v>
      </c>
      <c r="G262" s="13"/>
      <c r="H262" s="13" t="s">
        <v>157</v>
      </c>
      <c r="I262" s="13"/>
      <c r="J262" s="13" t="s">
        <v>97</v>
      </c>
      <c r="K262" s="13" t="s">
        <v>158</v>
      </c>
      <c r="L262" s="13" t="s">
        <v>575</v>
      </c>
      <c r="M262" s="13" t="s">
        <v>100</v>
      </c>
      <c r="N262" s="27" t="n">
        <v>10044</v>
      </c>
      <c r="O262" s="28" t="n">
        <v>882462.88</v>
      </c>
      <c r="P262" s="27" t="n">
        <v>16522</v>
      </c>
      <c r="Q262" s="29" t="n">
        <v>0.6</v>
      </c>
      <c r="R262" s="28" t="n">
        <v>39.52</v>
      </c>
      <c r="S262" s="28" t="n">
        <v>171.6</v>
      </c>
      <c r="T262" s="28" t="n">
        <v>87.86</v>
      </c>
      <c r="U262" s="13" t="n">
        <f aca="false">IFERROR(YEAR(A262),"")</f>
        <v>2025</v>
      </c>
      <c r="V262" s="28" t="n">
        <f aca="false">IFERROR(O262*B262,0)</f>
        <v>882462.88</v>
      </c>
      <c r="W262" s="27" t="n">
        <f aca="false">IFERROR(N262*B262,0)</f>
        <v>10044</v>
      </c>
      <c r="X262" s="13" t="n">
        <f aca="false">IF(OR(ISNUMBER(SEARCH("live nation",L262)),ISNUMBER(SEARCH("ocesa",L262))),1,0)</f>
        <v>0</v>
      </c>
      <c r="Y262" s="13" t="s">
        <v>49</v>
      </c>
    </row>
    <row r="263" customFormat="false" ht="15" hidden="false" customHeight="false" outlineLevel="0" collapsed="false">
      <c r="A263" s="30" t="n">
        <v>45886</v>
      </c>
      <c r="B263" s="11" t="n">
        <v>1</v>
      </c>
      <c r="C263" s="31" t="s">
        <v>576</v>
      </c>
      <c r="D263" s="31"/>
      <c r="E263" s="11" t="s">
        <v>111</v>
      </c>
      <c r="F263" s="11" t="s">
        <v>112</v>
      </c>
      <c r="G263" s="11"/>
      <c r="H263" s="11" t="s">
        <v>21</v>
      </c>
      <c r="I263" s="11"/>
      <c r="J263" s="11" t="s">
        <v>97</v>
      </c>
      <c r="K263" s="11" t="s">
        <v>113</v>
      </c>
      <c r="L263" s="11" t="s">
        <v>577</v>
      </c>
      <c r="M263" s="11" t="s">
        <v>100</v>
      </c>
      <c r="N263" s="32" t="n">
        <v>15000</v>
      </c>
      <c r="O263" s="33" t="n">
        <v>1232784.69</v>
      </c>
      <c r="P263" s="32" t="n">
        <v>15000</v>
      </c>
      <c r="Q263" s="34" t="n">
        <v>1</v>
      </c>
      <c r="R263" s="33" t="n">
        <v>82.19</v>
      </c>
      <c r="S263" s="33" t="n">
        <v>82.19</v>
      </c>
      <c r="T263" s="33" t="n">
        <v>82.19</v>
      </c>
      <c r="U263" s="11" t="n">
        <f aca="false">IFERROR(YEAR(A263),"")</f>
        <v>2025</v>
      </c>
      <c r="V263" s="33" t="n">
        <f aca="false">IFERROR(O263*B263,0)</f>
        <v>1232784.69</v>
      </c>
      <c r="W263" s="32" t="n">
        <f aca="false">IFERROR(N263*B263,0)</f>
        <v>15000</v>
      </c>
      <c r="X263" s="11" t="n">
        <f aca="false">IF(OR(ISNUMBER(SEARCH("live nation",L263)),ISNUMBER(SEARCH("ocesa",L263))),1,0)</f>
        <v>0</v>
      </c>
      <c r="Y263" s="11" t="s">
        <v>50</v>
      </c>
    </row>
    <row r="264" customFormat="false" ht="15" hidden="false" customHeight="false" outlineLevel="0" collapsed="false">
      <c r="A264" s="25" t="n">
        <v>45886</v>
      </c>
      <c r="B264" s="13" t="n">
        <v>1</v>
      </c>
      <c r="C264" s="26" t="s">
        <v>569</v>
      </c>
      <c r="D264" s="26"/>
      <c r="E264" s="13" t="s">
        <v>343</v>
      </c>
      <c r="F264" s="13" t="s">
        <v>344</v>
      </c>
      <c r="G264" s="13"/>
      <c r="H264" s="13" t="s">
        <v>25</v>
      </c>
      <c r="I264" s="13"/>
      <c r="J264" s="13" t="s">
        <v>133</v>
      </c>
      <c r="K264" s="13" t="s">
        <v>25</v>
      </c>
      <c r="L264" s="13" t="s">
        <v>570</v>
      </c>
      <c r="M264" s="13" t="s">
        <v>100</v>
      </c>
      <c r="N264" s="27" t="n">
        <v>41584</v>
      </c>
      <c r="O264" s="28" t="n">
        <v>6343351.96</v>
      </c>
      <c r="P264" s="27" t="n">
        <v>41584</v>
      </c>
      <c r="Q264" s="29" t="n">
        <v>1</v>
      </c>
      <c r="R264" s="28" t="n">
        <v>86.8</v>
      </c>
      <c r="S264" s="28" t="n">
        <v>227.22</v>
      </c>
      <c r="T264" s="28" t="n">
        <v>152.54</v>
      </c>
      <c r="U264" s="13" t="n">
        <f aca="false">IFERROR(YEAR(A264),"")</f>
        <v>2025</v>
      </c>
      <c r="V264" s="28" t="n">
        <f aca="false">IFERROR(O264*B264,0)</f>
        <v>6343351.96</v>
      </c>
      <c r="W264" s="27" t="n">
        <f aca="false">IFERROR(N264*B264,0)</f>
        <v>41584</v>
      </c>
      <c r="X264" s="13" t="n">
        <f aca="false">IF(OR(ISNUMBER(SEARCH("live nation",L264)),ISNUMBER(SEARCH("ocesa",L264))),1,0)</f>
        <v>0</v>
      </c>
      <c r="Y264" s="13" t="s">
        <v>50</v>
      </c>
    </row>
    <row r="265" customFormat="false" ht="15" hidden="false" customHeight="false" outlineLevel="0" collapsed="false">
      <c r="A265" s="30" t="n">
        <v>45885</v>
      </c>
      <c r="B265" s="11" t="n">
        <v>1</v>
      </c>
      <c r="C265" s="31" t="s">
        <v>64</v>
      </c>
      <c r="D265" s="31"/>
      <c r="E265" s="11" t="s">
        <v>486</v>
      </c>
      <c r="F265" s="11" t="s">
        <v>203</v>
      </c>
      <c r="G265" s="11" t="s">
        <v>202</v>
      </c>
      <c r="H265" s="11" t="s">
        <v>20</v>
      </c>
      <c r="I265" s="11" t="s">
        <v>203</v>
      </c>
      <c r="J265" s="11" t="s">
        <v>133</v>
      </c>
      <c r="K265" s="11" t="s">
        <v>107</v>
      </c>
      <c r="L265" s="11" t="s">
        <v>145</v>
      </c>
      <c r="M265" s="11" t="s">
        <v>100</v>
      </c>
      <c r="N265" s="32" t="n">
        <v>22298</v>
      </c>
      <c r="O265" s="33" t="n">
        <v>4120721</v>
      </c>
      <c r="P265" s="32" t="n">
        <v>22510</v>
      </c>
      <c r="Q265" s="34" t="n">
        <v>0.99</v>
      </c>
      <c r="R265" s="33" t="n">
        <v>59.5</v>
      </c>
      <c r="S265" s="33" t="n">
        <v>659.5</v>
      </c>
      <c r="T265" s="33" t="n">
        <v>184.8</v>
      </c>
      <c r="U265" s="11" t="n">
        <f aca="false">IFERROR(YEAR(A265),"")</f>
        <v>2025</v>
      </c>
      <c r="V265" s="33" t="n">
        <f aca="false">IFERROR(O265*B265,0)</f>
        <v>4120721</v>
      </c>
      <c r="W265" s="32" t="n">
        <f aca="false">IFERROR(N265*B265,0)</f>
        <v>22298</v>
      </c>
      <c r="X265" s="11" t="n">
        <f aca="false">IF(OR(ISNUMBER(SEARCH("live nation",L265)),ISNUMBER(SEARCH("ocesa",L265))),1,0)</f>
        <v>0</v>
      </c>
      <c r="Y265" s="11" t="s">
        <v>49</v>
      </c>
    </row>
    <row r="266" customFormat="false" ht="15" hidden="false" customHeight="false" outlineLevel="0" collapsed="false">
      <c r="A266" s="25" t="n">
        <v>45885</v>
      </c>
      <c r="B266" s="13" t="n">
        <v>1</v>
      </c>
      <c r="C266" s="26" t="s">
        <v>576</v>
      </c>
      <c r="D266" s="26"/>
      <c r="E266" s="13" t="s">
        <v>111</v>
      </c>
      <c r="F266" s="13" t="s">
        <v>112</v>
      </c>
      <c r="G266" s="13"/>
      <c r="H266" s="13" t="s">
        <v>21</v>
      </c>
      <c r="I266" s="13"/>
      <c r="J266" s="13" t="s">
        <v>97</v>
      </c>
      <c r="K266" s="13" t="s">
        <v>113</v>
      </c>
      <c r="L266" s="13" t="s">
        <v>577</v>
      </c>
      <c r="M266" s="13" t="s">
        <v>100</v>
      </c>
      <c r="N266" s="27" t="n">
        <v>15000</v>
      </c>
      <c r="O266" s="28" t="n">
        <v>1232784.69</v>
      </c>
      <c r="P266" s="27" t="n">
        <v>15000</v>
      </c>
      <c r="Q266" s="29" t="n">
        <v>1</v>
      </c>
      <c r="R266" s="28" t="n">
        <v>82.19</v>
      </c>
      <c r="S266" s="28" t="n">
        <v>82.19</v>
      </c>
      <c r="T266" s="28" t="n">
        <v>82.19</v>
      </c>
      <c r="U266" s="13" t="n">
        <f aca="false">IFERROR(YEAR(A266),"")</f>
        <v>2025</v>
      </c>
      <c r="V266" s="28" t="n">
        <f aca="false">IFERROR(O266*B266,0)</f>
        <v>1232784.69</v>
      </c>
      <c r="W266" s="27" t="n">
        <f aca="false">IFERROR(N266*B266,0)</f>
        <v>15000</v>
      </c>
      <c r="X266" s="13" t="n">
        <f aca="false">IF(OR(ISNUMBER(SEARCH("live nation",L266)),ISNUMBER(SEARCH("ocesa",L266))),1,0)</f>
        <v>0</v>
      </c>
      <c r="Y266" s="13" t="s">
        <v>50</v>
      </c>
    </row>
    <row r="267" customFormat="false" ht="15" hidden="false" customHeight="false" outlineLevel="0" collapsed="false">
      <c r="A267" s="30" t="n">
        <v>45885</v>
      </c>
      <c r="B267" s="11" t="n">
        <v>1</v>
      </c>
      <c r="C267" s="31" t="s">
        <v>569</v>
      </c>
      <c r="D267" s="31"/>
      <c r="E267" s="11" t="s">
        <v>343</v>
      </c>
      <c r="F267" s="11" t="s">
        <v>344</v>
      </c>
      <c r="G267" s="11"/>
      <c r="H267" s="11" t="s">
        <v>25</v>
      </c>
      <c r="I267" s="11"/>
      <c r="J267" s="11" t="s">
        <v>133</v>
      </c>
      <c r="K267" s="11" t="s">
        <v>25</v>
      </c>
      <c r="L267" s="11" t="s">
        <v>570</v>
      </c>
      <c r="M267" s="11" t="s">
        <v>100</v>
      </c>
      <c r="N267" s="32" t="n">
        <v>41641</v>
      </c>
      <c r="O267" s="33" t="n">
        <v>6290111.89</v>
      </c>
      <c r="P267" s="32" t="n">
        <v>41641</v>
      </c>
      <c r="Q267" s="34" t="n">
        <v>1</v>
      </c>
      <c r="R267" s="33" t="n">
        <v>86.8</v>
      </c>
      <c r="S267" s="33" t="n">
        <v>227.22</v>
      </c>
      <c r="T267" s="33" t="n">
        <v>151.06</v>
      </c>
      <c r="U267" s="11" t="n">
        <f aca="false">IFERROR(YEAR(A267),"")</f>
        <v>2025</v>
      </c>
      <c r="V267" s="33" t="n">
        <f aca="false">IFERROR(O267*B267,0)</f>
        <v>6290111.89</v>
      </c>
      <c r="W267" s="32" t="n">
        <f aca="false">IFERROR(N267*B267,0)</f>
        <v>41641</v>
      </c>
      <c r="X267" s="11" t="n">
        <f aca="false">IF(OR(ISNUMBER(SEARCH("live nation",L267)),ISNUMBER(SEARCH("ocesa",L267))),1,0)</f>
        <v>0</v>
      </c>
      <c r="Y267" s="11" t="s">
        <v>50</v>
      </c>
    </row>
    <row r="268" customFormat="false" ht="15" hidden="false" customHeight="false" outlineLevel="0" collapsed="false">
      <c r="A268" s="25" t="n">
        <v>45884</v>
      </c>
      <c r="B268" s="13" t="n">
        <v>1</v>
      </c>
      <c r="C268" s="26" t="s">
        <v>574</v>
      </c>
      <c r="D268" s="26"/>
      <c r="E268" s="13" t="s">
        <v>155</v>
      </c>
      <c r="F268" s="13" t="s">
        <v>578</v>
      </c>
      <c r="G268" s="13"/>
      <c r="H268" s="13" t="s">
        <v>579</v>
      </c>
      <c r="I268" s="13"/>
      <c r="J268" s="13" t="s">
        <v>97</v>
      </c>
      <c r="K268" s="13" t="s">
        <v>134</v>
      </c>
      <c r="L268" s="13" t="s">
        <v>580</v>
      </c>
      <c r="M268" s="13" t="s">
        <v>100</v>
      </c>
      <c r="N268" s="27" t="n">
        <v>9553</v>
      </c>
      <c r="O268" s="28" t="n">
        <v>892741.64</v>
      </c>
      <c r="P268" s="27" t="n">
        <v>9553</v>
      </c>
      <c r="Q268" s="29" t="n">
        <v>1</v>
      </c>
      <c r="R268" s="28" t="n">
        <v>40.05</v>
      </c>
      <c r="S268" s="28" t="n">
        <v>173.27</v>
      </c>
      <c r="T268" s="28" t="n">
        <v>93.45</v>
      </c>
      <c r="U268" s="13" t="n">
        <f aca="false">IFERROR(YEAR(A268),"")</f>
        <v>2025</v>
      </c>
      <c r="V268" s="28" t="n">
        <f aca="false">IFERROR(O268*B268,0)</f>
        <v>892741.64</v>
      </c>
      <c r="W268" s="27" t="n">
        <f aca="false">IFERROR(N268*B268,0)</f>
        <v>9553</v>
      </c>
      <c r="X268" s="13" t="n">
        <f aca="false">IF(OR(ISNUMBER(SEARCH("live nation",L268)),ISNUMBER(SEARCH("ocesa",L268))),1,0)</f>
        <v>0</v>
      </c>
      <c r="Y268" s="13" t="s">
        <v>49</v>
      </c>
    </row>
    <row r="269" customFormat="false" ht="15" hidden="false" customHeight="false" outlineLevel="0" collapsed="false">
      <c r="A269" s="30" t="n">
        <v>45884</v>
      </c>
      <c r="B269" s="11" t="n">
        <v>1</v>
      </c>
      <c r="C269" s="31" t="s">
        <v>569</v>
      </c>
      <c r="D269" s="31"/>
      <c r="E269" s="11" t="s">
        <v>343</v>
      </c>
      <c r="F269" s="11" t="s">
        <v>344</v>
      </c>
      <c r="G269" s="11"/>
      <c r="H269" s="11" t="s">
        <v>25</v>
      </c>
      <c r="I269" s="11"/>
      <c r="J269" s="11" t="s">
        <v>133</v>
      </c>
      <c r="K269" s="11" t="s">
        <v>25</v>
      </c>
      <c r="L269" s="11" t="s">
        <v>570</v>
      </c>
      <c r="M269" s="11" t="s">
        <v>100</v>
      </c>
      <c r="N269" s="32" t="n">
        <v>41617</v>
      </c>
      <c r="O269" s="33" t="n">
        <v>6344033.61</v>
      </c>
      <c r="P269" s="32" t="n">
        <v>41617</v>
      </c>
      <c r="Q269" s="34" t="n">
        <v>1</v>
      </c>
      <c r="R269" s="33" t="n">
        <v>86.8</v>
      </c>
      <c r="S269" s="33" t="n">
        <v>227.22</v>
      </c>
      <c r="T269" s="33" t="n">
        <v>152.44</v>
      </c>
      <c r="U269" s="11" t="n">
        <f aca="false">IFERROR(YEAR(A269),"")</f>
        <v>2025</v>
      </c>
      <c r="V269" s="33" t="n">
        <f aca="false">IFERROR(O269*B269,0)</f>
        <v>6344033.61</v>
      </c>
      <c r="W269" s="32" t="n">
        <f aca="false">IFERROR(N269*B269,0)</f>
        <v>41617</v>
      </c>
      <c r="X269" s="11" t="n">
        <f aca="false">IF(OR(ISNUMBER(SEARCH("live nation",L269)),ISNUMBER(SEARCH("ocesa",L269))),1,0)</f>
        <v>0</v>
      </c>
      <c r="Y269" s="11" t="s">
        <v>50</v>
      </c>
    </row>
    <row r="270" customFormat="false" ht="15" hidden="false" customHeight="false" outlineLevel="0" collapsed="false">
      <c r="A270" s="25" t="n">
        <v>45882</v>
      </c>
      <c r="B270" s="13" t="n">
        <v>1</v>
      </c>
      <c r="C270" s="26" t="s">
        <v>574</v>
      </c>
      <c r="D270" s="26"/>
      <c r="E270" s="13" t="s">
        <v>581</v>
      </c>
      <c r="F270" s="13" t="s">
        <v>582</v>
      </c>
      <c r="G270" s="13"/>
      <c r="H270" s="13" t="s">
        <v>583</v>
      </c>
      <c r="I270" s="13"/>
      <c r="J270" s="13" t="s">
        <v>121</v>
      </c>
      <c r="K270" s="13" t="s">
        <v>584</v>
      </c>
      <c r="L270" s="13" t="s">
        <v>580</v>
      </c>
      <c r="M270" s="13" t="s">
        <v>100</v>
      </c>
      <c r="N270" s="27" t="n">
        <v>7735</v>
      </c>
      <c r="O270" s="28" t="n">
        <v>619086.65</v>
      </c>
      <c r="P270" s="27" t="n">
        <v>7735</v>
      </c>
      <c r="Q270" s="29" t="n">
        <v>1</v>
      </c>
      <c r="R270" s="28" t="n">
        <v>33.32</v>
      </c>
      <c r="S270" s="28" t="n">
        <v>172.15</v>
      </c>
      <c r="T270" s="28" t="n">
        <v>80.04</v>
      </c>
      <c r="U270" s="13" t="n">
        <f aca="false">IFERROR(YEAR(A270),"")</f>
        <v>2025</v>
      </c>
      <c r="V270" s="28" t="n">
        <f aca="false">IFERROR(O270*B270,0)</f>
        <v>619086.65</v>
      </c>
      <c r="W270" s="27" t="n">
        <f aca="false">IFERROR(N270*B270,0)</f>
        <v>7735</v>
      </c>
      <c r="X270" s="13" t="n">
        <f aca="false">IF(OR(ISNUMBER(SEARCH("live nation",L270)),ISNUMBER(SEARCH("ocesa",L270))),1,0)</f>
        <v>0</v>
      </c>
      <c r="Y270" s="13" t="s">
        <v>49</v>
      </c>
    </row>
    <row r="271" customFormat="false" ht="15" hidden="false" customHeight="false" outlineLevel="0" collapsed="false">
      <c r="A271" s="30" t="n">
        <v>45881</v>
      </c>
      <c r="B271" s="11" t="n">
        <v>2</v>
      </c>
      <c r="C271" s="31" t="s">
        <v>64</v>
      </c>
      <c r="D271" s="31"/>
      <c r="E271" s="11" t="s">
        <v>585</v>
      </c>
      <c r="F271" s="11" t="s">
        <v>586</v>
      </c>
      <c r="G271" s="11" t="s">
        <v>143</v>
      </c>
      <c r="H271" s="11" t="s">
        <v>20</v>
      </c>
      <c r="I271" s="11" t="s">
        <v>586</v>
      </c>
      <c r="J271" s="11" t="s">
        <v>97</v>
      </c>
      <c r="K271" s="11" t="s">
        <v>107</v>
      </c>
      <c r="L271" s="11" t="s">
        <v>145</v>
      </c>
      <c r="M271" s="11" t="s">
        <v>100</v>
      </c>
      <c r="N271" s="32" t="n">
        <v>9430</v>
      </c>
      <c r="O271" s="33" t="n">
        <v>1839504.25</v>
      </c>
      <c r="P271" s="32" t="n">
        <v>10875</v>
      </c>
      <c r="Q271" s="34" t="n">
        <v>0.86</v>
      </c>
      <c r="R271" s="33" t="n">
        <v>59.5</v>
      </c>
      <c r="S271" s="33" t="n">
        <v>659.5</v>
      </c>
      <c r="T271" s="33" t="n">
        <v>195.07</v>
      </c>
      <c r="U271" s="11" t="n">
        <f aca="false">IFERROR(YEAR(A271),"")</f>
        <v>2025</v>
      </c>
      <c r="V271" s="33" t="n">
        <f aca="false">IFERROR(O271*B271,0)</f>
        <v>3679008.5</v>
      </c>
      <c r="W271" s="32" t="n">
        <f aca="false">IFERROR(N271*B271,0)</f>
        <v>18860</v>
      </c>
      <c r="X271" s="11" t="n">
        <f aca="false">IF(OR(ISNUMBER(SEARCH("live nation",L271)),ISNUMBER(SEARCH("ocesa",L271))),1,0)</f>
        <v>0</v>
      </c>
      <c r="Y271" s="11" t="s">
        <v>49</v>
      </c>
    </row>
    <row r="272" customFormat="false" ht="15" hidden="false" customHeight="false" outlineLevel="0" collapsed="false">
      <c r="A272" s="25" t="n">
        <v>45881</v>
      </c>
      <c r="B272" s="13" t="n">
        <v>1</v>
      </c>
      <c r="C272" s="26" t="s">
        <v>587</v>
      </c>
      <c r="D272" s="26"/>
      <c r="E272" s="13" t="s">
        <v>588</v>
      </c>
      <c r="F272" s="13" t="s">
        <v>132</v>
      </c>
      <c r="G272" s="13"/>
      <c r="H272" s="13" t="s">
        <v>23</v>
      </c>
      <c r="I272" s="13"/>
      <c r="J272" s="13" t="s">
        <v>151</v>
      </c>
      <c r="K272" s="13" t="s">
        <v>134</v>
      </c>
      <c r="L272" s="13" t="s">
        <v>135</v>
      </c>
      <c r="M272" s="13" t="s">
        <v>100</v>
      </c>
      <c r="N272" s="27" t="n">
        <v>5705</v>
      </c>
      <c r="O272" s="28" t="n">
        <v>620800.8</v>
      </c>
      <c r="P272" s="27" t="n">
        <v>5802</v>
      </c>
      <c r="Q272" s="29" t="n">
        <v>0.98</v>
      </c>
      <c r="R272" s="28" t="n">
        <v>42.85</v>
      </c>
      <c r="S272" s="28" t="n">
        <v>374.92</v>
      </c>
      <c r="T272" s="28" t="n">
        <v>108.82</v>
      </c>
      <c r="U272" s="13" t="n">
        <f aca="false">IFERROR(YEAR(A272),"")</f>
        <v>2025</v>
      </c>
      <c r="V272" s="28" t="n">
        <f aca="false">IFERROR(O272*B272,0)</f>
        <v>620800.8</v>
      </c>
      <c r="W272" s="27" t="n">
        <f aca="false">IFERROR(N272*B272,0)</f>
        <v>5705</v>
      </c>
      <c r="X272" s="13" t="n">
        <f aca="false">IF(OR(ISNUMBER(SEARCH("live nation",L272)),ISNUMBER(SEARCH("ocesa",L272))),1,0)</f>
        <v>1</v>
      </c>
      <c r="Y272" s="13" t="s">
        <v>49</v>
      </c>
    </row>
    <row r="273" customFormat="false" ht="15" hidden="false" customHeight="false" outlineLevel="0" collapsed="false">
      <c r="A273" s="30" t="n">
        <v>45879</v>
      </c>
      <c r="B273" s="11" t="n">
        <v>1</v>
      </c>
      <c r="C273" s="31" t="s">
        <v>589</v>
      </c>
      <c r="D273" s="31"/>
      <c r="E273" s="11" t="s">
        <v>111</v>
      </c>
      <c r="F273" s="11" t="s">
        <v>112</v>
      </c>
      <c r="G273" s="11"/>
      <c r="H273" s="11" t="s">
        <v>21</v>
      </c>
      <c r="I273" s="11"/>
      <c r="J273" s="11" t="s">
        <v>97</v>
      </c>
      <c r="K273" s="11" t="s">
        <v>113</v>
      </c>
      <c r="L273" s="11" t="s">
        <v>321</v>
      </c>
      <c r="M273" s="11" t="s">
        <v>100</v>
      </c>
      <c r="N273" s="32" t="n">
        <v>11000</v>
      </c>
      <c r="O273" s="33" t="n">
        <v>953897.46</v>
      </c>
      <c r="P273" s="32" t="n">
        <v>11000</v>
      </c>
      <c r="Q273" s="34" t="n">
        <v>1</v>
      </c>
      <c r="R273" s="33" t="n">
        <v>86.72</v>
      </c>
      <c r="S273" s="33" t="n">
        <v>86.72</v>
      </c>
      <c r="T273" s="33" t="n">
        <v>86.72</v>
      </c>
      <c r="U273" s="11" t="n">
        <f aca="false">IFERROR(YEAR(A273),"")</f>
        <v>2025</v>
      </c>
      <c r="V273" s="33" t="n">
        <f aca="false">IFERROR(O273*B273,0)</f>
        <v>953897.46</v>
      </c>
      <c r="W273" s="32" t="n">
        <f aca="false">IFERROR(N273*B273,0)</f>
        <v>11000</v>
      </c>
      <c r="X273" s="11" t="n">
        <f aca="false">IF(OR(ISNUMBER(SEARCH("live nation",L273)),ISNUMBER(SEARCH("ocesa",L273))),1,0)</f>
        <v>0</v>
      </c>
      <c r="Y273" s="11" t="s">
        <v>50</v>
      </c>
    </row>
    <row r="274" customFormat="false" ht="15" hidden="false" customHeight="false" outlineLevel="0" collapsed="false">
      <c r="A274" s="25" t="n">
        <v>45879</v>
      </c>
      <c r="B274" s="13" t="n">
        <v>1</v>
      </c>
      <c r="C274" s="26" t="s">
        <v>587</v>
      </c>
      <c r="D274" s="26" t="s">
        <v>590</v>
      </c>
      <c r="E274" s="13" t="s">
        <v>591</v>
      </c>
      <c r="F274" s="13" t="s">
        <v>156</v>
      </c>
      <c r="G274" s="13"/>
      <c r="H274" s="13" t="s">
        <v>157</v>
      </c>
      <c r="I274" s="13"/>
      <c r="J274" s="13" t="s">
        <v>121</v>
      </c>
      <c r="K274" s="13" t="s">
        <v>158</v>
      </c>
      <c r="L274" s="13" t="s">
        <v>575</v>
      </c>
      <c r="M274" s="13" t="s">
        <v>100</v>
      </c>
      <c r="N274" s="27" t="n">
        <v>4225</v>
      </c>
      <c r="O274" s="28" t="n">
        <v>347425.87</v>
      </c>
      <c r="P274" s="27" t="n">
        <v>4512</v>
      </c>
      <c r="Q274" s="29" t="n">
        <v>0.93</v>
      </c>
      <c r="R274" s="28" t="n">
        <v>67.27</v>
      </c>
      <c r="S274" s="28" t="n">
        <v>155.25</v>
      </c>
      <c r="T274" s="28" t="n">
        <v>82.23</v>
      </c>
      <c r="U274" s="13" t="n">
        <f aca="false">IFERROR(YEAR(A274),"")</f>
        <v>2025</v>
      </c>
      <c r="V274" s="28" t="n">
        <f aca="false">IFERROR(O274*B274,0)</f>
        <v>347425.87</v>
      </c>
      <c r="W274" s="27" t="n">
        <f aca="false">IFERROR(N274*B274,0)</f>
        <v>4225</v>
      </c>
      <c r="X274" s="13" t="n">
        <f aca="false">IF(OR(ISNUMBER(SEARCH("live nation",L274)),ISNUMBER(SEARCH("ocesa",L274))),1,0)</f>
        <v>0</v>
      </c>
      <c r="Y274" s="13" t="s">
        <v>49</v>
      </c>
    </row>
    <row r="275" customFormat="false" ht="15" hidden="false" customHeight="false" outlineLevel="0" collapsed="false">
      <c r="A275" s="30" t="n">
        <v>45878</v>
      </c>
      <c r="B275" s="11" t="n">
        <v>1</v>
      </c>
      <c r="C275" s="31" t="s">
        <v>71</v>
      </c>
      <c r="D275" s="31"/>
      <c r="E275" s="11" t="s">
        <v>486</v>
      </c>
      <c r="F275" s="11" t="s">
        <v>203</v>
      </c>
      <c r="G275" s="11" t="s">
        <v>202</v>
      </c>
      <c r="H275" s="11" t="s">
        <v>20</v>
      </c>
      <c r="I275" s="11" t="s">
        <v>203</v>
      </c>
      <c r="J275" s="11" t="s">
        <v>133</v>
      </c>
      <c r="K275" s="11" t="s">
        <v>107</v>
      </c>
      <c r="L275" s="11" t="s">
        <v>531</v>
      </c>
      <c r="M275" s="11" t="s">
        <v>100</v>
      </c>
      <c r="N275" s="32" t="n">
        <v>20498</v>
      </c>
      <c r="O275" s="33" t="n">
        <v>2807711</v>
      </c>
      <c r="P275" s="32" t="n">
        <v>24000</v>
      </c>
      <c r="Q275" s="34" t="n">
        <v>0.85</v>
      </c>
      <c r="R275" s="33" t="n">
        <v>136.97</v>
      </c>
      <c r="S275" s="33" t="n">
        <v>136.97</v>
      </c>
      <c r="T275" s="33" t="n">
        <v>136.97</v>
      </c>
      <c r="U275" s="11" t="n">
        <f aca="false">IFERROR(YEAR(A275),"")</f>
        <v>2025</v>
      </c>
      <c r="V275" s="33" t="n">
        <f aca="false">IFERROR(O275*B275,0)</f>
        <v>2807711</v>
      </c>
      <c r="W275" s="32" t="n">
        <f aca="false">IFERROR(N275*B275,0)</f>
        <v>20498</v>
      </c>
      <c r="X275" s="11" t="n">
        <f aca="false">IF(OR(ISNUMBER(SEARCH("live nation",L275)),ISNUMBER(SEARCH("ocesa",L275))),1,0)</f>
        <v>0</v>
      </c>
      <c r="Y275" s="11" t="s">
        <v>49</v>
      </c>
    </row>
    <row r="276" customFormat="false" ht="15" hidden="false" customHeight="false" outlineLevel="0" collapsed="false">
      <c r="A276" s="25" t="n">
        <v>45878</v>
      </c>
      <c r="B276" s="13" t="n">
        <v>1</v>
      </c>
      <c r="C276" s="26" t="s">
        <v>64</v>
      </c>
      <c r="D276" s="26"/>
      <c r="E276" s="13" t="s">
        <v>592</v>
      </c>
      <c r="F276" s="13" t="s">
        <v>209</v>
      </c>
      <c r="G276" s="13" t="s">
        <v>208</v>
      </c>
      <c r="H276" s="13" t="s">
        <v>20</v>
      </c>
      <c r="I276" s="13" t="s">
        <v>209</v>
      </c>
      <c r="J276" s="13" t="s">
        <v>97</v>
      </c>
      <c r="K276" s="13" t="s">
        <v>107</v>
      </c>
      <c r="L276" s="13" t="s">
        <v>145</v>
      </c>
      <c r="M276" s="13" t="s">
        <v>100</v>
      </c>
      <c r="N276" s="27" t="n">
        <v>12626</v>
      </c>
      <c r="O276" s="28" t="n">
        <v>2308207</v>
      </c>
      <c r="P276" s="27" t="n">
        <v>12681</v>
      </c>
      <c r="Q276" s="29" t="n">
        <v>0.99</v>
      </c>
      <c r="R276" s="28" t="n">
        <v>59.5</v>
      </c>
      <c r="S276" s="28" t="n">
        <v>659.5</v>
      </c>
      <c r="T276" s="28" t="n">
        <v>182.81</v>
      </c>
      <c r="U276" s="13" t="n">
        <f aca="false">IFERROR(YEAR(A276),"")</f>
        <v>2025</v>
      </c>
      <c r="V276" s="28" t="n">
        <f aca="false">IFERROR(O276*B276,0)</f>
        <v>2308207</v>
      </c>
      <c r="W276" s="27" t="n">
        <f aca="false">IFERROR(N276*B276,0)</f>
        <v>12626</v>
      </c>
      <c r="X276" s="13" t="n">
        <f aca="false">IF(OR(ISNUMBER(SEARCH("live nation",L276)),ISNUMBER(SEARCH("ocesa",L276))),1,0)</f>
        <v>0</v>
      </c>
      <c r="Y276" s="13" t="s">
        <v>49</v>
      </c>
    </row>
    <row r="277" customFormat="false" ht="15" hidden="false" customHeight="false" outlineLevel="0" collapsed="false">
      <c r="A277" s="30" t="n">
        <v>45878</v>
      </c>
      <c r="B277" s="11" t="n">
        <v>2</v>
      </c>
      <c r="C277" s="31" t="s">
        <v>593</v>
      </c>
      <c r="D277" s="31"/>
      <c r="E277" s="11" t="s">
        <v>560</v>
      </c>
      <c r="F277" s="11" t="s">
        <v>561</v>
      </c>
      <c r="G277" s="11"/>
      <c r="H277" s="11" t="s">
        <v>449</v>
      </c>
      <c r="I277" s="11"/>
      <c r="J277" s="11" t="s">
        <v>97</v>
      </c>
      <c r="K277" s="11" t="s">
        <v>173</v>
      </c>
      <c r="L277" s="11" t="s">
        <v>594</v>
      </c>
      <c r="M277" s="11" t="s">
        <v>100</v>
      </c>
      <c r="N277" s="32" t="n">
        <v>11379</v>
      </c>
      <c r="O277" s="33" t="n">
        <v>2715397.12</v>
      </c>
      <c r="P277" s="32" t="n">
        <v>11510</v>
      </c>
      <c r="Q277" s="34" t="n">
        <v>0.98</v>
      </c>
      <c r="R277" s="33" t="n">
        <v>69.88</v>
      </c>
      <c r="S277" s="33" t="n">
        <v>273.7</v>
      </c>
      <c r="T277" s="33" t="n">
        <v>238.63</v>
      </c>
      <c r="U277" s="11" t="n">
        <f aca="false">IFERROR(YEAR(A277),"")</f>
        <v>2025</v>
      </c>
      <c r="V277" s="33" t="n">
        <f aca="false">IFERROR(O277*B277,0)</f>
        <v>5430794.24</v>
      </c>
      <c r="W277" s="32" t="n">
        <f aca="false">IFERROR(N277*B277,0)</f>
        <v>22758</v>
      </c>
      <c r="X277" s="11" t="n">
        <f aca="false">IF(OR(ISNUMBER(SEARCH("live nation",L277)),ISNUMBER(SEARCH("ocesa",L277))),1,0)</f>
        <v>1</v>
      </c>
      <c r="Y277" s="11" t="s">
        <v>49</v>
      </c>
    </row>
    <row r="278" customFormat="false" ht="15" hidden="false" customHeight="false" outlineLevel="0" collapsed="false">
      <c r="A278" s="25" t="n">
        <v>45878</v>
      </c>
      <c r="B278" s="13" t="n">
        <v>1</v>
      </c>
      <c r="C278" s="26" t="s">
        <v>589</v>
      </c>
      <c r="D278" s="26"/>
      <c r="E278" s="13" t="s">
        <v>111</v>
      </c>
      <c r="F278" s="13" t="s">
        <v>112</v>
      </c>
      <c r="G278" s="13"/>
      <c r="H278" s="13" t="s">
        <v>21</v>
      </c>
      <c r="I278" s="13"/>
      <c r="J278" s="13" t="s">
        <v>97</v>
      </c>
      <c r="K278" s="13" t="s">
        <v>113</v>
      </c>
      <c r="L278" s="13" t="s">
        <v>321</v>
      </c>
      <c r="M278" s="13" t="s">
        <v>100</v>
      </c>
      <c r="N278" s="27" t="n">
        <v>11000</v>
      </c>
      <c r="O278" s="28" t="n">
        <v>953573.63</v>
      </c>
      <c r="P278" s="27" t="n">
        <v>11000</v>
      </c>
      <c r="Q278" s="29" t="n">
        <v>1</v>
      </c>
      <c r="R278" s="28" t="n">
        <v>86.69</v>
      </c>
      <c r="S278" s="28" t="n">
        <v>86.69</v>
      </c>
      <c r="T278" s="28" t="n">
        <v>86.69</v>
      </c>
      <c r="U278" s="13" t="n">
        <f aca="false">IFERROR(YEAR(A278),"")</f>
        <v>2025</v>
      </c>
      <c r="V278" s="28" t="n">
        <f aca="false">IFERROR(O278*B278,0)</f>
        <v>953573.63</v>
      </c>
      <c r="W278" s="27" t="n">
        <f aca="false">IFERROR(N278*B278,0)</f>
        <v>11000</v>
      </c>
      <c r="X278" s="13" t="n">
        <f aca="false">IF(OR(ISNUMBER(SEARCH("live nation",L278)),ISNUMBER(SEARCH("ocesa",L278))),1,0)</f>
        <v>0</v>
      </c>
      <c r="Y278" s="13" t="s">
        <v>50</v>
      </c>
    </row>
    <row r="279" customFormat="false" ht="15" hidden="false" customHeight="false" outlineLevel="0" collapsed="false">
      <c r="A279" s="30" t="n">
        <v>45878</v>
      </c>
      <c r="B279" s="11" t="n">
        <v>1</v>
      </c>
      <c r="C279" s="31" t="s">
        <v>595</v>
      </c>
      <c r="D279" s="31"/>
      <c r="E279" s="11" t="s">
        <v>445</v>
      </c>
      <c r="F279" s="11" t="s">
        <v>446</v>
      </c>
      <c r="G279" s="11"/>
      <c r="H279" s="11" t="s">
        <v>23</v>
      </c>
      <c r="I279" s="11"/>
      <c r="J279" s="11" t="s">
        <v>121</v>
      </c>
      <c r="K279" s="11" t="s">
        <v>134</v>
      </c>
      <c r="L279" s="11" t="s">
        <v>122</v>
      </c>
      <c r="M279" s="11" t="s">
        <v>100</v>
      </c>
      <c r="N279" s="32" t="n">
        <v>1694</v>
      </c>
      <c r="O279" s="33" t="n">
        <v>231055.97</v>
      </c>
      <c r="P279" s="32" t="n">
        <v>2482</v>
      </c>
      <c r="Q279" s="34" t="n">
        <v>0.68</v>
      </c>
      <c r="R279" s="33" t="n">
        <v>53.28</v>
      </c>
      <c r="S279" s="33" t="n">
        <v>295.48</v>
      </c>
      <c r="T279" s="33" t="n">
        <v>136.4</v>
      </c>
      <c r="U279" s="11" t="n">
        <f aca="false">IFERROR(YEAR(A279),"")</f>
        <v>2025</v>
      </c>
      <c r="V279" s="33" t="n">
        <f aca="false">IFERROR(O279*B279,0)</f>
        <v>231055.97</v>
      </c>
      <c r="W279" s="32" t="n">
        <f aca="false">IFERROR(N279*B279,0)</f>
        <v>1694</v>
      </c>
      <c r="X279" s="11" t="n">
        <f aca="false">IF(OR(ISNUMBER(SEARCH("live nation",L279)),ISNUMBER(SEARCH("ocesa",L279))),1,0)</f>
        <v>0</v>
      </c>
      <c r="Y279" s="11" t="s">
        <v>49</v>
      </c>
    </row>
    <row r="280" customFormat="false" ht="15" hidden="false" customHeight="false" outlineLevel="0" collapsed="false">
      <c r="A280" s="25" t="n">
        <v>45877</v>
      </c>
      <c r="B280" s="13" t="n">
        <v>1</v>
      </c>
      <c r="C280" s="26" t="s">
        <v>71</v>
      </c>
      <c r="D280" s="26"/>
      <c r="E280" s="13" t="s">
        <v>486</v>
      </c>
      <c r="F280" s="13" t="s">
        <v>203</v>
      </c>
      <c r="G280" s="13" t="s">
        <v>202</v>
      </c>
      <c r="H280" s="13" t="s">
        <v>20</v>
      </c>
      <c r="I280" s="13" t="s">
        <v>203</v>
      </c>
      <c r="J280" s="13" t="s">
        <v>133</v>
      </c>
      <c r="K280" s="13" t="s">
        <v>107</v>
      </c>
      <c r="L280" s="13" t="s">
        <v>531</v>
      </c>
      <c r="M280" s="13" t="s">
        <v>100</v>
      </c>
      <c r="N280" s="27" t="n">
        <v>19845</v>
      </c>
      <c r="O280" s="28" t="n">
        <v>3629199</v>
      </c>
      <c r="P280" s="27" t="n">
        <v>24000</v>
      </c>
      <c r="Q280" s="29" t="n">
        <v>0.82</v>
      </c>
      <c r="R280" s="28" t="n">
        <v>182.88</v>
      </c>
      <c r="S280" s="28" t="n">
        <v>182.88</v>
      </c>
      <c r="T280" s="28" t="n">
        <v>182.88</v>
      </c>
      <c r="U280" s="13" t="n">
        <f aca="false">IFERROR(YEAR(A280),"")</f>
        <v>2025</v>
      </c>
      <c r="V280" s="28" t="n">
        <f aca="false">IFERROR(O280*B280,0)</f>
        <v>3629199</v>
      </c>
      <c r="W280" s="27" t="n">
        <f aca="false">IFERROR(N280*B280,0)</f>
        <v>19845</v>
      </c>
      <c r="X280" s="13" t="n">
        <f aca="false">IF(OR(ISNUMBER(SEARCH("live nation",L280)),ISNUMBER(SEARCH("ocesa",L280))),1,0)</f>
        <v>0</v>
      </c>
      <c r="Y280" s="13" t="s">
        <v>49</v>
      </c>
    </row>
    <row r="281" customFormat="false" ht="15" hidden="false" customHeight="false" outlineLevel="0" collapsed="false">
      <c r="A281" s="30" t="n">
        <v>45877</v>
      </c>
      <c r="B281" s="11" t="n">
        <v>1</v>
      </c>
      <c r="C281" s="31" t="s">
        <v>574</v>
      </c>
      <c r="D281" s="31"/>
      <c r="E281" s="11" t="s">
        <v>460</v>
      </c>
      <c r="F281" s="11" t="s">
        <v>132</v>
      </c>
      <c r="G281" s="11"/>
      <c r="H281" s="11" t="s">
        <v>23</v>
      </c>
      <c r="I281" s="11"/>
      <c r="J281" s="11" t="s">
        <v>97</v>
      </c>
      <c r="K281" s="11" t="s">
        <v>134</v>
      </c>
      <c r="L281" s="11" t="s">
        <v>461</v>
      </c>
      <c r="M281" s="11" t="s">
        <v>100</v>
      </c>
      <c r="N281" s="32" t="n">
        <v>15293</v>
      </c>
      <c r="O281" s="33" t="n">
        <v>1530249.87</v>
      </c>
      <c r="P281" s="32" t="n">
        <v>15312</v>
      </c>
      <c r="Q281" s="34" t="n">
        <v>0.99</v>
      </c>
      <c r="R281" s="33" t="n">
        <v>45.26</v>
      </c>
      <c r="S281" s="33" t="n">
        <v>197.99</v>
      </c>
      <c r="T281" s="33" t="n">
        <v>100.06</v>
      </c>
      <c r="U281" s="11" t="n">
        <f aca="false">IFERROR(YEAR(A281),"")</f>
        <v>2025</v>
      </c>
      <c r="V281" s="33" t="n">
        <f aca="false">IFERROR(O281*B281,0)</f>
        <v>1530249.87</v>
      </c>
      <c r="W281" s="32" t="n">
        <f aca="false">IFERROR(N281*B281,0)</f>
        <v>15293</v>
      </c>
      <c r="X281" s="11" t="n">
        <f aca="false">IF(OR(ISNUMBER(SEARCH("live nation",L281)),ISNUMBER(SEARCH("ocesa",L281))),1,0)</f>
        <v>0</v>
      </c>
      <c r="Y281" s="11" t="s">
        <v>49</v>
      </c>
    </row>
    <row r="282" customFormat="false" ht="15" hidden="false" customHeight="false" outlineLevel="0" collapsed="false">
      <c r="A282" s="25" t="n">
        <v>45876</v>
      </c>
      <c r="B282" s="13" t="n">
        <v>1</v>
      </c>
      <c r="C282" s="26" t="s">
        <v>596</v>
      </c>
      <c r="D282" s="26"/>
      <c r="E282" s="13" t="s">
        <v>111</v>
      </c>
      <c r="F282" s="13" t="s">
        <v>112</v>
      </c>
      <c r="G282" s="13"/>
      <c r="H282" s="13" t="s">
        <v>21</v>
      </c>
      <c r="I282" s="13"/>
      <c r="J282" s="13" t="s">
        <v>97</v>
      </c>
      <c r="K282" s="13" t="s">
        <v>113</v>
      </c>
      <c r="L282" s="13" t="s">
        <v>321</v>
      </c>
      <c r="M282" s="13" t="s">
        <v>100</v>
      </c>
      <c r="N282" s="27" t="n">
        <v>18000</v>
      </c>
      <c r="O282" s="28" t="n">
        <v>1830348.53</v>
      </c>
      <c r="P282" s="27" t="n">
        <v>18000</v>
      </c>
      <c r="Q282" s="29" t="n">
        <v>1</v>
      </c>
      <c r="R282" s="28" t="n">
        <v>101.69</v>
      </c>
      <c r="S282" s="28" t="n">
        <v>101.69</v>
      </c>
      <c r="T282" s="28" t="n">
        <v>101.69</v>
      </c>
      <c r="U282" s="13" t="n">
        <f aca="false">IFERROR(YEAR(A282),"")</f>
        <v>2025</v>
      </c>
      <c r="V282" s="28" t="n">
        <f aca="false">IFERROR(O282*B282,0)</f>
        <v>1830348.53</v>
      </c>
      <c r="W282" s="27" t="n">
        <f aca="false">IFERROR(N282*B282,0)</f>
        <v>18000</v>
      </c>
      <c r="X282" s="13" t="n">
        <f aca="false">IF(OR(ISNUMBER(SEARCH("live nation",L282)),ISNUMBER(SEARCH("ocesa",L282))),1,0)</f>
        <v>0</v>
      </c>
      <c r="Y282" s="13" t="s">
        <v>50</v>
      </c>
    </row>
    <row r="283" customFormat="false" ht="15" hidden="false" customHeight="false" outlineLevel="0" collapsed="false">
      <c r="A283" s="30" t="n">
        <v>45875</v>
      </c>
      <c r="B283" s="11" t="n">
        <v>1</v>
      </c>
      <c r="C283" s="31" t="s">
        <v>587</v>
      </c>
      <c r="D283" s="31"/>
      <c r="E283" s="11" t="s">
        <v>200</v>
      </c>
      <c r="F283" s="11" t="s">
        <v>201</v>
      </c>
      <c r="G283" s="11" t="s">
        <v>202</v>
      </c>
      <c r="H283" s="11" t="s">
        <v>20</v>
      </c>
      <c r="I283" s="11" t="s">
        <v>203</v>
      </c>
      <c r="J283" s="11" t="s">
        <v>121</v>
      </c>
      <c r="K283" s="11" t="s">
        <v>107</v>
      </c>
      <c r="L283" s="11" t="s">
        <v>177</v>
      </c>
      <c r="M283" s="11" t="s">
        <v>100</v>
      </c>
      <c r="N283" s="32" t="n">
        <v>5752</v>
      </c>
      <c r="O283" s="33" t="n">
        <v>422959.48</v>
      </c>
      <c r="P283" s="32" t="n">
        <v>5752</v>
      </c>
      <c r="Q283" s="34" t="n">
        <v>1</v>
      </c>
      <c r="R283" s="33" t="n">
        <v>40.5</v>
      </c>
      <c r="S283" s="33" t="n">
        <v>100.5</v>
      </c>
      <c r="T283" s="33" t="n">
        <v>73.53</v>
      </c>
      <c r="U283" s="11" t="n">
        <f aca="false">IFERROR(YEAR(A283),"")</f>
        <v>2025</v>
      </c>
      <c r="V283" s="33" t="n">
        <f aca="false">IFERROR(O283*B283,0)</f>
        <v>422959.48</v>
      </c>
      <c r="W283" s="32" t="n">
        <f aca="false">IFERROR(N283*B283,0)</f>
        <v>5752</v>
      </c>
      <c r="X283" s="11" t="n">
        <f aca="false">IF(OR(ISNUMBER(SEARCH("live nation",L283)),ISNUMBER(SEARCH("ocesa",L283))),1,0)</f>
        <v>1</v>
      </c>
      <c r="Y283" s="11" t="s">
        <v>49</v>
      </c>
    </row>
    <row r="284" customFormat="false" ht="15" hidden="false" customHeight="false" outlineLevel="0" collapsed="false">
      <c r="A284" s="25" t="n">
        <v>45875</v>
      </c>
      <c r="B284" s="13" t="n">
        <v>2</v>
      </c>
      <c r="C284" s="26" t="s">
        <v>64</v>
      </c>
      <c r="D284" s="26"/>
      <c r="E284" s="13" t="s">
        <v>355</v>
      </c>
      <c r="F284" s="13" t="s">
        <v>356</v>
      </c>
      <c r="G284" s="13" t="s">
        <v>139</v>
      </c>
      <c r="H284" s="13" t="s">
        <v>20</v>
      </c>
      <c r="I284" s="13" t="s">
        <v>139</v>
      </c>
      <c r="J284" s="13" t="s">
        <v>97</v>
      </c>
      <c r="K284" s="13" t="s">
        <v>107</v>
      </c>
      <c r="L284" s="13" t="s">
        <v>145</v>
      </c>
      <c r="M284" s="13" t="s">
        <v>100</v>
      </c>
      <c r="N284" s="27" t="n">
        <v>11492</v>
      </c>
      <c r="O284" s="28" t="n">
        <v>2178853.75</v>
      </c>
      <c r="P284" s="27" t="n">
        <v>11755</v>
      </c>
      <c r="Q284" s="29" t="n">
        <v>0.97</v>
      </c>
      <c r="R284" s="28" t="n">
        <v>59.5</v>
      </c>
      <c r="S284" s="28" t="n">
        <v>659.5</v>
      </c>
      <c r="T284" s="28" t="n">
        <v>189.6</v>
      </c>
      <c r="U284" s="13" t="n">
        <f aca="false">IFERROR(YEAR(A284),"")</f>
        <v>2025</v>
      </c>
      <c r="V284" s="28" t="n">
        <f aca="false">IFERROR(O284*B284,0)</f>
        <v>4357707.5</v>
      </c>
      <c r="W284" s="27" t="n">
        <f aca="false">IFERROR(N284*B284,0)</f>
        <v>22984</v>
      </c>
      <c r="X284" s="13" t="n">
        <f aca="false">IF(OR(ISNUMBER(SEARCH("live nation",L284)),ISNUMBER(SEARCH("ocesa",L284))),1,0)</f>
        <v>0</v>
      </c>
      <c r="Y284" s="13" t="s">
        <v>49</v>
      </c>
    </row>
    <row r="285" customFormat="false" ht="15" hidden="false" customHeight="false" outlineLevel="0" collapsed="false">
      <c r="A285" s="30" t="n">
        <v>45875</v>
      </c>
      <c r="B285" s="11" t="n">
        <v>1</v>
      </c>
      <c r="C285" s="31" t="s">
        <v>596</v>
      </c>
      <c r="D285" s="31"/>
      <c r="E285" s="11" t="s">
        <v>111</v>
      </c>
      <c r="F285" s="11" t="s">
        <v>112</v>
      </c>
      <c r="G285" s="11"/>
      <c r="H285" s="11" t="s">
        <v>21</v>
      </c>
      <c r="I285" s="11"/>
      <c r="J285" s="11" t="s">
        <v>97</v>
      </c>
      <c r="K285" s="11" t="s">
        <v>113</v>
      </c>
      <c r="L285" s="11" t="s">
        <v>321</v>
      </c>
      <c r="M285" s="11" t="s">
        <v>100</v>
      </c>
      <c r="N285" s="32" t="n">
        <v>18000</v>
      </c>
      <c r="O285" s="33" t="n">
        <v>1831742.98</v>
      </c>
      <c r="P285" s="32" t="n">
        <v>18000</v>
      </c>
      <c r="Q285" s="34" t="n">
        <v>1</v>
      </c>
      <c r="R285" s="33" t="n">
        <v>101.76</v>
      </c>
      <c r="S285" s="33" t="n">
        <v>101.76</v>
      </c>
      <c r="T285" s="33" t="n">
        <v>101.76</v>
      </c>
      <c r="U285" s="11" t="n">
        <f aca="false">IFERROR(YEAR(A285),"")</f>
        <v>2025</v>
      </c>
      <c r="V285" s="33" t="n">
        <f aca="false">IFERROR(O285*B285,0)</f>
        <v>1831742.98</v>
      </c>
      <c r="W285" s="32" t="n">
        <f aca="false">IFERROR(N285*B285,0)</f>
        <v>18000</v>
      </c>
      <c r="X285" s="11" t="n">
        <f aca="false">IF(OR(ISNUMBER(SEARCH("live nation",L285)),ISNUMBER(SEARCH("ocesa",L285))),1,0)</f>
        <v>0</v>
      </c>
      <c r="Y285" s="11" t="s">
        <v>50</v>
      </c>
    </row>
    <row r="286" customFormat="false" ht="15" hidden="false" customHeight="false" outlineLevel="0" collapsed="false">
      <c r="A286" s="25" t="n">
        <v>45874</v>
      </c>
      <c r="B286" s="13" t="n">
        <v>2</v>
      </c>
      <c r="C286" s="26" t="s">
        <v>593</v>
      </c>
      <c r="D286" s="26"/>
      <c r="E286" s="13" t="s">
        <v>567</v>
      </c>
      <c r="F286" s="13" t="s">
        <v>313</v>
      </c>
      <c r="G286" s="13"/>
      <c r="H286" s="13" t="s">
        <v>27</v>
      </c>
      <c r="I286" s="13"/>
      <c r="J286" s="13" t="s">
        <v>97</v>
      </c>
      <c r="K286" s="13" t="s">
        <v>314</v>
      </c>
      <c r="L286" s="13" t="s">
        <v>468</v>
      </c>
      <c r="M286" s="13" t="s">
        <v>100</v>
      </c>
      <c r="N286" s="27" t="n">
        <v>13958</v>
      </c>
      <c r="O286" s="28" t="n">
        <v>3032396</v>
      </c>
      <c r="P286" s="27" t="n">
        <v>14022</v>
      </c>
      <c r="Q286" s="29" t="n">
        <v>0.99</v>
      </c>
      <c r="R286" s="28" t="n">
        <v>79.66</v>
      </c>
      <c r="S286" s="28" t="n">
        <v>312</v>
      </c>
      <c r="T286" s="28" t="n">
        <v>217.24</v>
      </c>
      <c r="U286" s="13" t="n">
        <f aca="false">IFERROR(YEAR(A286),"")</f>
        <v>2025</v>
      </c>
      <c r="V286" s="28" t="n">
        <f aca="false">IFERROR(O286*B286,0)</f>
        <v>6064792</v>
      </c>
      <c r="W286" s="27" t="n">
        <f aca="false">IFERROR(N286*B286,0)</f>
        <v>27916</v>
      </c>
      <c r="X286" s="13" t="n">
        <f aca="false">IF(OR(ISNUMBER(SEARCH("live nation",L286)),ISNUMBER(SEARCH("ocesa",L286))),1,0)</f>
        <v>1</v>
      </c>
      <c r="Y286" s="13" t="s">
        <v>49</v>
      </c>
    </row>
    <row r="287" customFormat="false" ht="15" hidden="false" customHeight="false" outlineLevel="0" collapsed="false">
      <c r="A287" s="30" t="n">
        <v>45874</v>
      </c>
      <c r="B287" s="11" t="n">
        <v>1</v>
      </c>
      <c r="C287" s="31" t="s">
        <v>574</v>
      </c>
      <c r="D287" s="31"/>
      <c r="E287" s="11" t="s">
        <v>506</v>
      </c>
      <c r="F287" s="11" t="s">
        <v>507</v>
      </c>
      <c r="G287" s="11" t="s">
        <v>221</v>
      </c>
      <c r="H287" s="11" t="s">
        <v>20</v>
      </c>
      <c r="I287" s="11" t="s">
        <v>139</v>
      </c>
      <c r="J287" s="11" t="s">
        <v>97</v>
      </c>
      <c r="K287" s="11" t="s">
        <v>107</v>
      </c>
      <c r="L287" s="11" t="s">
        <v>597</v>
      </c>
      <c r="M287" s="11" t="s">
        <v>100</v>
      </c>
      <c r="N287" s="32" t="n">
        <v>11256</v>
      </c>
      <c r="O287" s="33" t="n">
        <v>1384299.25</v>
      </c>
      <c r="P287" s="32" t="n">
        <v>11256</v>
      </c>
      <c r="Q287" s="34" t="n">
        <v>1</v>
      </c>
      <c r="R287" s="33" t="n">
        <v>55</v>
      </c>
      <c r="S287" s="33" t="n">
        <v>175</v>
      </c>
      <c r="T287" s="33" t="n">
        <v>122.98</v>
      </c>
      <c r="U287" s="11" t="n">
        <f aca="false">IFERROR(YEAR(A287),"")</f>
        <v>2025</v>
      </c>
      <c r="V287" s="33" t="n">
        <f aca="false">IFERROR(O287*B287,0)</f>
        <v>1384299.25</v>
      </c>
      <c r="W287" s="32" t="n">
        <f aca="false">IFERROR(N287*B287,0)</f>
        <v>11256</v>
      </c>
      <c r="X287" s="11" t="n">
        <f aca="false">IF(OR(ISNUMBER(SEARCH("live nation",L287)),ISNUMBER(SEARCH("ocesa",L287))),1,0)</f>
        <v>0</v>
      </c>
      <c r="Y287" s="11" t="s">
        <v>49</v>
      </c>
    </row>
    <row r="288" customFormat="false" ht="15" hidden="false" customHeight="false" outlineLevel="0" collapsed="false">
      <c r="A288" s="25" t="n">
        <v>45871</v>
      </c>
      <c r="B288" s="13" t="n">
        <v>2</v>
      </c>
      <c r="C288" s="26" t="s">
        <v>64</v>
      </c>
      <c r="D288" s="26"/>
      <c r="E288" s="13" t="s">
        <v>598</v>
      </c>
      <c r="F288" s="13" t="s">
        <v>370</v>
      </c>
      <c r="G288" s="13"/>
      <c r="H288" s="13" t="s">
        <v>21</v>
      </c>
      <c r="I288" s="13"/>
      <c r="J288" s="13" t="s">
        <v>133</v>
      </c>
      <c r="K288" s="13" t="s">
        <v>113</v>
      </c>
      <c r="L288" s="13" t="s">
        <v>145</v>
      </c>
      <c r="M288" s="13" t="s">
        <v>100</v>
      </c>
      <c r="N288" s="27" t="n">
        <v>42934</v>
      </c>
      <c r="O288" s="28" t="n">
        <v>4212143.32</v>
      </c>
      <c r="P288" s="27" t="n">
        <v>42934</v>
      </c>
      <c r="Q288" s="29" t="n">
        <v>1</v>
      </c>
      <c r="R288" s="28" t="n">
        <v>114.57</v>
      </c>
      <c r="S288" s="28" t="n">
        <v>188.71</v>
      </c>
      <c r="T288" s="28" t="n">
        <v>98.11</v>
      </c>
      <c r="U288" s="13" t="n">
        <f aca="false">IFERROR(YEAR(A288),"")</f>
        <v>2025</v>
      </c>
      <c r="V288" s="28" t="n">
        <f aca="false">IFERROR(O288*B288,0)</f>
        <v>8424286.64</v>
      </c>
      <c r="W288" s="27" t="n">
        <f aca="false">IFERROR(N288*B288,0)</f>
        <v>85868</v>
      </c>
      <c r="X288" s="13" t="n">
        <f aca="false">IF(OR(ISNUMBER(SEARCH("live nation",L288)),ISNUMBER(SEARCH("ocesa",L288))),1,0)</f>
        <v>0</v>
      </c>
      <c r="Y288" s="13" t="s">
        <v>50</v>
      </c>
    </row>
    <row r="289" customFormat="false" ht="15" hidden="false" customHeight="false" outlineLevel="0" collapsed="false">
      <c r="A289" s="30" t="n">
        <v>45868</v>
      </c>
      <c r="B289" s="11" t="n">
        <v>1</v>
      </c>
      <c r="C289" s="31" t="s">
        <v>66</v>
      </c>
      <c r="D289" s="31"/>
      <c r="E289" s="11" t="s">
        <v>599</v>
      </c>
      <c r="F289" s="11" t="s">
        <v>600</v>
      </c>
      <c r="G289" s="11"/>
      <c r="H289" s="11" t="s">
        <v>172</v>
      </c>
      <c r="I289" s="11"/>
      <c r="J289" s="11" t="s">
        <v>133</v>
      </c>
      <c r="K289" s="11" t="s">
        <v>173</v>
      </c>
      <c r="L289" s="11" t="s">
        <v>177</v>
      </c>
      <c r="M289" s="11" t="s">
        <v>100</v>
      </c>
      <c r="N289" s="32" t="n">
        <v>50374</v>
      </c>
      <c r="O289" s="33" t="n">
        <v>6773933.6</v>
      </c>
      <c r="P289" s="32" t="n">
        <v>50374</v>
      </c>
      <c r="Q289" s="34" t="n">
        <v>1</v>
      </c>
      <c r="R289" s="33" t="n">
        <v>75.15</v>
      </c>
      <c r="S289" s="33" t="n">
        <v>208.11</v>
      </c>
      <c r="T289" s="33" t="n">
        <v>134.47</v>
      </c>
      <c r="U289" s="11" t="n">
        <f aca="false">IFERROR(YEAR(A289),"")</f>
        <v>2025</v>
      </c>
      <c r="V289" s="33" t="n">
        <f aca="false">IFERROR(O289*B289,0)</f>
        <v>6773933.6</v>
      </c>
      <c r="W289" s="32" t="n">
        <f aca="false">IFERROR(N289*B289,0)</f>
        <v>50374</v>
      </c>
      <c r="X289" s="11" t="n">
        <f aca="false">IF(OR(ISNUMBER(SEARCH("live nation",L289)),ISNUMBER(SEARCH("ocesa",L289))),1,0)</f>
        <v>1</v>
      </c>
      <c r="Y289" s="11" t="s">
        <v>49</v>
      </c>
    </row>
    <row r="290" customFormat="false" ht="15" hidden="false" customHeight="false" outlineLevel="0" collapsed="false">
      <c r="A290" s="25" t="n">
        <v>45868</v>
      </c>
      <c r="B290" s="13" t="n">
        <v>2</v>
      </c>
      <c r="C290" s="26" t="s">
        <v>593</v>
      </c>
      <c r="D290" s="26"/>
      <c r="E290" s="13" t="s">
        <v>506</v>
      </c>
      <c r="F290" s="13" t="s">
        <v>507</v>
      </c>
      <c r="G290" s="13" t="s">
        <v>221</v>
      </c>
      <c r="H290" s="13" t="s">
        <v>20</v>
      </c>
      <c r="I290" s="13" t="s">
        <v>139</v>
      </c>
      <c r="J290" s="13" t="s">
        <v>97</v>
      </c>
      <c r="K290" s="13" t="s">
        <v>107</v>
      </c>
      <c r="L290" s="13" t="s">
        <v>468</v>
      </c>
      <c r="M290" s="13" t="s">
        <v>100</v>
      </c>
      <c r="N290" s="27" t="n">
        <v>11528</v>
      </c>
      <c r="O290" s="28" t="n">
        <v>2184783</v>
      </c>
      <c r="P290" s="27" t="n">
        <v>11769</v>
      </c>
      <c r="Q290" s="29" t="n">
        <v>0.97</v>
      </c>
      <c r="R290" s="28" t="n">
        <v>49.5</v>
      </c>
      <c r="S290" s="28" t="n">
        <v>249.5</v>
      </c>
      <c r="T290" s="28" t="n">
        <v>189.52</v>
      </c>
      <c r="U290" s="13" t="n">
        <f aca="false">IFERROR(YEAR(A290),"")</f>
        <v>2025</v>
      </c>
      <c r="V290" s="28" t="n">
        <f aca="false">IFERROR(O290*B290,0)</f>
        <v>4369566</v>
      </c>
      <c r="W290" s="27" t="n">
        <f aca="false">IFERROR(N290*B290,0)</f>
        <v>23056</v>
      </c>
      <c r="X290" s="13" t="n">
        <f aca="false">IF(OR(ISNUMBER(SEARCH("live nation",L290)),ISNUMBER(SEARCH("ocesa",L290))),1,0)</f>
        <v>1</v>
      </c>
      <c r="Y290" s="13" t="s">
        <v>49</v>
      </c>
    </row>
    <row r="291" customFormat="false" ht="15" hidden="false" customHeight="false" outlineLevel="0" collapsed="false">
      <c r="A291" s="30" t="n">
        <v>45867</v>
      </c>
      <c r="B291" s="11" t="n">
        <v>1</v>
      </c>
      <c r="C291" s="31" t="s">
        <v>574</v>
      </c>
      <c r="D291" s="31"/>
      <c r="E291" s="11" t="s">
        <v>601</v>
      </c>
      <c r="F291" s="11" t="s">
        <v>602</v>
      </c>
      <c r="G291" s="11" t="s">
        <v>229</v>
      </c>
      <c r="H291" s="11" t="s">
        <v>20</v>
      </c>
      <c r="I291" s="11" t="s">
        <v>602</v>
      </c>
      <c r="J291" s="11" t="s">
        <v>97</v>
      </c>
      <c r="K291" s="11" t="s">
        <v>107</v>
      </c>
      <c r="L291" s="11" t="s">
        <v>531</v>
      </c>
      <c r="M291" s="11" t="s">
        <v>100</v>
      </c>
      <c r="N291" s="32" t="n">
        <v>8109</v>
      </c>
      <c r="O291" s="33" t="n">
        <v>909233.5</v>
      </c>
      <c r="P291" s="32" t="n">
        <v>9543</v>
      </c>
      <c r="Q291" s="34" t="n">
        <v>0.84</v>
      </c>
      <c r="R291" s="33" t="n">
        <v>35</v>
      </c>
      <c r="S291" s="33" t="n">
        <v>169</v>
      </c>
      <c r="T291" s="33" t="n">
        <v>112.13</v>
      </c>
      <c r="U291" s="11" t="n">
        <f aca="false">IFERROR(YEAR(A291),"")</f>
        <v>2025</v>
      </c>
      <c r="V291" s="33" t="n">
        <f aca="false">IFERROR(O291*B291,0)</f>
        <v>909233.5</v>
      </c>
      <c r="W291" s="32" t="n">
        <f aca="false">IFERROR(N291*B291,0)</f>
        <v>8109</v>
      </c>
      <c r="X291" s="11" t="n">
        <f aca="false">IF(OR(ISNUMBER(SEARCH("live nation",L291)),ISNUMBER(SEARCH("ocesa",L291))),1,0)</f>
        <v>0</v>
      </c>
      <c r="Y291" s="11" t="s">
        <v>49</v>
      </c>
    </row>
    <row r="292" customFormat="false" ht="15" hidden="false" customHeight="false" outlineLevel="0" collapsed="false">
      <c r="A292" s="25" t="n">
        <v>45867</v>
      </c>
      <c r="B292" s="13" t="n">
        <v>1</v>
      </c>
      <c r="C292" s="26" t="s">
        <v>587</v>
      </c>
      <c r="D292" s="26"/>
      <c r="E292" s="13" t="s">
        <v>603</v>
      </c>
      <c r="F292" s="13" t="s">
        <v>538</v>
      </c>
      <c r="G292" s="13" t="s">
        <v>539</v>
      </c>
      <c r="H292" s="13" t="s">
        <v>20</v>
      </c>
      <c r="I292" s="13" t="s">
        <v>538</v>
      </c>
      <c r="J292" s="13" t="s">
        <v>121</v>
      </c>
      <c r="K292" s="13" t="s">
        <v>107</v>
      </c>
      <c r="L292" s="13" t="s">
        <v>177</v>
      </c>
      <c r="M292" s="13" t="s">
        <v>100</v>
      </c>
      <c r="N292" s="27" t="n">
        <v>1768</v>
      </c>
      <c r="O292" s="28" t="n">
        <v>258205</v>
      </c>
      <c r="P292" s="27" t="n">
        <v>2756</v>
      </c>
      <c r="Q292" s="29" t="n">
        <v>0.64</v>
      </c>
      <c r="R292" s="28" t="n">
        <v>34.5</v>
      </c>
      <c r="S292" s="28" t="n">
        <v>189.5</v>
      </c>
      <c r="T292" s="28" t="n">
        <v>146.04</v>
      </c>
      <c r="U292" s="13" t="n">
        <f aca="false">IFERROR(YEAR(A292),"")</f>
        <v>2025</v>
      </c>
      <c r="V292" s="28" t="n">
        <f aca="false">IFERROR(O292*B292,0)</f>
        <v>258205</v>
      </c>
      <c r="W292" s="27" t="n">
        <f aca="false">IFERROR(N292*B292,0)</f>
        <v>1768</v>
      </c>
      <c r="X292" s="13" t="n">
        <f aca="false">IF(OR(ISNUMBER(SEARCH("live nation",L292)),ISNUMBER(SEARCH("ocesa",L292))),1,0)</f>
        <v>1</v>
      </c>
      <c r="Y292" s="13" t="s">
        <v>49</v>
      </c>
    </row>
    <row r="293" customFormat="false" ht="15" hidden="false" customHeight="false" outlineLevel="0" collapsed="false">
      <c r="A293" s="30" t="n">
        <v>45864</v>
      </c>
      <c r="B293" s="11" t="n">
        <v>2</v>
      </c>
      <c r="C293" s="31" t="s">
        <v>593</v>
      </c>
      <c r="D293" s="31"/>
      <c r="E293" s="11" t="s">
        <v>604</v>
      </c>
      <c r="F293" s="11" t="s">
        <v>166</v>
      </c>
      <c r="G293" s="11" t="s">
        <v>167</v>
      </c>
      <c r="H293" s="11" t="s">
        <v>20</v>
      </c>
      <c r="I293" s="11" t="s">
        <v>168</v>
      </c>
      <c r="J293" s="11" t="s">
        <v>97</v>
      </c>
      <c r="K293" s="11" t="s">
        <v>107</v>
      </c>
      <c r="L293" s="11" t="s">
        <v>468</v>
      </c>
      <c r="M293" s="11" t="s">
        <v>100</v>
      </c>
      <c r="N293" s="32" t="n">
        <v>11072</v>
      </c>
      <c r="O293" s="33" t="n">
        <v>2064907</v>
      </c>
      <c r="P293" s="32" t="n">
        <v>12098</v>
      </c>
      <c r="Q293" s="34" t="n">
        <v>0.91</v>
      </c>
      <c r="R293" s="33" t="n">
        <v>49.5</v>
      </c>
      <c r="S293" s="33" t="n">
        <v>249.5</v>
      </c>
      <c r="T293" s="33" t="n">
        <v>186.5</v>
      </c>
      <c r="U293" s="11" t="n">
        <f aca="false">IFERROR(YEAR(A293),"")</f>
        <v>2025</v>
      </c>
      <c r="V293" s="33" t="n">
        <f aca="false">IFERROR(O293*B293,0)</f>
        <v>4129814</v>
      </c>
      <c r="W293" s="32" t="n">
        <f aca="false">IFERROR(N293*B293,0)</f>
        <v>22144</v>
      </c>
      <c r="X293" s="11" t="n">
        <f aca="false">IF(OR(ISNUMBER(SEARCH("live nation",L293)),ISNUMBER(SEARCH("ocesa",L293))),1,0)</f>
        <v>1</v>
      </c>
      <c r="Y293" s="11" t="s">
        <v>49</v>
      </c>
    </row>
    <row r="294" customFormat="false" ht="15" hidden="false" customHeight="false" outlineLevel="0" collapsed="false">
      <c r="A294" s="25" t="n">
        <v>45864</v>
      </c>
      <c r="B294" s="13" t="n">
        <v>2</v>
      </c>
      <c r="C294" s="26" t="s">
        <v>66</v>
      </c>
      <c r="D294" s="26"/>
      <c r="E294" s="13" t="s">
        <v>605</v>
      </c>
      <c r="F294" s="13" t="s">
        <v>606</v>
      </c>
      <c r="G294" s="13"/>
      <c r="H294" s="13" t="s">
        <v>26</v>
      </c>
      <c r="I294" s="13"/>
      <c r="J294" s="13" t="s">
        <v>133</v>
      </c>
      <c r="K294" s="13" t="s">
        <v>173</v>
      </c>
      <c r="L294" s="13" t="s">
        <v>177</v>
      </c>
      <c r="M294" s="13" t="s">
        <v>100</v>
      </c>
      <c r="N294" s="27" t="n">
        <v>58691</v>
      </c>
      <c r="O294" s="28" t="n">
        <v>8475907.18</v>
      </c>
      <c r="P294" s="27" t="n">
        <v>58691</v>
      </c>
      <c r="Q294" s="29" t="n">
        <v>1</v>
      </c>
      <c r="R294" s="28" t="n">
        <v>88.1</v>
      </c>
      <c r="S294" s="28" t="n">
        <v>229.06</v>
      </c>
      <c r="T294" s="28" t="n">
        <v>144.42</v>
      </c>
      <c r="U294" s="13" t="n">
        <f aca="false">IFERROR(YEAR(A294),"")</f>
        <v>2025</v>
      </c>
      <c r="V294" s="28" t="n">
        <f aca="false">IFERROR(O294*B294,0)</f>
        <v>16951814.36</v>
      </c>
      <c r="W294" s="27" t="n">
        <f aca="false">IFERROR(N294*B294,0)</f>
        <v>117382</v>
      </c>
      <c r="X294" s="13" t="n">
        <f aca="false">IF(OR(ISNUMBER(SEARCH("live nation",L294)),ISNUMBER(SEARCH("ocesa",L294))),1,0)</f>
        <v>1</v>
      </c>
      <c r="Y294" s="13" t="s">
        <v>49</v>
      </c>
    </row>
    <row r="295" customFormat="false" ht="15" hidden="false" customHeight="false" outlineLevel="0" collapsed="false">
      <c r="A295" s="30" t="n">
        <v>45864</v>
      </c>
      <c r="B295" s="11" t="n">
        <v>1</v>
      </c>
      <c r="C295" s="31" t="s">
        <v>258</v>
      </c>
      <c r="D295" s="31"/>
      <c r="E295" s="11" t="s">
        <v>187</v>
      </c>
      <c r="F295" s="11" t="s">
        <v>188</v>
      </c>
      <c r="G295" s="11" t="s">
        <v>189</v>
      </c>
      <c r="H295" s="11" t="s">
        <v>20</v>
      </c>
      <c r="I295" s="11" t="s">
        <v>190</v>
      </c>
      <c r="J295" s="11" t="s">
        <v>106</v>
      </c>
      <c r="K295" s="11" t="s">
        <v>107</v>
      </c>
      <c r="L295" s="11" t="s">
        <v>259</v>
      </c>
      <c r="M295" s="11" t="s">
        <v>109</v>
      </c>
      <c r="N295" s="32" t="n">
        <v>324</v>
      </c>
      <c r="O295" s="33" t="n">
        <v>6800</v>
      </c>
      <c r="P295" s="32" t="n">
        <v>500</v>
      </c>
      <c r="Q295" s="34" t="n">
        <v>0.64</v>
      </c>
      <c r="R295" s="33" t="n">
        <v>10</v>
      </c>
      <c r="S295" s="33" t="n">
        <v>25</v>
      </c>
      <c r="T295" s="33" t="n">
        <v>20.99</v>
      </c>
      <c r="U295" s="11" t="n">
        <f aca="false">IFERROR(YEAR(A295),"")</f>
        <v>2025</v>
      </c>
      <c r="V295" s="33" t="n">
        <f aca="false">IFERROR(O295*B295,0)</f>
        <v>6800</v>
      </c>
      <c r="W295" s="32" t="n">
        <f aca="false">IFERROR(N295*B295,0)</f>
        <v>324</v>
      </c>
      <c r="X295" s="11" t="n">
        <f aca="false">IF(OR(ISNUMBER(SEARCH("live nation",L295)),ISNUMBER(SEARCH("ocesa",L295))),1,0)</f>
        <v>0</v>
      </c>
      <c r="Y295" s="11" t="s">
        <v>49</v>
      </c>
    </row>
    <row r="296" customFormat="false" ht="15" hidden="false" customHeight="false" outlineLevel="0" collapsed="false">
      <c r="A296" s="25" t="n">
        <v>45864</v>
      </c>
      <c r="B296" s="13" t="n">
        <v>1</v>
      </c>
      <c r="C296" s="26" t="s">
        <v>472</v>
      </c>
      <c r="D296" s="26"/>
      <c r="E296" s="13" t="s">
        <v>405</v>
      </c>
      <c r="F296" s="13" t="s">
        <v>25</v>
      </c>
      <c r="G296" s="13"/>
      <c r="H296" s="13" t="s">
        <v>22</v>
      </c>
      <c r="I296" s="13"/>
      <c r="J296" s="13" t="s">
        <v>97</v>
      </c>
      <c r="K296" s="13" t="s">
        <v>406</v>
      </c>
      <c r="L296" s="13" t="s">
        <v>145</v>
      </c>
      <c r="M296" s="13" t="s">
        <v>100</v>
      </c>
      <c r="N296" s="27" t="n">
        <v>4402</v>
      </c>
      <c r="O296" s="28" t="n">
        <v>953835.09</v>
      </c>
      <c r="P296" s="27" t="n">
        <v>4402</v>
      </c>
      <c r="Q296" s="29" t="n">
        <v>1</v>
      </c>
      <c r="R296" s="28" t="n">
        <v>109.93</v>
      </c>
      <c r="S296" s="28" t="n">
        <v>263.38</v>
      </c>
      <c r="T296" s="28" t="n">
        <v>216.68</v>
      </c>
      <c r="U296" s="13" t="n">
        <f aca="false">IFERROR(YEAR(A296),"")</f>
        <v>2025</v>
      </c>
      <c r="V296" s="28" t="n">
        <f aca="false">IFERROR(O296*B296,0)</f>
        <v>953835.09</v>
      </c>
      <c r="W296" s="27" t="n">
        <f aca="false">IFERROR(N296*B296,0)</f>
        <v>4402</v>
      </c>
      <c r="X296" s="13" t="n">
        <f aca="false">IF(OR(ISNUMBER(SEARCH("live nation",L296)),ISNUMBER(SEARCH("ocesa",L296))),1,0)</f>
        <v>0</v>
      </c>
      <c r="Y296" s="13" t="s">
        <v>50</v>
      </c>
    </row>
    <row r="297" customFormat="false" ht="15" hidden="false" customHeight="false" outlineLevel="0" collapsed="false">
      <c r="A297" s="30" t="n">
        <v>45864</v>
      </c>
      <c r="B297" s="11" t="n">
        <v>1</v>
      </c>
      <c r="C297" s="31" t="s">
        <v>607</v>
      </c>
      <c r="D297" s="31"/>
      <c r="E297" s="11" t="s">
        <v>608</v>
      </c>
      <c r="F297" s="11" t="s">
        <v>609</v>
      </c>
      <c r="G297" s="11"/>
      <c r="H297" s="11" t="s">
        <v>610</v>
      </c>
      <c r="I297" s="11"/>
      <c r="J297" s="11" t="s">
        <v>121</v>
      </c>
      <c r="K297" s="11" t="s">
        <v>173</v>
      </c>
      <c r="L297" s="11" t="s">
        <v>611</v>
      </c>
      <c r="M297" s="11" t="s">
        <v>100</v>
      </c>
      <c r="N297" s="32" t="n">
        <v>171</v>
      </c>
      <c r="O297" s="33" t="n">
        <v>602.6</v>
      </c>
      <c r="P297" s="32" t="n">
        <v>750</v>
      </c>
      <c r="Q297" s="34" t="n">
        <v>0.22</v>
      </c>
      <c r="R297" s="33" t="n">
        <v>3.52</v>
      </c>
      <c r="S297" s="33" t="n">
        <v>3.52</v>
      </c>
      <c r="T297" s="33" t="n">
        <v>3.52</v>
      </c>
      <c r="U297" s="11" t="n">
        <f aca="false">IFERROR(YEAR(A297),"")</f>
        <v>2025</v>
      </c>
      <c r="V297" s="33" t="n">
        <f aca="false">IFERROR(O297*B297,0)</f>
        <v>602.6</v>
      </c>
      <c r="W297" s="32" t="n">
        <f aca="false">IFERROR(N297*B297,0)</f>
        <v>171</v>
      </c>
      <c r="X297" s="11" t="n">
        <f aca="false">IF(OR(ISNUMBER(SEARCH("live nation",L297)),ISNUMBER(SEARCH("ocesa",L297))),1,0)</f>
        <v>0</v>
      </c>
      <c r="Y297" s="11" t="s">
        <v>49</v>
      </c>
    </row>
    <row r="298" customFormat="false" ht="15" hidden="false" customHeight="false" outlineLevel="0" collapsed="false">
      <c r="A298" s="25" t="n">
        <v>45863</v>
      </c>
      <c r="B298" s="13" t="n">
        <v>3</v>
      </c>
      <c r="C298" s="26" t="s">
        <v>612</v>
      </c>
      <c r="D298" s="26"/>
      <c r="E298" s="13" t="s">
        <v>146</v>
      </c>
      <c r="F298" s="13" t="s">
        <v>147</v>
      </c>
      <c r="G298" s="13"/>
      <c r="H298" s="13" t="s">
        <v>24</v>
      </c>
      <c r="I298" s="13"/>
      <c r="J298" s="13" t="s">
        <v>97</v>
      </c>
      <c r="K298" s="13" t="s">
        <v>148</v>
      </c>
      <c r="L298" s="13" t="s">
        <v>145</v>
      </c>
      <c r="M298" s="13" t="s">
        <v>100</v>
      </c>
      <c r="N298" s="27" t="n">
        <v>10426</v>
      </c>
      <c r="O298" s="28" t="n">
        <v>1173700.36</v>
      </c>
      <c r="P298" s="27" t="n">
        <v>10440</v>
      </c>
      <c r="Q298" s="29" t="n">
        <v>0.99</v>
      </c>
      <c r="R298" s="28" t="n">
        <v>111.92</v>
      </c>
      <c r="S298" s="28" t="n">
        <v>143.9</v>
      </c>
      <c r="T298" s="28" t="n">
        <v>112.57</v>
      </c>
      <c r="U298" s="13" t="n">
        <f aca="false">IFERROR(YEAR(A298),"")</f>
        <v>2025</v>
      </c>
      <c r="V298" s="28" t="n">
        <f aca="false">IFERROR(O298*B298,0)</f>
        <v>3521101.08</v>
      </c>
      <c r="W298" s="27" t="n">
        <f aca="false">IFERROR(N298*B298,0)</f>
        <v>31278</v>
      </c>
      <c r="X298" s="13" t="n">
        <f aca="false">IF(OR(ISNUMBER(SEARCH("live nation",L298)),ISNUMBER(SEARCH("ocesa",L298))),1,0)</f>
        <v>0</v>
      </c>
      <c r="Y298" s="13" t="s">
        <v>50</v>
      </c>
    </row>
    <row r="299" customFormat="false" ht="15" hidden="false" customHeight="false" outlineLevel="0" collapsed="false">
      <c r="A299" s="30" t="n">
        <v>45863</v>
      </c>
      <c r="B299" s="11" t="n">
        <v>1</v>
      </c>
      <c r="C299" s="31" t="s">
        <v>607</v>
      </c>
      <c r="D299" s="31"/>
      <c r="E299" s="11" t="s">
        <v>608</v>
      </c>
      <c r="F299" s="11" t="s">
        <v>609</v>
      </c>
      <c r="G299" s="11"/>
      <c r="H299" s="11" t="s">
        <v>610</v>
      </c>
      <c r="I299" s="11"/>
      <c r="J299" s="11" t="s">
        <v>121</v>
      </c>
      <c r="K299" s="11" t="s">
        <v>173</v>
      </c>
      <c r="L299" s="11" t="s">
        <v>611</v>
      </c>
      <c r="M299" s="11" t="s">
        <v>100</v>
      </c>
      <c r="N299" s="32" t="n">
        <v>342</v>
      </c>
      <c r="O299" s="33" t="n">
        <v>1204.79</v>
      </c>
      <c r="P299" s="32" t="n">
        <v>750</v>
      </c>
      <c r="Q299" s="34" t="n">
        <v>0.45</v>
      </c>
      <c r="R299" s="33" t="n">
        <v>3.52</v>
      </c>
      <c r="S299" s="33" t="n">
        <v>3.52</v>
      </c>
      <c r="T299" s="33" t="n">
        <v>3.52</v>
      </c>
      <c r="U299" s="11" t="n">
        <f aca="false">IFERROR(YEAR(A299),"")</f>
        <v>2025</v>
      </c>
      <c r="V299" s="33" t="n">
        <f aca="false">IFERROR(O299*B299,0)</f>
        <v>1204.79</v>
      </c>
      <c r="W299" s="32" t="n">
        <f aca="false">IFERROR(N299*B299,0)</f>
        <v>342</v>
      </c>
      <c r="X299" s="11" t="n">
        <f aca="false">IF(OR(ISNUMBER(SEARCH("live nation",L299)),ISNUMBER(SEARCH("ocesa",L299))),1,0)</f>
        <v>0</v>
      </c>
      <c r="Y299" s="11" t="s">
        <v>49</v>
      </c>
    </row>
    <row r="300" customFormat="false" ht="15" hidden="false" customHeight="false" outlineLevel="0" collapsed="false">
      <c r="A300" s="25" t="n">
        <v>45860</v>
      </c>
      <c r="B300" s="13" t="n">
        <v>1</v>
      </c>
      <c r="C300" s="26" t="s">
        <v>574</v>
      </c>
      <c r="D300" s="26"/>
      <c r="E300" s="13" t="s">
        <v>501</v>
      </c>
      <c r="F300" s="13" t="s">
        <v>502</v>
      </c>
      <c r="G300" s="13" t="s">
        <v>143</v>
      </c>
      <c r="H300" s="13" t="s">
        <v>20</v>
      </c>
      <c r="I300" s="13" t="s">
        <v>375</v>
      </c>
      <c r="J300" s="13" t="s">
        <v>97</v>
      </c>
      <c r="K300" s="13" t="s">
        <v>107</v>
      </c>
      <c r="L300" s="13" t="s">
        <v>531</v>
      </c>
      <c r="M300" s="13" t="s">
        <v>100</v>
      </c>
      <c r="N300" s="27" t="n">
        <v>10788</v>
      </c>
      <c r="O300" s="28" t="n">
        <v>1248606</v>
      </c>
      <c r="P300" s="27" t="n">
        <v>11259</v>
      </c>
      <c r="Q300" s="29" t="n">
        <v>0.95</v>
      </c>
      <c r="R300" s="28" t="n">
        <v>59</v>
      </c>
      <c r="S300" s="28" t="n">
        <v>179</v>
      </c>
      <c r="T300" s="28" t="n">
        <v>115.74</v>
      </c>
      <c r="U300" s="13" t="n">
        <f aca="false">IFERROR(YEAR(A300),"")</f>
        <v>2025</v>
      </c>
      <c r="V300" s="28" t="n">
        <f aca="false">IFERROR(O300*B300,0)</f>
        <v>1248606</v>
      </c>
      <c r="W300" s="27" t="n">
        <f aca="false">IFERROR(N300*B300,0)</f>
        <v>10788</v>
      </c>
      <c r="X300" s="13" t="n">
        <f aca="false">IF(OR(ISNUMBER(SEARCH("live nation",L300)),ISNUMBER(SEARCH("ocesa",L300))),1,0)</f>
        <v>0</v>
      </c>
      <c r="Y300" s="13" t="s">
        <v>49</v>
      </c>
    </row>
    <row r="301" customFormat="false" ht="15" hidden="false" customHeight="false" outlineLevel="0" collapsed="false">
      <c r="A301" s="30" t="n">
        <v>45860</v>
      </c>
      <c r="B301" s="11" t="n">
        <v>1</v>
      </c>
      <c r="C301" s="31" t="s">
        <v>66</v>
      </c>
      <c r="D301" s="31"/>
      <c r="E301" s="11" t="s">
        <v>613</v>
      </c>
      <c r="F301" s="11" t="s">
        <v>609</v>
      </c>
      <c r="G301" s="11"/>
      <c r="H301" s="11" t="s">
        <v>610</v>
      </c>
      <c r="I301" s="11"/>
      <c r="J301" s="11" t="s">
        <v>133</v>
      </c>
      <c r="K301" s="11" t="s">
        <v>173</v>
      </c>
      <c r="L301" s="11" t="s">
        <v>177</v>
      </c>
      <c r="M301" s="11" t="s">
        <v>100</v>
      </c>
      <c r="N301" s="32" t="n">
        <v>49096</v>
      </c>
      <c r="O301" s="33" t="n">
        <v>9272353.65</v>
      </c>
      <c r="P301" s="32" t="n">
        <v>49096</v>
      </c>
      <c r="Q301" s="34" t="n">
        <v>1</v>
      </c>
      <c r="R301" s="33" t="n">
        <v>87.65</v>
      </c>
      <c r="S301" s="33" t="n">
        <v>251.27</v>
      </c>
      <c r="T301" s="33" t="n">
        <v>188.86</v>
      </c>
      <c r="U301" s="11" t="n">
        <f aca="false">IFERROR(YEAR(A301),"")</f>
        <v>2025</v>
      </c>
      <c r="V301" s="33" t="n">
        <f aca="false">IFERROR(O301*B301,0)</f>
        <v>9272353.65</v>
      </c>
      <c r="W301" s="32" t="n">
        <f aca="false">IFERROR(N301*B301,0)</f>
        <v>49096</v>
      </c>
      <c r="X301" s="11" t="n">
        <f aca="false">IF(OR(ISNUMBER(SEARCH("live nation",L301)),ISNUMBER(SEARCH("ocesa",L301))),1,0)</f>
        <v>1</v>
      </c>
      <c r="Y301" s="11" t="s">
        <v>49</v>
      </c>
    </row>
    <row r="302" customFormat="false" ht="15" hidden="false" customHeight="false" outlineLevel="0" collapsed="false">
      <c r="A302" s="25" t="n">
        <v>45860</v>
      </c>
      <c r="B302" s="13" t="n">
        <v>2</v>
      </c>
      <c r="C302" s="26" t="s">
        <v>593</v>
      </c>
      <c r="D302" s="26"/>
      <c r="E302" s="13" t="s">
        <v>373</v>
      </c>
      <c r="F302" s="13" t="s">
        <v>374</v>
      </c>
      <c r="G302" s="13" t="s">
        <v>143</v>
      </c>
      <c r="H302" s="13" t="s">
        <v>20</v>
      </c>
      <c r="I302" s="13" t="s">
        <v>375</v>
      </c>
      <c r="J302" s="13" t="s">
        <v>97</v>
      </c>
      <c r="K302" s="13" t="s">
        <v>107</v>
      </c>
      <c r="L302" s="13" t="s">
        <v>468</v>
      </c>
      <c r="M302" s="13" t="s">
        <v>100</v>
      </c>
      <c r="N302" s="27" t="n">
        <v>11581</v>
      </c>
      <c r="O302" s="28" t="n">
        <v>2139568</v>
      </c>
      <c r="P302" s="27" t="n">
        <v>11797</v>
      </c>
      <c r="Q302" s="29" t="n">
        <v>0.98</v>
      </c>
      <c r="R302" s="28" t="n">
        <v>49.5</v>
      </c>
      <c r="S302" s="28" t="n">
        <v>249.5</v>
      </c>
      <c r="T302" s="28" t="n">
        <v>184.75</v>
      </c>
      <c r="U302" s="13" t="n">
        <f aca="false">IFERROR(YEAR(A302),"")</f>
        <v>2025</v>
      </c>
      <c r="V302" s="28" t="n">
        <f aca="false">IFERROR(O302*B302,0)</f>
        <v>4279136</v>
      </c>
      <c r="W302" s="27" t="n">
        <f aca="false">IFERROR(N302*B302,0)</f>
        <v>23162</v>
      </c>
      <c r="X302" s="13" t="n">
        <f aca="false">IF(OR(ISNUMBER(SEARCH("live nation",L302)),ISNUMBER(SEARCH("ocesa",L302))),1,0)</f>
        <v>1</v>
      </c>
      <c r="Y302" s="13" t="s">
        <v>49</v>
      </c>
    </row>
    <row r="303" customFormat="false" ht="15" hidden="false" customHeight="false" outlineLevel="0" collapsed="false">
      <c r="A303" s="30" t="n">
        <v>45858</v>
      </c>
      <c r="B303" s="11" t="n">
        <v>1</v>
      </c>
      <c r="C303" s="31" t="s">
        <v>614</v>
      </c>
      <c r="D303" s="31"/>
      <c r="E303" s="11" t="s">
        <v>111</v>
      </c>
      <c r="F303" s="11" t="s">
        <v>112</v>
      </c>
      <c r="G303" s="11"/>
      <c r="H303" s="11" t="s">
        <v>21</v>
      </c>
      <c r="I303" s="11"/>
      <c r="J303" s="11" t="s">
        <v>97</v>
      </c>
      <c r="K303" s="11" t="s">
        <v>113</v>
      </c>
      <c r="L303" s="11" t="s">
        <v>321</v>
      </c>
      <c r="M303" s="11" t="s">
        <v>100</v>
      </c>
      <c r="N303" s="32" t="n">
        <v>18000</v>
      </c>
      <c r="O303" s="33" t="n">
        <v>1391034.88</v>
      </c>
      <c r="P303" s="32" t="n">
        <v>18000</v>
      </c>
      <c r="Q303" s="34" t="n">
        <v>1</v>
      </c>
      <c r="R303" s="33" t="n">
        <v>77.28</v>
      </c>
      <c r="S303" s="33" t="n">
        <v>77.28</v>
      </c>
      <c r="T303" s="33" t="n">
        <v>77.28</v>
      </c>
      <c r="U303" s="11" t="n">
        <f aca="false">IFERROR(YEAR(A303),"")</f>
        <v>2025</v>
      </c>
      <c r="V303" s="33" t="n">
        <f aca="false">IFERROR(O303*B303,0)</f>
        <v>1391034.88</v>
      </c>
      <c r="W303" s="32" t="n">
        <f aca="false">IFERROR(N303*B303,0)</f>
        <v>18000</v>
      </c>
      <c r="X303" s="11" t="n">
        <f aca="false">IF(OR(ISNUMBER(SEARCH("live nation",L303)),ISNUMBER(SEARCH("ocesa",L303))),1,0)</f>
        <v>0</v>
      </c>
      <c r="Y303" s="11" t="s">
        <v>50</v>
      </c>
    </row>
    <row r="304" customFormat="false" ht="15" hidden="false" customHeight="false" outlineLevel="0" collapsed="false">
      <c r="A304" s="25" t="n">
        <v>45857</v>
      </c>
      <c r="B304" s="13" t="n">
        <v>1</v>
      </c>
      <c r="C304" s="26" t="s">
        <v>574</v>
      </c>
      <c r="D304" s="26"/>
      <c r="E304" s="13" t="s">
        <v>615</v>
      </c>
      <c r="F304" s="13" t="s">
        <v>383</v>
      </c>
      <c r="G304" s="13" t="s">
        <v>119</v>
      </c>
      <c r="H304" s="13" t="s">
        <v>20</v>
      </c>
      <c r="I304" s="13" t="s">
        <v>120</v>
      </c>
      <c r="J304" s="13" t="s">
        <v>97</v>
      </c>
      <c r="K304" s="13" t="s">
        <v>107</v>
      </c>
      <c r="L304" s="13" t="s">
        <v>597</v>
      </c>
      <c r="M304" s="13" t="s">
        <v>100</v>
      </c>
      <c r="N304" s="27" t="n">
        <v>8873</v>
      </c>
      <c r="O304" s="28" t="n">
        <v>969810.25</v>
      </c>
      <c r="P304" s="27" t="n">
        <v>11064</v>
      </c>
      <c r="Q304" s="29" t="n">
        <v>0.8</v>
      </c>
      <c r="R304" s="28" t="n">
        <v>50</v>
      </c>
      <c r="S304" s="28" t="n">
        <v>1150</v>
      </c>
      <c r="T304" s="28" t="n">
        <v>109.3</v>
      </c>
      <c r="U304" s="13" t="n">
        <f aca="false">IFERROR(YEAR(A304),"")</f>
        <v>2025</v>
      </c>
      <c r="V304" s="28" t="n">
        <f aca="false">IFERROR(O304*B304,0)</f>
        <v>969810.25</v>
      </c>
      <c r="W304" s="27" t="n">
        <f aca="false">IFERROR(N304*B304,0)</f>
        <v>8873</v>
      </c>
      <c r="X304" s="13" t="n">
        <f aca="false">IF(OR(ISNUMBER(SEARCH("live nation",L304)),ISNUMBER(SEARCH("ocesa",L304))),1,0)</f>
        <v>0</v>
      </c>
      <c r="Y304" s="13" t="s">
        <v>49</v>
      </c>
    </row>
    <row r="305" customFormat="false" ht="15" hidden="false" customHeight="false" outlineLevel="0" collapsed="false">
      <c r="A305" s="30" t="n">
        <v>45856</v>
      </c>
      <c r="B305" s="11" t="n">
        <v>2</v>
      </c>
      <c r="C305" s="31" t="s">
        <v>66</v>
      </c>
      <c r="D305" s="31"/>
      <c r="E305" s="11" t="s">
        <v>616</v>
      </c>
      <c r="F305" s="11" t="s">
        <v>313</v>
      </c>
      <c r="G305" s="11"/>
      <c r="H305" s="11" t="s">
        <v>27</v>
      </c>
      <c r="I305" s="11"/>
      <c r="J305" s="11" t="s">
        <v>133</v>
      </c>
      <c r="K305" s="11" t="s">
        <v>314</v>
      </c>
      <c r="L305" s="11" t="s">
        <v>177</v>
      </c>
      <c r="M305" s="11" t="s">
        <v>100</v>
      </c>
      <c r="N305" s="32" t="n">
        <v>44612</v>
      </c>
      <c r="O305" s="33" t="n">
        <v>7995517.79</v>
      </c>
      <c r="P305" s="32" t="n">
        <v>44612</v>
      </c>
      <c r="Q305" s="34" t="n">
        <v>1</v>
      </c>
      <c r="R305" s="33" t="n">
        <v>80.58</v>
      </c>
      <c r="S305" s="33" t="n">
        <v>282.02</v>
      </c>
      <c r="T305" s="33" t="n">
        <v>179.22</v>
      </c>
      <c r="U305" s="11" t="n">
        <f aca="false">IFERROR(YEAR(A305),"")</f>
        <v>2025</v>
      </c>
      <c r="V305" s="33" t="n">
        <f aca="false">IFERROR(O305*B305,0)</f>
        <v>15991035.58</v>
      </c>
      <c r="W305" s="32" t="n">
        <f aca="false">IFERROR(N305*B305,0)</f>
        <v>89224</v>
      </c>
      <c r="X305" s="11" t="n">
        <f aca="false">IF(OR(ISNUMBER(SEARCH("live nation",L305)),ISNUMBER(SEARCH("ocesa",L305))),1,0)</f>
        <v>1</v>
      </c>
      <c r="Y305" s="11" t="s">
        <v>49</v>
      </c>
    </row>
    <row r="306" customFormat="false" ht="15" hidden="false" customHeight="false" outlineLevel="0" collapsed="false">
      <c r="A306" s="25" t="n">
        <v>45856</v>
      </c>
      <c r="B306" s="13" t="n">
        <v>1</v>
      </c>
      <c r="C306" s="26" t="s">
        <v>587</v>
      </c>
      <c r="D306" s="26"/>
      <c r="E306" s="13" t="s">
        <v>617</v>
      </c>
      <c r="F306" s="13" t="s">
        <v>346</v>
      </c>
      <c r="G306" s="13" t="s">
        <v>347</v>
      </c>
      <c r="H306" s="13" t="s">
        <v>20</v>
      </c>
      <c r="I306" s="13" t="s">
        <v>346</v>
      </c>
      <c r="J306" s="13" t="s">
        <v>121</v>
      </c>
      <c r="K306" s="13" t="s">
        <v>107</v>
      </c>
      <c r="L306" s="13" t="s">
        <v>177</v>
      </c>
      <c r="M306" s="13" t="s">
        <v>100</v>
      </c>
      <c r="N306" s="27" t="n">
        <v>2095</v>
      </c>
      <c r="O306" s="28" t="n">
        <v>244187.5</v>
      </c>
      <c r="P306" s="27" t="n">
        <v>2641</v>
      </c>
      <c r="Q306" s="29" t="n">
        <v>0.79</v>
      </c>
      <c r="R306" s="28" t="n">
        <v>54.5</v>
      </c>
      <c r="S306" s="28" t="n">
        <v>174.5</v>
      </c>
      <c r="T306" s="28" t="n">
        <v>116.56</v>
      </c>
      <c r="U306" s="13" t="n">
        <f aca="false">IFERROR(YEAR(A306),"")</f>
        <v>2025</v>
      </c>
      <c r="V306" s="28" t="n">
        <f aca="false">IFERROR(O306*B306,0)</f>
        <v>244187.5</v>
      </c>
      <c r="W306" s="27" t="n">
        <f aca="false">IFERROR(N306*B306,0)</f>
        <v>2095</v>
      </c>
      <c r="X306" s="13" t="n">
        <f aca="false">IF(OR(ISNUMBER(SEARCH("live nation",L306)),ISNUMBER(SEARCH("ocesa",L306))),1,0)</f>
        <v>1</v>
      </c>
      <c r="Y306" s="13" t="s">
        <v>49</v>
      </c>
    </row>
    <row r="307" customFormat="false" ht="15" hidden="false" customHeight="false" outlineLevel="0" collapsed="false">
      <c r="A307" s="30" t="n">
        <v>45856</v>
      </c>
      <c r="B307" s="11" t="n">
        <v>1</v>
      </c>
      <c r="C307" s="31" t="s">
        <v>513</v>
      </c>
      <c r="D307" s="31"/>
      <c r="E307" s="11" t="s">
        <v>445</v>
      </c>
      <c r="F307" s="11" t="s">
        <v>446</v>
      </c>
      <c r="G307" s="11"/>
      <c r="H307" s="11" t="s">
        <v>23</v>
      </c>
      <c r="I307" s="11"/>
      <c r="J307" s="11" t="s">
        <v>121</v>
      </c>
      <c r="K307" s="11" t="s">
        <v>134</v>
      </c>
      <c r="L307" s="11" t="s">
        <v>122</v>
      </c>
      <c r="M307" s="11" t="s">
        <v>100</v>
      </c>
      <c r="N307" s="32" t="n">
        <v>1842</v>
      </c>
      <c r="O307" s="33" t="n">
        <v>210168.21</v>
      </c>
      <c r="P307" s="32" t="n">
        <v>2801</v>
      </c>
      <c r="Q307" s="34" t="n">
        <v>0.65</v>
      </c>
      <c r="R307" s="33" t="n">
        <v>69.32</v>
      </c>
      <c r="S307" s="33" t="n">
        <v>239.95</v>
      </c>
      <c r="T307" s="33" t="n">
        <v>114.1</v>
      </c>
      <c r="U307" s="11" t="n">
        <f aca="false">IFERROR(YEAR(A307),"")</f>
        <v>2025</v>
      </c>
      <c r="V307" s="33" t="n">
        <f aca="false">IFERROR(O307*B307,0)</f>
        <v>210168.21</v>
      </c>
      <c r="W307" s="32" t="n">
        <f aca="false">IFERROR(N307*B307,0)</f>
        <v>1842</v>
      </c>
      <c r="X307" s="11" t="n">
        <f aca="false">IF(OR(ISNUMBER(SEARCH("live nation",L307)),ISNUMBER(SEARCH("ocesa",L307))),1,0)</f>
        <v>0</v>
      </c>
      <c r="Y307" s="11" t="s">
        <v>49</v>
      </c>
    </row>
    <row r="308" customFormat="false" ht="15" hidden="false" customHeight="false" outlineLevel="0" collapsed="false">
      <c r="A308" s="25" t="n">
        <v>45855</v>
      </c>
      <c r="B308" s="13" t="n">
        <v>2</v>
      </c>
      <c r="C308" s="26" t="s">
        <v>593</v>
      </c>
      <c r="D308" s="26"/>
      <c r="E308" s="13" t="s">
        <v>618</v>
      </c>
      <c r="F308" s="13" t="s">
        <v>619</v>
      </c>
      <c r="G308" s="13" t="s">
        <v>202</v>
      </c>
      <c r="H308" s="13" t="s">
        <v>20</v>
      </c>
      <c r="I308" s="13" t="s">
        <v>203</v>
      </c>
      <c r="J308" s="13" t="s">
        <v>97</v>
      </c>
      <c r="K308" s="13" t="s">
        <v>107</v>
      </c>
      <c r="L308" s="13" t="s">
        <v>468</v>
      </c>
      <c r="M308" s="13" t="s">
        <v>100</v>
      </c>
      <c r="N308" s="27" t="n">
        <v>11876</v>
      </c>
      <c r="O308" s="28" t="n">
        <v>2328934.25</v>
      </c>
      <c r="P308" s="27" t="n">
        <v>11878</v>
      </c>
      <c r="Q308" s="29" t="n">
        <v>0.99</v>
      </c>
      <c r="R308" s="28" t="n">
        <v>49.5</v>
      </c>
      <c r="S308" s="28" t="n">
        <v>249.5</v>
      </c>
      <c r="T308" s="28" t="n">
        <v>196.1</v>
      </c>
      <c r="U308" s="13" t="n">
        <f aca="false">IFERROR(YEAR(A308),"")</f>
        <v>2025</v>
      </c>
      <c r="V308" s="28" t="n">
        <f aca="false">IFERROR(O308*B308,0)</f>
        <v>4657868.5</v>
      </c>
      <c r="W308" s="27" t="n">
        <f aca="false">IFERROR(N308*B308,0)</f>
        <v>23752</v>
      </c>
      <c r="X308" s="13" t="n">
        <f aca="false">IF(OR(ISNUMBER(SEARCH("live nation",L308)),ISNUMBER(SEARCH("ocesa",L308))),1,0)</f>
        <v>1</v>
      </c>
      <c r="Y308" s="13" t="s">
        <v>49</v>
      </c>
    </row>
    <row r="309" customFormat="false" ht="15" hidden="false" customHeight="false" outlineLevel="0" collapsed="false">
      <c r="A309" s="30" t="n">
        <v>45855</v>
      </c>
      <c r="B309" s="11" t="n">
        <v>1</v>
      </c>
      <c r="C309" s="31" t="s">
        <v>620</v>
      </c>
      <c r="D309" s="31"/>
      <c r="E309" s="11" t="s">
        <v>425</v>
      </c>
      <c r="F309" s="11" t="s">
        <v>426</v>
      </c>
      <c r="G309" s="11" t="s">
        <v>202</v>
      </c>
      <c r="H309" s="11" t="s">
        <v>20</v>
      </c>
      <c r="I309" s="11" t="s">
        <v>427</v>
      </c>
      <c r="J309" s="11" t="s">
        <v>106</v>
      </c>
      <c r="K309" s="11" t="s">
        <v>107</v>
      </c>
      <c r="L309" s="11" t="s">
        <v>621</v>
      </c>
      <c r="M309" s="11" t="s">
        <v>100</v>
      </c>
      <c r="N309" s="32" t="n">
        <v>543</v>
      </c>
      <c r="O309" s="33" t="n">
        <v>31980</v>
      </c>
      <c r="P309" s="32" t="n">
        <v>990</v>
      </c>
      <c r="Q309" s="34" t="n">
        <v>0.54</v>
      </c>
      <c r="R309" s="33" t="n">
        <v>40</v>
      </c>
      <c r="S309" s="33" t="n">
        <v>70</v>
      </c>
      <c r="T309" s="33" t="n">
        <v>58.9</v>
      </c>
      <c r="U309" s="11" t="n">
        <f aca="false">IFERROR(YEAR(A309),"")</f>
        <v>2025</v>
      </c>
      <c r="V309" s="33" t="n">
        <f aca="false">IFERROR(O309*B309,0)</f>
        <v>31980</v>
      </c>
      <c r="W309" s="32" t="n">
        <f aca="false">IFERROR(N309*B309,0)</f>
        <v>543</v>
      </c>
      <c r="X309" s="11" t="n">
        <f aca="false">IF(OR(ISNUMBER(SEARCH("live nation",L309)),ISNUMBER(SEARCH("ocesa",L309))),1,0)</f>
        <v>0</v>
      </c>
      <c r="Y309" s="11" t="s">
        <v>49</v>
      </c>
    </row>
    <row r="310" customFormat="false" ht="15" hidden="false" customHeight="false" outlineLevel="0" collapsed="false">
      <c r="A310" s="25" t="n">
        <v>45854</v>
      </c>
      <c r="B310" s="13" t="n">
        <v>1</v>
      </c>
      <c r="C310" s="26" t="s">
        <v>71</v>
      </c>
      <c r="D310" s="26"/>
      <c r="E310" s="13" t="s">
        <v>601</v>
      </c>
      <c r="F310" s="13" t="s">
        <v>602</v>
      </c>
      <c r="G310" s="13" t="s">
        <v>229</v>
      </c>
      <c r="H310" s="13" t="s">
        <v>20</v>
      </c>
      <c r="I310" s="13" t="s">
        <v>602</v>
      </c>
      <c r="J310" s="13" t="s">
        <v>97</v>
      </c>
      <c r="K310" s="13" t="s">
        <v>107</v>
      </c>
      <c r="L310" s="13" t="s">
        <v>531</v>
      </c>
      <c r="M310" s="13" t="s">
        <v>100</v>
      </c>
      <c r="N310" s="27" t="n">
        <v>9502</v>
      </c>
      <c r="O310" s="28" t="n">
        <v>2219195</v>
      </c>
      <c r="P310" s="27" t="n">
        <v>9759</v>
      </c>
      <c r="Q310" s="29" t="n">
        <v>0.97</v>
      </c>
      <c r="R310" s="28" t="n">
        <v>76.5</v>
      </c>
      <c r="S310" s="28" t="n">
        <v>999.5</v>
      </c>
      <c r="T310" s="28" t="n">
        <v>233.55</v>
      </c>
      <c r="U310" s="13" t="n">
        <f aca="false">IFERROR(YEAR(A310),"")</f>
        <v>2025</v>
      </c>
      <c r="V310" s="28" t="n">
        <f aca="false">IFERROR(O310*B310,0)</f>
        <v>2219195</v>
      </c>
      <c r="W310" s="27" t="n">
        <f aca="false">IFERROR(N310*B310,0)</f>
        <v>9502</v>
      </c>
      <c r="X310" s="13" t="n">
        <f aca="false">IF(OR(ISNUMBER(SEARCH("live nation",L310)),ISNUMBER(SEARCH("ocesa",L310))),1,0)</f>
        <v>0</v>
      </c>
      <c r="Y310" s="13" t="s">
        <v>49</v>
      </c>
    </row>
    <row r="311" customFormat="false" ht="15" hidden="false" customHeight="false" outlineLevel="0" collapsed="false">
      <c r="A311" s="30" t="n">
        <v>45854</v>
      </c>
      <c r="B311" s="11" t="n">
        <v>1</v>
      </c>
      <c r="C311" s="31" t="s">
        <v>587</v>
      </c>
      <c r="D311" s="31"/>
      <c r="E311" s="11" t="s">
        <v>227</v>
      </c>
      <c r="F311" s="11" t="s">
        <v>228</v>
      </c>
      <c r="G311" s="11" t="s">
        <v>229</v>
      </c>
      <c r="H311" s="11" t="s">
        <v>20</v>
      </c>
      <c r="I311" s="11" t="s">
        <v>190</v>
      </c>
      <c r="J311" s="11" t="s">
        <v>121</v>
      </c>
      <c r="K311" s="11" t="s">
        <v>107</v>
      </c>
      <c r="L311" s="11" t="s">
        <v>177</v>
      </c>
      <c r="M311" s="11" t="s">
        <v>100</v>
      </c>
      <c r="N311" s="32" t="n">
        <v>1748</v>
      </c>
      <c r="O311" s="33" t="n">
        <v>201125</v>
      </c>
      <c r="P311" s="32" t="n">
        <v>2900</v>
      </c>
      <c r="Q311" s="34" t="n">
        <v>0.6</v>
      </c>
      <c r="R311" s="33" t="n">
        <v>59.5</v>
      </c>
      <c r="S311" s="33" t="n">
        <v>179.5</v>
      </c>
      <c r="T311" s="33" t="n">
        <v>115.06</v>
      </c>
      <c r="U311" s="11" t="n">
        <f aca="false">IFERROR(YEAR(A311),"")</f>
        <v>2025</v>
      </c>
      <c r="V311" s="33" t="n">
        <f aca="false">IFERROR(O311*B311,0)</f>
        <v>201125</v>
      </c>
      <c r="W311" s="32" t="n">
        <f aca="false">IFERROR(N311*B311,0)</f>
        <v>1748</v>
      </c>
      <c r="X311" s="11" t="n">
        <f aca="false">IF(OR(ISNUMBER(SEARCH("live nation",L311)),ISNUMBER(SEARCH("ocesa",L311))),1,0)</f>
        <v>1</v>
      </c>
      <c r="Y311" s="11" t="s">
        <v>49</v>
      </c>
    </row>
    <row r="312" customFormat="false" ht="15" hidden="false" customHeight="false" outlineLevel="0" collapsed="false">
      <c r="A312" s="25" t="n">
        <v>45853</v>
      </c>
      <c r="B312" s="13" t="n">
        <v>1</v>
      </c>
      <c r="C312" s="26" t="s">
        <v>66</v>
      </c>
      <c r="D312" s="26"/>
      <c r="E312" s="13" t="s">
        <v>622</v>
      </c>
      <c r="F312" s="13" t="s">
        <v>623</v>
      </c>
      <c r="G312" s="13"/>
      <c r="H312" s="13" t="s">
        <v>350</v>
      </c>
      <c r="I312" s="13"/>
      <c r="J312" s="13" t="s">
        <v>133</v>
      </c>
      <c r="K312" s="13" t="s">
        <v>173</v>
      </c>
      <c r="L312" s="13" t="s">
        <v>177</v>
      </c>
      <c r="M312" s="13" t="s">
        <v>100</v>
      </c>
      <c r="N312" s="27" t="n">
        <v>41631</v>
      </c>
      <c r="O312" s="28" t="n">
        <v>7231586.2</v>
      </c>
      <c r="P312" s="27" t="n">
        <v>41631</v>
      </c>
      <c r="Q312" s="29" t="n">
        <v>1</v>
      </c>
      <c r="R312" s="28" t="n">
        <v>87.57</v>
      </c>
      <c r="S312" s="28" t="n">
        <v>227.68</v>
      </c>
      <c r="T312" s="28" t="n">
        <v>173.71</v>
      </c>
      <c r="U312" s="13" t="n">
        <f aca="false">IFERROR(YEAR(A312),"")</f>
        <v>2025</v>
      </c>
      <c r="V312" s="28" t="n">
        <f aca="false">IFERROR(O312*B312,0)</f>
        <v>7231586.2</v>
      </c>
      <c r="W312" s="27" t="n">
        <f aca="false">IFERROR(N312*B312,0)</f>
        <v>41631</v>
      </c>
      <c r="X312" s="13" t="n">
        <f aca="false">IF(OR(ISNUMBER(SEARCH("live nation",L312)),ISNUMBER(SEARCH("ocesa",L312))),1,0)</f>
        <v>1</v>
      </c>
      <c r="Y312" s="13" t="s">
        <v>49</v>
      </c>
    </row>
    <row r="313" customFormat="false" ht="15" hidden="false" customHeight="false" outlineLevel="0" collapsed="false">
      <c r="A313" s="30" t="n">
        <v>45852</v>
      </c>
      <c r="B313" s="11" t="n">
        <v>1</v>
      </c>
      <c r="C313" s="31" t="s">
        <v>587</v>
      </c>
      <c r="D313" s="31"/>
      <c r="E313" s="11" t="s">
        <v>482</v>
      </c>
      <c r="F313" s="11" t="s">
        <v>223</v>
      </c>
      <c r="G313" s="11" t="s">
        <v>224</v>
      </c>
      <c r="H313" s="11" t="s">
        <v>20</v>
      </c>
      <c r="I313" s="11" t="s">
        <v>225</v>
      </c>
      <c r="J313" s="11" t="s">
        <v>106</v>
      </c>
      <c r="K313" s="11" t="s">
        <v>107</v>
      </c>
      <c r="L313" s="11" t="s">
        <v>624</v>
      </c>
      <c r="M313" s="11" t="s">
        <v>100</v>
      </c>
      <c r="N313" s="32" t="n">
        <v>1580</v>
      </c>
      <c r="O313" s="33" t="n">
        <v>179458.5</v>
      </c>
      <c r="P313" s="32" t="n">
        <v>2728</v>
      </c>
      <c r="Q313" s="34" t="n">
        <v>0.57</v>
      </c>
      <c r="R313" s="33" t="n">
        <v>47.75</v>
      </c>
      <c r="S313" s="33" t="n">
        <v>175.5</v>
      </c>
      <c r="T313" s="33" t="n">
        <v>113.58</v>
      </c>
      <c r="U313" s="11" t="n">
        <f aca="false">IFERROR(YEAR(A313),"")</f>
        <v>2025</v>
      </c>
      <c r="V313" s="33" t="n">
        <f aca="false">IFERROR(O313*B313,0)</f>
        <v>179458.5</v>
      </c>
      <c r="W313" s="32" t="n">
        <f aca="false">IFERROR(N313*B313,0)</f>
        <v>1580</v>
      </c>
      <c r="X313" s="11" t="n">
        <f aca="false">IF(OR(ISNUMBER(SEARCH("live nation",L313)),ISNUMBER(SEARCH("ocesa",L313))),1,0)</f>
        <v>0</v>
      </c>
      <c r="Y313" s="11" t="s">
        <v>49</v>
      </c>
    </row>
    <row r="314" customFormat="false" ht="15" hidden="false" customHeight="false" outlineLevel="0" collapsed="false">
      <c r="A314" s="25" t="n">
        <v>45851</v>
      </c>
      <c r="B314" s="13" t="n">
        <v>1</v>
      </c>
      <c r="C314" s="26" t="s">
        <v>574</v>
      </c>
      <c r="D314" s="26"/>
      <c r="E314" s="13" t="s">
        <v>543</v>
      </c>
      <c r="F314" s="13" t="s">
        <v>404</v>
      </c>
      <c r="G314" s="13" t="s">
        <v>202</v>
      </c>
      <c r="H314" s="13" t="s">
        <v>20</v>
      </c>
      <c r="I314" s="13" t="s">
        <v>232</v>
      </c>
      <c r="J314" s="13" t="s">
        <v>97</v>
      </c>
      <c r="K314" s="13" t="s">
        <v>107</v>
      </c>
      <c r="L314" s="13" t="s">
        <v>531</v>
      </c>
      <c r="M314" s="13" t="s">
        <v>100</v>
      </c>
      <c r="N314" s="27" t="n">
        <v>10862</v>
      </c>
      <c r="O314" s="28" t="n">
        <v>970670</v>
      </c>
      <c r="P314" s="27" t="n">
        <v>11678</v>
      </c>
      <c r="Q314" s="29" t="n">
        <v>0.93</v>
      </c>
      <c r="R314" s="28" t="n">
        <v>51</v>
      </c>
      <c r="S314" s="28" t="n">
        <v>171</v>
      </c>
      <c r="T314" s="28" t="n">
        <v>89.36</v>
      </c>
      <c r="U314" s="13" t="n">
        <f aca="false">IFERROR(YEAR(A314),"")</f>
        <v>2025</v>
      </c>
      <c r="V314" s="28" t="n">
        <f aca="false">IFERROR(O314*B314,0)</f>
        <v>970670</v>
      </c>
      <c r="W314" s="27" t="n">
        <f aca="false">IFERROR(N314*B314,0)</f>
        <v>10862</v>
      </c>
      <c r="X314" s="13" t="n">
        <f aca="false">IF(OR(ISNUMBER(SEARCH("live nation",L314)),ISNUMBER(SEARCH("ocesa",L314))),1,0)</f>
        <v>0</v>
      </c>
      <c r="Y314" s="13" t="s">
        <v>49</v>
      </c>
    </row>
    <row r="315" customFormat="false" ht="15" hidden="false" customHeight="false" outlineLevel="0" collapsed="false">
      <c r="A315" s="30" t="n">
        <v>45850</v>
      </c>
      <c r="B315" s="11" t="n">
        <v>2</v>
      </c>
      <c r="C315" s="31" t="s">
        <v>593</v>
      </c>
      <c r="D315" s="31"/>
      <c r="E315" s="11" t="s">
        <v>369</v>
      </c>
      <c r="F315" s="11" t="s">
        <v>370</v>
      </c>
      <c r="G315" s="11"/>
      <c r="H315" s="11" t="s">
        <v>21</v>
      </c>
      <c r="I315" s="11"/>
      <c r="J315" s="11" t="s">
        <v>133</v>
      </c>
      <c r="K315" s="11" t="s">
        <v>113</v>
      </c>
      <c r="L315" s="11" t="s">
        <v>145</v>
      </c>
      <c r="M315" s="11" t="s">
        <v>100</v>
      </c>
      <c r="N315" s="32" t="n">
        <v>41255</v>
      </c>
      <c r="O315" s="33" t="n">
        <v>4752948.67</v>
      </c>
      <c r="P315" s="32" t="n">
        <v>41255</v>
      </c>
      <c r="Q315" s="34" t="n">
        <v>1</v>
      </c>
      <c r="R315" s="33" t="n">
        <v>117.37</v>
      </c>
      <c r="S315" s="33" t="n">
        <v>195.4</v>
      </c>
      <c r="T315" s="33" t="n">
        <v>115.21</v>
      </c>
      <c r="U315" s="11" t="n">
        <f aca="false">IFERROR(YEAR(A315),"")</f>
        <v>2025</v>
      </c>
      <c r="V315" s="33" t="n">
        <f aca="false">IFERROR(O315*B315,0)</f>
        <v>9505897.34</v>
      </c>
      <c r="W315" s="32" t="n">
        <f aca="false">IFERROR(N315*B315,0)</f>
        <v>82510</v>
      </c>
      <c r="X315" s="11" t="n">
        <f aca="false">IF(OR(ISNUMBER(SEARCH("live nation",L315)),ISNUMBER(SEARCH("ocesa",L315))),1,0)</f>
        <v>0</v>
      </c>
      <c r="Y315" s="11" t="s">
        <v>50</v>
      </c>
    </row>
    <row r="316" customFormat="false" ht="15" hidden="false" customHeight="false" outlineLevel="0" collapsed="false">
      <c r="A316" s="25" t="n">
        <v>45850</v>
      </c>
      <c r="B316" s="13" t="n">
        <v>1</v>
      </c>
      <c r="C316" s="26" t="s">
        <v>587</v>
      </c>
      <c r="D316" s="26"/>
      <c r="E316" s="13" t="s">
        <v>433</v>
      </c>
      <c r="F316" s="13" t="s">
        <v>139</v>
      </c>
      <c r="G316" s="13" t="s">
        <v>139</v>
      </c>
      <c r="H316" s="13" t="s">
        <v>20</v>
      </c>
      <c r="I316" s="13" t="s">
        <v>139</v>
      </c>
      <c r="J316" s="13" t="s">
        <v>121</v>
      </c>
      <c r="K316" s="13" t="s">
        <v>107</v>
      </c>
      <c r="L316" s="13" t="s">
        <v>177</v>
      </c>
      <c r="M316" s="13" t="s">
        <v>100</v>
      </c>
      <c r="N316" s="27" t="n">
        <v>3798</v>
      </c>
      <c r="O316" s="28" t="n">
        <v>427257.45</v>
      </c>
      <c r="P316" s="27" t="n">
        <v>5156</v>
      </c>
      <c r="Q316" s="29" t="n">
        <v>0.73</v>
      </c>
      <c r="R316" s="28" t="n">
        <v>49.5</v>
      </c>
      <c r="S316" s="28" t="n">
        <v>179.5</v>
      </c>
      <c r="T316" s="28" t="n">
        <v>112.5</v>
      </c>
      <c r="U316" s="13" t="n">
        <f aca="false">IFERROR(YEAR(A316),"")</f>
        <v>2025</v>
      </c>
      <c r="V316" s="28" t="n">
        <f aca="false">IFERROR(O316*B316,0)</f>
        <v>427257.45</v>
      </c>
      <c r="W316" s="27" t="n">
        <f aca="false">IFERROR(N316*B316,0)</f>
        <v>3798</v>
      </c>
      <c r="X316" s="13" t="n">
        <f aca="false">IF(OR(ISNUMBER(SEARCH("live nation",L316)),ISNUMBER(SEARCH("ocesa",L316))),1,0)</f>
        <v>1</v>
      </c>
      <c r="Y316" s="13" t="s">
        <v>49</v>
      </c>
    </row>
    <row r="317" customFormat="false" ht="15" hidden="false" customHeight="false" outlineLevel="0" collapsed="false">
      <c r="A317" s="30" t="n">
        <v>45850</v>
      </c>
      <c r="B317" s="11" t="n">
        <v>1</v>
      </c>
      <c r="C317" s="31" t="s">
        <v>625</v>
      </c>
      <c r="D317" s="31"/>
      <c r="E317" s="11" t="s">
        <v>445</v>
      </c>
      <c r="F317" s="11" t="s">
        <v>446</v>
      </c>
      <c r="G317" s="11"/>
      <c r="H317" s="11" t="s">
        <v>23</v>
      </c>
      <c r="I317" s="11"/>
      <c r="J317" s="11" t="s">
        <v>121</v>
      </c>
      <c r="K317" s="11" t="s">
        <v>134</v>
      </c>
      <c r="L317" s="11" t="s">
        <v>122</v>
      </c>
      <c r="M317" s="11" t="s">
        <v>100</v>
      </c>
      <c r="N317" s="32" t="n">
        <v>1644</v>
      </c>
      <c r="O317" s="33" t="n">
        <v>163612.26</v>
      </c>
      <c r="P317" s="32" t="n">
        <v>2482</v>
      </c>
      <c r="Q317" s="34" t="n">
        <v>0.66</v>
      </c>
      <c r="R317" s="33" t="n">
        <v>47.75</v>
      </c>
      <c r="S317" s="33" t="n">
        <v>321.35</v>
      </c>
      <c r="T317" s="33" t="n">
        <v>99.52</v>
      </c>
      <c r="U317" s="11" t="n">
        <f aca="false">IFERROR(YEAR(A317),"")</f>
        <v>2025</v>
      </c>
      <c r="V317" s="33" t="n">
        <f aca="false">IFERROR(O317*B317,0)</f>
        <v>163612.26</v>
      </c>
      <c r="W317" s="32" t="n">
        <f aca="false">IFERROR(N317*B317,0)</f>
        <v>1644</v>
      </c>
      <c r="X317" s="11" t="n">
        <f aca="false">IF(OR(ISNUMBER(SEARCH("live nation",L317)),ISNUMBER(SEARCH("ocesa",L317))),1,0)</f>
        <v>0</v>
      </c>
      <c r="Y317" s="11" t="s">
        <v>49</v>
      </c>
    </row>
    <row r="318" customFormat="false" ht="15" hidden="false" customHeight="false" outlineLevel="0" collapsed="false">
      <c r="A318" s="25" t="n">
        <v>45849</v>
      </c>
      <c r="B318" s="13" t="n">
        <v>1</v>
      </c>
      <c r="C318" s="26" t="s">
        <v>66</v>
      </c>
      <c r="D318" s="26"/>
      <c r="E318" s="13" t="s">
        <v>626</v>
      </c>
      <c r="F318" s="13" t="s">
        <v>561</v>
      </c>
      <c r="G318" s="13"/>
      <c r="H318" s="13" t="s">
        <v>449</v>
      </c>
      <c r="I318" s="13"/>
      <c r="J318" s="13" t="s">
        <v>133</v>
      </c>
      <c r="K318" s="13" t="s">
        <v>173</v>
      </c>
      <c r="L318" s="13" t="s">
        <v>627</v>
      </c>
      <c r="M318" s="13" t="s">
        <v>100</v>
      </c>
      <c r="N318" s="27" t="n">
        <v>43788</v>
      </c>
      <c r="O318" s="28" t="n">
        <v>8185969.29</v>
      </c>
      <c r="P318" s="27" t="n">
        <v>43788</v>
      </c>
      <c r="Q318" s="29" t="n">
        <v>1</v>
      </c>
      <c r="R318" s="28" t="n">
        <v>87.61</v>
      </c>
      <c r="S318" s="28" t="n">
        <v>227.79</v>
      </c>
      <c r="T318" s="28" t="n">
        <v>186.95</v>
      </c>
      <c r="U318" s="13" t="n">
        <f aca="false">IFERROR(YEAR(A318),"")</f>
        <v>2025</v>
      </c>
      <c r="V318" s="28" t="n">
        <f aca="false">IFERROR(O318*B318,0)</f>
        <v>8185969.29</v>
      </c>
      <c r="W318" s="27" t="n">
        <f aca="false">IFERROR(N318*B318,0)</f>
        <v>43788</v>
      </c>
      <c r="X318" s="13" t="n">
        <f aca="false">IF(OR(ISNUMBER(SEARCH("live nation",L318)),ISNUMBER(SEARCH("ocesa",L318))),1,0)</f>
        <v>1</v>
      </c>
      <c r="Y318" s="13" t="s">
        <v>49</v>
      </c>
    </row>
    <row r="319" customFormat="false" ht="15" hidden="false" customHeight="false" outlineLevel="0" collapsed="false">
      <c r="A319" s="30" t="n">
        <v>45849</v>
      </c>
      <c r="B319" s="11" t="n">
        <v>1</v>
      </c>
      <c r="C319" s="31" t="s">
        <v>479</v>
      </c>
      <c r="D319" s="31"/>
      <c r="E319" s="11" t="s">
        <v>628</v>
      </c>
      <c r="F319" s="11" t="s">
        <v>629</v>
      </c>
      <c r="G319" s="11"/>
      <c r="H319" s="11" t="s">
        <v>630</v>
      </c>
      <c r="I319" s="11"/>
      <c r="J319" s="11" t="s">
        <v>97</v>
      </c>
      <c r="K319" s="11" t="s">
        <v>630</v>
      </c>
      <c r="L319" s="11" t="s">
        <v>177</v>
      </c>
      <c r="M319" s="11" t="s">
        <v>100</v>
      </c>
      <c r="N319" s="32" t="n">
        <v>1644</v>
      </c>
      <c r="O319" s="33" t="n">
        <v>114701.2</v>
      </c>
      <c r="P319" s="32" t="n">
        <v>5821</v>
      </c>
      <c r="Q319" s="34" t="n">
        <v>0.28</v>
      </c>
      <c r="R319" s="33" t="n">
        <v>42.15</v>
      </c>
      <c r="S319" s="33" t="n">
        <v>72.26</v>
      </c>
      <c r="T319" s="33" t="n">
        <v>69.77</v>
      </c>
      <c r="U319" s="11" t="n">
        <f aca="false">IFERROR(YEAR(A319),"")</f>
        <v>2025</v>
      </c>
      <c r="V319" s="33" t="n">
        <f aca="false">IFERROR(O319*B319,0)</f>
        <v>114701.2</v>
      </c>
      <c r="W319" s="32" t="n">
        <f aca="false">IFERROR(N319*B319,0)</f>
        <v>1644</v>
      </c>
      <c r="X319" s="11" t="n">
        <f aca="false">IF(OR(ISNUMBER(SEARCH("live nation",L319)),ISNUMBER(SEARCH("ocesa",L319))),1,0)</f>
        <v>1</v>
      </c>
      <c r="Y319" s="11" t="s">
        <v>49</v>
      </c>
    </row>
    <row r="320" customFormat="false" ht="15" hidden="false" customHeight="false" outlineLevel="0" collapsed="false">
      <c r="A320" s="25" t="n">
        <v>45848</v>
      </c>
      <c r="B320" s="13" t="n">
        <v>1</v>
      </c>
      <c r="C320" s="26" t="s">
        <v>71</v>
      </c>
      <c r="D320" s="26"/>
      <c r="E320" s="13" t="s">
        <v>345</v>
      </c>
      <c r="F320" s="13" t="s">
        <v>346</v>
      </c>
      <c r="G320" s="13" t="s">
        <v>347</v>
      </c>
      <c r="H320" s="13" t="s">
        <v>20</v>
      </c>
      <c r="I320" s="13" t="s">
        <v>346</v>
      </c>
      <c r="J320" s="13" t="s">
        <v>97</v>
      </c>
      <c r="K320" s="13" t="s">
        <v>107</v>
      </c>
      <c r="L320" s="13" t="s">
        <v>531</v>
      </c>
      <c r="M320" s="13" t="s">
        <v>100</v>
      </c>
      <c r="N320" s="27" t="n">
        <v>11147</v>
      </c>
      <c r="O320" s="28" t="n">
        <v>2046482</v>
      </c>
      <c r="P320" s="27" t="n">
        <v>11147</v>
      </c>
      <c r="Q320" s="29" t="n">
        <v>1</v>
      </c>
      <c r="R320" s="28" t="n">
        <v>69.5</v>
      </c>
      <c r="S320" s="28" t="n">
        <v>999.5</v>
      </c>
      <c r="T320" s="28" t="n">
        <v>183.59</v>
      </c>
      <c r="U320" s="13" t="n">
        <f aca="false">IFERROR(YEAR(A320),"")</f>
        <v>2025</v>
      </c>
      <c r="V320" s="28" t="n">
        <f aca="false">IFERROR(O320*B320,0)</f>
        <v>2046482</v>
      </c>
      <c r="W320" s="27" t="n">
        <f aca="false">IFERROR(N320*B320,0)</f>
        <v>11147</v>
      </c>
      <c r="X320" s="13" t="n">
        <f aca="false">IF(OR(ISNUMBER(SEARCH("live nation",L320)),ISNUMBER(SEARCH("ocesa",L320))),1,0)</f>
        <v>0</v>
      </c>
      <c r="Y320" s="13" t="s">
        <v>49</v>
      </c>
    </row>
    <row r="321" customFormat="false" ht="15" hidden="false" customHeight="false" outlineLevel="0" collapsed="false">
      <c r="A321" s="30" t="n">
        <v>45846</v>
      </c>
      <c r="B321" s="11" t="n">
        <v>1</v>
      </c>
      <c r="C321" s="31" t="s">
        <v>587</v>
      </c>
      <c r="D321" s="31"/>
      <c r="E321" s="11" t="s">
        <v>540</v>
      </c>
      <c r="F321" s="11" t="s">
        <v>209</v>
      </c>
      <c r="G321" s="11" t="s">
        <v>208</v>
      </c>
      <c r="H321" s="11" t="s">
        <v>20</v>
      </c>
      <c r="I321" s="11" t="s">
        <v>209</v>
      </c>
      <c r="J321" s="11" t="s">
        <v>121</v>
      </c>
      <c r="K321" s="11" t="s">
        <v>107</v>
      </c>
      <c r="L321" s="11" t="s">
        <v>177</v>
      </c>
      <c r="M321" s="11" t="s">
        <v>100</v>
      </c>
      <c r="N321" s="32" t="n">
        <v>2837</v>
      </c>
      <c r="O321" s="33" t="n">
        <v>321941.85</v>
      </c>
      <c r="P321" s="32" t="n">
        <v>3553</v>
      </c>
      <c r="Q321" s="34" t="n">
        <v>0.79</v>
      </c>
      <c r="R321" s="33" t="n">
        <v>59.5</v>
      </c>
      <c r="S321" s="33" t="n">
        <v>199.5</v>
      </c>
      <c r="T321" s="33" t="n">
        <v>113.48</v>
      </c>
      <c r="U321" s="11" t="n">
        <f aca="false">IFERROR(YEAR(A321),"")</f>
        <v>2025</v>
      </c>
      <c r="V321" s="33" t="n">
        <f aca="false">IFERROR(O321*B321,0)</f>
        <v>321941.85</v>
      </c>
      <c r="W321" s="32" t="n">
        <f aca="false">IFERROR(N321*B321,0)</f>
        <v>2837</v>
      </c>
      <c r="X321" s="11" t="n">
        <f aca="false">IF(OR(ISNUMBER(SEARCH("live nation",L321)),ISNUMBER(SEARCH("ocesa",L321))),1,0)</f>
        <v>1</v>
      </c>
      <c r="Y321" s="11" t="s">
        <v>49</v>
      </c>
    </row>
    <row r="322" customFormat="false" ht="15" hidden="false" customHeight="false" outlineLevel="0" collapsed="false">
      <c r="A322" s="25" t="n">
        <v>45843</v>
      </c>
      <c r="B322" s="13" t="n">
        <v>2</v>
      </c>
      <c r="C322" s="26" t="s">
        <v>593</v>
      </c>
      <c r="D322" s="26"/>
      <c r="E322" s="13" t="s">
        <v>248</v>
      </c>
      <c r="F322" s="13" t="s">
        <v>249</v>
      </c>
      <c r="G322" s="13"/>
      <c r="H322" s="13" t="s">
        <v>21</v>
      </c>
      <c r="I322" s="13"/>
      <c r="J322" s="13" t="s">
        <v>239</v>
      </c>
      <c r="K322" s="13" t="s">
        <v>113</v>
      </c>
      <c r="L322" s="13" t="s">
        <v>145</v>
      </c>
      <c r="M322" s="13" t="s">
        <v>100</v>
      </c>
      <c r="N322" s="27" t="n">
        <v>21343</v>
      </c>
      <c r="O322" s="28" t="n">
        <v>2725452.02</v>
      </c>
      <c r="P322" s="27" t="n">
        <v>21343</v>
      </c>
      <c r="Q322" s="29" t="n">
        <v>1</v>
      </c>
      <c r="R322" s="28" t="n">
        <v>119.75</v>
      </c>
      <c r="S322" s="28" t="n">
        <v>199.35</v>
      </c>
      <c r="T322" s="28" t="n">
        <v>127.7</v>
      </c>
      <c r="U322" s="13" t="n">
        <f aca="false">IFERROR(YEAR(A322),"")</f>
        <v>2025</v>
      </c>
      <c r="V322" s="28" t="n">
        <f aca="false">IFERROR(O322*B322,0)</f>
        <v>5450904.04</v>
      </c>
      <c r="W322" s="27" t="n">
        <f aca="false">IFERROR(N322*B322,0)</f>
        <v>42686</v>
      </c>
      <c r="X322" s="13" t="n">
        <f aca="false">IF(OR(ISNUMBER(SEARCH("live nation",L322)),ISNUMBER(SEARCH("ocesa",L322))),1,0)</f>
        <v>0</v>
      </c>
      <c r="Y322" s="13" t="s">
        <v>50</v>
      </c>
    </row>
    <row r="323" customFormat="false" ht="15" hidden="false" customHeight="false" outlineLevel="0" collapsed="false">
      <c r="A323" s="30" t="n">
        <v>45843</v>
      </c>
      <c r="B323" s="11" t="n">
        <v>2</v>
      </c>
      <c r="C323" s="31" t="s">
        <v>472</v>
      </c>
      <c r="D323" s="31"/>
      <c r="E323" s="11" t="s">
        <v>631</v>
      </c>
      <c r="F323" s="11" t="s">
        <v>632</v>
      </c>
      <c r="G323" s="11"/>
      <c r="H323" s="11" t="s">
        <v>21</v>
      </c>
      <c r="I323" s="11"/>
      <c r="J323" s="11" t="s">
        <v>97</v>
      </c>
      <c r="K323" s="11" t="s">
        <v>113</v>
      </c>
      <c r="L323" s="11" t="s">
        <v>145</v>
      </c>
      <c r="M323" s="11" t="s">
        <v>100</v>
      </c>
      <c r="N323" s="32" t="n">
        <v>9150</v>
      </c>
      <c r="O323" s="33" t="n">
        <v>1045375.49</v>
      </c>
      <c r="P323" s="32" t="n">
        <v>9208</v>
      </c>
      <c r="Q323" s="34" t="n">
        <v>0.99</v>
      </c>
      <c r="R323" s="33" t="n">
        <v>100.37</v>
      </c>
      <c r="S323" s="33" t="n">
        <v>186.89</v>
      </c>
      <c r="T323" s="33" t="n">
        <v>114.24</v>
      </c>
      <c r="U323" s="11" t="n">
        <f aca="false">IFERROR(YEAR(A323),"")</f>
        <v>2025</v>
      </c>
      <c r="V323" s="33" t="n">
        <f aca="false">IFERROR(O323*B323,0)</f>
        <v>2090750.98</v>
      </c>
      <c r="W323" s="32" t="n">
        <f aca="false">IFERROR(N323*B323,0)</f>
        <v>18300</v>
      </c>
      <c r="X323" s="11" t="n">
        <f aca="false">IF(OR(ISNUMBER(SEARCH("live nation",L323)),ISNUMBER(SEARCH("ocesa",L323))),1,0)</f>
        <v>0</v>
      </c>
      <c r="Y323" s="11" t="s">
        <v>50</v>
      </c>
    </row>
    <row r="324" customFormat="false" ht="15" hidden="false" customHeight="false" outlineLevel="0" collapsed="false">
      <c r="A324" s="25" t="n">
        <v>45843</v>
      </c>
      <c r="B324" s="13" t="n">
        <v>2</v>
      </c>
      <c r="C324" s="26" t="s">
        <v>64</v>
      </c>
      <c r="D324" s="26"/>
      <c r="E324" s="13" t="s">
        <v>633</v>
      </c>
      <c r="F324" s="13" t="s">
        <v>185</v>
      </c>
      <c r="G324" s="13"/>
      <c r="H324" s="13" t="s">
        <v>21</v>
      </c>
      <c r="I324" s="13"/>
      <c r="J324" s="13" t="s">
        <v>133</v>
      </c>
      <c r="K324" s="13" t="s">
        <v>113</v>
      </c>
      <c r="L324" s="13" t="s">
        <v>145</v>
      </c>
      <c r="M324" s="13" t="s">
        <v>100</v>
      </c>
      <c r="N324" s="27" t="n">
        <v>38911</v>
      </c>
      <c r="O324" s="28" t="n">
        <v>4664832.56</v>
      </c>
      <c r="P324" s="27" t="n">
        <v>42427</v>
      </c>
      <c r="Q324" s="29" t="n">
        <v>0.91</v>
      </c>
      <c r="R324" s="28" t="n">
        <v>117.67</v>
      </c>
      <c r="S324" s="28" t="n">
        <v>193.81</v>
      </c>
      <c r="T324" s="28" t="n">
        <v>119.88</v>
      </c>
      <c r="U324" s="13" t="n">
        <f aca="false">IFERROR(YEAR(A324),"")</f>
        <v>2025</v>
      </c>
      <c r="V324" s="28" t="n">
        <f aca="false">IFERROR(O324*B324,0)</f>
        <v>9329665.12</v>
      </c>
      <c r="W324" s="27" t="n">
        <f aca="false">IFERROR(N324*B324,0)</f>
        <v>77822</v>
      </c>
      <c r="X324" s="13" t="n">
        <f aca="false">IF(OR(ISNUMBER(SEARCH("live nation",L324)),ISNUMBER(SEARCH("ocesa",L324))),1,0)</f>
        <v>0</v>
      </c>
      <c r="Y324" s="13" t="s">
        <v>50</v>
      </c>
    </row>
    <row r="325" customFormat="false" ht="15" hidden="false" customHeight="false" outlineLevel="0" collapsed="false">
      <c r="A325" s="30" t="n">
        <v>45841</v>
      </c>
      <c r="B325" s="11" t="n">
        <v>1</v>
      </c>
      <c r="C325" s="31" t="s">
        <v>272</v>
      </c>
      <c r="D325" s="31" t="s">
        <v>634</v>
      </c>
      <c r="E325" s="11" t="s">
        <v>635</v>
      </c>
      <c r="F325" s="11" t="s">
        <v>636</v>
      </c>
      <c r="G325" s="11" t="s">
        <v>242</v>
      </c>
      <c r="H325" s="11" t="s">
        <v>20</v>
      </c>
      <c r="I325" s="11" t="s">
        <v>637</v>
      </c>
      <c r="J325" s="11" t="s">
        <v>275</v>
      </c>
      <c r="K325" s="11" t="s">
        <v>107</v>
      </c>
      <c r="L325" s="11" t="s">
        <v>177</v>
      </c>
      <c r="M325" s="11" t="s">
        <v>277</v>
      </c>
      <c r="N325" s="32" t="n">
        <v>5354</v>
      </c>
      <c r="O325" s="33" t="n">
        <v>292338</v>
      </c>
      <c r="P325" s="32" t="n">
        <v>7649</v>
      </c>
      <c r="Q325" s="34" t="n">
        <v>0.69</v>
      </c>
      <c r="R325" s="33" t="n">
        <v>35</v>
      </c>
      <c r="S325" s="33" t="n">
        <v>99.5</v>
      </c>
      <c r="T325" s="33" t="n">
        <v>54.6</v>
      </c>
      <c r="U325" s="11" t="n">
        <f aca="false">IFERROR(YEAR(A325),"")</f>
        <v>2025</v>
      </c>
      <c r="V325" s="33" t="n">
        <f aca="false">IFERROR(O325*B325,0)</f>
        <v>292338</v>
      </c>
      <c r="W325" s="32" t="n">
        <f aca="false">IFERROR(N325*B325,0)</f>
        <v>5354</v>
      </c>
      <c r="X325" s="11" t="n">
        <f aca="false">IF(OR(ISNUMBER(SEARCH("live nation",L325)),ISNUMBER(SEARCH("ocesa",L325))),1,0)</f>
        <v>1</v>
      </c>
      <c r="Y325" s="11" t="s">
        <v>49</v>
      </c>
    </row>
    <row r="326" customFormat="false" ht="15" hidden="false" customHeight="false" outlineLevel="0" collapsed="false">
      <c r="A326" s="25" t="n">
        <v>45840</v>
      </c>
      <c r="B326" s="13" t="n">
        <v>2</v>
      </c>
      <c r="C326" s="26" t="s">
        <v>528</v>
      </c>
      <c r="D326" s="26"/>
      <c r="E326" s="13" t="s">
        <v>95</v>
      </c>
      <c r="F326" s="13" t="s">
        <v>96</v>
      </c>
      <c r="G326" s="13"/>
      <c r="H326" s="13" t="s">
        <v>28</v>
      </c>
      <c r="I326" s="13"/>
      <c r="J326" s="13" t="s">
        <v>97</v>
      </c>
      <c r="K326" s="13" t="s">
        <v>98</v>
      </c>
      <c r="L326" s="13" t="s">
        <v>99</v>
      </c>
      <c r="M326" s="13" t="s">
        <v>100</v>
      </c>
      <c r="N326" s="27" t="n">
        <v>11070</v>
      </c>
      <c r="O326" s="28" t="n">
        <v>2051274.38</v>
      </c>
      <c r="P326" s="27" t="n">
        <v>11876</v>
      </c>
      <c r="Q326" s="29" t="n">
        <v>0.93</v>
      </c>
      <c r="R326" s="28" t="n">
        <v>65.14</v>
      </c>
      <c r="S326" s="28" t="n">
        <v>334.93</v>
      </c>
      <c r="T326" s="28" t="n">
        <v>185.3</v>
      </c>
      <c r="U326" s="13" t="n">
        <f aca="false">IFERROR(YEAR(A326),"")</f>
        <v>2025</v>
      </c>
      <c r="V326" s="28" t="n">
        <f aca="false">IFERROR(O326*B326,0)</f>
        <v>4102548.76</v>
      </c>
      <c r="W326" s="27" t="n">
        <f aca="false">IFERROR(N326*B326,0)</f>
        <v>22140</v>
      </c>
      <c r="X326" s="13" t="n">
        <f aca="false">IF(OR(ISNUMBER(SEARCH("live nation",L326)),ISNUMBER(SEARCH("ocesa",L326))),1,0)</f>
        <v>0</v>
      </c>
      <c r="Y326" s="13" t="s">
        <v>49</v>
      </c>
    </row>
    <row r="327" customFormat="false" ht="15" hidden="false" customHeight="false" outlineLevel="0" collapsed="false">
      <c r="A327" s="30" t="n">
        <v>45840</v>
      </c>
      <c r="B327" s="11" t="n">
        <v>1</v>
      </c>
      <c r="C327" s="31" t="s">
        <v>574</v>
      </c>
      <c r="D327" s="31"/>
      <c r="E327" s="11" t="s">
        <v>170</v>
      </c>
      <c r="F327" s="11" t="s">
        <v>171</v>
      </c>
      <c r="G327" s="11"/>
      <c r="H327" s="11" t="s">
        <v>172</v>
      </c>
      <c r="I327" s="11"/>
      <c r="J327" s="11" t="s">
        <v>97</v>
      </c>
      <c r="K327" s="11" t="s">
        <v>173</v>
      </c>
      <c r="L327" s="11" t="s">
        <v>174</v>
      </c>
      <c r="M327" s="11" t="s">
        <v>100</v>
      </c>
      <c r="N327" s="32" t="n">
        <v>8219</v>
      </c>
      <c r="O327" s="33" t="n">
        <v>1025269.54</v>
      </c>
      <c r="P327" s="32" t="n">
        <v>8225</v>
      </c>
      <c r="Q327" s="34" t="n">
        <v>0.99</v>
      </c>
      <c r="R327" s="33" t="n">
        <v>94.99</v>
      </c>
      <c r="S327" s="33" t="n">
        <v>203.56</v>
      </c>
      <c r="T327" s="33" t="n">
        <v>124.74</v>
      </c>
      <c r="U327" s="11" t="n">
        <f aca="false">IFERROR(YEAR(A327),"")</f>
        <v>2025</v>
      </c>
      <c r="V327" s="33" t="n">
        <f aca="false">IFERROR(O327*B327,0)</f>
        <v>1025269.54</v>
      </c>
      <c r="W327" s="32" t="n">
        <f aca="false">IFERROR(N327*B327,0)</f>
        <v>8219</v>
      </c>
      <c r="X327" s="11" t="n">
        <f aca="false">IF(OR(ISNUMBER(SEARCH("live nation",L327)),ISNUMBER(SEARCH("ocesa",L327))),1,0)</f>
        <v>0</v>
      </c>
      <c r="Y327" s="11" t="s">
        <v>49</v>
      </c>
    </row>
    <row r="328" customFormat="false" ht="15" hidden="false" customHeight="false" outlineLevel="0" collapsed="false">
      <c r="A328" s="25" t="n">
        <v>45838</v>
      </c>
      <c r="B328" s="13" t="n">
        <v>1</v>
      </c>
      <c r="C328" s="26" t="s">
        <v>272</v>
      </c>
      <c r="D328" s="26" t="s">
        <v>638</v>
      </c>
      <c r="E328" s="13" t="s">
        <v>639</v>
      </c>
      <c r="F328" s="13" t="s">
        <v>640</v>
      </c>
      <c r="G328" s="13" t="s">
        <v>127</v>
      </c>
      <c r="H328" s="13" t="s">
        <v>128</v>
      </c>
      <c r="I328" s="13"/>
      <c r="J328" s="13" t="s">
        <v>97</v>
      </c>
      <c r="K328" s="13" t="s">
        <v>129</v>
      </c>
      <c r="L328" s="13" t="s">
        <v>641</v>
      </c>
      <c r="M328" s="13" t="s">
        <v>277</v>
      </c>
      <c r="N328" s="27" t="n">
        <v>5357</v>
      </c>
      <c r="O328" s="28" t="n">
        <v>320276.24</v>
      </c>
      <c r="P328" s="27" t="n">
        <v>5357</v>
      </c>
      <c r="Q328" s="29" t="n">
        <v>1</v>
      </c>
      <c r="R328" s="28" t="n">
        <v>43.49</v>
      </c>
      <c r="S328" s="28" t="n">
        <v>72.73</v>
      </c>
      <c r="T328" s="28" t="n">
        <v>59.79</v>
      </c>
      <c r="U328" s="13" t="n">
        <f aca="false">IFERROR(YEAR(A328),"")</f>
        <v>2025</v>
      </c>
      <c r="V328" s="28" t="n">
        <f aca="false">IFERROR(O328*B328,0)</f>
        <v>320276.24</v>
      </c>
      <c r="W328" s="27" t="n">
        <f aca="false">IFERROR(N328*B328,0)</f>
        <v>5357</v>
      </c>
      <c r="X328" s="13" t="n">
        <f aca="false">IF(OR(ISNUMBER(SEARCH("live nation",L328)),ISNUMBER(SEARCH("ocesa",L328))),1,0)</f>
        <v>0</v>
      </c>
      <c r="Y328" s="13" t="s">
        <v>49</v>
      </c>
    </row>
    <row r="329" customFormat="false" ht="15" hidden="false" customHeight="false" outlineLevel="0" collapsed="false">
      <c r="A329" s="30" t="n">
        <v>45837</v>
      </c>
      <c r="B329" s="11" t="n">
        <v>1</v>
      </c>
      <c r="C329" s="31" t="s">
        <v>66</v>
      </c>
      <c r="D329" s="31"/>
      <c r="E329" s="11" t="s">
        <v>642</v>
      </c>
      <c r="F329" s="11" t="s">
        <v>550</v>
      </c>
      <c r="G329" s="11" t="s">
        <v>328</v>
      </c>
      <c r="H329" s="11" t="s">
        <v>128</v>
      </c>
      <c r="I329" s="11"/>
      <c r="J329" s="11" t="s">
        <v>133</v>
      </c>
      <c r="K329" s="11" t="s">
        <v>129</v>
      </c>
      <c r="L329" s="11" t="s">
        <v>177</v>
      </c>
      <c r="M329" s="11" t="s">
        <v>100</v>
      </c>
      <c r="N329" s="32" t="n">
        <v>49745</v>
      </c>
      <c r="O329" s="33" t="n">
        <v>7093449.77</v>
      </c>
      <c r="P329" s="32" t="n">
        <v>49745</v>
      </c>
      <c r="Q329" s="34" t="n">
        <v>1</v>
      </c>
      <c r="R329" s="33" t="n">
        <v>57.98</v>
      </c>
      <c r="S329" s="33" t="n">
        <v>218.45</v>
      </c>
      <c r="T329" s="33" t="n">
        <v>142.6</v>
      </c>
      <c r="U329" s="11" t="n">
        <f aca="false">IFERROR(YEAR(A329),"")</f>
        <v>2025</v>
      </c>
      <c r="V329" s="33" t="n">
        <f aca="false">IFERROR(O329*B329,0)</f>
        <v>7093449.77</v>
      </c>
      <c r="W329" s="32" t="n">
        <f aca="false">IFERROR(N329*B329,0)</f>
        <v>49745</v>
      </c>
      <c r="X329" s="11" t="n">
        <f aca="false">IF(OR(ISNUMBER(SEARCH("live nation",L329)),ISNUMBER(SEARCH("ocesa",L329))),1,0)</f>
        <v>1</v>
      </c>
      <c r="Y329" s="11" t="s">
        <v>49</v>
      </c>
    </row>
    <row r="330" customFormat="false" ht="15" hidden="false" customHeight="false" outlineLevel="0" collapsed="false">
      <c r="A330" s="25" t="n">
        <v>45837</v>
      </c>
      <c r="B330" s="13" t="n">
        <v>1</v>
      </c>
      <c r="C330" s="26" t="s">
        <v>643</v>
      </c>
      <c r="D330" s="26"/>
      <c r="E330" s="13" t="s">
        <v>343</v>
      </c>
      <c r="F330" s="13" t="s">
        <v>344</v>
      </c>
      <c r="G330" s="13"/>
      <c r="H330" s="13" t="s">
        <v>25</v>
      </c>
      <c r="I330" s="13"/>
      <c r="J330" s="13" t="s">
        <v>133</v>
      </c>
      <c r="K330" s="13" t="s">
        <v>25</v>
      </c>
      <c r="L330" s="13" t="s">
        <v>644</v>
      </c>
      <c r="M330" s="13" t="s">
        <v>100</v>
      </c>
      <c r="N330" s="27" t="n">
        <v>42660</v>
      </c>
      <c r="O330" s="28" t="n">
        <v>8759643.22</v>
      </c>
      <c r="P330" s="27" t="n">
        <v>42660</v>
      </c>
      <c r="Q330" s="29" t="n">
        <v>1</v>
      </c>
      <c r="R330" s="28" t="n">
        <v>86.63</v>
      </c>
      <c r="S330" s="28" t="n">
        <v>239.5</v>
      </c>
      <c r="T330" s="28" t="n">
        <v>205.34</v>
      </c>
      <c r="U330" s="13" t="n">
        <f aca="false">IFERROR(YEAR(A330),"")</f>
        <v>2025</v>
      </c>
      <c r="V330" s="28" t="n">
        <f aca="false">IFERROR(O330*B330,0)</f>
        <v>8759643.22</v>
      </c>
      <c r="W330" s="27" t="n">
        <f aca="false">IFERROR(N330*B330,0)</f>
        <v>42660</v>
      </c>
      <c r="X330" s="13" t="n">
        <f aca="false">IF(OR(ISNUMBER(SEARCH("live nation",L330)),ISNUMBER(SEARCH("ocesa",L330))),1,0)</f>
        <v>0</v>
      </c>
      <c r="Y330" s="13" t="s">
        <v>50</v>
      </c>
    </row>
    <row r="331" customFormat="false" ht="15" hidden="false" customHeight="false" outlineLevel="0" collapsed="false">
      <c r="A331" s="30" t="n">
        <v>45837</v>
      </c>
      <c r="B331" s="11" t="n">
        <v>1</v>
      </c>
      <c r="C331" s="31" t="s">
        <v>645</v>
      </c>
      <c r="D331" s="31"/>
      <c r="E331" s="11" t="s">
        <v>646</v>
      </c>
      <c r="F331" s="11" t="s">
        <v>647</v>
      </c>
      <c r="G331" s="11"/>
      <c r="H331" s="11" t="s">
        <v>28</v>
      </c>
      <c r="I331" s="11"/>
      <c r="J331" s="11" t="s">
        <v>106</v>
      </c>
      <c r="K331" s="11" t="s">
        <v>98</v>
      </c>
      <c r="L331" s="11" t="s">
        <v>122</v>
      </c>
      <c r="M331" s="11" t="s">
        <v>100</v>
      </c>
      <c r="N331" s="32" t="n">
        <v>250</v>
      </c>
      <c r="O331" s="33" t="n">
        <v>24850.99</v>
      </c>
      <c r="P331" s="32" t="n">
        <v>1400</v>
      </c>
      <c r="Q331" s="34" t="n">
        <v>0.17</v>
      </c>
      <c r="R331" s="33" t="n">
        <v>91.41</v>
      </c>
      <c r="S331" s="33" t="n">
        <v>131.38</v>
      </c>
      <c r="T331" s="33" t="n">
        <v>99.4</v>
      </c>
      <c r="U331" s="11" t="n">
        <f aca="false">IFERROR(YEAR(A331),"")</f>
        <v>2025</v>
      </c>
      <c r="V331" s="33" t="n">
        <f aca="false">IFERROR(O331*B331,0)</f>
        <v>24850.99</v>
      </c>
      <c r="W331" s="32" t="n">
        <f aca="false">IFERROR(N331*B331,0)</f>
        <v>250</v>
      </c>
      <c r="X331" s="11" t="n">
        <f aca="false">IF(OR(ISNUMBER(SEARCH("live nation",L331)),ISNUMBER(SEARCH("ocesa",L331))),1,0)</f>
        <v>0</v>
      </c>
      <c r="Y331" s="11" t="s">
        <v>49</v>
      </c>
    </row>
    <row r="332" customFormat="false" ht="15" hidden="false" customHeight="false" outlineLevel="0" collapsed="false">
      <c r="A332" s="25" t="n">
        <v>45836</v>
      </c>
      <c r="B332" s="13" t="n">
        <v>1</v>
      </c>
      <c r="C332" s="26" t="s">
        <v>643</v>
      </c>
      <c r="D332" s="26"/>
      <c r="E332" s="13" t="s">
        <v>343</v>
      </c>
      <c r="F332" s="13" t="s">
        <v>344</v>
      </c>
      <c r="G332" s="13"/>
      <c r="H332" s="13" t="s">
        <v>25</v>
      </c>
      <c r="I332" s="13"/>
      <c r="J332" s="13" t="s">
        <v>133</v>
      </c>
      <c r="K332" s="13" t="s">
        <v>25</v>
      </c>
      <c r="L332" s="13" t="s">
        <v>644</v>
      </c>
      <c r="M332" s="13" t="s">
        <v>100</v>
      </c>
      <c r="N332" s="27" t="n">
        <v>42662</v>
      </c>
      <c r="O332" s="28" t="n">
        <v>8314590.51</v>
      </c>
      <c r="P332" s="27" t="n">
        <v>42662</v>
      </c>
      <c r="Q332" s="29" t="n">
        <v>1</v>
      </c>
      <c r="R332" s="28" t="n">
        <v>86.63</v>
      </c>
      <c r="S332" s="28" t="n">
        <v>239.5</v>
      </c>
      <c r="T332" s="28" t="n">
        <v>194.89</v>
      </c>
      <c r="U332" s="13" t="n">
        <f aca="false">IFERROR(YEAR(A332),"")</f>
        <v>2025</v>
      </c>
      <c r="V332" s="28" t="n">
        <f aca="false">IFERROR(O332*B332,0)</f>
        <v>8314590.51</v>
      </c>
      <c r="W332" s="27" t="n">
        <f aca="false">IFERROR(N332*B332,0)</f>
        <v>42662</v>
      </c>
      <c r="X332" s="13" t="n">
        <f aca="false">IF(OR(ISNUMBER(SEARCH("live nation",L332)),ISNUMBER(SEARCH("ocesa",L332))),1,0)</f>
        <v>0</v>
      </c>
      <c r="Y332" s="13" t="s">
        <v>50</v>
      </c>
    </row>
    <row r="333" customFormat="false" ht="15" hidden="false" customHeight="false" outlineLevel="0" collapsed="false">
      <c r="A333" s="30" t="n">
        <v>45836</v>
      </c>
      <c r="B333" s="11" t="n">
        <v>2</v>
      </c>
      <c r="C333" s="31" t="s">
        <v>593</v>
      </c>
      <c r="D333" s="31"/>
      <c r="E333" s="11" t="s">
        <v>648</v>
      </c>
      <c r="F333" s="11" t="s">
        <v>205</v>
      </c>
      <c r="G333" s="11"/>
      <c r="H333" s="11" t="s">
        <v>24</v>
      </c>
      <c r="I333" s="11"/>
      <c r="J333" s="11" t="s">
        <v>133</v>
      </c>
      <c r="K333" s="11" t="s">
        <v>148</v>
      </c>
      <c r="L333" s="11" t="s">
        <v>145</v>
      </c>
      <c r="M333" s="11" t="s">
        <v>100</v>
      </c>
      <c r="N333" s="32" t="n">
        <v>9626</v>
      </c>
      <c r="O333" s="33" t="n">
        <v>1060953.78</v>
      </c>
      <c r="P333" s="32" t="n">
        <v>9636</v>
      </c>
      <c r="Q333" s="34" t="n">
        <v>0.99</v>
      </c>
      <c r="R333" s="33" t="n">
        <v>112.87</v>
      </c>
      <c r="S333" s="33" t="n">
        <v>145.11</v>
      </c>
      <c r="T333" s="33" t="n">
        <v>110.21</v>
      </c>
      <c r="U333" s="11" t="n">
        <f aca="false">IFERROR(YEAR(A333),"")</f>
        <v>2025</v>
      </c>
      <c r="V333" s="33" t="n">
        <f aca="false">IFERROR(O333*B333,0)</f>
        <v>2121907.56</v>
      </c>
      <c r="W333" s="32" t="n">
        <f aca="false">IFERROR(N333*B333,0)</f>
        <v>19252</v>
      </c>
      <c r="X333" s="11" t="n">
        <f aca="false">IF(OR(ISNUMBER(SEARCH("live nation",L333)),ISNUMBER(SEARCH("ocesa",L333))),1,0)</f>
        <v>0</v>
      </c>
      <c r="Y333" s="11" t="s">
        <v>50</v>
      </c>
    </row>
    <row r="334" customFormat="false" ht="15" hidden="false" customHeight="false" outlineLevel="0" collapsed="false">
      <c r="A334" s="25" t="n">
        <v>45836</v>
      </c>
      <c r="B334" s="13" t="n">
        <v>3</v>
      </c>
      <c r="C334" s="26" t="s">
        <v>612</v>
      </c>
      <c r="D334" s="26"/>
      <c r="E334" s="13" t="s">
        <v>649</v>
      </c>
      <c r="F334" s="13" t="s">
        <v>185</v>
      </c>
      <c r="G334" s="13"/>
      <c r="H334" s="13" t="s">
        <v>21</v>
      </c>
      <c r="I334" s="13"/>
      <c r="J334" s="13" t="s">
        <v>97</v>
      </c>
      <c r="K334" s="13" t="s">
        <v>113</v>
      </c>
      <c r="L334" s="13" t="s">
        <v>145</v>
      </c>
      <c r="M334" s="13" t="s">
        <v>100</v>
      </c>
      <c r="N334" s="27" t="n">
        <v>9000</v>
      </c>
      <c r="O334" s="28" t="n">
        <v>1018047.91</v>
      </c>
      <c r="P334" s="27" t="n">
        <v>9000</v>
      </c>
      <c r="Q334" s="29" t="n">
        <v>1</v>
      </c>
      <c r="R334" s="28" t="n">
        <v>98.86</v>
      </c>
      <c r="S334" s="28" t="n">
        <v>171.44</v>
      </c>
      <c r="T334" s="28" t="n">
        <v>113.11</v>
      </c>
      <c r="U334" s="13" t="n">
        <f aca="false">IFERROR(YEAR(A334),"")</f>
        <v>2025</v>
      </c>
      <c r="V334" s="28" t="n">
        <f aca="false">IFERROR(O334*B334,0)</f>
        <v>3054143.73</v>
      </c>
      <c r="W334" s="27" t="n">
        <f aca="false">IFERROR(N334*B334,0)</f>
        <v>27000</v>
      </c>
      <c r="X334" s="13" t="n">
        <f aca="false">IF(OR(ISNUMBER(SEARCH("live nation",L334)),ISNUMBER(SEARCH("ocesa",L334))),1,0)</f>
        <v>0</v>
      </c>
      <c r="Y334" s="13" t="s">
        <v>50</v>
      </c>
    </row>
    <row r="335" customFormat="false" ht="15" hidden="false" customHeight="false" outlineLevel="0" collapsed="false">
      <c r="A335" s="30" t="n">
        <v>45836</v>
      </c>
      <c r="B335" s="11" t="n">
        <v>2</v>
      </c>
      <c r="C335" s="31" t="s">
        <v>268</v>
      </c>
      <c r="D335" s="31"/>
      <c r="E335" s="11" t="s">
        <v>650</v>
      </c>
      <c r="F335" s="11" t="s">
        <v>185</v>
      </c>
      <c r="G335" s="11"/>
      <c r="H335" s="11" t="s">
        <v>21</v>
      </c>
      <c r="I335" s="11"/>
      <c r="J335" s="11" t="s">
        <v>97</v>
      </c>
      <c r="K335" s="11" t="s">
        <v>113</v>
      </c>
      <c r="L335" s="11" t="s">
        <v>250</v>
      </c>
      <c r="M335" s="11" t="s">
        <v>270</v>
      </c>
      <c r="N335" s="32" t="n">
        <v>12000</v>
      </c>
      <c r="O335" s="33" t="n">
        <v>788081.98</v>
      </c>
      <c r="P335" s="32" t="n">
        <v>12000</v>
      </c>
      <c r="Q335" s="34" t="n">
        <v>1</v>
      </c>
      <c r="R335" s="33" t="n">
        <v>65.67</v>
      </c>
      <c r="S335" s="33" t="n">
        <v>65.67</v>
      </c>
      <c r="T335" s="33" t="n">
        <v>65.67</v>
      </c>
      <c r="U335" s="11" t="n">
        <f aca="false">IFERROR(YEAR(A335),"")</f>
        <v>2025</v>
      </c>
      <c r="V335" s="33" t="n">
        <f aca="false">IFERROR(O335*B335,0)</f>
        <v>1576163.96</v>
      </c>
      <c r="W335" s="32" t="n">
        <f aca="false">IFERROR(N335*B335,0)</f>
        <v>24000</v>
      </c>
      <c r="X335" s="11" t="n">
        <f aca="false">IF(OR(ISNUMBER(SEARCH("live nation",L335)),ISNUMBER(SEARCH("ocesa",L335))),1,0)</f>
        <v>0</v>
      </c>
      <c r="Y335" s="11" t="s">
        <v>50</v>
      </c>
    </row>
    <row r="336" customFormat="false" ht="15" hidden="false" customHeight="false" outlineLevel="0" collapsed="false">
      <c r="A336" s="25" t="n">
        <v>45835</v>
      </c>
      <c r="B336" s="13" t="n">
        <v>1</v>
      </c>
      <c r="C336" s="26" t="s">
        <v>272</v>
      </c>
      <c r="D336" s="26" t="s">
        <v>634</v>
      </c>
      <c r="E336" s="13" t="s">
        <v>651</v>
      </c>
      <c r="F336" s="13" t="s">
        <v>652</v>
      </c>
      <c r="G336" s="13" t="s">
        <v>653</v>
      </c>
      <c r="H336" s="13" t="s">
        <v>20</v>
      </c>
      <c r="I336" s="13" t="s">
        <v>654</v>
      </c>
      <c r="J336" s="13" t="s">
        <v>97</v>
      </c>
      <c r="K336" s="13" t="s">
        <v>107</v>
      </c>
      <c r="L336" s="13" t="s">
        <v>122</v>
      </c>
      <c r="M336" s="13" t="s">
        <v>277</v>
      </c>
      <c r="N336" s="27" t="n">
        <v>6404</v>
      </c>
      <c r="O336" s="28" t="n">
        <v>296269</v>
      </c>
      <c r="P336" s="27" t="n">
        <v>7072</v>
      </c>
      <c r="Q336" s="29" t="n">
        <v>0.9</v>
      </c>
      <c r="R336" s="28" t="n">
        <v>39.75</v>
      </c>
      <c r="S336" s="28" t="n">
        <v>69.75</v>
      </c>
      <c r="T336" s="28" t="n">
        <v>46.26</v>
      </c>
      <c r="U336" s="13" t="n">
        <f aca="false">IFERROR(YEAR(A336),"")</f>
        <v>2025</v>
      </c>
      <c r="V336" s="28" t="n">
        <f aca="false">IFERROR(O336*B336,0)</f>
        <v>296269</v>
      </c>
      <c r="W336" s="27" t="n">
        <f aca="false">IFERROR(N336*B336,0)</f>
        <v>6404</v>
      </c>
      <c r="X336" s="13" t="n">
        <f aca="false">IF(OR(ISNUMBER(SEARCH("live nation",L336)),ISNUMBER(SEARCH("ocesa",L336))),1,0)</f>
        <v>0</v>
      </c>
      <c r="Y336" s="13" t="s">
        <v>49</v>
      </c>
    </row>
    <row r="337" customFormat="false" ht="15" hidden="false" customHeight="false" outlineLevel="0" collapsed="false">
      <c r="A337" s="30" t="n">
        <v>45835</v>
      </c>
      <c r="B337" s="11" t="n">
        <v>1</v>
      </c>
      <c r="C337" s="31" t="s">
        <v>643</v>
      </c>
      <c r="D337" s="31"/>
      <c r="E337" s="11" t="s">
        <v>343</v>
      </c>
      <c r="F337" s="11" t="s">
        <v>344</v>
      </c>
      <c r="G337" s="11"/>
      <c r="H337" s="11" t="s">
        <v>25</v>
      </c>
      <c r="I337" s="11"/>
      <c r="J337" s="11" t="s">
        <v>133</v>
      </c>
      <c r="K337" s="11" t="s">
        <v>25</v>
      </c>
      <c r="L337" s="11" t="s">
        <v>644</v>
      </c>
      <c r="M337" s="11" t="s">
        <v>100</v>
      </c>
      <c r="N337" s="32" t="n">
        <v>42390</v>
      </c>
      <c r="O337" s="33" t="n">
        <v>7956757.26</v>
      </c>
      <c r="P337" s="32" t="n">
        <v>42390</v>
      </c>
      <c r="Q337" s="34" t="n">
        <v>1</v>
      </c>
      <c r="R337" s="33" t="n">
        <v>86.63</v>
      </c>
      <c r="S337" s="33" t="n">
        <v>239.51</v>
      </c>
      <c r="T337" s="33" t="n">
        <v>187.7</v>
      </c>
      <c r="U337" s="11" t="n">
        <f aca="false">IFERROR(YEAR(A337),"")</f>
        <v>2025</v>
      </c>
      <c r="V337" s="33" t="n">
        <f aca="false">IFERROR(O337*B337,0)</f>
        <v>7956757.26</v>
      </c>
      <c r="W337" s="32" t="n">
        <f aca="false">IFERROR(N337*B337,0)</f>
        <v>42390</v>
      </c>
      <c r="X337" s="11" t="n">
        <f aca="false">IF(OR(ISNUMBER(SEARCH("live nation",L337)),ISNUMBER(SEARCH("ocesa",L337))),1,0)</f>
        <v>0</v>
      </c>
      <c r="Y337" s="11" t="s">
        <v>50</v>
      </c>
    </row>
    <row r="338" customFormat="false" ht="15" hidden="false" customHeight="false" outlineLevel="0" collapsed="false">
      <c r="A338" s="25" t="n">
        <v>45834</v>
      </c>
      <c r="B338" s="13" t="n">
        <v>1</v>
      </c>
      <c r="C338" s="26" t="s">
        <v>66</v>
      </c>
      <c r="D338" s="26"/>
      <c r="E338" s="13" t="s">
        <v>655</v>
      </c>
      <c r="F338" s="13" t="s">
        <v>209</v>
      </c>
      <c r="G338" s="13" t="s">
        <v>208</v>
      </c>
      <c r="H338" s="13" t="s">
        <v>20</v>
      </c>
      <c r="I338" s="13" t="s">
        <v>209</v>
      </c>
      <c r="J338" s="13" t="s">
        <v>133</v>
      </c>
      <c r="K338" s="13" t="s">
        <v>107</v>
      </c>
      <c r="L338" s="13" t="s">
        <v>177</v>
      </c>
      <c r="M338" s="13" t="s">
        <v>100</v>
      </c>
      <c r="N338" s="27" t="n">
        <v>35799</v>
      </c>
      <c r="O338" s="28" t="n">
        <v>5632001</v>
      </c>
      <c r="P338" s="27" t="n">
        <v>35799</v>
      </c>
      <c r="Q338" s="29" t="n">
        <v>1</v>
      </c>
      <c r="R338" s="28" t="n">
        <v>59.5</v>
      </c>
      <c r="S338" s="28" t="n">
        <v>229.5</v>
      </c>
      <c r="T338" s="28" t="n">
        <v>157.32</v>
      </c>
      <c r="U338" s="13" t="n">
        <f aca="false">IFERROR(YEAR(A338),"")</f>
        <v>2025</v>
      </c>
      <c r="V338" s="28" t="n">
        <f aca="false">IFERROR(O338*B338,0)</f>
        <v>5632001</v>
      </c>
      <c r="W338" s="27" t="n">
        <f aca="false">IFERROR(N338*B338,0)</f>
        <v>35799</v>
      </c>
      <c r="X338" s="13" t="n">
        <f aca="false">IF(OR(ISNUMBER(SEARCH("live nation",L338)),ISNUMBER(SEARCH("ocesa",L338))),1,0)</f>
        <v>1</v>
      </c>
      <c r="Y338" s="13" t="s">
        <v>49</v>
      </c>
    </row>
    <row r="339" customFormat="false" ht="15" hidden="false" customHeight="false" outlineLevel="0" collapsed="false">
      <c r="A339" s="30" t="n">
        <v>45834</v>
      </c>
      <c r="B339" s="11" t="n">
        <v>1</v>
      </c>
      <c r="C339" s="31" t="s">
        <v>656</v>
      </c>
      <c r="D339" s="31"/>
      <c r="E339" s="11" t="s">
        <v>503</v>
      </c>
      <c r="F339" s="11" t="s">
        <v>306</v>
      </c>
      <c r="G339" s="11" t="s">
        <v>188</v>
      </c>
      <c r="H339" s="11" t="s">
        <v>20</v>
      </c>
      <c r="I339" s="11" t="s">
        <v>307</v>
      </c>
      <c r="J339" s="11" t="s">
        <v>121</v>
      </c>
      <c r="K339" s="11" t="s">
        <v>107</v>
      </c>
      <c r="L339" s="11" t="s">
        <v>657</v>
      </c>
      <c r="M339" s="11" t="s">
        <v>100</v>
      </c>
      <c r="N339" s="32" t="n">
        <v>2520</v>
      </c>
      <c r="O339" s="33" t="n">
        <v>206059.8</v>
      </c>
      <c r="P339" s="32" t="n">
        <v>2656</v>
      </c>
      <c r="Q339" s="34" t="n">
        <v>0.94</v>
      </c>
      <c r="R339" s="33" t="n">
        <v>50.5</v>
      </c>
      <c r="S339" s="33" t="n">
        <v>140</v>
      </c>
      <c r="T339" s="33" t="n">
        <v>81.77</v>
      </c>
      <c r="U339" s="11" t="n">
        <f aca="false">IFERROR(YEAR(A339),"")</f>
        <v>2025</v>
      </c>
      <c r="V339" s="33" t="n">
        <f aca="false">IFERROR(O339*B339,0)</f>
        <v>206059.8</v>
      </c>
      <c r="W339" s="32" t="n">
        <f aca="false">IFERROR(N339*B339,0)</f>
        <v>2520</v>
      </c>
      <c r="X339" s="11" t="n">
        <f aca="false">IF(OR(ISNUMBER(SEARCH("live nation",L339)),ISNUMBER(SEARCH("ocesa",L339))),1,0)</f>
        <v>1</v>
      </c>
      <c r="Y339" s="11" t="s">
        <v>49</v>
      </c>
    </row>
    <row r="340" customFormat="false" ht="15" hidden="false" customHeight="false" outlineLevel="0" collapsed="false">
      <c r="A340" s="25" t="n">
        <v>45833</v>
      </c>
      <c r="B340" s="13" t="n">
        <v>1</v>
      </c>
      <c r="C340" s="26" t="s">
        <v>272</v>
      </c>
      <c r="D340" s="26" t="s">
        <v>634</v>
      </c>
      <c r="E340" s="13" t="s">
        <v>482</v>
      </c>
      <c r="F340" s="13" t="s">
        <v>223</v>
      </c>
      <c r="G340" s="13" t="s">
        <v>224</v>
      </c>
      <c r="H340" s="13" t="s">
        <v>20</v>
      </c>
      <c r="I340" s="13" t="s">
        <v>225</v>
      </c>
      <c r="J340" s="13" t="s">
        <v>106</v>
      </c>
      <c r="K340" s="13" t="s">
        <v>107</v>
      </c>
      <c r="L340" s="13" t="s">
        <v>483</v>
      </c>
      <c r="M340" s="13" t="s">
        <v>277</v>
      </c>
      <c r="N340" s="27" t="n">
        <v>4644</v>
      </c>
      <c r="O340" s="28" t="n">
        <v>265282</v>
      </c>
      <c r="P340" s="27" t="n">
        <v>4963</v>
      </c>
      <c r="Q340" s="29" t="n">
        <v>0.93</v>
      </c>
      <c r="R340" s="28" t="n">
        <v>35.5</v>
      </c>
      <c r="S340" s="28" t="n">
        <v>95.5</v>
      </c>
      <c r="T340" s="28" t="n">
        <v>57.12</v>
      </c>
      <c r="U340" s="13" t="n">
        <f aca="false">IFERROR(YEAR(A340),"")</f>
        <v>2025</v>
      </c>
      <c r="V340" s="28" t="n">
        <f aca="false">IFERROR(O340*B340,0)</f>
        <v>265282</v>
      </c>
      <c r="W340" s="27" t="n">
        <f aca="false">IFERROR(N340*B340,0)</f>
        <v>4644</v>
      </c>
      <c r="X340" s="13" t="n">
        <f aca="false">IF(OR(ISNUMBER(SEARCH("live nation",L340)),ISNUMBER(SEARCH("ocesa",L340))),1,0)</f>
        <v>1</v>
      </c>
      <c r="Y340" s="13" t="s">
        <v>49</v>
      </c>
    </row>
    <row r="341" customFormat="false" ht="15" hidden="false" customHeight="false" outlineLevel="0" collapsed="false">
      <c r="A341" s="30" t="n">
        <v>45833</v>
      </c>
      <c r="B341" s="11" t="n">
        <v>1</v>
      </c>
      <c r="C341" s="31" t="s">
        <v>587</v>
      </c>
      <c r="D341" s="31"/>
      <c r="E341" s="11" t="s">
        <v>658</v>
      </c>
      <c r="F341" s="11" t="s">
        <v>349</v>
      </c>
      <c r="G341" s="11"/>
      <c r="H341" s="11" t="s">
        <v>350</v>
      </c>
      <c r="I341" s="11"/>
      <c r="J341" s="11" t="s">
        <v>121</v>
      </c>
      <c r="K341" s="11" t="s">
        <v>173</v>
      </c>
      <c r="L341" s="11" t="s">
        <v>659</v>
      </c>
      <c r="M341" s="11" t="s">
        <v>100</v>
      </c>
      <c r="N341" s="32" t="n">
        <v>2324</v>
      </c>
      <c r="O341" s="33" t="n">
        <v>337322.76</v>
      </c>
      <c r="P341" s="32" t="n">
        <v>3103</v>
      </c>
      <c r="Q341" s="34" t="n">
        <v>0.74</v>
      </c>
      <c r="R341" s="33" t="n">
        <v>81.28</v>
      </c>
      <c r="S341" s="33" t="n">
        <v>209.01</v>
      </c>
      <c r="T341" s="33" t="n">
        <v>145.15</v>
      </c>
      <c r="U341" s="11" t="n">
        <f aca="false">IFERROR(YEAR(A341),"")</f>
        <v>2025</v>
      </c>
      <c r="V341" s="33" t="n">
        <f aca="false">IFERROR(O341*B341,0)</f>
        <v>337322.76</v>
      </c>
      <c r="W341" s="32" t="n">
        <f aca="false">IFERROR(N341*B341,0)</f>
        <v>2324</v>
      </c>
      <c r="X341" s="11" t="n">
        <f aca="false">IF(OR(ISNUMBER(SEARCH("live nation",L341)),ISNUMBER(SEARCH("ocesa",L341))),1,0)</f>
        <v>0</v>
      </c>
      <c r="Y341" s="11" t="s">
        <v>49</v>
      </c>
    </row>
    <row r="342" customFormat="false" ht="15" hidden="false" customHeight="false" outlineLevel="0" collapsed="false">
      <c r="A342" s="25" t="n">
        <v>45833</v>
      </c>
      <c r="B342" s="13" t="n">
        <v>1</v>
      </c>
      <c r="C342" s="26" t="s">
        <v>660</v>
      </c>
      <c r="D342" s="26"/>
      <c r="E342" s="13" t="s">
        <v>111</v>
      </c>
      <c r="F342" s="13" t="s">
        <v>112</v>
      </c>
      <c r="G342" s="13"/>
      <c r="H342" s="13" t="s">
        <v>21</v>
      </c>
      <c r="I342" s="13"/>
      <c r="J342" s="13" t="s">
        <v>97</v>
      </c>
      <c r="K342" s="13" t="s">
        <v>113</v>
      </c>
      <c r="L342" s="13" t="s">
        <v>399</v>
      </c>
      <c r="M342" s="13" t="s">
        <v>100</v>
      </c>
      <c r="N342" s="27" t="n">
        <v>20000</v>
      </c>
      <c r="O342" s="28" t="n">
        <v>2069319.23</v>
      </c>
      <c r="P342" s="27" t="n">
        <v>20000</v>
      </c>
      <c r="Q342" s="29" t="n">
        <v>1</v>
      </c>
      <c r="R342" s="28" t="n">
        <v>103.47</v>
      </c>
      <c r="S342" s="28" t="n">
        <v>103.47</v>
      </c>
      <c r="T342" s="28" t="n">
        <v>103.47</v>
      </c>
      <c r="U342" s="13" t="n">
        <f aca="false">IFERROR(YEAR(A342),"")</f>
        <v>2025</v>
      </c>
      <c r="V342" s="28" t="n">
        <f aca="false">IFERROR(O342*B342,0)</f>
        <v>2069319.23</v>
      </c>
      <c r="W342" s="27" t="n">
        <f aca="false">IFERROR(N342*B342,0)</f>
        <v>20000</v>
      </c>
      <c r="X342" s="13" t="n">
        <f aca="false">IF(OR(ISNUMBER(SEARCH("live nation",L342)),ISNUMBER(SEARCH("ocesa",L342))),1,0)</f>
        <v>0</v>
      </c>
      <c r="Y342" s="13" t="s">
        <v>50</v>
      </c>
    </row>
    <row r="343" customFormat="false" ht="15" hidden="false" customHeight="false" outlineLevel="0" collapsed="false">
      <c r="A343" s="30" t="n">
        <v>45832</v>
      </c>
      <c r="B343" s="11" t="n">
        <v>1</v>
      </c>
      <c r="C343" s="31" t="s">
        <v>661</v>
      </c>
      <c r="D343" s="31"/>
      <c r="E343" s="11" t="s">
        <v>200</v>
      </c>
      <c r="F343" s="11" t="s">
        <v>201</v>
      </c>
      <c r="G343" s="11" t="s">
        <v>202</v>
      </c>
      <c r="H343" s="11" t="s">
        <v>20</v>
      </c>
      <c r="I343" s="11" t="s">
        <v>203</v>
      </c>
      <c r="J343" s="11" t="s">
        <v>121</v>
      </c>
      <c r="K343" s="11" t="s">
        <v>107</v>
      </c>
      <c r="L343" s="11" t="s">
        <v>177</v>
      </c>
      <c r="M343" s="11" t="s">
        <v>100</v>
      </c>
      <c r="N343" s="32" t="n">
        <v>5640</v>
      </c>
      <c r="O343" s="33" t="n">
        <v>530060</v>
      </c>
      <c r="P343" s="32" t="n">
        <v>5640</v>
      </c>
      <c r="Q343" s="34" t="n">
        <v>1</v>
      </c>
      <c r="R343" s="33" t="n">
        <v>39.5</v>
      </c>
      <c r="S343" s="33" t="n">
        <v>179.5</v>
      </c>
      <c r="T343" s="33" t="n">
        <v>93.98</v>
      </c>
      <c r="U343" s="11" t="n">
        <f aca="false">IFERROR(YEAR(A343),"")</f>
        <v>2025</v>
      </c>
      <c r="V343" s="33" t="n">
        <f aca="false">IFERROR(O343*B343,0)</f>
        <v>530060</v>
      </c>
      <c r="W343" s="32" t="n">
        <f aca="false">IFERROR(N343*B343,0)</f>
        <v>5640</v>
      </c>
      <c r="X343" s="11" t="n">
        <f aca="false">IF(OR(ISNUMBER(SEARCH("live nation",L343)),ISNUMBER(SEARCH("ocesa",L343))),1,0)</f>
        <v>1</v>
      </c>
      <c r="Y343" s="11" t="s">
        <v>49</v>
      </c>
    </row>
    <row r="344" customFormat="false" ht="15" hidden="false" customHeight="false" outlineLevel="0" collapsed="false">
      <c r="A344" s="25" t="n">
        <v>45832</v>
      </c>
      <c r="B344" s="13" t="n">
        <v>1</v>
      </c>
      <c r="C344" s="26" t="s">
        <v>272</v>
      </c>
      <c r="D344" s="26" t="s">
        <v>662</v>
      </c>
      <c r="E344" s="13" t="s">
        <v>433</v>
      </c>
      <c r="F344" s="13" t="s">
        <v>139</v>
      </c>
      <c r="G344" s="13" t="s">
        <v>139</v>
      </c>
      <c r="H344" s="13" t="s">
        <v>20</v>
      </c>
      <c r="I344" s="13" t="s">
        <v>139</v>
      </c>
      <c r="J344" s="13" t="s">
        <v>121</v>
      </c>
      <c r="K344" s="13" t="s">
        <v>107</v>
      </c>
      <c r="L344" s="13" t="s">
        <v>177</v>
      </c>
      <c r="M344" s="13" t="s">
        <v>277</v>
      </c>
      <c r="N344" s="27" t="n">
        <v>4619</v>
      </c>
      <c r="O344" s="28" t="n">
        <v>334694.31</v>
      </c>
      <c r="P344" s="27" t="n">
        <v>4619</v>
      </c>
      <c r="Q344" s="29" t="n">
        <v>1</v>
      </c>
      <c r="R344" s="28" t="n">
        <v>59.5</v>
      </c>
      <c r="S344" s="28" t="n">
        <v>82.5</v>
      </c>
      <c r="T344" s="28" t="n">
        <v>72.46</v>
      </c>
      <c r="U344" s="13" t="n">
        <f aca="false">IFERROR(YEAR(A344),"")</f>
        <v>2025</v>
      </c>
      <c r="V344" s="28" t="n">
        <f aca="false">IFERROR(O344*B344,0)</f>
        <v>334694.31</v>
      </c>
      <c r="W344" s="27" t="n">
        <f aca="false">IFERROR(N344*B344,0)</f>
        <v>4619</v>
      </c>
      <c r="X344" s="13" t="n">
        <f aca="false">IF(OR(ISNUMBER(SEARCH("live nation",L344)),ISNUMBER(SEARCH("ocesa",L344))),1,0)</f>
        <v>1</v>
      </c>
      <c r="Y344" s="13" t="s">
        <v>49</v>
      </c>
    </row>
    <row r="345" customFormat="false" ht="15" hidden="false" customHeight="false" outlineLevel="0" collapsed="false">
      <c r="A345" s="30" t="n">
        <v>45832</v>
      </c>
      <c r="B345" s="11" t="n">
        <v>1</v>
      </c>
      <c r="C345" s="31" t="s">
        <v>660</v>
      </c>
      <c r="D345" s="31"/>
      <c r="E345" s="11" t="s">
        <v>111</v>
      </c>
      <c r="F345" s="11" t="s">
        <v>112</v>
      </c>
      <c r="G345" s="11"/>
      <c r="H345" s="11" t="s">
        <v>21</v>
      </c>
      <c r="I345" s="11"/>
      <c r="J345" s="11" t="s">
        <v>97</v>
      </c>
      <c r="K345" s="11" t="s">
        <v>113</v>
      </c>
      <c r="L345" s="11" t="s">
        <v>399</v>
      </c>
      <c r="M345" s="11" t="s">
        <v>100</v>
      </c>
      <c r="N345" s="32" t="n">
        <v>20000</v>
      </c>
      <c r="O345" s="33" t="n">
        <v>2063030.42</v>
      </c>
      <c r="P345" s="32" t="n">
        <v>20000</v>
      </c>
      <c r="Q345" s="34" t="n">
        <v>1</v>
      </c>
      <c r="R345" s="33" t="n">
        <v>103.15</v>
      </c>
      <c r="S345" s="33" t="n">
        <v>103.15</v>
      </c>
      <c r="T345" s="33" t="n">
        <v>103.15</v>
      </c>
      <c r="U345" s="11" t="n">
        <f aca="false">IFERROR(YEAR(A345),"")</f>
        <v>2025</v>
      </c>
      <c r="V345" s="33" t="n">
        <f aca="false">IFERROR(O345*B345,0)</f>
        <v>2063030.42</v>
      </c>
      <c r="W345" s="32" t="n">
        <f aca="false">IFERROR(N345*B345,0)</f>
        <v>20000</v>
      </c>
      <c r="X345" s="11" t="n">
        <f aca="false">IF(OR(ISNUMBER(SEARCH("live nation",L345)),ISNUMBER(SEARCH("ocesa",L345))),1,0)</f>
        <v>0</v>
      </c>
      <c r="Y345" s="11" t="s">
        <v>50</v>
      </c>
    </row>
    <row r="346" customFormat="false" ht="15" hidden="false" customHeight="false" outlineLevel="0" collapsed="false">
      <c r="A346" s="25" t="n">
        <v>45832</v>
      </c>
      <c r="B346" s="13" t="n">
        <v>1</v>
      </c>
      <c r="C346" s="26" t="s">
        <v>656</v>
      </c>
      <c r="D346" s="26"/>
      <c r="E346" s="13" t="s">
        <v>503</v>
      </c>
      <c r="F346" s="13" t="s">
        <v>231</v>
      </c>
      <c r="G346" s="13" t="s">
        <v>202</v>
      </c>
      <c r="H346" s="13" t="s">
        <v>20</v>
      </c>
      <c r="I346" s="13" t="s">
        <v>232</v>
      </c>
      <c r="J346" s="13" t="s">
        <v>121</v>
      </c>
      <c r="K346" s="13" t="s">
        <v>107</v>
      </c>
      <c r="L346" s="13" t="s">
        <v>177</v>
      </c>
      <c r="M346" s="13" t="s">
        <v>100</v>
      </c>
      <c r="N346" s="27" t="n">
        <v>2576</v>
      </c>
      <c r="O346" s="28" t="n">
        <v>228262.4</v>
      </c>
      <c r="P346" s="27" t="n">
        <v>2754</v>
      </c>
      <c r="Q346" s="29" t="n">
        <v>0.93</v>
      </c>
      <c r="R346" s="28" t="n">
        <v>55.5</v>
      </c>
      <c r="S346" s="28" t="n">
        <v>145</v>
      </c>
      <c r="T346" s="28" t="n">
        <v>88.61</v>
      </c>
      <c r="U346" s="13" t="n">
        <f aca="false">IFERROR(YEAR(A346),"")</f>
        <v>2025</v>
      </c>
      <c r="V346" s="28" t="n">
        <f aca="false">IFERROR(O346*B346,0)</f>
        <v>228262.4</v>
      </c>
      <c r="W346" s="27" t="n">
        <f aca="false">IFERROR(N346*B346,0)</f>
        <v>2576</v>
      </c>
      <c r="X346" s="13" t="n">
        <f aca="false">IF(OR(ISNUMBER(SEARCH("live nation",L346)),ISNUMBER(SEARCH("ocesa",L346))),1,0)</f>
        <v>1</v>
      </c>
      <c r="Y346" s="13" t="s">
        <v>49</v>
      </c>
    </row>
    <row r="347" customFormat="false" ht="15" hidden="false" customHeight="false" outlineLevel="0" collapsed="false">
      <c r="A347" s="30" t="n">
        <v>45831</v>
      </c>
      <c r="B347" s="11" t="n">
        <v>1</v>
      </c>
      <c r="C347" s="31" t="s">
        <v>66</v>
      </c>
      <c r="D347" s="31"/>
      <c r="E347" s="11" t="s">
        <v>663</v>
      </c>
      <c r="F347" s="11" t="s">
        <v>188</v>
      </c>
      <c r="G347" s="11" t="s">
        <v>189</v>
      </c>
      <c r="H347" s="11" t="s">
        <v>20</v>
      </c>
      <c r="I347" s="11" t="s">
        <v>190</v>
      </c>
      <c r="J347" s="11" t="s">
        <v>133</v>
      </c>
      <c r="K347" s="11" t="s">
        <v>107</v>
      </c>
      <c r="L347" s="11" t="s">
        <v>177</v>
      </c>
      <c r="M347" s="11" t="s">
        <v>100</v>
      </c>
      <c r="N347" s="32" t="n">
        <v>37095</v>
      </c>
      <c r="O347" s="33" t="n">
        <v>5633846</v>
      </c>
      <c r="P347" s="32" t="n">
        <v>37095</v>
      </c>
      <c r="Q347" s="34" t="n">
        <v>1</v>
      </c>
      <c r="R347" s="33" t="n">
        <v>59.5</v>
      </c>
      <c r="S347" s="33" t="n">
        <v>229.5</v>
      </c>
      <c r="T347" s="33" t="n">
        <v>151.88</v>
      </c>
      <c r="U347" s="11" t="n">
        <f aca="false">IFERROR(YEAR(A347),"")</f>
        <v>2025</v>
      </c>
      <c r="V347" s="33" t="n">
        <f aca="false">IFERROR(O347*B347,0)</f>
        <v>5633846</v>
      </c>
      <c r="W347" s="32" t="n">
        <f aca="false">IFERROR(N347*B347,0)</f>
        <v>37095</v>
      </c>
      <c r="X347" s="11" t="n">
        <f aca="false">IF(OR(ISNUMBER(SEARCH("live nation",L347)),ISNUMBER(SEARCH("ocesa",L347))),1,0)</f>
        <v>1</v>
      </c>
      <c r="Y347" s="11" t="s">
        <v>49</v>
      </c>
    </row>
    <row r="348" customFormat="false" ht="15" hidden="false" customHeight="false" outlineLevel="0" collapsed="false">
      <c r="A348" s="25" t="n">
        <v>45830</v>
      </c>
      <c r="B348" s="13" t="n">
        <v>1</v>
      </c>
      <c r="C348" s="26" t="s">
        <v>656</v>
      </c>
      <c r="D348" s="26"/>
      <c r="E348" s="13" t="s">
        <v>200</v>
      </c>
      <c r="F348" s="13" t="s">
        <v>201</v>
      </c>
      <c r="G348" s="13" t="s">
        <v>202</v>
      </c>
      <c r="H348" s="13" t="s">
        <v>20</v>
      </c>
      <c r="I348" s="13" t="s">
        <v>203</v>
      </c>
      <c r="J348" s="13" t="s">
        <v>121</v>
      </c>
      <c r="K348" s="13" t="s">
        <v>107</v>
      </c>
      <c r="L348" s="13" t="s">
        <v>177</v>
      </c>
      <c r="M348" s="13" t="s">
        <v>100</v>
      </c>
      <c r="N348" s="27" t="n">
        <v>3078</v>
      </c>
      <c r="O348" s="28" t="n">
        <v>311349.2</v>
      </c>
      <c r="P348" s="27" t="n">
        <v>3078</v>
      </c>
      <c r="Q348" s="29" t="n">
        <v>1</v>
      </c>
      <c r="R348" s="28" t="n">
        <v>55.5</v>
      </c>
      <c r="S348" s="28" t="n">
        <v>145</v>
      </c>
      <c r="T348" s="28" t="n">
        <v>101.15</v>
      </c>
      <c r="U348" s="13" t="n">
        <f aca="false">IFERROR(YEAR(A348),"")</f>
        <v>2025</v>
      </c>
      <c r="V348" s="28" t="n">
        <f aca="false">IFERROR(O348*B348,0)</f>
        <v>311349.2</v>
      </c>
      <c r="W348" s="27" t="n">
        <f aca="false">IFERROR(N348*B348,0)</f>
        <v>3078</v>
      </c>
      <c r="X348" s="13" t="n">
        <f aca="false">IF(OR(ISNUMBER(SEARCH("live nation",L348)),ISNUMBER(SEARCH("ocesa",L348))),1,0)</f>
        <v>1</v>
      </c>
      <c r="Y348" s="13" t="s">
        <v>49</v>
      </c>
    </row>
    <row r="349" customFormat="false" ht="15" hidden="false" customHeight="false" outlineLevel="0" collapsed="false">
      <c r="A349" s="30" t="n">
        <v>45829</v>
      </c>
      <c r="B349" s="11" t="n">
        <v>1</v>
      </c>
      <c r="C349" s="31" t="s">
        <v>587</v>
      </c>
      <c r="D349" s="31"/>
      <c r="E349" s="11" t="s">
        <v>664</v>
      </c>
      <c r="F349" s="11" t="s">
        <v>665</v>
      </c>
      <c r="G349" s="11"/>
      <c r="H349" s="11" t="s">
        <v>350</v>
      </c>
      <c r="I349" s="11"/>
      <c r="J349" s="11" t="s">
        <v>121</v>
      </c>
      <c r="K349" s="11" t="s">
        <v>173</v>
      </c>
      <c r="L349" s="11" t="s">
        <v>666</v>
      </c>
      <c r="M349" s="11" t="s">
        <v>100</v>
      </c>
      <c r="N349" s="32" t="n">
        <v>4743</v>
      </c>
      <c r="O349" s="33" t="n">
        <v>567131.91</v>
      </c>
      <c r="P349" s="32" t="n">
        <v>4752</v>
      </c>
      <c r="Q349" s="34" t="n">
        <v>0.99</v>
      </c>
      <c r="R349" s="33" t="n">
        <v>80.67</v>
      </c>
      <c r="S349" s="33" t="n">
        <v>207.44</v>
      </c>
      <c r="T349" s="33" t="n">
        <v>119.57</v>
      </c>
      <c r="U349" s="11" t="n">
        <f aca="false">IFERROR(YEAR(A349),"")</f>
        <v>2025</v>
      </c>
      <c r="V349" s="33" t="n">
        <f aca="false">IFERROR(O349*B349,0)</f>
        <v>567131.91</v>
      </c>
      <c r="W349" s="32" t="n">
        <f aca="false">IFERROR(N349*B349,0)</f>
        <v>4743</v>
      </c>
      <c r="X349" s="11" t="n">
        <f aca="false">IF(OR(ISNUMBER(SEARCH("live nation",L349)),ISNUMBER(SEARCH("ocesa",L349))),1,0)</f>
        <v>0</v>
      </c>
      <c r="Y349" s="11" t="s">
        <v>49</v>
      </c>
    </row>
    <row r="350" customFormat="false" ht="15" hidden="false" customHeight="false" outlineLevel="0" collapsed="false">
      <c r="A350" s="25" t="n">
        <v>45829</v>
      </c>
      <c r="B350" s="13" t="n">
        <v>1</v>
      </c>
      <c r="C350" s="26" t="s">
        <v>64</v>
      </c>
      <c r="D350" s="26"/>
      <c r="E350" s="13" t="s">
        <v>298</v>
      </c>
      <c r="F350" s="13" t="s">
        <v>299</v>
      </c>
      <c r="G350" s="13"/>
      <c r="H350" s="13" t="s">
        <v>56</v>
      </c>
      <c r="I350" s="13"/>
      <c r="J350" s="13" t="s">
        <v>133</v>
      </c>
      <c r="K350" s="13" t="s">
        <v>300</v>
      </c>
      <c r="L350" s="13" t="s">
        <v>145</v>
      </c>
      <c r="M350" s="13" t="s">
        <v>100</v>
      </c>
      <c r="N350" s="27" t="n">
        <v>29881</v>
      </c>
      <c r="O350" s="28" t="n">
        <v>5086948.31</v>
      </c>
      <c r="P350" s="27" t="n">
        <v>30417</v>
      </c>
      <c r="Q350" s="29" t="n">
        <v>0.98</v>
      </c>
      <c r="R350" s="28" t="n">
        <v>85.58</v>
      </c>
      <c r="S350" s="28" t="n">
        <v>268.96</v>
      </c>
      <c r="T350" s="28" t="n">
        <v>170.24</v>
      </c>
      <c r="U350" s="13" t="n">
        <f aca="false">IFERROR(YEAR(A350),"")</f>
        <v>2025</v>
      </c>
      <c r="V350" s="28" t="n">
        <f aca="false">IFERROR(O350*B350,0)</f>
        <v>5086948.31</v>
      </c>
      <c r="W350" s="27" t="n">
        <f aca="false">IFERROR(N350*B350,0)</f>
        <v>29881</v>
      </c>
      <c r="X350" s="13" t="n">
        <f aca="false">IF(OR(ISNUMBER(SEARCH("live nation",L350)),ISNUMBER(SEARCH("ocesa",L350))),1,0)</f>
        <v>0</v>
      </c>
      <c r="Y350" s="13" t="s">
        <v>50</v>
      </c>
    </row>
    <row r="351" customFormat="false" ht="15" hidden="false" customHeight="false" outlineLevel="0" collapsed="false">
      <c r="A351" s="30" t="n">
        <v>45829</v>
      </c>
      <c r="B351" s="11" t="n">
        <v>1</v>
      </c>
      <c r="C351" s="31" t="s">
        <v>574</v>
      </c>
      <c r="D351" s="31"/>
      <c r="E351" s="11" t="s">
        <v>560</v>
      </c>
      <c r="F351" s="11" t="s">
        <v>561</v>
      </c>
      <c r="G351" s="11"/>
      <c r="H351" s="11" t="s">
        <v>449</v>
      </c>
      <c r="I351" s="11"/>
      <c r="J351" s="11" t="s">
        <v>97</v>
      </c>
      <c r="K351" s="11" t="s">
        <v>173</v>
      </c>
      <c r="L351" s="11" t="s">
        <v>667</v>
      </c>
      <c r="M351" s="11" t="s">
        <v>100</v>
      </c>
      <c r="N351" s="32" t="n">
        <v>10562</v>
      </c>
      <c r="O351" s="33" t="n">
        <v>912912.86</v>
      </c>
      <c r="P351" s="32" t="n">
        <v>10588</v>
      </c>
      <c r="Q351" s="34" t="n">
        <v>0.99</v>
      </c>
      <c r="R351" s="33" t="n">
        <v>86.43</v>
      </c>
      <c r="S351" s="33" t="n">
        <v>165.57</v>
      </c>
      <c r="T351" s="33" t="n">
        <v>86.43</v>
      </c>
      <c r="U351" s="11" t="n">
        <f aca="false">IFERROR(YEAR(A351),"")</f>
        <v>2025</v>
      </c>
      <c r="V351" s="33" t="n">
        <f aca="false">IFERROR(O351*B351,0)</f>
        <v>912912.86</v>
      </c>
      <c r="W351" s="32" t="n">
        <f aca="false">IFERROR(N351*B351,0)</f>
        <v>10562</v>
      </c>
      <c r="X351" s="11" t="n">
        <f aca="false">IF(OR(ISNUMBER(SEARCH("live nation",L351)),ISNUMBER(SEARCH("ocesa",L351))),1,0)</f>
        <v>0</v>
      </c>
      <c r="Y351" s="11" t="s">
        <v>49</v>
      </c>
    </row>
    <row r="352" customFormat="false" ht="15" hidden="false" customHeight="false" outlineLevel="0" collapsed="false">
      <c r="A352" s="25" t="n">
        <v>45828</v>
      </c>
      <c r="B352" s="13" t="n">
        <v>1</v>
      </c>
      <c r="C352" s="26" t="s">
        <v>472</v>
      </c>
      <c r="D352" s="26"/>
      <c r="E352" s="13" t="s">
        <v>668</v>
      </c>
      <c r="F352" s="13" t="s">
        <v>377</v>
      </c>
      <c r="G352" s="13"/>
      <c r="H352" s="13" t="s">
        <v>378</v>
      </c>
      <c r="I352" s="13"/>
      <c r="J352" s="13" t="s">
        <v>97</v>
      </c>
      <c r="K352" s="13" t="s">
        <v>379</v>
      </c>
      <c r="L352" s="13" t="s">
        <v>145</v>
      </c>
      <c r="M352" s="13" t="s">
        <v>100</v>
      </c>
      <c r="N352" s="27" t="n">
        <v>5589</v>
      </c>
      <c r="O352" s="28" t="n">
        <v>1015912.2</v>
      </c>
      <c r="P352" s="27" t="n">
        <v>5589</v>
      </c>
      <c r="Q352" s="29" t="n">
        <v>1</v>
      </c>
      <c r="R352" s="28" t="n">
        <v>98.22</v>
      </c>
      <c r="S352" s="28" t="n">
        <v>210</v>
      </c>
      <c r="T352" s="28" t="n">
        <v>181.77</v>
      </c>
      <c r="U352" s="13" t="n">
        <f aca="false">IFERROR(YEAR(A352),"")</f>
        <v>2025</v>
      </c>
      <c r="V352" s="28" t="n">
        <f aca="false">IFERROR(O352*B352,0)</f>
        <v>1015912.2</v>
      </c>
      <c r="W352" s="27" t="n">
        <f aca="false">IFERROR(N352*B352,0)</f>
        <v>5589</v>
      </c>
      <c r="X352" s="13" t="n">
        <f aca="false">IF(OR(ISNUMBER(SEARCH("live nation",L352)),ISNUMBER(SEARCH("ocesa",L352))),1,0)</f>
        <v>0</v>
      </c>
      <c r="Y352" s="13" t="s">
        <v>50</v>
      </c>
    </row>
    <row r="353" customFormat="false" ht="15" hidden="false" customHeight="false" outlineLevel="0" collapsed="false">
      <c r="A353" s="30" t="n">
        <v>45826</v>
      </c>
      <c r="B353" s="11" t="n">
        <v>2</v>
      </c>
      <c r="C353" s="31" t="s">
        <v>66</v>
      </c>
      <c r="D353" s="31"/>
      <c r="E353" s="11" t="s">
        <v>669</v>
      </c>
      <c r="F353" s="11" t="s">
        <v>139</v>
      </c>
      <c r="G353" s="11" t="s">
        <v>139</v>
      </c>
      <c r="H353" s="11" t="s">
        <v>20</v>
      </c>
      <c r="I353" s="11" t="s">
        <v>139</v>
      </c>
      <c r="J353" s="11" t="s">
        <v>133</v>
      </c>
      <c r="K353" s="11" t="s">
        <v>107</v>
      </c>
      <c r="L353" s="11" t="s">
        <v>177</v>
      </c>
      <c r="M353" s="11" t="s">
        <v>100</v>
      </c>
      <c r="N353" s="32" t="n">
        <v>31502</v>
      </c>
      <c r="O353" s="33" t="n">
        <v>5163913.5</v>
      </c>
      <c r="P353" s="32" t="n">
        <v>31503</v>
      </c>
      <c r="Q353" s="34" t="n">
        <v>0.99</v>
      </c>
      <c r="R353" s="33" t="n">
        <v>59.5</v>
      </c>
      <c r="S353" s="33" t="n">
        <v>229.5</v>
      </c>
      <c r="T353" s="33" t="n">
        <v>163.92</v>
      </c>
      <c r="U353" s="11" t="n">
        <f aca="false">IFERROR(YEAR(A353),"")</f>
        <v>2025</v>
      </c>
      <c r="V353" s="33" t="n">
        <f aca="false">IFERROR(O353*B353,0)</f>
        <v>10327827</v>
      </c>
      <c r="W353" s="32" t="n">
        <f aca="false">IFERROR(N353*B353,0)</f>
        <v>63004</v>
      </c>
      <c r="X353" s="11" t="n">
        <f aca="false">IF(OR(ISNUMBER(SEARCH("live nation",L353)),ISNUMBER(SEARCH("ocesa",L353))),1,0)</f>
        <v>1</v>
      </c>
      <c r="Y353" s="11" t="s">
        <v>49</v>
      </c>
    </row>
    <row r="354" customFormat="false" ht="15" hidden="false" customHeight="false" outlineLevel="0" collapsed="false">
      <c r="A354" s="25" t="n">
        <v>45825</v>
      </c>
      <c r="B354" s="13" t="n">
        <v>1</v>
      </c>
      <c r="C354" s="26" t="s">
        <v>574</v>
      </c>
      <c r="D354" s="26"/>
      <c r="E354" s="13" t="s">
        <v>553</v>
      </c>
      <c r="F354" s="13" t="s">
        <v>349</v>
      </c>
      <c r="G354" s="13"/>
      <c r="H354" s="13" t="s">
        <v>350</v>
      </c>
      <c r="I354" s="13"/>
      <c r="J354" s="13" t="s">
        <v>97</v>
      </c>
      <c r="K354" s="13" t="s">
        <v>173</v>
      </c>
      <c r="L354" s="13" t="s">
        <v>443</v>
      </c>
      <c r="M354" s="13" t="s">
        <v>100</v>
      </c>
      <c r="N354" s="27" t="n">
        <v>10681</v>
      </c>
      <c r="O354" s="28" t="n">
        <v>1108004.03</v>
      </c>
      <c r="P354" s="27" t="n">
        <v>16400</v>
      </c>
      <c r="Q354" s="29" t="n">
        <v>0.65</v>
      </c>
      <c r="R354" s="28" t="n">
        <v>75.16</v>
      </c>
      <c r="S354" s="28" t="n">
        <v>154.85</v>
      </c>
      <c r="T354" s="28" t="n">
        <v>103.74</v>
      </c>
      <c r="U354" s="13" t="n">
        <f aca="false">IFERROR(YEAR(A354),"")</f>
        <v>2025</v>
      </c>
      <c r="V354" s="28" t="n">
        <f aca="false">IFERROR(O354*B354,0)</f>
        <v>1108004.03</v>
      </c>
      <c r="W354" s="27" t="n">
        <f aca="false">IFERROR(N354*B354,0)</f>
        <v>10681</v>
      </c>
      <c r="X354" s="13" t="n">
        <f aca="false">IF(OR(ISNUMBER(SEARCH("live nation",L354)),ISNUMBER(SEARCH("ocesa",L354))),1,0)</f>
        <v>0</v>
      </c>
      <c r="Y354" s="13" t="s">
        <v>49</v>
      </c>
    </row>
    <row r="355" customFormat="false" ht="15" hidden="false" customHeight="false" outlineLevel="0" collapsed="false">
      <c r="A355" s="30" t="n">
        <v>45825</v>
      </c>
      <c r="B355" s="11" t="n">
        <v>1</v>
      </c>
      <c r="C355" s="31" t="s">
        <v>272</v>
      </c>
      <c r="D355" s="31" t="s">
        <v>634</v>
      </c>
      <c r="E355" s="11" t="s">
        <v>670</v>
      </c>
      <c r="F355" s="11" t="s">
        <v>166</v>
      </c>
      <c r="G355" s="11" t="s">
        <v>167</v>
      </c>
      <c r="H355" s="11" t="s">
        <v>20</v>
      </c>
      <c r="I355" s="11" t="s">
        <v>168</v>
      </c>
      <c r="J355" s="11" t="s">
        <v>97</v>
      </c>
      <c r="K355" s="11" t="s">
        <v>107</v>
      </c>
      <c r="L355" s="11" t="s">
        <v>671</v>
      </c>
      <c r="M355" s="11" t="s">
        <v>277</v>
      </c>
      <c r="N355" s="32" t="n">
        <v>5921</v>
      </c>
      <c r="O355" s="33" t="n">
        <v>314314.8</v>
      </c>
      <c r="P355" s="32" t="n">
        <v>5921</v>
      </c>
      <c r="Q355" s="34" t="n">
        <v>1</v>
      </c>
      <c r="R355" s="33" t="n">
        <v>34.75</v>
      </c>
      <c r="S355" s="33" t="n">
        <v>94.75</v>
      </c>
      <c r="T355" s="33" t="n">
        <v>53.08</v>
      </c>
      <c r="U355" s="11" t="n">
        <f aca="false">IFERROR(YEAR(A355),"")</f>
        <v>2025</v>
      </c>
      <c r="V355" s="33" t="n">
        <f aca="false">IFERROR(O355*B355,0)</f>
        <v>314314.8</v>
      </c>
      <c r="W355" s="32" t="n">
        <f aca="false">IFERROR(N355*B355,0)</f>
        <v>5921</v>
      </c>
      <c r="X355" s="11" t="n">
        <f aca="false">IF(OR(ISNUMBER(SEARCH("live nation",L355)),ISNUMBER(SEARCH("ocesa",L355))),1,0)</f>
        <v>0</v>
      </c>
      <c r="Y355" s="11" t="s">
        <v>49</v>
      </c>
    </row>
    <row r="356" customFormat="false" ht="15" hidden="false" customHeight="false" outlineLevel="0" collapsed="false">
      <c r="A356" s="25" t="n">
        <v>45823</v>
      </c>
      <c r="B356" s="13" t="n">
        <v>1</v>
      </c>
      <c r="C356" s="26" t="s">
        <v>472</v>
      </c>
      <c r="D356" s="26"/>
      <c r="E356" s="13" t="s">
        <v>672</v>
      </c>
      <c r="F356" s="13" t="s">
        <v>673</v>
      </c>
      <c r="G356" s="13"/>
      <c r="H356" s="13" t="s">
        <v>674</v>
      </c>
      <c r="I356" s="13"/>
      <c r="J356" s="13" t="s">
        <v>97</v>
      </c>
      <c r="K356" s="13" t="s">
        <v>675</v>
      </c>
      <c r="L356" s="13" t="s">
        <v>145</v>
      </c>
      <c r="M356" s="13" t="s">
        <v>100</v>
      </c>
      <c r="N356" s="27" t="n">
        <v>1518</v>
      </c>
      <c r="O356" s="28" t="n">
        <v>246656.88</v>
      </c>
      <c r="P356" s="27" t="n">
        <v>2502</v>
      </c>
      <c r="Q356" s="29" t="n">
        <v>0.6</v>
      </c>
      <c r="R356" s="28" t="n">
        <v>92.04</v>
      </c>
      <c r="S356" s="28" t="n">
        <v>184.08</v>
      </c>
      <c r="T356" s="28" t="n">
        <v>162.49</v>
      </c>
      <c r="U356" s="13" t="n">
        <f aca="false">IFERROR(YEAR(A356),"")</f>
        <v>2025</v>
      </c>
      <c r="V356" s="28" t="n">
        <f aca="false">IFERROR(O356*B356,0)</f>
        <v>246656.88</v>
      </c>
      <c r="W356" s="27" t="n">
        <f aca="false">IFERROR(N356*B356,0)</f>
        <v>1518</v>
      </c>
      <c r="X356" s="13" t="n">
        <f aca="false">IF(OR(ISNUMBER(SEARCH("live nation",L356)),ISNUMBER(SEARCH("ocesa",L356))),1,0)</f>
        <v>0</v>
      </c>
      <c r="Y356" s="13" t="s">
        <v>50</v>
      </c>
    </row>
    <row r="357" customFormat="false" ht="15" hidden="false" customHeight="false" outlineLevel="0" collapsed="false">
      <c r="A357" s="30" t="n">
        <v>45822</v>
      </c>
      <c r="B357" s="11" t="n">
        <v>1</v>
      </c>
      <c r="C357" s="31" t="s">
        <v>574</v>
      </c>
      <c r="D357" s="31"/>
      <c r="E357" s="11" t="s">
        <v>676</v>
      </c>
      <c r="F357" s="11" t="s">
        <v>677</v>
      </c>
      <c r="G357" s="11"/>
      <c r="H357" s="11" t="s">
        <v>678</v>
      </c>
      <c r="I357" s="11"/>
      <c r="J357" s="11" t="s">
        <v>97</v>
      </c>
      <c r="K357" s="11" t="s">
        <v>679</v>
      </c>
      <c r="L357" s="11" t="s">
        <v>680</v>
      </c>
      <c r="M357" s="11" t="s">
        <v>100</v>
      </c>
      <c r="N357" s="32" t="n">
        <v>7860</v>
      </c>
      <c r="O357" s="33" t="n">
        <v>692500.29</v>
      </c>
      <c r="P357" s="32" t="n">
        <v>9819</v>
      </c>
      <c r="Q357" s="34" t="n">
        <v>0.8</v>
      </c>
      <c r="R357" s="33" t="n">
        <v>88.1</v>
      </c>
      <c r="S357" s="33" t="n">
        <v>88.1</v>
      </c>
      <c r="T357" s="33" t="n">
        <v>88.1</v>
      </c>
      <c r="U357" s="11" t="n">
        <f aca="false">IFERROR(YEAR(A357),"")</f>
        <v>2025</v>
      </c>
      <c r="V357" s="33" t="n">
        <f aca="false">IFERROR(O357*B357,0)</f>
        <v>692500.29</v>
      </c>
      <c r="W357" s="32" t="n">
        <f aca="false">IFERROR(N357*B357,0)</f>
        <v>7860</v>
      </c>
      <c r="X357" s="11" t="n">
        <f aca="false">IF(OR(ISNUMBER(SEARCH("live nation",L357)),ISNUMBER(SEARCH("ocesa",L357))),1,0)</f>
        <v>0</v>
      </c>
      <c r="Y357" s="11" t="s">
        <v>49</v>
      </c>
    </row>
    <row r="358" customFormat="false" ht="15" hidden="false" customHeight="false" outlineLevel="0" collapsed="false">
      <c r="A358" s="25" t="n">
        <v>45822</v>
      </c>
      <c r="B358" s="13" t="n">
        <v>1</v>
      </c>
      <c r="C358" s="26" t="s">
        <v>66</v>
      </c>
      <c r="D358" s="26"/>
      <c r="E358" s="13" t="s">
        <v>681</v>
      </c>
      <c r="F358" s="13" t="s">
        <v>682</v>
      </c>
      <c r="G358" s="13" t="s">
        <v>167</v>
      </c>
      <c r="H358" s="13" t="s">
        <v>20</v>
      </c>
      <c r="I358" s="13" t="s">
        <v>683</v>
      </c>
      <c r="J358" s="13" t="s">
        <v>133</v>
      </c>
      <c r="K358" s="13" t="s">
        <v>107</v>
      </c>
      <c r="L358" s="13" t="s">
        <v>177</v>
      </c>
      <c r="M358" s="13" t="s">
        <v>100</v>
      </c>
      <c r="N358" s="27" t="n">
        <v>46766</v>
      </c>
      <c r="O358" s="28" t="n">
        <v>6999229</v>
      </c>
      <c r="P358" s="27" t="n">
        <v>46766</v>
      </c>
      <c r="Q358" s="29" t="n">
        <v>1</v>
      </c>
      <c r="R358" s="28" t="n">
        <v>59.5</v>
      </c>
      <c r="S358" s="28" t="n">
        <v>229.5</v>
      </c>
      <c r="T358" s="28" t="n">
        <v>149.66</v>
      </c>
      <c r="U358" s="13" t="n">
        <f aca="false">IFERROR(YEAR(A358),"")</f>
        <v>2025</v>
      </c>
      <c r="V358" s="28" t="n">
        <f aca="false">IFERROR(O358*B358,0)</f>
        <v>6999229</v>
      </c>
      <c r="W358" s="27" t="n">
        <f aca="false">IFERROR(N358*B358,0)</f>
        <v>46766</v>
      </c>
      <c r="X358" s="13" t="n">
        <f aca="false">IF(OR(ISNUMBER(SEARCH("live nation",L358)),ISNUMBER(SEARCH("ocesa",L358))),1,0)</f>
        <v>1</v>
      </c>
      <c r="Y358" s="13" t="s">
        <v>49</v>
      </c>
    </row>
    <row r="359" customFormat="false" ht="15" hidden="false" customHeight="false" outlineLevel="0" collapsed="false">
      <c r="A359" s="30" t="n">
        <v>45821</v>
      </c>
      <c r="B359" s="11" t="n">
        <v>2</v>
      </c>
      <c r="C359" s="31" t="s">
        <v>65</v>
      </c>
      <c r="D359" s="31"/>
      <c r="E359" s="11" t="s">
        <v>204</v>
      </c>
      <c r="F359" s="11" t="s">
        <v>205</v>
      </c>
      <c r="G359" s="11"/>
      <c r="H359" s="11" t="s">
        <v>24</v>
      </c>
      <c r="I359" s="11"/>
      <c r="J359" s="11" t="s">
        <v>133</v>
      </c>
      <c r="K359" s="11" t="s">
        <v>148</v>
      </c>
      <c r="L359" s="11" t="s">
        <v>145</v>
      </c>
      <c r="M359" s="11" t="s">
        <v>270</v>
      </c>
      <c r="N359" s="32" t="n">
        <v>26224</v>
      </c>
      <c r="O359" s="33" t="n">
        <v>3037250</v>
      </c>
      <c r="P359" s="32" t="n">
        <v>26240</v>
      </c>
      <c r="Q359" s="34" t="n">
        <v>0.99</v>
      </c>
      <c r="R359" s="33" t="n">
        <v>112.45</v>
      </c>
      <c r="S359" s="33" t="n">
        <v>160.64</v>
      </c>
      <c r="T359" s="33" t="n">
        <v>115.82</v>
      </c>
      <c r="U359" s="11" t="n">
        <f aca="false">IFERROR(YEAR(A359),"")</f>
        <v>2025</v>
      </c>
      <c r="V359" s="33" t="n">
        <f aca="false">IFERROR(O359*B359,0)</f>
        <v>6074500</v>
      </c>
      <c r="W359" s="32" t="n">
        <f aca="false">IFERROR(N359*B359,0)</f>
        <v>52448</v>
      </c>
      <c r="X359" s="11" t="n">
        <f aca="false">IF(OR(ISNUMBER(SEARCH("live nation",L359)),ISNUMBER(SEARCH("ocesa",L359))),1,0)</f>
        <v>0</v>
      </c>
      <c r="Y359" s="11" t="s">
        <v>50</v>
      </c>
    </row>
    <row r="360" customFormat="false" ht="15" hidden="false" customHeight="false" outlineLevel="0" collapsed="false">
      <c r="A360" s="25" t="n">
        <v>45820</v>
      </c>
      <c r="B360" s="13" t="n">
        <v>1</v>
      </c>
      <c r="C360" s="26" t="s">
        <v>656</v>
      </c>
      <c r="D360" s="26"/>
      <c r="E360" s="13" t="s">
        <v>227</v>
      </c>
      <c r="F360" s="13" t="s">
        <v>228</v>
      </c>
      <c r="G360" s="13" t="s">
        <v>229</v>
      </c>
      <c r="H360" s="13" t="s">
        <v>20</v>
      </c>
      <c r="I360" s="13" t="s">
        <v>190</v>
      </c>
      <c r="J360" s="13" t="s">
        <v>121</v>
      </c>
      <c r="K360" s="13" t="s">
        <v>107</v>
      </c>
      <c r="L360" s="13" t="s">
        <v>177</v>
      </c>
      <c r="M360" s="13" t="s">
        <v>100</v>
      </c>
      <c r="N360" s="27" t="n">
        <v>2205</v>
      </c>
      <c r="O360" s="28" t="n">
        <v>201916</v>
      </c>
      <c r="P360" s="27" t="n">
        <v>2900</v>
      </c>
      <c r="Q360" s="29" t="n">
        <v>0.76</v>
      </c>
      <c r="R360" s="28" t="n">
        <v>55</v>
      </c>
      <c r="S360" s="28" t="n">
        <v>145</v>
      </c>
      <c r="T360" s="28" t="n">
        <v>91.57</v>
      </c>
      <c r="U360" s="13" t="n">
        <f aca="false">IFERROR(YEAR(A360),"")</f>
        <v>2025</v>
      </c>
      <c r="V360" s="28" t="n">
        <f aca="false">IFERROR(O360*B360,0)</f>
        <v>201916</v>
      </c>
      <c r="W360" s="27" t="n">
        <f aca="false">IFERROR(N360*B360,0)</f>
        <v>2205</v>
      </c>
      <c r="X360" s="13" t="n">
        <f aca="false">IF(OR(ISNUMBER(SEARCH("live nation",L360)),ISNUMBER(SEARCH("ocesa",L360))),1,0)</f>
        <v>1</v>
      </c>
      <c r="Y360" s="13" t="s">
        <v>49</v>
      </c>
    </row>
    <row r="361" customFormat="false" ht="15" hidden="false" customHeight="false" outlineLevel="0" collapsed="false">
      <c r="A361" s="30" t="n">
        <v>45819</v>
      </c>
      <c r="B361" s="11" t="n">
        <v>1</v>
      </c>
      <c r="C361" s="31" t="s">
        <v>587</v>
      </c>
      <c r="D361" s="31"/>
      <c r="E361" s="11" t="s">
        <v>684</v>
      </c>
      <c r="F361" s="11" t="s">
        <v>339</v>
      </c>
      <c r="G361" s="11"/>
      <c r="H361" s="11" t="s">
        <v>477</v>
      </c>
      <c r="I361" s="11"/>
      <c r="J361" s="11" t="s">
        <v>121</v>
      </c>
      <c r="K361" s="11" t="s">
        <v>173</v>
      </c>
      <c r="L361" s="11" t="s">
        <v>685</v>
      </c>
      <c r="M361" s="11" t="s">
        <v>100</v>
      </c>
      <c r="N361" s="32" t="n">
        <v>1846</v>
      </c>
      <c r="O361" s="33" t="n">
        <v>223408.52</v>
      </c>
      <c r="P361" s="32" t="n">
        <v>1846</v>
      </c>
      <c r="Q361" s="34" t="n">
        <v>1</v>
      </c>
      <c r="R361" s="33" t="n">
        <v>79.92</v>
      </c>
      <c r="S361" s="33" t="n">
        <v>205.5</v>
      </c>
      <c r="T361" s="33" t="n">
        <v>121.02</v>
      </c>
      <c r="U361" s="11" t="n">
        <f aca="false">IFERROR(YEAR(A361),"")</f>
        <v>2025</v>
      </c>
      <c r="V361" s="33" t="n">
        <f aca="false">IFERROR(O361*B361,0)</f>
        <v>223408.52</v>
      </c>
      <c r="W361" s="32" t="n">
        <f aca="false">IFERROR(N361*B361,0)</f>
        <v>1846</v>
      </c>
      <c r="X361" s="11" t="n">
        <f aca="false">IF(OR(ISNUMBER(SEARCH("live nation",L361)),ISNUMBER(SEARCH("ocesa",L361))),1,0)</f>
        <v>0</v>
      </c>
      <c r="Y361" s="11" t="s">
        <v>49</v>
      </c>
    </row>
    <row r="362" customFormat="false" ht="15" hidden="false" customHeight="false" outlineLevel="0" collapsed="false">
      <c r="A362" s="25" t="n">
        <v>45818</v>
      </c>
      <c r="B362" s="13" t="n">
        <v>1</v>
      </c>
      <c r="C362" s="26" t="s">
        <v>574</v>
      </c>
      <c r="D362" s="26"/>
      <c r="E362" s="13" t="s">
        <v>686</v>
      </c>
      <c r="F362" s="13" t="s">
        <v>687</v>
      </c>
      <c r="G362" s="13"/>
      <c r="H362" s="13" t="s">
        <v>558</v>
      </c>
      <c r="I362" s="13"/>
      <c r="J362" s="13" t="s">
        <v>97</v>
      </c>
      <c r="K362" s="13" t="s">
        <v>173</v>
      </c>
      <c r="L362" s="13" t="s">
        <v>443</v>
      </c>
      <c r="M362" s="13" t="s">
        <v>100</v>
      </c>
      <c r="N362" s="27" t="n">
        <v>4039</v>
      </c>
      <c r="O362" s="28" t="n">
        <v>467689.49</v>
      </c>
      <c r="P362" s="27" t="n">
        <v>16106</v>
      </c>
      <c r="Q362" s="29" t="n">
        <v>0.25</v>
      </c>
      <c r="R362" s="28" t="n">
        <v>74.12</v>
      </c>
      <c r="S362" s="28" t="n">
        <v>182.46</v>
      </c>
      <c r="T362" s="28" t="n">
        <v>115.79</v>
      </c>
      <c r="U362" s="13" t="n">
        <f aca="false">IFERROR(YEAR(A362),"")</f>
        <v>2025</v>
      </c>
      <c r="V362" s="28" t="n">
        <f aca="false">IFERROR(O362*B362,0)</f>
        <v>467689.49</v>
      </c>
      <c r="W362" s="27" t="n">
        <f aca="false">IFERROR(N362*B362,0)</f>
        <v>4039</v>
      </c>
      <c r="X362" s="13" t="n">
        <f aca="false">IF(OR(ISNUMBER(SEARCH("live nation",L362)),ISNUMBER(SEARCH("ocesa",L362))),1,0)</f>
        <v>0</v>
      </c>
      <c r="Y362" s="13" t="s">
        <v>49</v>
      </c>
    </row>
    <row r="363" customFormat="false" ht="15" hidden="false" customHeight="false" outlineLevel="0" collapsed="false">
      <c r="A363" s="30" t="n">
        <v>45818</v>
      </c>
      <c r="B363" s="11" t="n">
        <v>1</v>
      </c>
      <c r="C363" s="31" t="s">
        <v>66</v>
      </c>
      <c r="D363" s="31"/>
      <c r="E363" s="11" t="s">
        <v>688</v>
      </c>
      <c r="F363" s="11" t="s">
        <v>346</v>
      </c>
      <c r="G363" s="11" t="s">
        <v>347</v>
      </c>
      <c r="H363" s="11" t="s">
        <v>20</v>
      </c>
      <c r="I363" s="11" t="s">
        <v>346</v>
      </c>
      <c r="J363" s="11" t="s">
        <v>133</v>
      </c>
      <c r="K363" s="11" t="s">
        <v>107</v>
      </c>
      <c r="L363" s="11" t="s">
        <v>177</v>
      </c>
      <c r="M363" s="11" t="s">
        <v>100</v>
      </c>
      <c r="N363" s="32" t="n">
        <v>36732</v>
      </c>
      <c r="O363" s="33" t="n">
        <v>5584148</v>
      </c>
      <c r="P363" s="32" t="n">
        <v>36732</v>
      </c>
      <c r="Q363" s="34" t="n">
        <v>1</v>
      </c>
      <c r="R363" s="33" t="n">
        <v>59.5</v>
      </c>
      <c r="S363" s="33" t="n">
        <v>229.5</v>
      </c>
      <c r="T363" s="33" t="n">
        <v>152.02</v>
      </c>
      <c r="U363" s="11" t="n">
        <f aca="false">IFERROR(YEAR(A363),"")</f>
        <v>2025</v>
      </c>
      <c r="V363" s="33" t="n">
        <f aca="false">IFERROR(O363*B363,0)</f>
        <v>5584148</v>
      </c>
      <c r="W363" s="32" t="n">
        <f aca="false">IFERROR(N363*B363,0)</f>
        <v>36732</v>
      </c>
      <c r="X363" s="11" t="n">
        <f aca="false">IF(OR(ISNUMBER(SEARCH("live nation",L363)),ISNUMBER(SEARCH("ocesa",L363))),1,0)</f>
        <v>1</v>
      </c>
      <c r="Y363" s="11" t="s">
        <v>49</v>
      </c>
    </row>
    <row r="364" customFormat="false" ht="15" hidden="false" customHeight="false" outlineLevel="0" collapsed="false">
      <c r="A364" s="25" t="n">
        <v>45818</v>
      </c>
      <c r="B364" s="13" t="n">
        <v>1</v>
      </c>
      <c r="C364" s="26" t="s">
        <v>656</v>
      </c>
      <c r="D364" s="26"/>
      <c r="E364" s="13" t="s">
        <v>689</v>
      </c>
      <c r="F364" s="13" t="s">
        <v>139</v>
      </c>
      <c r="G364" s="13" t="s">
        <v>139</v>
      </c>
      <c r="H364" s="13" t="s">
        <v>20</v>
      </c>
      <c r="I364" s="13" t="s">
        <v>139</v>
      </c>
      <c r="J364" s="13" t="s">
        <v>121</v>
      </c>
      <c r="K364" s="13" t="s">
        <v>107</v>
      </c>
      <c r="L364" s="13" t="s">
        <v>177</v>
      </c>
      <c r="M364" s="13" t="s">
        <v>100</v>
      </c>
      <c r="N364" s="27" t="n">
        <v>4219</v>
      </c>
      <c r="O364" s="28" t="n">
        <v>296840.83</v>
      </c>
      <c r="P364" s="27" t="n">
        <v>5903</v>
      </c>
      <c r="Q364" s="29" t="n">
        <v>0.71</v>
      </c>
      <c r="R364" s="28" t="n">
        <v>55.5</v>
      </c>
      <c r="S364" s="28" t="n">
        <v>145</v>
      </c>
      <c r="T364" s="28" t="n">
        <v>70.36</v>
      </c>
      <c r="U364" s="13" t="n">
        <f aca="false">IFERROR(YEAR(A364),"")</f>
        <v>2025</v>
      </c>
      <c r="V364" s="28" t="n">
        <f aca="false">IFERROR(O364*B364,0)</f>
        <v>296840.83</v>
      </c>
      <c r="W364" s="27" t="n">
        <f aca="false">IFERROR(N364*B364,0)</f>
        <v>4219</v>
      </c>
      <c r="X364" s="13" t="n">
        <f aca="false">IF(OR(ISNUMBER(SEARCH("live nation",L364)),ISNUMBER(SEARCH("ocesa",L364))),1,0)</f>
        <v>1</v>
      </c>
      <c r="Y364" s="13" t="s">
        <v>49</v>
      </c>
    </row>
    <row r="365" customFormat="false" ht="15" hidden="false" customHeight="false" outlineLevel="0" collapsed="false">
      <c r="A365" s="30" t="n">
        <v>45817</v>
      </c>
      <c r="B365" s="11" t="n">
        <v>1</v>
      </c>
      <c r="C365" s="31" t="s">
        <v>690</v>
      </c>
      <c r="D365" s="31"/>
      <c r="E365" s="11" t="s">
        <v>312</v>
      </c>
      <c r="F365" s="11" t="s">
        <v>313</v>
      </c>
      <c r="G365" s="11"/>
      <c r="H365" s="11" t="s">
        <v>27</v>
      </c>
      <c r="I365" s="11"/>
      <c r="J365" s="11" t="s">
        <v>97</v>
      </c>
      <c r="K365" s="11" t="s">
        <v>314</v>
      </c>
      <c r="L365" s="11" t="s">
        <v>177</v>
      </c>
      <c r="M365" s="11" t="s">
        <v>100</v>
      </c>
      <c r="N365" s="32" t="n">
        <v>6165</v>
      </c>
      <c r="O365" s="33" t="n">
        <v>705816</v>
      </c>
      <c r="P365" s="32" t="n">
        <v>9064</v>
      </c>
      <c r="Q365" s="34" t="n">
        <v>0.68</v>
      </c>
      <c r="R365" s="33" t="n">
        <v>81.31</v>
      </c>
      <c r="S365" s="33" t="n">
        <v>210.05</v>
      </c>
      <c r="T365" s="33" t="n">
        <v>114.49</v>
      </c>
      <c r="U365" s="11" t="n">
        <f aca="false">IFERROR(YEAR(A365),"")</f>
        <v>2025</v>
      </c>
      <c r="V365" s="33" t="n">
        <f aca="false">IFERROR(O365*B365,0)</f>
        <v>705816</v>
      </c>
      <c r="W365" s="32" t="n">
        <f aca="false">IFERROR(N365*B365,0)</f>
        <v>6165</v>
      </c>
      <c r="X365" s="11" t="n">
        <f aca="false">IF(OR(ISNUMBER(SEARCH("live nation",L365)),ISNUMBER(SEARCH("ocesa",L365))),1,0)</f>
        <v>1</v>
      </c>
      <c r="Y365" s="11" t="s">
        <v>49</v>
      </c>
    </row>
    <row r="366" customFormat="false" ht="15" hidden="false" customHeight="false" outlineLevel="0" collapsed="false">
      <c r="A366" s="25" t="n">
        <v>45817</v>
      </c>
      <c r="B366" s="13" t="n">
        <v>1</v>
      </c>
      <c r="C366" s="26" t="s">
        <v>587</v>
      </c>
      <c r="D366" s="26"/>
      <c r="E366" s="13" t="s">
        <v>691</v>
      </c>
      <c r="F366" s="13" t="s">
        <v>692</v>
      </c>
      <c r="G366" s="13"/>
      <c r="H366" s="13" t="s">
        <v>693</v>
      </c>
      <c r="I366" s="13"/>
      <c r="J366" s="13" t="s">
        <v>121</v>
      </c>
      <c r="K366" s="13" t="s">
        <v>694</v>
      </c>
      <c r="L366" s="13" t="s">
        <v>695</v>
      </c>
      <c r="M366" s="13" t="s">
        <v>100</v>
      </c>
      <c r="N366" s="27" t="n">
        <v>1997</v>
      </c>
      <c r="O366" s="28" t="n">
        <v>300522.5</v>
      </c>
      <c r="P366" s="27" t="n">
        <v>2604</v>
      </c>
      <c r="Q366" s="29" t="n">
        <v>0.76</v>
      </c>
      <c r="R366" s="28" t="n">
        <v>79.15</v>
      </c>
      <c r="S366" s="28" t="n">
        <v>231.35</v>
      </c>
      <c r="T366" s="28" t="n">
        <v>150.49</v>
      </c>
      <c r="U366" s="13" t="n">
        <f aca="false">IFERROR(YEAR(A366),"")</f>
        <v>2025</v>
      </c>
      <c r="V366" s="28" t="n">
        <f aca="false">IFERROR(O366*B366,0)</f>
        <v>300522.5</v>
      </c>
      <c r="W366" s="27" t="n">
        <f aca="false">IFERROR(N366*B366,0)</f>
        <v>1997</v>
      </c>
      <c r="X366" s="13" t="n">
        <f aca="false">IF(OR(ISNUMBER(SEARCH("live nation",L366)),ISNUMBER(SEARCH("ocesa",L366))),1,0)</f>
        <v>0</v>
      </c>
      <c r="Y366" s="13" t="s">
        <v>49</v>
      </c>
    </row>
    <row r="367" customFormat="false" ht="15" hidden="false" customHeight="false" outlineLevel="0" collapsed="false">
      <c r="A367" s="30" t="n">
        <v>45816</v>
      </c>
      <c r="B367" s="11" t="n">
        <v>1</v>
      </c>
      <c r="C367" s="31" t="s">
        <v>690</v>
      </c>
      <c r="D367" s="31"/>
      <c r="E367" s="11" t="s">
        <v>312</v>
      </c>
      <c r="F367" s="11" t="s">
        <v>313</v>
      </c>
      <c r="G367" s="11"/>
      <c r="H367" s="11" t="s">
        <v>27</v>
      </c>
      <c r="I367" s="11"/>
      <c r="J367" s="11" t="s">
        <v>97</v>
      </c>
      <c r="K367" s="11" t="s">
        <v>314</v>
      </c>
      <c r="L367" s="11" t="s">
        <v>177</v>
      </c>
      <c r="M367" s="11" t="s">
        <v>100</v>
      </c>
      <c r="N367" s="32" t="n">
        <v>9966</v>
      </c>
      <c r="O367" s="33" t="n">
        <v>1218899.22</v>
      </c>
      <c r="P367" s="32" t="n">
        <v>10390</v>
      </c>
      <c r="Q367" s="34" t="n">
        <v>0.95</v>
      </c>
      <c r="R367" s="33" t="n">
        <v>81.17</v>
      </c>
      <c r="S367" s="33" t="n">
        <v>209.68</v>
      </c>
      <c r="T367" s="33" t="n">
        <v>122.31</v>
      </c>
      <c r="U367" s="11" t="n">
        <f aca="false">IFERROR(YEAR(A367),"")</f>
        <v>2025</v>
      </c>
      <c r="V367" s="33" t="n">
        <f aca="false">IFERROR(O367*B367,0)</f>
        <v>1218899.22</v>
      </c>
      <c r="W367" s="32" t="n">
        <f aca="false">IFERROR(N367*B367,0)</f>
        <v>9966</v>
      </c>
      <c r="X367" s="11" t="n">
        <f aca="false">IF(OR(ISNUMBER(SEARCH("live nation",L367)),ISNUMBER(SEARCH("ocesa",L367))),1,0)</f>
        <v>1</v>
      </c>
      <c r="Y367" s="11" t="s">
        <v>49</v>
      </c>
    </row>
    <row r="368" customFormat="false" ht="15" hidden="false" customHeight="false" outlineLevel="0" collapsed="false">
      <c r="A368" s="25" t="n">
        <v>45815</v>
      </c>
      <c r="B368" s="13" t="n">
        <v>1</v>
      </c>
      <c r="C368" s="26" t="s">
        <v>656</v>
      </c>
      <c r="D368" s="26"/>
      <c r="E368" s="13" t="s">
        <v>482</v>
      </c>
      <c r="F368" s="13" t="s">
        <v>223</v>
      </c>
      <c r="G368" s="13" t="s">
        <v>224</v>
      </c>
      <c r="H368" s="13" t="s">
        <v>20</v>
      </c>
      <c r="I368" s="13" t="s">
        <v>225</v>
      </c>
      <c r="J368" s="13" t="s">
        <v>106</v>
      </c>
      <c r="K368" s="13" t="s">
        <v>107</v>
      </c>
      <c r="L368" s="13" t="s">
        <v>483</v>
      </c>
      <c r="M368" s="13" t="s">
        <v>100</v>
      </c>
      <c r="N368" s="27" t="n">
        <v>1930</v>
      </c>
      <c r="O368" s="28" t="n">
        <v>165380.5</v>
      </c>
      <c r="P368" s="27" t="n">
        <v>2541</v>
      </c>
      <c r="Q368" s="29" t="n">
        <v>0.75</v>
      </c>
      <c r="R368" s="28" t="n">
        <v>21</v>
      </c>
      <c r="S368" s="28" t="n">
        <v>141</v>
      </c>
      <c r="T368" s="28" t="n">
        <v>85.69</v>
      </c>
      <c r="U368" s="13" t="n">
        <f aca="false">IFERROR(YEAR(A368),"")</f>
        <v>2025</v>
      </c>
      <c r="V368" s="28" t="n">
        <f aca="false">IFERROR(O368*B368,0)</f>
        <v>165380.5</v>
      </c>
      <c r="W368" s="27" t="n">
        <f aca="false">IFERROR(N368*B368,0)</f>
        <v>1930</v>
      </c>
      <c r="X368" s="13" t="n">
        <f aca="false">IF(OR(ISNUMBER(SEARCH("live nation",L368)),ISNUMBER(SEARCH("ocesa",L368))),1,0)</f>
        <v>1</v>
      </c>
      <c r="Y368" s="13" t="s">
        <v>49</v>
      </c>
    </row>
    <row r="369" customFormat="false" ht="15" hidden="false" customHeight="false" outlineLevel="0" collapsed="false">
      <c r="A369" s="30" t="n">
        <v>45815</v>
      </c>
      <c r="B369" s="11" t="n">
        <v>2</v>
      </c>
      <c r="C369" s="31" t="s">
        <v>472</v>
      </c>
      <c r="D369" s="31"/>
      <c r="E369" s="11" t="s">
        <v>696</v>
      </c>
      <c r="F369" s="11" t="s">
        <v>147</v>
      </c>
      <c r="G369" s="11"/>
      <c r="H369" s="11" t="s">
        <v>24</v>
      </c>
      <c r="I369" s="11"/>
      <c r="J369" s="11" t="s">
        <v>133</v>
      </c>
      <c r="K369" s="11" t="s">
        <v>148</v>
      </c>
      <c r="L369" s="11" t="s">
        <v>145</v>
      </c>
      <c r="M369" s="11" t="s">
        <v>100</v>
      </c>
      <c r="N369" s="32" t="n">
        <v>7461</v>
      </c>
      <c r="O369" s="33" t="n">
        <v>755708.8</v>
      </c>
      <c r="P369" s="32" t="n">
        <v>7462</v>
      </c>
      <c r="Q369" s="34" t="n">
        <v>0.99</v>
      </c>
      <c r="R369" s="33" t="n">
        <v>113.22</v>
      </c>
      <c r="S369" s="33" t="n">
        <v>145.57</v>
      </c>
      <c r="T369" s="33" t="n">
        <v>101.28</v>
      </c>
      <c r="U369" s="11" t="n">
        <f aca="false">IFERROR(YEAR(A369),"")</f>
        <v>2025</v>
      </c>
      <c r="V369" s="33" t="n">
        <f aca="false">IFERROR(O369*B369,0)</f>
        <v>1511417.6</v>
      </c>
      <c r="W369" s="32" t="n">
        <f aca="false">IFERROR(N369*B369,0)</f>
        <v>14922</v>
      </c>
      <c r="X369" s="11" t="n">
        <f aca="false">IF(OR(ISNUMBER(SEARCH("live nation",L369)),ISNUMBER(SEARCH("ocesa",L369))),1,0)</f>
        <v>0</v>
      </c>
      <c r="Y369" s="11" t="s">
        <v>50</v>
      </c>
    </row>
    <row r="370" customFormat="false" ht="15" hidden="false" customHeight="false" outlineLevel="0" collapsed="false">
      <c r="A370" s="25" t="n">
        <v>45814</v>
      </c>
      <c r="B370" s="13" t="n">
        <v>2</v>
      </c>
      <c r="C370" s="26" t="s">
        <v>66</v>
      </c>
      <c r="D370" s="26"/>
      <c r="E370" s="13" t="s">
        <v>697</v>
      </c>
      <c r="F370" s="13" t="s">
        <v>698</v>
      </c>
      <c r="G370" s="13" t="s">
        <v>143</v>
      </c>
      <c r="H370" s="13" t="s">
        <v>20</v>
      </c>
      <c r="I370" s="13" t="s">
        <v>375</v>
      </c>
      <c r="J370" s="13" t="s">
        <v>133</v>
      </c>
      <c r="K370" s="13" t="s">
        <v>107</v>
      </c>
      <c r="L370" s="13" t="s">
        <v>177</v>
      </c>
      <c r="M370" s="13" t="s">
        <v>100</v>
      </c>
      <c r="N370" s="27" t="n">
        <v>34126</v>
      </c>
      <c r="O370" s="28" t="n">
        <v>5156185</v>
      </c>
      <c r="P370" s="27" t="n">
        <v>34127</v>
      </c>
      <c r="Q370" s="29" t="n">
        <v>0.99</v>
      </c>
      <c r="R370" s="28" t="n">
        <v>59.5</v>
      </c>
      <c r="S370" s="28" t="n">
        <v>229.5</v>
      </c>
      <c r="T370" s="28" t="n">
        <v>151.09</v>
      </c>
      <c r="U370" s="13" t="n">
        <f aca="false">IFERROR(YEAR(A370),"")</f>
        <v>2025</v>
      </c>
      <c r="V370" s="28" t="n">
        <f aca="false">IFERROR(O370*B370,0)</f>
        <v>10312370</v>
      </c>
      <c r="W370" s="27" t="n">
        <f aca="false">IFERROR(N370*B370,0)</f>
        <v>68252</v>
      </c>
      <c r="X370" s="13" t="n">
        <f aca="false">IF(OR(ISNUMBER(SEARCH("live nation",L370)),ISNUMBER(SEARCH("ocesa",L370))),1,0)</f>
        <v>1</v>
      </c>
      <c r="Y370" s="13" t="s">
        <v>49</v>
      </c>
    </row>
    <row r="371" customFormat="false" ht="15" hidden="false" customHeight="false" outlineLevel="0" collapsed="false">
      <c r="A371" s="30" t="n">
        <v>45809</v>
      </c>
      <c r="B371" s="11" t="n">
        <v>1</v>
      </c>
      <c r="C371" s="31" t="s">
        <v>699</v>
      </c>
      <c r="D371" s="31" t="s">
        <v>700</v>
      </c>
      <c r="E371" s="11" t="s">
        <v>111</v>
      </c>
      <c r="F371" s="11" t="s">
        <v>112</v>
      </c>
      <c r="G371" s="11"/>
      <c r="H371" s="11" t="s">
        <v>21</v>
      </c>
      <c r="I371" s="11"/>
      <c r="J371" s="11" t="s">
        <v>97</v>
      </c>
      <c r="K371" s="11" t="s">
        <v>113</v>
      </c>
      <c r="L371" s="11" t="s">
        <v>321</v>
      </c>
      <c r="M371" s="11" t="s">
        <v>100</v>
      </c>
      <c r="N371" s="32" t="n">
        <v>18000</v>
      </c>
      <c r="O371" s="33" t="n">
        <v>1599550.15</v>
      </c>
      <c r="P371" s="32" t="n">
        <v>18000</v>
      </c>
      <c r="Q371" s="34" t="n">
        <v>1</v>
      </c>
      <c r="R371" s="33" t="n">
        <v>88.86</v>
      </c>
      <c r="S371" s="33" t="n">
        <v>88.86</v>
      </c>
      <c r="T371" s="33" t="n">
        <v>88.86</v>
      </c>
      <c r="U371" s="11" t="n">
        <f aca="false">IFERROR(YEAR(A371),"")</f>
        <v>2025</v>
      </c>
      <c r="V371" s="33" t="n">
        <f aca="false">IFERROR(O371*B371,0)</f>
        <v>1599550.15</v>
      </c>
      <c r="W371" s="32" t="n">
        <f aca="false">IFERROR(N371*B371,0)</f>
        <v>18000</v>
      </c>
      <c r="X371" s="11" t="n">
        <f aca="false">IF(OR(ISNUMBER(SEARCH("live nation",L371)),ISNUMBER(SEARCH("ocesa",L371))),1,0)</f>
        <v>0</v>
      </c>
      <c r="Y371" s="11" t="s">
        <v>50</v>
      </c>
    </row>
    <row r="372" customFormat="false" ht="15" hidden="false" customHeight="false" outlineLevel="0" collapsed="false">
      <c r="A372" s="25" t="n">
        <v>45808</v>
      </c>
      <c r="B372" s="13" t="n">
        <v>2</v>
      </c>
      <c r="C372" s="26" t="s">
        <v>66</v>
      </c>
      <c r="D372" s="26"/>
      <c r="E372" s="13" t="s">
        <v>701</v>
      </c>
      <c r="F372" s="13" t="s">
        <v>201</v>
      </c>
      <c r="G372" s="13" t="s">
        <v>202</v>
      </c>
      <c r="H372" s="13" t="s">
        <v>20</v>
      </c>
      <c r="I372" s="13" t="s">
        <v>203</v>
      </c>
      <c r="J372" s="13" t="s">
        <v>133</v>
      </c>
      <c r="K372" s="13" t="s">
        <v>107</v>
      </c>
      <c r="L372" s="13" t="s">
        <v>177</v>
      </c>
      <c r="M372" s="13" t="s">
        <v>100</v>
      </c>
      <c r="N372" s="27" t="n">
        <v>39694</v>
      </c>
      <c r="O372" s="28" t="n">
        <v>6180341</v>
      </c>
      <c r="P372" s="27" t="n">
        <v>39695</v>
      </c>
      <c r="Q372" s="29" t="n">
        <v>0.99</v>
      </c>
      <c r="R372" s="28" t="n">
        <v>59.5</v>
      </c>
      <c r="S372" s="28" t="n">
        <v>229.5</v>
      </c>
      <c r="T372" s="28" t="n">
        <v>155.7</v>
      </c>
      <c r="U372" s="13" t="n">
        <f aca="false">IFERROR(YEAR(A372),"")</f>
        <v>2025</v>
      </c>
      <c r="V372" s="28" t="n">
        <f aca="false">IFERROR(O372*B372,0)</f>
        <v>12360682</v>
      </c>
      <c r="W372" s="27" t="n">
        <f aca="false">IFERROR(N372*B372,0)</f>
        <v>79388</v>
      </c>
      <c r="X372" s="13" t="n">
        <f aca="false">IF(OR(ISNUMBER(SEARCH("live nation",L372)),ISNUMBER(SEARCH("ocesa",L372))),1,0)</f>
        <v>1</v>
      </c>
      <c r="Y372" s="13" t="s">
        <v>49</v>
      </c>
    </row>
    <row r="373" customFormat="false" ht="15" hidden="false" customHeight="false" outlineLevel="0" collapsed="false">
      <c r="A373" s="30" t="n">
        <v>45808</v>
      </c>
      <c r="B373" s="11" t="n">
        <v>2</v>
      </c>
      <c r="C373" s="31" t="s">
        <v>65</v>
      </c>
      <c r="D373" s="31"/>
      <c r="E373" s="11" t="s">
        <v>369</v>
      </c>
      <c r="F373" s="11" t="s">
        <v>370</v>
      </c>
      <c r="G373" s="11"/>
      <c r="H373" s="11" t="s">
        <v>21</v>
      </c>
      <c r="I373" s="11"/>
      <c r="J373" s="11" t="s">
        <v>133</v>
      </c>
      <c r="K373" s="11" t="s">
        <v>113</v>
      </c>
      <c r="L373" s="11" t="s">
        <v>145</v>
      </c>
      <c r="M373" s="11" t="s">
        <v>270</v>
      </c>
      <c r="N373" s="32" t="n">
        <v>35076</v>
      </c>
      <c r="O373" s="33" t="n">
        <v>4533494.24</v>
      </c>
      <c r="P373" s="32" t="n">
        <v>37103</v>
      </c>
      <c r="Q373" s="34" t="n">
        <v>0.94</v>
      </c>
      <c r="R373" s="33" t="n">
        <v>127.05</v>
      </c>
      <c r="S373" s="33" t="n">
        <v>276.31</v>
      </c>
      <c r="T373" s="33" t="n">
        <v>129.25</v>
      </c>
      <c r="U373" s="11" t="n">
        <f aca="false">IFERROR(YEAR(A373),"")</f>
        <v>2025</v>
      </c>
      <c r="V373" s="33" t="n">
        <f aca="false">IFERROR(O373*B373,0)</f>
        <v>9066988.48</v>
      </c>
      <c r="W373" s="32" t="n">
        <f aca="false">IFERROR(N373*B373,0)</f>
        <v>70152</v>
      </c>
      <c r="X373" s="11" t="n">
        <f aca="false">IF(OR(ISNUMBER(SEARCH("live nation",L373)),ISNUMBER(SEARCH("ocesa",L373))),1,0)</f>
        <v>0</v>
      </c>
      <c r="Y373" s="11" t="s">
        <v>50</v>
      </c>
    </row>
    <row r="374" customFormat="false" ht="15" hidden="false" customHeight="false" outlineLevel="0" collapsed="false">
      <c r="A374" s="25" t="n">
        <v>45808</v>
      </c>
      <c r="B374" s="13" t="n">
        <v>1</v>
      </c>
      <c r="C374" s="26" t="s">
        <v>699</v>
      </c>
      <c r="D374" s="26" t="s">
        <v>702</v>
      </c>
      <c r="E374" s="13" t="s">
        <v>111</v>
      </c>
      <c r="F374" s="13" t="s">
        <v>112</v>
      </c>
      <c r="G374" s="13"/>
      <c r="H374" s="13" t="s">
        <v>21</v>
      </c>
      <c r="I374" s="13"/>
      <c r="J374" s="13" t="s">
        <v>97</v>
      </c>
      <c r="K374" s="13" t="s">
        <v>113</v>
      </c>
      <c r="L374" s="13" t="s">
        <v>321</v>
      </c>
      <c r="M374" s="13" t="s">
        <v>100</v>
      </c>
      <c r="N374" s="27" t="n">
        <v>18000</v>
      </c>
      <c r="O374" s="28" t="n">
        <v>1599550.15</v>
      </c>
      <c r="P374" s="27" t="n">
        <v>18000</v>
      </c>
      <c r="Q374" s="29" t="n">
        <v>1</v>
      </c>
      <c r="R374" s="28" t="n">
        <v>88.86</v>
      </c>
      <c r="S374" s="28" t="n">
        <v>88.86</v>
      </c>
      <c r="T374" s="28" t="n">
        <v>88.86</v>
      </c>
      <c r="U374" s="13" t="n">
        <f aca="false">IFERROR(YEAR(A374),"")</f>
        <v>2025</v>
      </c>
      <c r="V374" s="28" t="n">
        <f aca="false">IFERROR(O374*B374,0)</f>
        <v>1599550.15</v>
      </c>
      <c r="W374" s="27" t="n">
        <f aca="false">IFERROR(N374*B374,0)</f>
        <v>18000</v>
      </c>
      <c r="X374" s="13" t="n">
        <f aca="false">IF(OR(ISNUMBER(SEARCH("live nation",L374)),ISNUMBER(SEARCH("ocesa",L374))),1,0)</f>
        <v>0</v>
      </c>
      <c r="Y374" s="13" t="s">
        <v>50</v>
      </c>
    </row>
    <row r="375" customFormat="false" ht="15" hidden="false" customHeight="false" outlineLevel="0" collapsed="false">
      <c r="A375" s="30" t="n">
        <v>45807</v>
      </c>
      <c r="B375" s="11" t="n">
        <v>1</v>
      </c>
      <c r="C375" s="31" t="s">
        <v>272</v>
      </c>
      <c r="D375" s="31"/>
      <c r="E375" s="11" t="s">
        <v>567</v>
      </c>
      <c r="F375" s="11" t="s">
        <v>313</v>
      </c>
      <c r="G375" s="11"/>
      <c r="H375" s="11" t="s">
        <v>27</v>
      </c>
      <c r="I375" s="11"/>
      <c r="J375" s="11" t="s">
        <v>97</v>
      </c>
      <c r="K375" s="11" t="s">
        <v>314</v>
      </c>
      <c r="L375" s="11" t="s">
        <v>703</v>
      </c>
      <c r="M375" s="11" t="s">
        <v>277</v>
      </c>
      <c r="N375" s="32" t="n">
        <v>13472</v>
      </c>
      <c r="O375" s="33" t="n">
        <v>1055244.83</v>
      </c>
      <c r="P375" s="32" t="n">
        <v>14122</v>
      </c>
      <c r="Q375" s="34" t="n">
        <v>0.95</v>
      </c>
      <c r="R375" s="33" t="n">
        <v>60.62</v>
      </c>
      <c r="S375" s="33" t="n">
        <v>323.31</v>
      </c>
      <c r="T375" s="33" t="n">
        <v>78.33</v>
      </c>
      <c r="U375" s="11" t="n">
        <f aca="false">IFERROR(YEAR(A375),"")</f>
        <v>2025</v>
      </c>
      <c r="V375" s="33" t="n">
        <f aca="false">IFERROR(O375*B375,0)</f>
        <v>1055244.83</v>
      </c>
      <c r="W375" s="32" t="n">
        <f aca="false">IFERROR(N375*B375,0)</f>
        <v>13472</v>
      </c>
      <c r="X375" s="11" t="n">
        <f aca="false">IF(OR(ISNUMBER(SEARCH("live nation",L375)),ISNUMBER(SEARCH("ocesa",L375))),1,0)</f>
        <v>0</v>
      </c>
      <c r="Y375" s="11" t="s">
        <v>49</v>
      </c>
    </row>
    <row r="376" customFormat="false" ht="15" hidden="false" customHeight="false" outlineLevel="0" collapsed="false">
      <c r="A376" s="25" t="n">
        <v>45806</v>
      </c>
      <c r="B376" s="13" t="n">
        <v>1</v>
      </c>
      <c r="C376" s="26" t="s">
        <v>704</v>
      </c>
      <c r="D376" s="26" t="s">
        <v>705</v>
      </c>
      <c r="E376" s="13" t="s">
        <v>111</v>
      </c>
      <c r="F376" s="13" t="s">
        <v>112</v>
      </c>
      <c r="G376" s="13"/>
      <c r="H376" s="13" t="s">
        <v>21</v>
      </c>
      <c r="I376" s="13"/>
      <c r="J376" s="13" t="s">
        <v>97</v>
      </c>
      <c r="K376" s="13" t="s">
        <v>113</v>
      </c>
      <c r="L376" s="13" t="s">
        <v>321</v>
      </c>
      <c r="M376" s="13" t="s">
        <v>100</v>
      </c>
      <c r="N376" s="27" t="n">
        <v>10000</v>
      </c>
      <c r="O376" s="28" t="n">
        <v>1433990.23</v>
      </c>
      <c r="P376" s="27" t="n">
        <v>10000</v>
      </c>
      <c r="Q376" s="29" t="n">
        <v>1</v>
      </c>
      <c r="R376" s="28" t="n">
        <v>143.4</v>
      </c>
      <c r="S376" s="28" t="n">
        <v>143.4</v>
      </c>
      <c r="T376" s="28" t="n">
        <v>143.4</v>
      </c>
      <c r="U376" s="13" t="n">
        <f aca="false">IFERROR(YEAR(A376),"")</f>
        <v>2025</v>
      </c>
      <c r="V376" s="28" t="n">
        <f aca="false">IFERROR(O376*B376,0)</f>
        <v>1433990.23</v>
      </c>
      <c r="W376" s="27" t="n">
        <f aca="false">IFERROR(N376*B376,0)</f>
        <v>10000</v>
      </c>
      <c r="X376" s="13" t="n">
        <f aca="false">IF(OR(ISNUMBER(SEARCH("live nation",L376)),ISNUMBER(SEARCH("ocesa",L376))),1,0)</f>
        <v>0</v>
      </c>
      <c r="Y376" s="13" t="s">
        <v>50</v>
      </c>
    </row>
    <row r="377" customFormat="false" ht="15" hidden="false" customHeight="false" outlineLevel="0" collapsed="false">
      <c r="A377" s="30" t="n">
        <v>45805</v>
      </c>
      <c r="B377" s="11" t="n">
        <v>1</v>
      </c>
      <c r="C377" s="31" t="s">
        <v>66</v>
      </c>
      <c r="D377" s="31"/>
      <c r="E377" s="11" t="s">
        <v>706</v>
      </c>
      <c r="F377" s="11" t="s">
        <v>535</v>
      </c>
      <c r="G377" s="11" t="s">
        <v>202</v>
      </c>
      <c r="H377" s="11" t="s">
        <v>20</v>
      </c>
      <c r="I377" s="11" t="s">
        <v>232</v>
      </c>
      <c r="J377" s="11" t="s">
        <v>133</v>
      </c>
      <c r="K377" s="11" t="s">
        <v>107</v>
      </c>
      <c r="L377" s="11" t="s">
        <v>177</v>
      </c>
      <c r="M377" s="11" t="s">
        <v>100</v>
      </c>
      <c r="N377" s="32" t="n">
        <v>33403</v>
      </c>
      <c r="O377" s="33" t="n">
        <v>5760542</v>
      </c>
      <c r="P377" s="32" t="n">
        <v>33403</v>
      </c>
      <c r="Q377" s="34" t="n">
        <v>1</v>
      </c>
      <c r="R377" s="33" t="n">
        <v>59.5</v>
      </c>
      <c r="S377" s="33" t="n">
        <v>229.5</v>
      </c>
      <c r="T377" s="33" t="n">
        <v>172.46</v>
      </c>
      <c r="U377" s="11" t="n">
        <f aca="false">IFERROR(YEAR(A377),"")</f>
        <v>2025</v>
      </c>
      <c r="V377" s="33" t="n">
        <f aca="false">IFERROR(O377*B377,0)</f>
        <v>5760542</v>
      </c>
      <c r="W377" s="32" t="n">
        <f aca="false">IFERROR(N377*B377,0)</f>
        <v>33403</v>
      </c>
      <c r="X377" s="11" t="n">
        <f aca="false">IF(OR(ISNUMBER(SEARCH("live nation",L377)),ISNUMBER(SEARCH("ocesa",L377))),1,0)</f>
        <v>1</v>
      </c>
      <c r="Y377" s="11" t="s">
        <v>49</v>
      </c>
    </row>
    <row r="378" customFormat="false" ht="15" hidden="false" customHeight="false" outlineLevel="0" collapsed="false">
      <c r="A378" s="25" t="n">
        <v>45805</v>
      </c>
      <c r="B378" s="13" t="n">
        <v>1</v>
      </c>
      <c r="C378" s="26" t="s">
        <v>704</v>
      </c>
      <c r="D378" s="26" t="s">
        <v>707</v>
      </c>
      <c r="E378" s="13" t="s">
        <v>111</v>
      </c>
      <c r="F378" s="13" t="s">
        <v>112</v>
      </c>
      <c r="G378" s="13"/>
      <c r="H378" s="13" t="s">
        <v>21</v>
      </c>
      <c r="I378" s="13"/>
      <c r="J378" s="13" t="s">
        <v>97</v>
      </c>
      <c r="K378" s="13" t="s">
        <v>113</v>
      </c>
      <c r="L378" s="13" t="s">
        <v>321</v>
      </c>
      <c r="M378" s="13" t="s">
        <v>100</v>
      </c>
      <c r="N378" s="27" t="n">
        <v>17000</v>
      </c>
      <c r="O378" s="28" t="n">
        <v>2461170.67</v>
      </c>
      <c r="P378" s="27" t="n">
        <v>17000</v>
      </c>
      <c r="Q378" s="29" t="n">
        <v>1</v>
      </c>
      <c r="R378" s="28" t="n">
        <v>144.77</v>
      </c>
      <c r="S378" s="28" t="n">
        <v>144.77</v>
      </c>
      <c r="T378" s="28" t="n">
        <v>144.77</v>
      </c>
      <c r="U378" s="13" t="n">
        <f aca="false">IFERROR(YEAR(A378),"")</f>
        <v>2025</v>
      </c>
      <c r="V378" s="28" t="n">
        <f aca="false">IFERROR(O378*B378,0)</f>
        <v>2461170.67</v>
      </c>
      <c r="W378" s="27" t="n">
        <f aca="false">IFERROR(N378*B378,0)</f>
        <v>17000</v>
      </c>
      <c r="X378" s="13" t="n">
        <f aca="false">IF(OR(ISNUMBER(SEARCH("live nation",L378)),ISNUMBER(SEARCH("ocesa",L378))),1,0)</f>
        <v>0</v>
      </c>
      <c r="Y378" s="13" t="s">
        <v>50</v>
      </c>
    </row>
    <row r="379" customFormat="false" ht="15" hidden="false" customHeight="false" outlineLevel="0" collapsed="false">
      <c r="A379" s="30" t="n">
        <v>45804</v>
      </c>
      <c r="B379" s="11" t="n">
        <v>2</v>
      </c>
      <c r="C379" s="31" t="s">
        <v>472</v>
      </c>
      <c r="D379" s="31"/>
      <c r="E379" s="11" t="s">
        <v>708</v>
      </c>
      <c r="F379" s="11" t="s">
        <v>408</v>
      </c>
      <c r="G379" s="11"/>
      <c r="H379" s="11" t="s">
        <v>21</v>
      </c>
      <c r="I379" s="11"/>
      <c r="J379" s="11" t="s">
        <v>97</v>
      </c>
      <c r="K379" s="11" t="s">
        <v>113</v>
      </c>
      <c r="L379" s="11" t="s">
        <v>145</v>
      </c>
      <c r="M379" s="11" t="s">
        <v>100</v>
      </c>
      <c r="N379" s="32" t="n">
        <v>4805</v>
      </c>
      <c r="O379" s="33" t="n">
        <v>593069</v>
      </c>
      <c r="P379" s="32" t="n">
        <v>14646</v>
      </c>
      <c r="Q379" s="34" t="n">
        <v>0.32</v>
      </c>
      <c r="R379" s="33" t="n">
        <v>101.79</v>
      </c>
      <c r="S379" s="33" t="n">
        <v>189.55</v>
      </c>
      <c r="T379" s="33" t="n">
        <v>123.41</v>
      </c>
      <c r="U379" s="11" t="n">
        <f aca="false">IFERROR(YEAR(A379),"")</f>
        <v>2025</v>
      </c>
      <c r="V379" s="33" t="n">
        <f aca="false">IFERROR(O379*B379,0)</f>
        <v>1186138</v>
      </c>
      <c r="W379" s="32" t="n">
        <f aca="false">IFERROR(N379*B379,0)</f>
        <v>9610</v>
      </c>
      <c r="X379" s="11" t="n">
        <f aca="false">IF(OR(ISNUMBER(SEARCH("live nation",L379)),ISNUMBER(SEARCH("ocesa",L379))),1,0)</f>
        <v>0</v>
      </c>
      <c r="Y379" s="11" t="s">
        <v>50</v>
      </c>
    </row>
    <row r="380" customFormat="false" ht="15" hidden="false" customHeight="false" outlineLevel="0" collapsed="false">
      <c r="A380" s="25" t="n">
        <v>45803</v>
      </c>
      <c r="B380" s="13" t="n">
        <v>1</v>
      </c>
      <c r="C380" s="26" t="s">
        <v>709</v>
      </c>
      <c r="D380" s="26"/>
      <c r="E380" s="13" t="s">
        <v>710</v>
      </c>
      <c r="F380" s="13" t="s">
        <v>185</v>
      </c>
      <c r="G380" s="13"/>
      <c r="H380" s="13" t="s">
        <v>21</v>
      </c>
      <c r="I380" s="13"/>
      <c r="J380" s="13" t="s">
        <v>97</v>
      </c>
      <c r="K380" s="13" t="s">
        <v>113</v>
      </c>
      <c r="L380" s="13" t="s">
        <v>250</v>
      </c>
      <c r="M380" s="13" t="s">
        <v>100</v>
      </c>
      <c r="N380" s="27" t="n">
        <v>14000</v>
      </c>
      <c r="O380" s="28" t="n">
        <v>540493.95</v>
      </c>
      <c r="P380" s="27" t="n">
        <v>14000</v>
      </c>
      <c r="Q380" s="29" t="n">
        <v>1</v>
      </c>
      <c r="R380" s="28" t="n">
        <v>38.61</v>
      </c>
      <c r="S380" s="28" t="n">
        <v>38.61</v>
      </c>
      <c r="T380" s="28" t="n">
        <v>38.61</v>
      </c>
      <c r="U380" s="13" t="n">
        <f aca="false">IFERROR(YEAR(A380),"")</f>
        <v>2025</v>
      </c>
      <c r="V380" s="28" t="n">
        <f aca="false">IFERROR(O380*B380,0)</f>
        <v>540493.95</v>
      </c>
      <c r="W380" s="27" t="n">
        <f aca="false">IFERROR(N380*B380,0)</f>
        <v>14000</v>
      </c>
      <c r="X380" s="13" t="n">
        <f aca="false">IF(OR(ISNUMBER(SEARCH("live nation",L380)),ISNUMBER(SEARCH("ocesa",L380))),1,0)</f>
        <v>0</v>
      </c>
      <c r="Y380" s="13" t="s">
        <v>50</v>
      </c>
    </row>
    <row r="381" customFormat="false" ht="15" hidden="false" customHeight="false" outlineLevel="0" collapsed="false">
      <c r="A381" s="30" t="n">
        <v>45802</v>
      </c>
      <c r="B381" s="11" t="n">
        <v>1</v>
      </c>
      <c r="C381" s="31" t="s">
        <v>711</v>
      </c>
      <c r="D381" s="31"/>
      <c r="E381" s="11" t="s">
        <v>343</v>
      </c>
      <c r="F381" s="11" t="s">
        <v>344</v>
      </c>
      <c r="G381" s="11"/>
      <c r="H381" s="11" t="s">
        <v>25</v>
      </c>
      <c r="I381" s="11"/>
      <c r="J381" s="11" t="s">
        <v>133</v>
      </c>
      <c r="K381" s="11" t="s">
        <v>25</v>
      </c>
      <c r="L381" s="11" t="s">
        <v>712</v>
      </c>
      <c r="M381" s="11" t="s">
        <v>100</v>
      </c>
      <c r="N381" s="32" t="n">
        <v>41963</v>
      </c>
      <c r="O381" s="33" t="n">
        <v>5951883.4</v>
      </c>
      <c r="P381" s="32" t="n">
        <v>43100</v>
      </c>
      <c r="Q381" s="34" t="n">
        <v>0.97</v>
      </c>
      <c r="R381" s="33" t="n">
        <v>48.51</v>
      </c>
      <c r="S381" s="33" t="n">
        <v>214.48</v>
      </c>
      <c r="T381" s="33" t="n">
        <v>141.84</v>
      </c>
      <c r="U381" s="11" t="n">
        <f aca="false">IFERROR(YEAR(A381),"")</f>
        <v>2025</v>
      </c>
      <c r="V381" s="33" t="n">
        <f aca="false">IFERROR(O381*B381,0)</f>
        <v>5951883.4</v>
      </c>
      <c r="W381" s="32" t="n">
        <f aca="false">IFERROR(N381*B381,0)</f>
        <v>41963</v>
      </c>
      <c r="X381" s="11" t="n">
        <f aca="false">IF(OR(ISNUMBER(SEARCH("live nation",L381)),ISNUMBER(SEARCH("ocesa",L381))),1,0)</f>
        <v>0</v>
      </c>
      <c r="Y381" s="11" t="s">
        <v>50</v>
      </c>
    </row>
    <row r="382" customFormat="false" ht="15" hidden="false" customHeight="false" outlineLevel="0" collapsed="false">
      <c r="A382" s="25" t="n">
        <v>45802</v>
      </c>
      <c r="B382" s="13" t="n">
        <v>1</v>
      </c>
      <c r="C382" s="26" t="s">
        <v>713</v>
      </c>
      <c r="D382" s="26"/>
      <c r="E382" s="13" t="s">
        <v>111</v>
      </c>
      <c r="F382" s="13" t="s">
        <v>112</v>
      </c>
      <c r="G382" s="13"/>
      <c r="H382" s="13" t="s">
        <v>21</v>
      </c>
      <c r="I382" s="13"/>
      <c r="J382" s="13" t="s">
        <v>97</v>
      </c>
      <c r="K382" s="13" t="s">
        <v>113</v>
      </c>
      <c r="L382" s="13" t="s">
        <v>577</v>
      </c>
      <c r="M382" s="13" t="s">
        <v>100</v>
      </c>
      <c r="N382" s="27" t="n">
        <v>18000</v>
      </c>
      <c r="O382" s="28" t="n">
        <v>1527831.12</v>
      </c>
      <c r="P382" s="27" t="n">
        <v>18000</v>
      </c>
      <c r="Q382" s="29" t="n">
        <v>1</v>
      </c>
      <c r="R382" s="28" t="n">
        <v>84.88</v>
      </c>
      <c r="S382" s="28" t="n">
        <v>84.88</v>
      </c>
      <c r="T382" s="28" t="n">
        <v>84.88</v>
      </c>
      <c r="U382" s="13" t="n">
        <f aca="false">IFERROR(YEAR(A382),"")</f>
        <v>2025</v>
      </c>
      <c r="V382" s="28" t="n">
        <f aca="false">IFERROR(O382*B382,0)</f>
        <v>1527831.12</v>
      </c>
      <c r="W382" s="27" t="n">
        <f aca="false">IFERROR(N382*B382,0)</f>
        <v>18000</v>
      </c>
      <c r="X382" s="13" t="n">
        <f aca="false">IF(OR(ISNUMBER(SEARCH("live nation",L382)),ISNUMBER(SEARCH("ocesa",L382))),1,0)</f>
        <v>0</v>
      </c>
      <c r="Y382" s="13" t="s">
        <v>50</v>
      </c>
    </row>
    <row r="383" customFormat="false" ht="15" hidden="false" customHeight="false" outlineLevel="0" collapsed="false">
      <c r="A383" s="30" t="n">
        <v>45801</v>
      </c>
      <c r="B383" s="11" t="n">
        <v>1</v>
      </c>
      <c r="C383" s="31" t="s">
        <v>66</v>
      </c>
      <c r="D383" s="31"/>
      <c r="E383" s="11" t="s">
        <v>714</v>
      </c>
      <c r="F383" s="11" t="s">
        <v>306</v>
      </c>
      <c r="G383" s="11" t="s">
        <v>188</v>
      </c>
      <c r="H383" s="11" t="s">
        <v>20</v>
      </c>
      <c r="I383" s="11" t="s">
        <v>307</v>
      </c>
      <c r="J383" s="11" t="s">
        <v>133</v>
      </c>
      <c r="K383" s="11" t="s">
        <v>107</v>
      </c>
      <c r="L383" s="11" t="s">
        <v>177</v>
      </c>
      <c r="M383" s="11" t="s">
        <v>100</v>
      </c>
      <c r="N383" s="32" t="n">
        <v>41264</v>
      </c>
      <c r="O383" s="33" t="n">
        <v>6468738</v>
      </c>
      <c r="P383" s="32" t="n">
        <v>41264</v>
      </c>
      <c r="Q383" s="34" t="n">
        <v>1</v>
      </c>
      <c r="R383" s="33" t="n">
        <v>59.5</v>
      </c>
      <c r="S383" s="33" t="n">
        <v>229.5</v>
      </c>
      <c r="T383" s="33" t="n">
        <v>156.76</v>
      </c>
      <c r="U383" s="11" t="n">
        <f aca="false">IFERROR(YEAR(A383),"")</f>
        <v>2025</v>
      </c>
      <c r="V383" s="33" t="n">
        <f aca="false">IFERROR(O383*B383,0)</f>
        <v>6468738</v>
      </c>
      <c r="W383" s="32" t="n">
        <f aca="false">IFERROR(N383*B383,0)</f>
        <v>41264</v>
      </c>
      <c r="X383" s="11" t="n">
        <f aca="false">IF(OR(ISNUMBER(SEARCH("live nation",L383)),ISNUMBER(SEARCH("ocesa",L383))),1,0)</f>
        <v>1</v>
      </c>
      <c r="Y383" s="11" t="s">
        <v>49</v>
      </c>
    </row>
    <row r="384" customFormat="false" ht="15" hidden="false" customHeight="false" outlineLevel="0" collapsed="false">
      <c r="A384" s="25" t="n">
        <v>45801</v>
      </c>
      <c r="B384" s="13" t="n">
        <v>2</v>
      </c>
      <c r="C384" s="26" t="s">
        <v>65</v>
      </c>
      <c r="D384" s="26"/>
      <c r="E384" s="13" t="s">
        <v>715</v>
      </c>
      <c r="F384" s="13" t="s">
        <v>377</v>
      </c>
      <c r="G384" s="13"/>
      <c r="H384" s="13" t="s">
        <v>378</v>
      </c>
      <c r="I384" s="13"/>
      <c r="J384" s="13" t="s">
        <v>97</v>
      </c>
      <c r="K384" s="13" t="s">
        <v>379</v>
      </c>
      <c r="L384" s="13" t="s">
        <v>145</v>
      </c>
      <c r="M384" s="13" t="s">
        <v>270</v>
      </c>
      <c r="N384" s="27" t="n">
        <v>9701</v>
      </c>
      <c r="O384" s="28" t="n">
        <v>1945372.5</v>
      </c>
      <c r="P384" s="27" t="n">
        <v>9702</v>
      </c>
      <c r="Q384" s="29" t="n">
        <v>0.99</v>
      </c>
      <c r="R384" s="28" t="n">
        <v>93.4</v>
      </c>
      <c r="S384" s="28" t="n">
        <v>326.89</v>
      </c>
      <c r="T384" s="28" t="n">
        <v>200.52</v>
      </c>
      <c r="U384" s="13" t="n">
        <f aca="false">IFERROR(YEAR(A384),"")</f>
        <v>2025</v>
      </c>
      <c r="V384" s="28" t="n">
        <f aca="false">IFERROR(O384*B384,0)</f>
        <v>3890745</v>
      </c>
      <c r="W384" s="27" t="n">
        <f aca="false">IFERROR(N384*B384,0)</f>
        <v>19402</v>
      </c>
      <c r="X384" s="13" t="n">
        <f aca="false">IF(OR(ISNUMBER(SEARCH("live nation",L384)),ISNUMBER(SEARCH("ocesa",L384))),1,0)</f>
        <v>0</v>
      </c>
      <c r="Y384" s="13" t="s">
        <v>50</v>
      </c>
    </row>
    <row r="385" customFormat="false" ht="15" hidden="false" customHeight="false" outlineLevel="0" collapsed="false">
      <c r="A385" s="30" t="n">
        <v>45801</v>
      </c>
      <c r="B385" s="11" t="n">
        <v>2</v>
      </c>
      <c r="C385" s="31" t="s">
        <v>63</v>
      </c>
      <c r="D385" s="31"/>
      <c r="E385" s="11" t="s">
        <v>269</v>
      </c>
      <c r="F385" s="11" t="s">
        <v>185</v>
      </c>
      <c r="G385" s="11"/>
      <c r="H385" s="11" t="s">
        <v>21</v>
      </c>
      <c r="I385" s="11"/>
      <c r="J385" s="11" t="s">
        <v>97</v>
      </c>
      <c r="K385" s="11" t="s">
        <v>113</v>
      </c>
      <c r="L385" s="11" t="s">
        <v>145</v>
      </c>
      <c r="M385" s="11" t="s">
        <v>100</v>
      </c>
      <c r="N385" s="32" t="n">
        <v>10486</v>
      </c>
      <c r="O385" s="33" t="n">
        <v>1254609.81</v>
      </c>
      <c r="P385" s="32" t="n">
        <v>10486</v>
      </c>
      <c r="Q385" s="34" t="n">
        <v>1</v>
      </c>
      <c r="R385" s="33" t="n">
        <v>101.72</v>
      </c>
      <c r="S385" s="33" t="n">
        <v>189.4</v>
      </c>
      <c r="T385" s="33" t="n">
        <v>119.65</v>
      </c>
      <c r="U385" s="11" t="n">
        <f aca="false">IFERROR(YEAR(A385),"")</f>
        <v>2025</v>
      </c>
      <c r="V385" s="33" t="n">
        <f aca="false">IFERROR(O385*B385,0)</f>
        <v>2509219.62</v>
      </c>
      <c r="W385" s="32" t="n">
        <f aca="false">IFERROR(N385*B385,0)</f>
        <v>20972</v>
      </c>
      <c r="X385" s="11" t="n">
        <f aca="false">IF(OR(ISNUMBER(SEARCH("live nation",L385)),ISNUMBER(SEARCH("ocesa",L385))),1,0)</f>
        <v>0</v>
      </c>
      <c r="Y385" s="11" t="s">
        <v>50</v>
      </c>
    </row>
    <row r="386" customFormat="false" ht="15" hidden="false" customHeight="false" outlineLevel="0" collapsed="false">
      <c r="A386" s="25" t="n">
        <v>45801</v>
      </c>
      <c r="B386" s="13" t="n">
        <v>1</v>
      </c>
      <c r="C386" s="26" t="s">
        <v>711</v>
      </c>
      <c r="D386" s="26"/>
      <c r="E386" s="13" t="s">
        <v>343</v>
      </c>
      <c r="F386" s="13" t="s">
        <v>344</v>
      </c>
      <c r="G386" s="13"/>
      <c r="H386" s="13" t="s">
        <v>25</v>
      </c>
      <c r="I386" s="13"/>
      <c r="J386" s="13" t="s">
        <v>133</v>
      </c>
      <c r="K386" s="13" t="s">
        <v>25</v>
      </c>
      <c r="L386" s="13" t="s">
        <v>712</v>
      </c>
      <c r="M386" s="13" t="s">
        <v>100</v>
      </c>
      <c r="N386" s="27" t="n">
        <v>41972</v>
      </c>
      <c r="O386" s="28" t="n">
        <v>5951883.4</v>
      </c>
      <c r="P386" s="27" t="n">
        <v>43108</v>
      </c>
      <c r="Q386" s="29" t="n">
        <v>0.97</v>
      </c>
      <c r="R386" s="28" t="n">
        <v>48.51</v>
      </c>
      <c r="S386" s="28" t="n">
        <v>214.48</v>
      </c>
      <c r="T386" s="28" t="n">
        <v>141.81</v>
      </c>
      <c r="U386" s="13" t="n">
        <f aca="false">IFERROR(YEAR(A386),"")</f>
        <v>2025</v>
      </c>
      <c r="V386" s="28" t="n">
        <f aca="false">IFERROR(O386*B386,0)</f>
        <v>5951883.4</v>
      </c>
      <c r="W386" s="27" t="n">
        <f aca="false">IFERROR(N386*B386,0)</f>
        <v>41972</v>
      </c>
      <c r="X386" s="13" t="n">
        <f aca="false">IF(OR(ISNUMBER(SEARCH("live nation",L386)),ISNUMBER(SEARCH("ocesa",L386))),1,0)</f>
        <v>0</v>
      </c>
      <c r="Y386" s="13" t="s">
        <v>50</v>
      </c>
    </row>
    <row r="387" customFormat="false" ht="15" hidden="false" customHeight="false" outlineLevel="0" collapsed="false">
      <c r="A387" s="30" t="n">
        <v>45801</v>
      </c>
      <c r="B387" s="11" t="n">
        <v>1</v>
      </c>
      <c r="C387" s="31" t="s">
        <v>472</v>
      </c>
      <c r="D387" s="31"/>
      <c r="E387" s="11" t="s">
        <v>716</v>
      </c>
      <c r="F387" s="11" t="s">
        <v>299</v>
      </c>
      <c r="G387" s="11"/>
      <c r="H387" s="11" t="s">
        <v>56</v>
      </c>
      <c r="I387" s="11"/>
      <c r="J387" s="11" t="s">
        <v>121</v>
      </c>
      <c r="K387" s="11" t="s">
        <v>300</v>
      </c>
      <c r="L387" s="11" t="s">
        <v>145</v>
      </c>
      <c r="M387" s="11" t="s">
        <v>100</v>
      </c>
      <c r="N387" s="32" t="n">
        <v>1729</v>
      </c>
      <c r="O387" s="33" t="n">
        <v>292315.69</v>
      </c>
      <c r="P387" s="32" t="n">
        <v>2584</v>
      </c>
      <c r="Q387" s="34" t="n">
        <v>0.66</v>
      </c>
      <c r="R387" s="33" t="n">
        <v>107.71</v>
      </c>
      <c r="S387" s="33" t="n">
        <v>193.89</v>
      </c>
      <c r="T387" s="33" t="n">
        <v>169.07</v>
      </c>
      <c r="U387" s="11" t="n">
        <f aca="false">IFERROR(YEAR(A387),"")</f>
        <v>2025</v>
      </c>
      <c r="V387" s="33" t="n">
        <f aca="false">IFERROR(O387*B387,0)</f>
        <v>292315.69</v>
      </c>
      <c r="W387" s="32" t="n">
        <f aca="false">IFERROR(N387*B387,0)</f>
        <v>1729</v>
      </c>
      <c r="X387" s="11" t="n">
        <f aca="false">IF(OR(ISNUMBER(SEARCH("live nation",L387)),ISNUMBER(SEARCH("ocesa",L387))),1,0)</f>
        <v>0</v>
      </c>
      <c r="Y387" s="11" t="s">
        <v>50</v>
      </c>
    </row>
    <row r="388" customFormat="false" ht="15" hidden="false" customHeight="false" outlineLevel="0" collapsed="false">
      <c r="A388" s="25" t="n">
        <v>45801</v>
      </c>
      <c r="B388" s="13" t="n">
        <v>1</v>
      </c>
      <c r="C388" s="26" t="s">
        <v>713</v>
      </c>
      <c r="D388" s="26"/>
      <c r="E388" s="13" t="s">
        <v>111</v>
      </c>
      <c r="F388" s="13" t="s">
        <v>112</v>
      </c>
      <c r="G388" s="13"/>
      <c r="H388" s="13" t="s">
        <v>21</v>
      </c>
      <c r="I388" s="13"/>
      <c r="J388" s="13" t="s">
        <v>97</v>
      </c>
      <c r="K388" s="13" t="s">
        <v>113</v>
      </c>
      <c r="L388" s="13" t="s">
        <v>577</v>
      </c>
      <c r="M388" s="13" t="s">
        <v>100</v>
      </c>
      <c r="N388" s="27" t="n">
        <v>18000</v>
      </c>
      <c r="O388" s="28" t="n">
        <v>1527831.11</v>
      </c>
      <c r="P388" s="27" t="n">
        <v>18000</v>
      </c>
      <c r="Q388" s="29" t="n">
        <v>1</v>
      </c>
      <c r="R388" s="28" t="n">
        <v>84.88</v>
      </c>
      <c r="S388" s="28" t="n">
        <v>84.88</v>
      </c>
      <c r="T388" s="28" t="n">
        <v>84.88</v>
      </c>
      <c r="U388" s="13" t="n">
        <f aca="false">IFERROR(YEAR(A388),"")</f>
        <v>2025</v>
      </c>
      <c r="V388" s="28" t="n">
        <f aca="false">IFERROR(O388*B388,0)</f>
        <v>1527831.11</v>
      </c>
      <c r="W388" s="27" t="n">
        <f aca="false">IFERROR(N388*B388,0)</f>
        <v>18000</v>
      </c>
      <c r="X388" s="13" t="n">
        <f aca="false">IF(OR(ISNUMBER(SEARCH("live nation",L388)),ISNUMBER(SEARCH("ocesa",L388))),1,0)</f>
        <v>0</v>
      </c>
      <c r="Y388" s="13" t="s">
        <v>50</v>
      </c>
    </row>
    <row r="389" customFormat="false" ht="15" hidden="false" customHeight="false" outlineLevel="0" collapsed="false">
      <c r="A389" s="30" t="n">
        <v>45801</v>
      </c>
      <c r="B389" s="11" t="n">
        <v>1</v>
      </c>
      <c r="C389" s="31" t="s">
        <v>713</v>
      </c>
      <c r="D389" s="31"/>
      <c r="E389" s="11" t="s">
        <v>111</v>
      </c>
      <c r="F389" s="11" t="s">
        <v>112</v>
      </c>
      <c r="G389" s="11"/>
      <c r="H389" s="11" t="s">
        <v>21</v>
      </c>
      <c r="I389" s="11"/>
      <c r="J389" s="11" t="s">
        <v>97</v>
      </c>
      <c r="K389" s="11" t="s">
        <v>113</v>
      </c>
      <c r="L389" s="11" t="s">
        <v>577</v>
      </c>
      <c r="M389" s="11" t="s">
        <v>100</v>
      </c>
      <c r="N389" s="32" t="n">
        <v>18000</v>
      </c>
      <c r="O389" s="33" t="n">
        <v>1527831.12</v>
      </c>
      <c r="P389" s="32" t="n">
        <v>18000</v>
      </c>
      <c r="Q389" s="34" t="n">
        <v>1</v>
      </c>
      <c r="R389" s="33" t="n">
        <v>84.88</v>
      </c>
      <c r="S389" s="33" t="n">
        <v>84.88</v>
      </c>
      <c r="T389" s="33" t="n">
        <v>84.88</v>
      </c>
      <c r="U389" s="11" t="n">
        <f aca="false">IFERROR(YEAR(A389),"")</f>
        <v>2025</v>
      </c>
      <c r="V389" s="33" t="n">
        <f aca="false">IFERROR(O389*B389,0)</f>
        <v>1527831.12</v>
      </c>
      <c r="W389" s="32" t="n">
        <f aca="false">IFERROR(N389*B389,0)</f>
        <v>18000</v>
      </c>
      <c r="X389" s="11" t="n">
        <f aca="false">IF(OR(ISNUMBER(SEARCH("live nation",L389)),ISNUMBER(SEARCH("ocesa",L389))),1,0)</f>
        <v>0</v>
      </c>
      <c r="Y389" s="11" t="s">
        <v>50</v>
      </c>
    </row>
    <row r="390" customFormat="false" ht="15" hidden="false" customHeight="false" outlineLevel="0" collapsed="false">
      <c r="A390" s="25" t="n">
        <v>45799</v>
      </c>
      <c r="B390" s="13" t="n">
        <v>1</v>
      </c>
      <c r="C390" s="26" t="s">
        <v>272</v>
      </c>
      <c r="D390" s="26"/>
      <c r="E390" s="13" t="s">
        <v>691</v>
      </c>
      <c r="F390" s="13" t="s">
        <v>692</v>
      </c>
      <c r="G390" s="13"/>
      <c r="H390" s="13" t="s">
        <v>693</v>
      </c>
      <c r="I390" s="13"/>
      <c r="J390" s="13" t="s">
        <v>121</v>
      </c>
      <c r="K390" s="13" t="s">
        <v>694</v>
      </c>
      <c r="L390" s="13" t="s">
        <v>695</v>
      </c>
      <c r="M390" s="13" t="s">
        <v>277</v>
      </c>
      <c r="N390" s="27" t="n">
        <v>4116</v>
      </c>
      <c r="O390" s="28" t="n">
        <v>400458.88</v>
      </c>
      <c r="P390" s="27" t="n">
        <v>4565</v>
      </c>
      <c r="Q390" s="29" t="n">
        <v>0.9</v>
      </c>
      <c r="R390" s="28" t="n">
        <v>93.38</v>
      </c>
      <c r="S390" s="28" t="n">
        <v>111.57</v>
      </c>
      <c r="T390" s="28" t="n">
        <v>97.29</v>
      </c>
      <c r="U390" s="13" t="n">
        <f aca="false">IFERROR(YEAR(A390),"")</f>
        <v>2025</v>
      </c>
      <c r="V390" s="28" t="n">
        <f aca="false">IFERROR(O390*B390,0)</f>
        <v>400458.88</v>
      </c>
      <c r="W390" s="27" t="n">
        <f aca="false">IFERROR(N390*B390,0)</f>
        <v>4116</v>
      </c>
      <c r="X390" s="13" t="n">
        <f aca="false">IF(OR(ISNUMBER(SEARCH("live nation",L390)),ISNUMBER(SEARCH("ocesa",L390))),1,0)</f>
        <v>0</v>
      </c>
      <c r="Y390" s="13" t="s">
        <v>49</v>
      </c>
    </row>
    <row r="391" customFormat="false" ht="15" hidden="false" customHeight="false" outlineLevel="0" collapsed="false">
      <c r="A391" s="30" t="n">
        <v>45795</v>
      </c>
      <c r="B391" s="11" t="n">
        <v>1</v>
      </c>
      <c r="C391" s="31" t="s">
        <v>717</v>
      </c>
      <c r="D391" s="31"/>
      <c r="E391" s="11" t="s">
        <v>111</v>
      </c>
      <c r="F391" s="11" t="s">
        <v>112</v>
      </c>
      <c r="G391" s="11"/>
      <c r="H391" s="11" t="s">
        <v>21</v>
      </c>
      <c r="I391" s="11"/>
      <c r="J391" s="11" t="s">
        <v>97</v>
      </c>
      <c r="K391" s="11" t="s">
        <v>113</v>
      </c>
      <c r="L391" s="11" t="s">
        <v>321</v>
      </c>
      <c r="M391" s="11" t="s">
        <v>100</v>
      </c>
      <c r="N391" s="32" t="n">
        <v>10000</v>
      </c>
      <c r="O391" s="33" t="n">
        <v>823921.24</v>
      </c>
      <c r="P391" s="32" t="n">
        <v>10000</v>
      </c>
      <c r="Q391" s="34" t="n">
        <v>1</v>
      </c>
      <c r="R391" s="33" t="n">
        <v>82.39</v>
      </c>
      <c r="S391" s="33" t="n">
        <v>82.39</v>
      </c>
      <c r="T391" s="33" t="n">
        <v>82.39</v>
      </c>
      <c r="U391" s="11" t="n">
        <f aca="false">IFERROR(YEAR(A391),"")</f>
        <v>2025</v>
      </c>
      <c r="V391" s="33" t="n">
        <f aca="false">IFERROR(O391*B391,0)</f>
        <v>823921.24</v>
      </c>
      <c r="W391" s="32" t="n">
        <f aca="false">IFERROR(N391*B391,0)</f>
        <v>10000</v>
      </c>
      <c r="X391" s="11" t="n">
        <f aca="false">IF(OR(ISNUMBER(SEARCH("live nation",L391)),ISNUMBER(SEARCH("ocesa",L391))),1,0)</f>
        <v>0</v>
      </c>
      <c r="Y391" s="11" t="s">
        <v>50</v>
      </c>
    </row>
    <row r="392" customFormat="false" ht="15" hidden="false" customHeight="false" outlineLevel="0" collapsed="false">
      <c r="A392" s="25" t="n">
        <v>45794</v>
      </c>
      <c r="B392" s="13" t="n">
        <v>2</v>
      </c>
      <c r="C392" s="26" t="s">
        <v>65</v>
      </c>
      <c r="D392" s="26"/>
      <c r="E392" s="13" t="s">
        <v>718</v>
      </c>
      <c r="F392" s="13" t="s">
        <v>719</v>
      </c>
      <c r="G392" s="13"/>
      <c r="H392" s="13" t="s">
        <v>720</v>
      </c>
      <c r="I392" s="13"/>
      <c r="J392" s="13" t="s">
        <v>97</v>
      </c>
      <c r="K392" s="13" t="s">
        <v>721</v>
      </c>
      <c r="L392" s="13" t="s">
        <v>145</v>
      </c>
      <c r="M392" s="13" t="s">
        <v>270</v>
      </c>
      <c r="N392" s="27" t="n">
        <v>9713</v>
      </c>
      <c r="O392" s="28" t="n">
        <v>2104325.57</v>
      </c>
      <c r="P392" s="27" t="n">
        <v>9720</v>
      </c>
      <c r="Q392" s="29" t="n">
        <v>0.99</v>
      </c>
      <c r="R392" s="28" t="n">
        <v>99.3</v>
      </c>
      <c r="S392" s="28" t="n">
        <v>347.87</v>
      </c>
      <c r="T392" s="28" t="n">
        <v>216.64</v>
      </c>
      <c r="U392" s="13" t="n">
        <f aca="false">IFERROR(YEAR(A392),"")</f>
        <v>2025</v>
      </c>
      <c r="V392" s="28" t="n">
        <f aca="false">IFERROR(O392*B392,0)</f>
        <v>4208651.14</v>
      </c>
      <c r="W392" s="27" t="n">
        <f aca="false">IFERROR(N392*B392,0)</f>
        <v>19426</v>
      </c>
      <c r="X392" s="13" t="n">
        <f aca="false">IF(OR(ISNUMBER(SEARCH("live nation",L392)),ISNUMBER(SEARCH("ocesa",L392))),1,0)</f>
        <v>0</v>
      </c>
      <c r="Y392" s="13" t="s">
        <v>50</v>
      </c>
    </row>
    <row r="393" customFormat="false" ht="15" hidden="false" customHeight="false" outlineLevel="0" collapsed="false">
      <c r="A393" s="30" t="n">
        <v>45794</v>
      </c>
      <c r="B393" s="11" t="n">
        <v>2</v>
      </c>
      <c r="C393" s="31" t="s">
        <v>63</v>
      </c>
      <c r="D393" s="31"/>
      <c r="E393" s="11" t="s">
        <v>722</v>
      </c>
      <c r="F393" s="11" t="s">
        <v>370</v>
      </c>
      <c r="G393" s="11"/>
      <c r="H393" s="11" t="s">
        <v>21</v>
      </c>
      <c r="I393" s="11"/>
      <c r="J393" s="11" t="s">
        <v>97</v>
      </c>
      <c r="K393" s="11" t="s">
        <v>113</v>
      </c>
      <c r="L393" s="11" t="s">
        <v>145</v>
      </c>
      <c r="M393" s="11" t="s">
        <v>100</v>
      </c>
      <c r="N393" s="32" t="n">
        <v>7624</v>
      </c>
      <c r="O393" s="33" t="n">
        <v>919092.43</v>
      </c>
      <c r="P393" s="32" t="n">
        <v>7624</v>
      </c>
      <c r="Q393" s="34" t="n">
        <v>1</v>
      </c>
      <c r="R393" s="33" t="n">
        <v>99.56</v>
      </c>
      <c r="S393" s="33" t="n">
        <v>185.38</v>
      </c>
      <c r="T393" s="33" t="n">
        <v>120.55</v>
      </c>
      <c r="U393" s="11" t="n">
        <f aca="false">IFERROR(YEAR(A393),"")</f>
        <v>2025</v>
      </c>
      <c r="V393" s="33" t="n">
        <f aca="false">IFERROR(O393*B393,0)</f>
        <v>1838184.86</v>
      </c>
      <c r="W393" s="32" t="n">
        <f aca="false">IFERROR(N393*B393,0)</f>
        <v>15248</v>
      </c>
      <c r="X393" s="11" t="n">
        <f aca="false">IF(OR(ISNUMBER(SEARCH("live nation",L393)),ISNUMBER(SEARCH("ocesa",L393))),1,0)</f>
        <v>0</v>
      </c>
      <c r="Y393" s="11" t="s">
        <v>50</v>
      </c>
    </row>
    <row r="394" customFormat="false" ht="15" hidden="false" customHeight="false" outlineLevel="0" collapsed="false">
      <c r="A394" s="25" t="n">
        <v>45794</v>
      </c>
      <c r="B394" s="13" t="n">
        <v>1</v>
      </c>
      <c r="C394" s="26" t="s">
        <v>717</v>
      </c>
      <c r="D394" s="26"/>
      <c r="E394" s="13" t="s">
        <v>111</v>
      </c>
      <c r="F394" s="13" t="s">
        <v>112</v>
      </c>
      <c r="G394" s="13"/>
      <c r="H394" s="13" t="s">
        <v>21</v>
      </c>
      <c r="I394" s="13"/>
      <c r="J394" s="13" t="s">
        <v>97</v>
      </c>
      <c r="K394" s="13" t="s">
        <v>113</v>
      </c>
      <c r="L394" s="13" t="s">
        <v>321</v>
      </c>
      <c r="M394" s="13" t="s">
        <v>100</v>
      </c>
      <c r="N394" s="27" t="n">
        <v>10000</v>
      </c>
      <c r="O394" s="28" t="n">
        <v>823921.24</v>
      </c>
      <c r="P394" s="27" t="n">
        <v>10000</v>
      </c>
      <c r="Q394" s="29" t="n">
        <v>1</v>
      </c>
      <c r="R394" s="28" t="n">
        <v>82.39</v>
      </c>
      <c r="S394" s="28" t="n">
        <v>82.39</v>
      </c>
      <c r="T394" s="28" t="n">
        <v>82.39</v>
      </c>
      <c r="U394" s="13" t="n">
        <f aca="false">IFERROR(YEAR(A394),"")</f>
        <v>2025</v>
      </c>
      <c r="V394" s="28" t="n">
        <f aca="false">IFERROR(O394*B394,0)</f>
        <v>823921.24</v>
      </c>
      <c r="W394" s="27" t="n">
        <f aca="false">IFERROR(N394*B394,0)</f>
        <v>10000</v>
      </c>
      <c r="X394" s="13" t="n">
        <f aca="false">IF(OR(ISNUMBER(SEARCH("live nation",L394)),ISNUMBER(SEARCH("ocesa",L394))),1,0)</f>
        <v>0</v>
      </c>
      <c r="Y394" s="13" t="s">
        <v>50</v>
      </c>
    </row>
    <row r="395" customFormat="false" ht="15" hidden="false" customHeight="false" outlineLevel="0" collapsed="false">
      <c r="A395" s="30" t="n">
        <v>45794</v>
      </c>
      <c r="B395" s="11" t="n">
        <v>2</v>
      </c>
      <c r="C395" s="31" t="s">
        <v>472</v>
      </c>
      <c r="D395" s="31"/>
      <c r="E395" s="11" t="s">
        <v>269</v>
      </c>
      <c r="F395" s="11" t="s">
        <v>185</v>
      </c>
      <c r="G395" s="11"/>
      <c r="H395" s="11" t="s">
        <v>21</v>
      </c>
      <c r="I395" s="11"/>
      <c r="J395" s="11" t="s">
        <v>97</v>
      </c>
      <c r="K395" s="11" t="s">
        <v>113</v>
      </c>
      <c r="L395" s="11" t="s">
        <v>145</v>
      </c>
      <c r="M395" s="11" t="s">
        <v>100</v>
      </c>
      <c r="N395" s="32" t="n">
        <v>11276</v>
      </c>
      <c r="O395" s="33" t="n">
        <v>1291051</v>
      </c>
      <c r="P395" s="32" t="n">
        <v>11328</v>
      </c>
      <c r="Q395" s="34" t="n">
        <v>0.99</v>
      </c>
      <c r="R395" s="33" t="n">
        <v>185.38</v>
      </c>
      <c r="S395" s="33" t="n">
        <v>99.56</v>
      </c>
      <c r="T395" s="33" t="n">
        <v>114.49</v>
      </c>
      <c r="U395" s="11" t="n">
        <f aca="false">IFERROR(YEAR(A395),"")</f>
        <v>2025</v>
      </c>
      <c r="V395" s="33" t="n">
        <f aca="false">IFERROR(O395*B395,0)</f>
        <v>2582102</v>
      </c>
      <c r="W395" s="32" t="n">
        <f aca="false">IFERROR(N395*B395,0)</f>
        <v>22552</v>
      </c>
      <c r="X395" s="11" t="n">
        <f aca="false">IF(OR(ISNUMBER(SEARCH("live nation",L395)),ISNUMBER(SEARCH("ocesa",L395))),1,0)</f>
        <v>0</v>
      </c>
      <c r="Y395" s="11" t="s">
        <v>50</v>
      </c>
    </row>
    <row r="396" customFormat="false" ht="15" hidden="false" customHeight="false" outlineLevel="0" collapsed="false">
      <c r="A396" s="25" t="n">
        <v>45792</v>
      </c>
      <c r="B396" s="13" t="n">
        <v>1</v>
      </c>
      <c r="C396" s="26" t="s">
        <v>723</v>
      </c>
      <c r="D396" s="26" t="s">
        <v>724</v>
      </c>
      <c r="E396" s="13" t="s">
        <v>155</v>
      </c>
      <c r="F396" s="13" t="s">
        <v>156</v>
      </c>
      <c r="G396" s="13"/>
      <c r="H396" s="13" t="s">
        <v>157</v>
      </c>
      <c r="I396" s="13"/>
      <c r="J396" s="13" t="s">
        <v>97</v>
      </c>
      <c r="K396" s="13" t="s">
        <v>158</v>
      </c>
      <c r="L396" s="13" t="s">
        <v>725</v>
      </c>
      <c r="M396" s="13" t="s">
        <v>100</v>
      </c>
      <c r="N396" s="27" t="n">
        <v>6317</v>
      </c>
      <c r="O396" s="28" t="n">
        <v>653956.94</v>
      </c>
      <c r="P396" s="27" t="n">
        <v>16522</v>
      </c>
      <c r="Q396" s="29" t="n">
        <v>0.38</v>
      </c>
      <c r="R396" s="28" t="n">
        <v>48.85</v>
      </c>
      <c r="S396" s="28" t="n">
        <v>367.44</v>
      </c>
      <c r="T396" s="28" t="n">
        <v>103.52</v>
      </c>
      <c r="U396" s="13" t="n">
        <f aca="false">IFERROR(YEAR(A396),"")</f>
        <v>2025</v>
      </c>
      <c r="V396" s="28" t="n">
        <f aca="false">IFERROR(O396*B396,0)</f>
        <v>653956.94</v>
      </c>
      <c r="W396" s="27" t="n">
        <f aca="false">IFERROR(N396*B396,0)</f>
        <v>6317</v>
      </c>
      <c r="X396" s="13" t="n">
        <f aca="false">IF(OR(ISNUMBER(SEARCH("live nation",L396)),ISNUMBER(SEARCH("ocesa",L396))),1,0)</f>
        <v>0</v>
      </c>
      <c r="Y396" s="13" t="s">
        <v>49</v>
      </c>
    </row>
    <row r="397" customFormat="false" ht="15" hidden="false" customHeight="false" outlineLevel="0" collapsed="false">
      <c r="A397" s="30" t="n">
        <v>45792</v>
      </c>
      <c r="B397" s="11" t="n">
        <v>1</v>
      </c>
      <c r="C397" s="31" t="s">
        <v>726</v>
      </c>
      <c r="D397" s="31"/>
      <c r="E397" s="11" t="s">
        <v>727</v>
      </c>
      <c r="F397" s="11" t="s">
        <v>295</v>
      </c>
      <c r="G397" s="11"/>
      <c r="H397" s="11" t="s">
        <v>28</v>
      </c>
      <c r="I397" s="11"/>
      <c r="J397" s="11" t="s">
        <v>106</v>
      </c>
      <c r="K397" s="11" t="s">
        <v>98</v>
      </c>
      <c r="L397" s="11" t="s">
        <v>728</v>
      </c>
      <c r="M397" s="11" t="s">
        <v>100</v>
      </c>
      <c r="N397" s="32" t="n">
        <v>374</v>
      </c>
      <c r="O397" s="33" t="n">
        <v>43696.71</v>
      </c>
      <c r="P397" s="32" t="n">
        <v>1100</v>
      </c>
      <c r="Q397" s="34" t="n">
        <v>0.34</v>
      </c>
      <c r="R397" s="33" t="n">
        <v>63.76</v>
      </c>
      <c r="S397" s="33" t="n">
        <v>166.81</v>
      </c>
      <c r="T397" s="33" t="n">
        <v>116.84</v>
      </c>
      <c r="U397" s="11" t="n">
        <f aca="false">IFERROR(YEAR(A397),"")</f>
        <v>2025</v>
      </c>
      <c r="V397" s="33" t="n">
        <f aca="false">IFERROR(O397*B397,0)</f>
        <v>43696.71</v>
      </c>
      <c r="W397" s="32" t="n">
        <f aca="false">IFERROR(N397*B397,0)</f>
        <v>374</v>
      </c>
      <c r="X397" s="11" t="n">
        <f aca="false">IF(OR(ISNUMBER(SEARCH("live nation",L397)),ISNUMBER(SEARCH("ocesa",L397))),1,0)</f>
        <v>0</v>
      </c>
      <c r="Y397" s="11" t="s">
        <v>49</v>
      </c>
    </row>
    <row r="398" customFormat="false" ht="15" hidden="false" customHeight="false" outlineLevel="0" collapsed="false">
      <c r="A398" s="25" t="n">
        <v>45790</v>
      </c>
      <c r="B398" s="13" t="n">
        <v>1</v>
      </c>
      <c r="C398" s="26" t="s">
        <v>729</v>
      </c>
      <c r="D398" s="26"/>
      <c r="E398" s="13" t="s">
        <v>343</v>
      </c>
      <c r="F398" s="13" t="s">
        <v>344</v>
      </c>
      <c r="G398" s="13"/>
      <c r="H398" s="13" t="s">
        <v>25</v>
      </c>
      <c r="I398" s="13"/>
      <c r="J398" s="13" t="s">
        <v>133</v>
      </c>
      <c r="K398" s="13" t="s">
        <v>25</v>
      </c>
      <c r="L398" s="13" t="s">
        <v>570</v>
      </c>
      <c r="M398" s="13" t="s">
        <v>100</v>
      </c>
      <c r="N398" s="27" t="n">
        <v>38101</v>
      </c>
      <c r="O398" s="28" t="n">
        <v>5195656.38</v>
      </c>
      <c r="P398" s="27" t="n">
        <v>42237</v>
      </c>
      <c r="Q398" s="29" t="n">
        <v>0.9</v>
      </c>
      <c r="R398" s="28" t="n">
        <v>71.21</v>
      </c>
      <c r="S398" s="28" t="n">
        <v>238.01</v>
      </c>
      <c r="T398" s="28" t="n">
        <v>136.37</v>
      </c>
      <c r="U398" s="13" t="n">
        <f aca="false">IFERROR(YEAR(A398),"")</f>
        <v>2025</v>
      </c>
      <c r="V398" s="28" t="n">
        <f aca="false">IFERROR(O398*B398,0)</f>
        <v>5195656.38</v>
      </c>
      <c r="W398" s="27" t="n">
        <f aca="false">IFERROR(N398*B398,0)</f>
        <v>38101</v>
      </c>
      <c r="X398" s="13" t="n">
        <f aca="false">IF(OR(ISNUMBER(SEARCH("live nation",L398)),ISNUMBER(SEARCH("ocesa",L398))),1,0)</f>
        <v>0</v>
      </c>
      <c r="Y398" s="13" t="s">
        <v>50</v>
      </c>
    </row>
    <row r="399" customFormat="false" ht="15" hidden="false" customHeight="false" outlineLevel="0" collapsed="false">
      <c r="A399" s="30" t="n">
        <v>45789</v>
      </c>
      <c r="B399" s="11" t="n">
        <v>1</v>
      </c>
      <c r="C399" s="31" t="s">
        <v>730</v>
      </c>
      <c r="D399" s="31"/>
      <c r="E399" s="11" t="s">
        <v>731</v>
      </c>
      <c r="F399" s="11" t="s">
        <v>346</v>
      </c>
      <c r="G399" s="11" t="s">
        <v>347</v>
      </c>
      <c r="H399" s="11" t="s">
        <v>20</v>
      </c>
      <c r="I399" s="11" t="s">
        <v>346</v>
      </c>
      <c r="J399" s="11" t="s">
        <v>121</v>
      </c>
      <c r="K399" s="11" t="s">
        <v>107</v>
      </c>
      <c r="L399" s="11" t="s">
        <v>531</v>
      </c>
      <c r="M399" s="11" t="s">
        <v>100</v>
      </c>
      <c r="N399" s="32" t="n">
        <v>1359</v>
      </c>
      <c r="O399" s="33" t="n">
        <v>209311.3</v>
      </c>
      <c r="P399" s="32" t="n">
        <v>4301</v>
      </c>
      <c r="Q399" s="34" t="n">
        <v>0.31</v>
      </c>
      <c r="R399" s="33" t="n">
        <v>39</v>
      </c>
      <c r="S399" s="33" t="n">
        <v>249.5</v>
      </c>
      <c r="T399" s="33" t="n">
        <v>154.02</v>
      </c>
      <c r="U399" s="11" t="n">
        <f aca="false">IFERROR(YEAR(A399),"")</f>
        <v>2025</v>
      </c>
      <c r="V399" s="33" t="n">
        <f aca="false">IFERROR(O399*B399,0)</f>
        <v>209311.3</v>
      </c>
      <c r="W399" s="32" t="n">
        <f aca="false">IFERROR(N399*B399,0)</f>
        <v>1359</v>
      </c>
      <c r="X399" s="11" t="n">
        <f aca="false">IF(OR(ISNUMBER(SEARCH("live nation",L399)),ISNUMBER(SEARCH("ocesa",L399))),1,0)</f>
        <v>0</v>
      </c>
      <c r="Y399" s="11" t="s">
        <v>49</v>
      </c>
    </row>
    <row r="400" customFormat="false" ht="15" hidden="false" customHeight="false" outlineLevel="0" collapsed="false">
      <c r="A400" s="25" t="n">
        <v>45788</v>
      </c>
      <c r="B400" s="13" t="n">
        <v>1</v>
      </c>
      <c r="C400" s="26" t="s">
        <v>732</v>
      </c>
      <c r="D400" s="26"/>
      <c r="E400" s="13" t="s">
        <v>111</v>
      </c>
      <c r="F400" s="13" t="s">
        <v>112</v>
      </c>
      <c r="G400" s="13"/>
      <c r="H400" s="13" t="s">
        <v>21</v>
      </c>
      <c r="I400" s="13"/>
      <c r="J400" s="13" t="s">
        <v>97</v>
      </c>
      <c r="K400" s="13" t="s">
        <v>113</v>
      </c>
      <c r="L400" s="13" t="s">
        <v>114</v>
      </c>
      <c r="M400" s="13" t="s">
        <v>100</v>
      </c>
      <c r="N400" s="27" t="n">
        <v>18470</v>
      </c>
      <c r="O400" s="28" t="n">
        <v>1143452.74</v>
      </c>
      <c r="P400" s="27" t="n">
        <v>18470</v>
      </c>
      <c r="Q400" s="29" t="n">
        <v>1</v>
      </c>
      <c r="R400" s="28" t="n">
        <v>61.91</v>
      </c>
      <c r="S400" s="28" t="n">
        <v>61.91</v>
      </c>
      <c r="T400" s="28" t="n">
        <v>61.91</v>
      </c>
      <c r="U400" s="13" t="n">
        <f aca="false">IFERROR(YEAR(A400),"")</f>
        <v>2025</v>
      </c>
      <c r="V400" s="28" t="n">
        <f aca="false">IFERROR(O400*B400,0)</f>
        <v>1143452.74</v>
      </c>
      <c r="W400" s="27" t="n">
        <f aca="false">IFERROR(N400*B400,0)</f>
        <v>18470</v>
      </c>
      <c r="X400" s="13" t="n">
        <f aca="false">IF(OR(ISNUMBER(SEARCH("live nation",L400)),ISNUMBER(SEARCH("ocesa",L400))),1,0)</f>
        <v>0</v>
      </c>
      <c r="Y400" s="13" t="s">
        <v>50</v>
      </c>
    </row>
    <row r="401" customFormat="false" ht="15" hidden="false" customHeight="false" outlineLevel="0" collapsed="false">
      <c r="A401" s="30" t="n">
        <v>45788</v>
      </c>
      <c r="B401" s="11" t="n">
        <v>1</v>
      </c>
      <c r="C401" s="31" t="s">
        <v>729</v>
      </c>
      <c r="D401" s="31"/>
      <c r="E401" s="11" t="s">
        <v>343</v>
      </c>
      <c r="F401" s="11" t="s">
        <v>344</v>
      </c>
      <c r="G401" s="11"/>
      <c r="H401" s="11" t="s">
        <v>25</v>
      </c>
      <c r="I401" s="11"/>
      <c r="J401" s="11" t="s">
        <v>133</v>
      </c>
      <c r="K401" s="11" t="s">
        <v>25</v>
      </c>
      <c r="L401" s="11" t="s">
        <v>570</v>
      </c>
      <c r="M401" s="11" t="s">
        <v>100</v>
      </c>
      <c r="N401" s="32" t="n">
        <v>37624</v>
      </c>
      <c r="O401" s="33" t="n">
        <v>5122306.85</v>
      </c>
      <c r="P401" s="32" t="n">
        <v>42237</v>
      </c>
      <c r="Q401" s="34" t="n">
        <v>0.89</v>
      </c>
      <c r="R401" s="33" t="n">
        <v>71.35</v>
      </c>
      <c r="S401" s="33" t="n">
        <v>238.47</v>
      </c>
      <c r="T401" s="33" t="n">
        <v>136.14</v>
      </c>
      <c r="U401" s="11" t="n">
        <f aca="false">IFERROR(YEAR(A401),"")</f>
        <v>2025</v>
      </c>
      <c r="V401" s="33" t="n">
        <f aca="false">IFERROR(O401*B401,0)</f>
        <v>5122306.85</v>
      </c>
      <c r="W401" s="32" t="n">
        <f aca="false">IFERROR(N401*B401,0)</f>
        <v>37624</v>
      </c>
      <c r="X401" s="11" t="n">
        <f aca="false">IF(OR(ISNUMBER(SEARCH("live nation",L401)),ISNUMBER(SEARCH("ocesa",L401))),1,0)</f>
        <v>0</v>
      </c>
      <c r="Y401" s="11" t="s">
        <v>50</v>
      </c>
    </row>
    <row r="402" customFormat="false" ht="15" hidden="false" customHeight="false" outlineLevel="0" collapsed="false">
      <c r="A402" s="25" t="n">
        <v>45787</v>
      </c>
      <c r="B402" s="13" t="n">
        <v>1</v>
      </c>
      <c r="C402" s="26" t="s">
        <v>272</v>
      </c>
      <c r="D402" s="26" t="s">
        <v>733</v>
      </c>
      <c r="E402" s="13" t="s">
        <v>734</v>
      </c>
      <c r="F402" s="13" t="s">
        <v>557</v>
      </c>
      <c r="G402" s="13"/>
      <c r="H402" s="13" t="s">
        <v>558</v>
      </c>
      <c r="I402" s="13"/>
      <c r="J402" s="13" t="s">
        <v>97</v>
      </c>
      <c r="K402" s="13" t="s">
        <v>173</v>
      </c>
      <c r="L402" s="13" t="s">
        <v>177</v>
      </c>
      <c r="M402" s="13" t="s">
        <v>277</v>
      </c>
      <c r="N402" s="27" t="n">
        <v>5374</v>
      </c>
      <c r="O402" s="28" t="n">
        <v>327213.82</v>
      </c>
      <c r="P402" s="27" t="n">
        <v>8388</v>
      </c>
      <c r="Q402" s="29" t="n">
        <v>0.64</v>
      </c>
      <c r="R402" s="28" t="n">
        <v>56.25</v>
      </c>
      <c r="S402" s="28" t="n">
        <v>353.27</v>
      </c>
      <c r="T402" s="28" t="n">
        <v>60.89</v>
      </c>
      <c r="U402" s="13" t="n">
        <f aca="false">IFERROR(YEAR(A402),"")</f>
        <v>2025</v>
      </c>
      <c r="V402" s="28" t="n">
        <f aca="false">IFERROR(O402*B402,0)</f>
        <v>327213.82</v>
      </c>
      <c r="W402" s="27" t="n">
        <f aca="false">IFERROR(N402*B402,0)</f>
        <v>5374</v>
      </c>
      <c r="X402" s="13" t="n">
        <f aca="false">IF(OR(ISNUMBER(SEARCH("live nation",L402)),ISNUMBER(SEARCH("ocesa",L402))),1,0)</f>
        <v>1</v>
      </c>
      <c r="Y402" s="13" t="s">
        <v>49</v>
      </c>
    </row>
    <row r="403" customFormat="false" ht="15" hidden="false" customHeight="false" outlineLevel="0" collapsed="false">
      <c r="A403" s="30" t="n">
        <v>45787</v>
      </c>
      <c r="B403" s="11" t="n">
        <v>2</v>
      </c>
      <c r="C403" s="31" t="s">
        <v>65</v>
      </c>
      <c r="D403" s="31"/>
      <c r="E403" s="11" t="s">
        <v>735</v>
      </c>
      <c r="F403" s="11" t="s">
        <v>736</v>
      </c>
      <c r="G403" s="11"/>
      <c r="H403" s="11" t="s">
        <v>56</v>
      </c>
      <c r="I403" s="11"/>
      <c r="J403" s="11" t="s">
        <v>97</v>
      </c>
      <c r="K403" s="11" t="s">
        <v>300</v>
      </c>
      <c r="L403" s="11" t="s">
        <v>145</v>
      </c>
      <c r="M403" s="11" t="s">
        <v>270</v>
      </c>
      <c r="N403" s="32" t="n">
        <v>12747</v>
      </c>
      <c r="O403" s="33" t="n">
        <v>2021046.56</v>
      </c>
      <c r="P403" s="32" t="n">
        <v>12747</v>
      </c>
      <c r="Q403" s="34" t="n">
        <v>1</v>
      </c>
      <c r="R403" s="33" t="n">
        <v>75.83</v>
      </c>
      <c r="S403" s="33" t="n">
        <v>227.48</v>
      </c>
      <c r="T403" s="33" t="n">
        <v>158.55</v>
      </c>
      <c r="U403" s="11" t="n">
        <f aca="false">IFERROR(YEAR(A403),"")</f>
        <v>2025</v>
      </c>
      <c r="V403" s="33" t="n">
        <f aca="false">IFERROR(O403*B403,0)</f>
        <v>4042093.12</v>
      </c>
      <c r="W403" s="32" t="n">
        <f aca="false">IFERROR(N403*B403,0)</f>
        <v>25494</v>
      </c>
      <c r="X403" s="11" t="n">
        <f aca="false">IF(OR(ISNUMBER(SEARCH("live nation",L403)),ISNUMBER(SEARCH("ocesa",L403))),1,0)</f>
        <v>0</v>
      </c>
      <c r="Y403" s="11" t="s">
        <v>50</v>
      </c>
    </row>
    <row r="404" customFormat="false" ht="15" hidden="false" customHeight="false" outlineLevel="0" collapsed="false">
      <c r="A404" s="25" t="n">
        <v>45787</v>
      </c>
      <c r="B404" s="13" t="n">
        <v>2</v>
      </c>
      <c r="C404" s="26" t="s">
        <v>612</v>
      </c>
      <c r="D404" s="26"/>
      <c r="E404" s="13" t="s">
        <v>737</v>
      </c>
      <c r="F404" s="13" t="s">
        <v>423</v>
      </c>
      <c r="G404" s="13"/>
      <c r="H404" s="13" t="s">
        <v>21</v>
      </c>
      <c r="I404" s="13"/>
      <c r="J404" s="13" t="s">
        <v>738</v>
      </c>
      <c r="K404" s="13" t="s">
        <v>113</v>
      </c>
      <c r="L404" s="13" t="s">
        <v>145</v>
      </c>
      <c r="M404" s="13" t="s">
        <v>100</v>
      </c>
      <c r="N404" s="27" t="n">
        <v>8310</v>
      </c>
      <c r="O404" s="28" t="n">
        <v>983477.27</v>
      </c>
      <c r="P404" s="27" t="n">
        <v>8591</v>
      </c>
      <c r="Q404" s="29" t="n">
        <v>0.96</v>
      </c>
      <c r="R404" s="28" t="n">
        <v>90.68</v>
      </c>
      <c r="S404" s="28" t="n">
        <v>168.84</v>
      </c>
      <c r="T404" s="28" t="n">
        <v>118.34</v>
      </c>
      <c r="U404" s="13" t="n">
        <f aca="false">IFERROR(YEAR(A404),"")</f>
        <v>2025</v>
      </c>
      <c r="V404" s="28" t="n">
        <f aca="false">IFERROR(O404*B404,0)</f>
        <v>1966954.54</v>
      </c>
      <c r="W404" s="27" t="n">
        <f aca="false">IFERROR(N404*B404,0)</f>
        <v>16620</v>
      </c>
      <c r="X404" s="13" t="n">
        <f aca="false">IF(OR(ISNUMBER(SEARCH("live nation",L404)),ISNUMBER(SEARCH("ocesa",L404))),1,0)</f>
        <v>0</v>
      </c>
      <c r="Y404" s="13" t="s">
        <v>50</v>
      </c>
    </row>
    <row r="405" customFormat="false" ht="15" hidden="false" customHeight="false" outlineLevel="0" collapsed="false">
      <c r="A405" s="30" t="n">
        <v>45787</v>
      </c>
      <c r="B405" s="11" t="n">
        <v>1</v>
      </c>
      <c r="C405" s="31" t="s">
        <v>732</v>
      </c>
      <c r="D405" s="31"/>
      <c r="E405" s="11" t="s">
        <v>111</v>
      </c>
      <c r="F405" s="11" t="s">
        <v>112</v>
      </c>
      <c r="G405" s="11"/>
      <c r="H405" s="11" t="s">
        <v>21</v>
      </c>
      <c r="I405" s="11"/>
      <c r="J405" s="11" t="s">
        <v>97</v>
      </c>
      <c r="K405" s="11" t="s">
        <v>113</v>
      </c>
      <c r="L405" s="11" t="s">
        <v>114</v>
      </c>
      <c r="M405" s="11" t="s">
        <v>100</v>
      </c>
      <c r="N405" s="32" t="n">
        <v>18470</v>
      </c>
      <c r="O405" s="33" t="n">
        <v>1143452.74</v>
      </c>
      <c r="P405" s="32" t="n">
        <v>18470</v>
      </c>
      <c r="Q405" s="34" t="n">
        <v>1</v>
      </c>
      <c r="R405" s="33" t="n">
        <v>61.91</v>
      </c>
      <c r="S405" s="33" t="n">
        <v>61.91</v>
      </c>
      <c r="T405" s="33" t="n">
        <v>61.91</v>
      </c>
      <c r="U405" s="11" t="n">
        <f aca="false">IFERROR(YEAR(A405),"")</f>
        <v>2025</v>
      </c>
      <c r="V405" s="33" t="n">
        <f aca="false">IFERROR(O405*B405,0)</f>
        <v>1143452.74</v>
      </c>
      <c r="W405" s="32" t="n">
        <f aca="false">IFERROR(N405*B405,0)</f>
        <v>18470</v>
      </c>
      <c r="X405" s="11" t="n">
        <f aca="false">IF(OR(ISNUMBER(SEARCH("live nation",L405)),ISNUMBER(SEARCH("ocesa",L405))),1,0)</f>
        <v>0</v>
      </c>
      <c r="Y405" s="11" t="s">
        <v>50</v>
      </c>
    </row>
    <row r="406" customFormat="false" ht="15" hidden="false" customHeight="false" outlineLevel="0" collapsed="false">
      <c r="A406" s="25" t="n">
        <v>45787</v>
      </c>
      <c r="B406" s="13" t="n">
        <v>2</v>
      </c>
      <c r="C406" s="26" t="s">
        <v>472</v>
      </c>
      <c r="D406" s="26"/>
      <c r="E406" s="13" t="s">
        <v>739</v>
      </c>
      <c r="F406" s="13" t="s">
        <v>423</v>
      </c>
      <c r="G406" s="13"/>
      <c r="H406" s="13" t="s">
        <v>21</v>
      </c>
      <c r="I406" s="13"/>
      <c r="J406" s="13" t="s">
        <v>738</v>
      </c>
      <c r="K406" s="13" t="s">
        <v>113</v>
      </c>
      <c r="L406" s="13" t="s">
        <v>145</v>
      </c>
      <c r="M406" s="13" t="s">
        <v>100</v>
      </c>
      <c r="N406" s="27" t="n">
        <v>8310</v>
      </c>
      <c r="O406" s="28" t="n">
        <v>983477.27</v>
      </c>
      <c r="P406" s="27" t="n">
        <v>8591</v>
      </c>
      <c r="Q406" s="29" t="n">
        <v>0.96</v>
      </c>
      <c r="R406" s="28" t="n">
        <v>99.74</v>
      </c>
      <c r="S406" s="28" t="n">
        <v>185.73</v>
      </c>
      <c r="T406" s="28" t="n">
        <v>118.34</v>
      </c>
      <c r="U406" s="13" t="n">
        <f aca="false">IFERROR(YEAR(A406),"")</f>
        <v>2025</v>
      </c>
      <c r="V406" s="28" t="n">
        <f aca="false">IFERROR(O406*B406,0)</f>
        <v>1966954.54</v>
      </c>
      <c r="W406" s="27" t="n">
        <f aca="false">IFERROR(N406*B406,0)</f>
        <v>16620</v>
      </c>
      <c r="X406" s="13" t="n">
        <f aca="false">IF(OR(ISNUMBER(SEARCH("live nation",L406)),ISNUMBER(SEARCH("ocesa",L406))),1,0)</f>
        <v>0</v>
      </c>
      <c r="Y406" s="13" t="s">
        <v>50</v>
      </c>
    </row>
    <row r="407" customFormat="false" ht="15" hidden="false" customHeight="false" outlineLevel="0" collapsed="false">
      <c r="A407" s="30" t="n">
        <v>45787</v>
      </c>
      <c r="B407" s="11" t="n">
        <v>1</v>
      </c>
      <c r="C407" s="31" t="s">
        <v>729</v>
      </c>
      <c r="D407" s="31"/>
      <c r="E407" s="11" t="s">
        <v>343</v>
      </c>
      <c r="F407" s="11" t="s">
        <v>344</v>
      </c>
      <c r="G407" s="11"/>
      <c r="H407" s="11" t="s">
        <v>25</v>
      </c>
      <c r="I407" s="11"/>
      <c r="J407" s="11" t="s">
        <v>133</v>
      </c>
      <c r="K407" s="11" t="s">
        <v>25</v>
      </c>
      <c r="L407" s="11" t="s">
        <v>570</v>
      </c>
      <c r="M407" s="11" t="s">
        <v>100</v>
      </c>
      <c r="N407" s="32" t="n">
        <v>37631</v>
      </c>
      <c r="O407" s="33" t="n">
        <v>5123577.62</v>
      </c>
      <c r="P407" s="32" t="n">
        <v>42237</v>
      </c>
      <c r="Q407" s="34" t="n">
        <v>0.89</v>
      </c>
      <c r="R407" s="33" t="n">
        <v>71.35</v>
      </c>
      <c r="S407" s="33" t="n">
        <v>238.47</v>
      </c>
      <c r="T407" s="33" t="n">
        <v>136.15</v>
      </c>
      <c r="U407" s="11" t="n">
        <f aca="false">IFERROR(YEAR(A407),"")</f>
        <v>2025</v>
      </c>
      <c r="V407" s="33" t="n">
        <f aca="false">IFERROR(O407*B407,0)</f>
        <v>5123577.62</v>
      </c>
      <c r="W407" s="32" t="n">
        <f aca="false">IFERROR(N407*B407,0)</f>
        <v>37631</v>
      </c>
      <c r="X407" s="11" t="n">
        <f aca="false">IF(OR(ISNUMBER(SEARCH("live nation",L407)),ISNUMBER(SEARCH("ocesa",L407))),1,0)</f>
        <v>0</v>
      </c>
      <c r="Y407" s="11" t="s">
        <v>50</v>
      </c>
    </row>
    <row r="408" customFormat="false" ht="15" hidden="false" customHeight="false" outlineLevel="0" collapsed="false">
      <c r="A408" s="25" t="n">
        <v>45786</v>
      </c>
      <c r="B408" s="13" t="n">
        <v>3</v>
      </c>
      <c r="C408" s="26" t="s">
        <v>63</v>
      </c>
      <c r="D408" s="26"/>
      <c r="E408" s="13" t="s">
        <v>718</v>
      </c>
      <c r="F408" s="13" t="s">
        <v>719</v>
      </c>
      <c r="G408" s="13"/>
      <c r="H408" s="13" t="s">
        <v>720</v>
      </c>
      <c r="I408" s="13"/>
      <c r="J408" s="13" t="s">
        <v>97</v>
      </c>
      <c r="K408" s="13" t="s">
        <v>721</v>
      </c>
      <c r="L408" s="13" t="s">
        <v>145</v>
      </c>
      <c r="M408" s="13" t="s">
        <v>100</v>
      </c>
      <c r="N408" s="27" t="n">
        <v>10454</v>
      </c>
      <c r="O408" s="28" t="n">
        <v>2219633.22</v>
      </c>
      <c r="P408" s="27" t="n">
        <v>10455</v>
      </c>
      <c r="Q408" s="29" t="n">
        <v>0.99</v>
      </c>
      <c r="R408" s="28" t="n">
        <v>99.72</v>
      </c>
      <c r="S408" s="28" t="n">
        <v>249.48</v>
      </c>
      <c r="T408" s="28" t="n">
        <v>212.31</v>
      </c>
      <c r="U408" s="13" t="n">
        <f aca="false">IFERROR(YEAR(A408),"")</f>
        <v>2025</v>
      </c>
      <c r="V408" s="28" t="n">
        <f aca="false">IFERROR(O408*B408,0)</f>
        <v>6658899.66</v>
      </c>
      <c r="W408" s="27" t="n">
        <f aca="false">IFERROR(N408*B408,0)</f>
        <v>31362</v>
      </c>
      <c r="X408" s="13" t="n">
        <f aca="false">IF(OR(ISNUMBER(SEARCH("live nation",L408)),ISNUMBER(SEARCH("ocesa",L408))),1,0)</f>
        <v>0</v>
      </c>
      <c r="Y408" s="13" t="s">
        <v>50</v>
      </c>
    </row>
    <row r="409" customFormat="false" ht="15" hidden="false" customHeight="false" outlineLevel="0" collapsed="false">
      <c r="A409" s="30" t="n">
        <v>45786</v>
      </c>
      <c r="B409" s="11" t="n">
        <v>1</v>
      </c>
      <c r="C409" s="31" t="s">
        <v>740</v>
      </c>
      <c r="D409" s="31" t="s">
        <v>741</v>
      </c>
      <c r="E409" s="11" t="s">
        <v>131</v>
      </c>
      <c r="F409" s="11" t="s">
        <v>132</v>
      </c>
      <c r="G409" s="11"/>
      <c r="H409" s="11" t="s">
        <v>23</v>
      </c>
      <c r="I409" s="11"/>
      <c r="J409" s="11" t="s">
        <v>133</v>
      </c>
      <c r="K409" s="11" t="s">
        <v>134</v>
      </c>
      <c r="L409" s="11" t="s">
        <v>135</v>
      </c>
      <c r="M409" s="11" t="s">
        <v>742</v>
      </c>
      <c r="N409" s="32" t="n">
        <v>23221</v>
      </c>
      <c r="O409" s="33" t="n">
        <v>2654756.52</v>
      </c>
      <c r="P409" s="32" t="n">
        <v>29009</v>
      </c>
      <c r="Q409" s="34" t="n">
        <v>0.8</v>
      </c>
      <c r="R409" s="33" t="n">
        <v>61.45</v>
      </c>
      <c r="S409" s="33" t="n">
        <v>409.68</v>
      </c>
      <c r="T409" s="33" t="n">
        <v>114.33</v>
      </c>
      <c r="U409" s="11" t="n">
        <f aca="false">IFERROR(YEAR(A409),"")</f>
        <v>2025</v>
      </c>
      <c r="V409" s="33" t="n">
        <f aca="false">IFERROR(O409*B409,0)</f>
        <v>2654756.52</v>
      </c>
      <c r="W409" s="32" t="n">
        <f aca="false">IFERROR(N409*B409,0)</f>
        <v>23221</v>
      </c>
      <c r="X409" s="11" t="n">
        <f aca="false">IF(OR(ISNUMBER(SEARCH("live nation",L409)),ISNUMBER(SEARCH("ocesa",L409))),1,0)</f>
        <v>1</v>
      </c>
      <c r="Y409" s="11" t="s">
        <v>49</v>
      </c>
    </row>
    <row r="410" customFormat="false" ht="15" hidden="false" customHeight="false" outlineLevel="0" collapsed="false">
      <c r="A410" s="25" t="n">
        <v>45786</v>
      </c>
      <c r="B410" s="13" t="n">
        <v>1</v>
      </c>
      <c r="C410" s="26" t="s">
        <v>730</v>
      </c>
      <c r="D410" s="26"/>
      <c r="E410" s="13" t="s">
        <v>487</v>
      </c>
      <c r="F410" s="13" t="s">
        <v>207</v>
      </c>
      <c r="G410" s="13" t="s">
        <v>208</v>
      </c>
      <c r="H410" s="13" t="s">
        <v>20</v>
      </c>
      <c r="I410" s="13" t="s">
        <v>209</v>
      </c>
      <c r="J410" s="13" t="s">
        <v>121</v>
      </c>
      <c r="K410" s="13" t="s">
        <v>107</v>
      </c>
      <c r="L410" s="13" t="s">
        <v>531</v>
      </c>
      <c r="M410" s="13" t="s">
        <v>100</v>
      </c>
      <c r="N410" s="27" t="n">
        <v>2117</v>
      </c>
      <c r="O410" s="28" t="n">
        <v>265849.5</v>
      </c>
      <c r="P410" s="27" t="n">
        <v>4212</v>
      </c>
      <c r="Q410" s="29" t="n">
        <v>0.5</v>
      </c>
      <c r="R410" s="28" t="n">
        <v>39.5</v>
      </c>
      <c r="S410" s="28" t="n">
        <v>249.5</v>
      </c>
      <c r="T410" s="28" t="n">
        <v>125.58</v>
      </c>
      <c r="U410" s="13" t="n">
        <f aca="false">IFERROR(YEAR(A410),"")</f>
        <v>2025</v>
      </c>
      <c r="V410" s="28" t="n">
        <f aca="false">IFERROR(O410*B410,0)</f>
        <v>265849.5</v>
      </c>
      <c r="W410" s="27" t="n">
        <f aca="false">IFERROR(N410*B410,0)</f>
        <v>2117</v>
      </c>
      <c r="X410" s="13" t="n">
        <f aca="false">IF(OR(ISNUMBER(SEARCH("live nation",L410)),ISNUMBER(SEARCH("ocesa",L410))),1,0)</f>
        <v>0</v>
      </c>
      <c r="Y410" s="13" t="s">
        <v>49</v>
      </c>
    </row>
    <row r="411" customFormat="false" ht="15" hidden="false" customHeight="false" outlineLevel="0" collapsed="false">
      <c r="A411" s="30" t="n">
        <v>45786</v>
      </c>
      <c r="B411" s="11" t="n">
        <v>1</v>
      </c>
      <c r="C411" s="31" t="s">
        <v>729</v>
      </c>
      <c r="D411" s="31"/>
      <c r="E411" s="11" t="s">
        <v>343</v>
      </c>
      <c r="F411" s="11" t="s">
        <v>344</v>
      </c>
      <c r="G411" s="11"/>
      <c r="H411" s="11" t="s">
        <v>25</v>
      </c>
      <c r="I411" s="11"/>
      <c r="J411" s="11" t="s">
        <v>133</v>
      </c>
      <c r="K411" s="11" t="s">
        <v>25</v>
      </c>
      <c r="L411" s="11" t="s">
        <v>570</v>
      </c>
      <c r="M411" s="11" t="s">
        <v>100</v>
      </c>
      <c r="N411" s="32" t="n">
        <v>37141</v>
      </c>
      <c r="O411" s="33" t="n">
        <v>5017720.14</v>
      </c>
      <c r="P411" s="32" t="n">
        <v>42327</v>
      </c>
      <c r="Q411" s="34" t="n">
        <v>0.87</v>
      </c>
      <c r="R411" s="33" t="n">
        <v>71.4</v>
      </c>
      <c r="S411" s="33" t="n">
        <v>238.63</v>
      </c>
      <c r="T411" s="33" t="n">
        <v>135.1</v>
      </c>
      <c r="U411" s="11" t="n">
        <f aca="false">IFERROR(YEAR(A411),"")</f>
        <v>2025</v>
      </c>
      <c r="V411" s="33" t="n">
        <f aca="false">IFERROR(O411*B411,0)</f>
        <v>5017720.14</v>
      </c>
      <c r="W411" s="32" t="n">
        <f aca="false">IFERROR(N411*B411,0)</f>
        <v>37141</v>
      </c>
      <c r="X411" s="11" t="n">
        <f aca="false">IF(OR(ISNUMBER(SEARCH("live nation",L411)),ISNUMBER(SEARCH("ocesa",L411))),1,0)</f>
        <v>0</v>
      </c>
      <c r="Y411" s="11" t="s">
        <v>50</v>
      </c>
    </row>
    <row r="412" customFormat="false" ht="15" hidden="false" customHeight="false" outlineLevel="0" collapsed="false">
      <c r="A412" s="25" t="n">
        <v>45784</v>
      </c>
      <c r="B412" s="13" t="n">
        <v>1</v>
      </c>
      <c r="C412" s="26" t="s">
        <v>730</v>
      </c>
      <c r="D412" s="26"/>
      <c r="E412" s="13" t="s">
        <v>392</v>
      </c>
      <c r="F412" s="13" t="s">
        <v>197</v>
      </c>
      <c r="G412" s="13" t="s">
        <v>139</v>
      </c>
      <c r="H412" s="13" t="s">
        <v>20</v>
      </c>
      <c r="I412" s="13" t="s">
        <v>139</v>
      </c>
      <c r="J412" s="13" t="s">
        <v>121</v>
      </c>
      <c r="K412" s="13" t="s">
        <v>107</v>
      </c>
      <c r="L412" s="13" t="s">
        <v>531</v>
      </c>
      <c r="M412" s="13" t="s">
        <v>100</v>
      </c>
      <c r="N412" s="27" t="n">
        <v>1043</v>
      </c>
      <c r="O412" s="28" t="n">
        <v>176328.5</v>
      </c>
      <c r="P412" s="27" t="n">
        <v>2943</v>
      </c>
      <c r="Q412" s="29" t="n">
        <v>0.35</v>
      </c>
      <c r="R412" s="28" t="n">
        <v>39.5</v>
      </c>
      <c r="S412" s="28" t="n">
        <v>169.5</v>
      </c>
      <c r="T412" s="28" t="n">
        <v>169.06</v>
      </c>
      <c r="U412" s="13" t="n">
        <f aca="false">IFERROR(YEAR(A412),"")</f>
        <v>2025</v>
      </c>
      <c r="V412" s="28" t="n">
        <f aca="false">IFERROR(O412*B412,0)</f>
        <v>176328.5</v>
      </c>
      <c r="W412" s="27" t="n">
        <f aca="false">IFERROR(N412*B412,0)</f>
        <v>1043</v>
      </c>
      <c r="X412" s="13" t="n">
        <f aca="false">IF(OR(ISNUMBER(SEARCH("live nation",L412)),ISNUMBER(SEARCH("ocesa",L412))),1,0)</f>
        <v>0</v>
      </c>
      <c r="Y412" s="13" t="s">
        <v>49</v>
      </c>
    </row>
    <row r="413" customFormat="false" ht="15" hidden="false" customHeight="false" outlineLevel="0" collapsed="false">
      <c r="A413" s="30" t="n">
        <v>45782</v>
      </c>
      <c r="B413" s="11" t="n">
        <v>1</v>
      </c>
      <c r="C413" s="31" t="s">
        <v>574</v>
      </c>
      <c r="D413" s="31"/>
      <c r="E413" s="11" t="s">
        <v>95</v>
      </c>
      <c r="F413" s="11" t="s">
        <v>96</v>
      </c>
      <c r="G413" s="11"/>
      <c r="H413" s="11" t="s">
        <v>28</v>
      </c>
      <c r="I413" s="11"/>
      <c r="J413" s="11" t="s">
        <v>97</v>
      </c>
      <c r="K413" s="11" t="s">
        <v>98</v>
      </c>
      <c r="L413" s="11" t="s">
        <v>329</v>
      </c>
      <c r="M413" s="11" t="s">
        <v>100</v>
      </c>
      <c r="N413" s="32" t="n">
        <v>11337</v>
      </c>
      <c r="O413" s="33" t="n">
        <v>1160903.2</v>
      </c>
      <c r="P413" s="32" t="n">
        <v>11425</v>
      </c>
      <c r="Q413" s="34" t="n">
        <v>0.99</v>
      </c>
      <c r="R413" s="33" t="n">
        <v>76.91</v>
      </c>
      <c r="S413" s="33" t="n">
        <v>160.94</v>
      </c>
      <c r="T413" s="33" t="n">
        <v>102.4</v>
      </c>
      <c r="U413" s="11" t="n">
        <f aca="false">IFERROR(YEAR(A413),"")</f>
        <v>2025</v>
      </c>
      <c r="V413" s="33" t="n">
        <f aca="false">IFERROR(O413*B413,0)</f>
        <v>1160903.2</v>
      </c>
      <c r="W413" s="32" t="n">
        <f aca="false">IFERROR(N413*B413,0)</f>
        <v>11337</v>
      </c>
      <c r="X413" s="11" t="n">
        <f aca="false">IF(OR(ISNUMBER(SEARCH("live nation",L413)),ISNUMBER(SEARCH("ocesa",L413))),1,0)</f>
        <v>0</v>
      </c>
      <c r="Y413" s="11" t="s">
        <v>49</v>
      </c>
    </row>
    <row r="414" customFormat="false" ht="15" hidden="false" customHeight="false" outlineLevel="0" collapsed="false">
      <c r="A414" s="25" t="n">
        <v>45780</v>
      </c>
      <c r="B414" s="13" t="n">
        <v>2</v>
      </c>
      <c r="C414" s="26" t="s">
        <v>65</v>
      </c>
      <c r="D414" s="26"/>
      <c r="E414" s="13" t="s">
        <v>672</v>
      </c>
      <c r="F414" s="13" t="s">
        <v>673</v>
      </c>
      <c r="G414" s="13"/>
      <c r="H414" s="13" t="s">
        <v>674</v>
      </c>
      <c r="I414" s="13"/>
      <c r="J414" s="13" t="s">
        <v>97</v>
      </c>
      <c r="K414" s="13" t="s">
        <v>675</v>
      </c>
      <c r="L414" s="13" t="s">
        <v>145</v>
      </c>
      <c r="M414" s="13" t="s">
        <v>270</v>
      </c>
      <c r="N414" s="27" t="n">
        <v>10052</v>
      </c>
      <c r="O414" s="28" t="n">
        <v>1847051.2</v>
      </c>
      <c r="P414" s="27" t="n">
        <v>10077</v>
      </c>
      <c r="Q414" s="29" t="n">
        <v>0.99</v>
      </c>
      <c r="R414" s="28" t="n">
        <v>109.27</v>
      </c>
      <c r="S414" s="28" t="n">
        <v>218.53</v>
      </c>
      <c r="T414" s="28" t="n">
        <v>183.75</v>
      </c>
      <c r="U414" s="13" t="n">
        <f aca="false">IFERROR(YEAR(A414),"")</f>
        <v>2025</v>
      </c>
      <c r="V414" s="28" t="n">
        <f aca="false">IFERROR(O414*B414,0)</f>
        <v>3694102.4</v>
      </c>
      <c r="W414" s="27" t="n">
        <f aca="false">IFERROR(N414*B414,0)</f>
        <v>20104</v>
      </c>
      <c r="X414" s="13" t="n">
        <f aca="false">IF(OR(ISNUMBER(SEARCH("live nation",L414)),ISNUMBER(SEARCH("ocesa",L414))),1,0)</f>
        <v>0</v>
      </c>
      <c r="Y414" s="13" t="s">
        <v>50</v>
      </c>
    </row>
    <row r="415" customFormat="false" ht="15" hidden="false" customHeight="false" outlineLevel="0" collapsed="false">
      <c r="A415" s="30" t="n">
        <v>45777</v>
      </c>
      <c r="B415" s="11" t="n">
        <v>1</v>
      </c>
      <c r="C415" s="31" t="s">
        <v>743</v>
      </c>
      <c r="D415" s="31"/>
      <c r="E415" s="11" t="s">
        <v>111</v>
      </c>
      <c r="F415" s="11" t="s">
        <v>112</v>
      </c>
      <c r="G415" s="11"/>
      <c r="H415" s="11" t="s">
        <v>21</v>
      </c>
      <c r="I415" s="11"/>
      <c r="J415" s="11" t="s">
        <v>97</v>
      </c>
      <c r="K415" s="11" t="s">
        <v>113</v>
      </c>
      <c r="L415" s="11" t="s">
        <v>399</v>
      </c>
      <c r="M415" s="11" t="s">
        <v>277</v>
      </c>
      <c r="N415" s="32" t="n">
        <v>20000</v>
      </c>
      <c r="O415" s="33" t="n">
        <v>1894560.74</v>
      </c>
      <c r="P415" s="32" t="n">
        <v>20000</v>
      </c>
      <c r="Q415" s="34" t="n">
        <v>1</v>
      </c>
      <c r="R415" s="33" t="n">
        <v>94.73</v>
      </c>
      <c r="S415" s="33" t="n">
        <v>94.73</v>
      </c>
      <c r="T415" s="33" t="n">
        <v>94.73</v>
      </c>
      <c r="U415" s="11" t="n">
        <f aca="false">IFERROR(YEAR(A415),"")</f>
        <v>2025</v>
      </c>
      <c r="V415" s="33" t="n">
        <f aca="false">IFERROR(O415*B415,0)</f>
        <v>1894560.74</v>
      </c>
      <c r="W415" s="32" t="n">
        <f aca="false">IFERROR(N415*B415,0)</f>
        <v>20000</v>
      </c>
      <c r="X415" s="11" t="n">
        <f aca="false">IF(OR(ISNUMBER(SEARCH("live nation",L415)),ISNUMBER(SEARCH("ocesa",L415))),1,0)</f>
        <v>0</v>
      </c>
      <c r="Y415" s="11" t="s">
        <v>50</v>
      </c>
    </row>
    <row r="416" customFormat="false" ht="15" hidden="false" customHeight="false" outlineLevel="0" collapsed="false">
      <c r="A416" s="25" t="n">
        <v>45776</v>
      </c>
      <c r="B416" s="13" t="n">
        <v>2</v>
      </c>
      <c r="C416" s="26" t="s">
        <v>63</v>
      </c>
      <c r="D416" s="26"/>
      <c r="E416" s="13" t="s">
        <v>708</v>
      </c>
      <c r="F416" s="13" t="s">
        <v>408</v>
      </c>
      <c r="G416" s="13"/>
      <c r="H416" s="13" t="s">
        <v>21</v>
      </c>
      <c r="I416" s="13"/>
      <c r="J416" s="13" t="s">
        <v>97</v>
      </c>
      <c r="K416" s="13" t="s">
        <v>113</v>
      </c>
      <c r="L416" s="13" t="s">
        <v>145</v>
      </c>
      <c r="M416" s="13" t="s">
        <v>100</v>
      </c>
      <c r="N416" s="27" t="n">
        <v>13125</v>
      </c>
      <c r="O416" s="28" t="n">
        <v>1514095.48</v>
      </c>
      <c r="P416" s="27" t="n">
        <v>13140</v>
      </c>
      <c r="Q416" s="29" t="n">
        <v>0.99</v>
      </c>
      <c r="R416" s="28" t="n">
        <v>92.55</v>
      </c>
      <c r="S416" s="28" t="n">
        <v>172.33</v>
      </c>
      <c r="T416" s="28" t="n">
        <v>115.36</v>
      </c>
      <c r="U416" s="13" t="n">
        <f aca="false">IFERROR(YEAR(A416),"")</f>
        <v>2025</v>
      </c>
      <c r="V416" s="28" t="n">
        <f aca="false">IFERROR(O416*B416,0)</f>
        <v>3028190.96</v>
      </c>
      <c r="W416" s="27" t="n">
        <f aca="false">IFERROR(N416*B416,0)</f>
        <v>26250</v>
      </c>
      <c r="X416" s="13" t="n">
        <f aca="false">IF(OR(ISNUMBER(SEARCH("live nation",L416)),ISNUMBER(SEARCH("ocesa",L416))),1,0)</f>
        <v>0</v>
      </c>
      <c r="Y416" s="13" t="s">
        <v>50</v>
      </c>
    </row>
    <row r="417" customFormat="false" ht="15" hidden="false" customHeight="false" outlineLevel="0" collapsed="false">
      <c r="A417" s="30" t="n">
        <v>45776</v>
      </c>
      <c r="B417" s="11" t="n">
        <v>1</v>
      </c>
      <c r="C417" s="31" t="s">
        <v>743</v>
      </c>
      <c r="D417" s="31"/>
      <c r="E417" s="11" t="s">
        <v>111</v>
      </c>
      <c r="F417" s="11" t="s">
        <v>112</v>
      </c>
      <c r="G417" s="11"/>
      <c r="H417" s="11" t="s">
        <v>21</v>
      </c>
      <c r="I417" s="11"/>
      <c r="J417" s="11" t="s">
        <v>97</v>
      </c>
      <c r="K417" s="11" t="s">
        <v>113</v>
      </c>
      <c r="L417" s="11" t="s">
        <v>399</v>
      </c>
      <c r="M417" s="11" t="s">
        <v>277</v>
      </c>
      <c r="N417" s="32" t="n">
        <v>20000</v>
      </c>
      <c r="O417" s="33" t="n">
        <v>1895654.7</v>
      </c>
      <c r="P417" s="32" t="n">
        <v>20000</v>
      </c>
      <c r="Q417" s="34" t="n">
        <v>1</v>
      </c>
      <c r="R417" s="33" t="n">
        <v>94.78</v>
      </c>
      <c r="S417" s="33" t="n">
        <v>94.78</v>
      </c>
      <c r="T417" s="33" t="n">
        <v>94.78</v>
      </c>
      <c r="U417" s="11" t="n">
        <f aca="false">IFERROR(YEAR(A417),"")</f>
        <v>2025</v>
      </c>
      <c r="V417" s="33" t="n">
        <f aca="false">IFERROR(O417*B417,0)</f>
        <v>1895654.7</v>
      </c>
      <c r="W417" s="32" t="n">
        <f aca="false">IFERROR(N417*B417,0)</f>
        <v>20000</v>
      </c>
      <c r="X417" s="11" t="n">
        <f aca="false">IF(OR(ISNUMBER(SEARCH("live nation",L417)),ISNUMBER(SEARCH("ocesa",L417))),1,0)</f>
        <v>0</v>
      </c>
      <c r="Y417" s="11" t="s">
        <v>50</v>
      </c>
    </row>
    <row r="418" customFormat="false" ht="15" hidden="false" customHeight="false" outlineLevel="0" collapsed="false">
      <c r="A418" s="25" t="n">
        <v>45773</v>
      </c>
      <c r="B418" s="13" t="n">
        <v>2</v>
      </c>
      <c r="C418" s="26" t="s">
        <v>65</v>
      </c>
      <c r="D418" s="26"/>
      <c r="E418" s="13" t="s">
        <v>391</v>
      </c>
      <c r="F418" s="13" t="s">
        <v>324</v>
      </c>
      <c r="G418" s="13"/>
      <c r="H418" s="13" t="s">
        <v>324</v>
      </c>
      <c r="I418" s="13"/>
      <c r="J418" s="13" t="s">
        <v>97</v>
      </c>
      <c r="K418" s="13" t="s">
        <v>324</v>
      </c>
      <c r="L418" s="13" t="s">
        <v>145</v>
      </c>
      <c r="M418" s="13" t="s">
        <v>270</v>
      </c>
      <c r="N418" s="27" t="n">
        <v>9842</v>
      </c>
      <c r="O418" s="28" t="n">
        <v>2306241.56</v>
      </c>
      <c r="P418" s="27" t="n">
        <v>9842</v>
      </c>
      <c r="Q418" s="29" t="n">
        <v>1</v>
      </c>
      <c r="R418" s="28" t="n">
        <v>150.68</v>
      </c>
      <c r="S418" s="28" t="n">
        <v>325.7</v>
      </c>
      <c r="T418" s="28" t="n">
        <v>234.33</v>
      </c>
      <c r="U418" s="13" t="n">
        <f aca="false">IFERROR(YEAR(A418),"")</f>
        <v>2025</v>
      </c>
      <c r="V418" s="28" t="n">
        <f aca="false">IFERROR(O418*B418,0)</f>
        <v>4612483.12</v>
      </c>
      <c r="W418" s="27" t="n">
        <f aca="false">IFERROR(N418*B418,0)</f>
        <v>19684</v>
      </c>
      <c r="X418" s="13" t="n">
        <f aca="false">IF(OR(ISNUMBER(SEARCH("live nation",L418)),ISNUMBER(SEARCH("ocesa",L418))),1,0)</f>
        <v>0</v>
      </c>
      <c r="Y418" s="13" t="s">
        <v>50</v>
      </c>
    </row>
    <row r="419" customFormat="false" ht="15" hidden="false" customHeight="false" outlineLevel="0" collapsed="false">
      <c r="A419" s="30" t="n">
        <v>45772</v>
      </c>
      <c r="B419" s="11" t="n">
        <v>2</v>
      </c>
      <c r="C419" s="31" t="s">
        <v>63</v>
      </c>
      <c r="D419" s="31"/>
      <c r="E419" s="11" t="s">
        <v>744</v>
      </c>
      <c r="F419" s="11" t="s">
        <v>745</v>
      </c>
      <c r="G419" s="11"/>
      <c r="H419" s="11" t="s">
        <v>21</v>
      </c>
      <c r="I419" s="11"/>
      <c r="J419" s="11" t="s">
        <v>738</v>
      </c>
      <c r="K419" s="11" t="s">
        <v>113</v>
      </c>
      <c r="L419" s="11" t="s">
        <v>145</v>
      </c>
      <c r="M419" s="11" t="s">
        <v>100</v>
      </c>
      <c r="N419" s="32" t="n">
        <v>8496</v>
      </c>
      <c r="O419" s="33" t="n">
        <v>1033548.76</v>
      </c>
      <c r="P419" s="32" t="n">
        <v>8514</v>
      </c>
      <c r="Q419" s="34" t="n">
        <v>0.99</v>
      </c>
      <c r="R419" s="33" t="n">
        <v>91.77</v>
      </c>
      <c r="S419" s="33" t="n">
        <v>170.88</v>
      </c>
      <c r="T419" s="33" t="n">
        <v>121.65</v>
      </c>
      <c r="U419" s="11" t="n">
        <f aca="false">IFERROR(YEAR(A419),"")</f>
        <v>2025</v>
      </c>
      <c r="V419" s="33" t="n">
        <f aca="false">IFERROR(O419*B419,0)</f>
        <v>2067097.52</v>
      </c>
      <c r="W419" s="32" t="n">
        <f aca="false">IFERROR(N419*B419,0)</f>
        <v>16992</v>
      </c>
      <c r="X419" s="11" t="n">
        <f aca="false">IF(OR(ISNUMBER(SEARCH("live nation",L419)),ISNUMBER(SEARCH("ocesa",L419))),1,0)</f>
        <v>0</v>
      </c>
      <c r="Y419" s="11" t="s">
        <v>50</v>
      </c>
    </row>
    <row r="420" customFormat="false" ht="15" hidden="false" customHeight="false" outlineLevel="0" collapsed="false">
      <c r="A420" s="25" t="n">
        <v>45767</v>
      </c>
      <c r="B420" s="13" t="n">
        <v>1</v>
      </c>
      <c r="C420" s="26" t="s">
        <v>746</v>
      </c>
      <c r="D420" s="26" t="s">
        <v>747</v>
      </c>
      <c r="E420" s="13" t="s">
        <v>111</v>
      </c>
      <c r="F420" s="13" t="s">
        <v>112</v>
      </c>
      <c r="G420" s="13"/>
      <c r="H420" s="13" t="s">
        <v>21</v>
      </c>
      <c r="I420" s="13"/>
      <c r="J420" s="13" t="s">
        <v>97</v>
      </c>
      <c r="K420" s="13" t="s">
        <v>113</v>
      </c>
      <c r="L420" s="13" t="s">
        <v>114</v>
      </c>
      <c r="M420" s="13" t="s">
        <v>100</v>
      </c>
      <c r="N420" s="27" t="n">
        <v>18985</v>
      </c>
      <c r="O420" s="28" t="n">
        <v>1466611.09</v>
      </c>
      <c r="P420" s="27" t="n">
        <v>18985</v>
      </c>
      <c r="Q420" s="29" t="n">
        <v>1</v>
      </c>
      <c r="R420" s="28" t="n">
        <v>77.25</v>
      </c>
      <c r="S420" s="28" t="n">
        <v>77.25</v>
      </c>
      <c r="T420" s="28" t="n">
        <v>77.25</v>
      </c>
      <c r="U420" s="13" t="n">
        <f aca="false">IFERROR(YEAR(A420),"")</f>
        <v>2025</v>
      </c>
      <c r="V420" s="28" t="n">
        <f aca="false">IFERROR(O420*B420,0)</f>
        <v>1466611.09</v>
      </c>
      <c r="W420" s="27" t="n">
        <f aca="false">IFERROR(N420*B420,0)</f>
        <v>18985</v>
      </c>
      <c r="X420" s="13" t="n">
        <f aca="false">IF(OR(ISNUMBER(SEARCH("live nation",L420)),ISNUMBER(SEARCH("ocesa",L420))),1,0)</f>
        <v>0</v>
      </c>
      <c r="Y420" s="13" t="s">
        <v>50</v>
      </c>
    </row>
    <row r="421" customFormat="false" ht="15" hidden="false" customHeight="false" outlineLevel="0" collapsed="false">
      <c r="A421" s="30" t="n">
        <v>45766</v>
      </c>
      <c r="B421" s="11" t="n">
        <v>2</v>
      </c>
      <c r="C421" s="31" t="s">
        <v>65</v>
      </c>
      <c r="D421" s="31"/>
      <c r="E421" s="11" t="s">
        <v>473</v>
      </c>
      <c r="F421" s="11" t="s">
        <v>474</v>
      </c>
      <c r="G421" s="11"/>
      <c r="H421" s="11" t="s">
        <v>21</v>
      </c>
      <c r="I421" s="11"/>
      <c r="J421" s="11" t="s">
        <v>97</v>
      </c>
      <c r="K421" s="11" t="s">
        <v>113</v>
      </c>
      <c r="L421" s="11" t="s">
        <v>145</v>
      </c>
      <c r="M421" s="11" t="s">
        <v>270</v>
      </c>
      <c r="N421" s="32" t="n">
        <v>19360</v>
      </c>
      <c r="O421" s="33" t="n">
        <v>262580.97</v>
      </c>
      <c r="P421" s="32" t="n">
        <v>19360</v>
      </c>
      <c r="Q421" s="34" t="n">
        <v>1</v>
      </c>
      <c r="R421" s="33" t="n">
        <v>116.83</v>
      </c>
      <c r="S421" s="33" t="n">
        <v>254.1</v>
      </c>
      <c r="T421" s="33" t="n">
        <v>13.56</v>
      </c>
      <c r="U421" s="11" t="n">
        <f aca="false">IFERROR(YEAR(A421),"")</f>
        <v>2025</v>
      </c>
      <c r="V421" s="33" t="n">
        <f aca="false">IFERROR(O421*B421,0)</f>
        <v>525161.94</v>
      </c>
      <c r="W421" s="32" t="n">
        <f aca="false">IFERROR(N421*B421,0)</f>
        <v>38720</v>
      </c>
      <c r="X421" s="11" t="n">
        <f aca="false">IF(OR(ISNUMBER(SEARCH("live nation",L421)),ISNUMBER(SEARCH("ocesa",L421))),1,0)</f>
        <v>0</v>
      </c>
      <c r="Y421" s="11" t="s">
        <v>50</v>
      </c>
    </row>
    <row r="422" customFormat="false" ht="15" hidden="false" customHeight="false" outlineLevel="0" collapsed="false">
      <c r="A422" s="25" t="n">
        <v>45766</v>
      </c>
      <c r="B422" s="13" t="n">
        <v>1</v>
      </c>
      <c r="C422" s="26" t="s">
        <v>748</v>
      </c>
      <c r="D422" s="26"/>
      <c r="E422" s="13" t="s">
        <v>433</v>
      </c>
      <c r="F422" s="13" t="s">
        <v>139</v>
      </c>
      <c r="G422" s="13" t="s">
        <v>139</v>
      </c>
      <c r="H422" s="13" t="s">
        <v>20</v>
      </c>
      <c r="I422" s="13" t="s">
        <v>139</v>
      </c>
      <c r="J422" s="13" t="s">
        <v>121</v>
      </c>
      <c r="K422" s="13" t="s">
        <v>107</v>
      </c>
      <c r="L422" s="13" t="s">
        <v>177</v>
      </c>
      <c r="M422" s="13" t="s">
        <v>251</v>
      </c>
      <c r="N422" s="27" t="n">
        <v>5156</v>
      </c>
      <c r="O422" s="28" t="n">
        <v>762513.15</v>
      </c>
      <c r="P422" s="27" t="n">
        <v>5195</v>
      </c>
      <c r="Q422" s="29" t="n">
        <v>0.99</v>
      </c>
      <c r="R422" s="28" t="n">
        <v>59.5</v>
      </c>
      <c r="S422" s="28" t="n">
        <v>179.5</v>
      </c>
      <c r="T422" s="28" t="n">
        <v>147.89</v>
      </c>
      <c r="U422" s="13" t="n">
        <f aca="false">IFERROR(YEAR(A422),"")</f>
        <v>2025</v>
      </c>
      <c r="V422" s="28" t="n">
        <f aca="false">IFERROR(O422*B422,0)</f>
        <v>762513.15</v>
      </c>
      <c r="W422" s="27" t="n">
        <f aca="false">IFERROR(N422*B422,0)</f>
        <v>5156</v>
      </c>
      <c r="X422" s="13" t="n">
        <f aca="false">IF(OR(ISNUMBER(SEARCH("live nation",L422)),ISNUMBER(SEARCH("ocesa",L422))),1,0)</f>
        <v>1</v>
      </c>
      <c r="Y422" s="13" t="s">
        <v>49</v>
      </c>
    </row>
    <row r="423" customFormat="false" ht="15" hidden="false" customHeight="false" outlineLevel="0" collapsed="false">
      <c r="A423" s="30" t="n">
        <v>45766</v>
      </c>
      <c r="B423" s="11" t="n">
        <v>1</v>
      </c>
      <c r="C423" s="31" t="s">
        <v>746</v>
      </c>
      <c r="D423" s="31" t="s">
        <v>749</v>
      </c>
      <c r="E423" s="11" t="s">
        <v>111</v>
      </c>
      <c r="F423" s="11" t="s">
        <v>112</v>
      </c>
      <c r="G423" s="11"/>
      <c r="H423" s="11" t="s">
        <v>21</v>
      </c>
      <c r="I423" s="11"/>
      <c r="J423" s="11" t="s">
        <v>97</v>
      </c>
      <c r="K423" s="11" t="s">
        <v>113</v>
      </c>
      <c r="L423" s="11" t="s">
        <v>114</v>
      </c>
      <c r="M423" s="11" t="s">
        <v>100</v>
      </c>
      <c r="N423" s="32" t="n">
        <v>18985</v>
      </c>
      <c r="O423" s="33" t="n">
        <v>1466611.09</v>
      </c>
      <c r="P423" s="32" t="n">
        <v>18985</v>
      </c>
      <c r="Q423" s="34" t="n">
        <v>1</v>
      </c>
      <c r="R423" s="33" t="n">
        <v>77.25</v>
      </c>
      <c r="S423" s="33" t="n">
        <v>77.25</v>
      </c>
      <c r="T423" s="33" t="n">
        <v>77.25</v>
      </c>
      <c r="U423" s="11" t="n">
        <f aca="false">IFERROR(YEAR(A423),"")</f>
        <v>2025</v>
      </c>
      <c r="V423" s="33" t="n">
        <f aca="false">IFERROR(O423*B423,0)</f>
        <v>1466611.09</v>
      </c>
      <c r="W423" s="32" t="n">
        <f aca="false">IFERROR(N423*B423,0)</f>
        <v>18985</v>
      </c>
      <c r="X423" s="11" t="n">
        <f aca="false">IF(OR(ISNUMBER(SEARCH("live nation",L423)),ISNUMBER(SEARCH("ocesa",L423))),1,0)</f>
        <v>0</v>
      </c>
      <c r="Y423" s="11" t="s">
        <v>50</v>
      </c>
    </row>
    <row r="424" customFormat="false" ht="15" hidden="false" customHeight="false" outlineLevel="0" collapsed="false">
      <c r="A424" s="25" t="n">
        <v>45763</v>
      </c>
      <c r="B424" s="13" t="n">
        <v>2</v>
      </c>
      <c r="C424" s="26" t="s">
        <v>748</v>
      </c>
      <c r="D424" s="26"/>
      <c r="E424" s="13" t="s">
        <v>200</v>
      </c>
      <c r="F424" s="13" t="s">
        <v>201</v>
      </c>
      <c r="G424" s="13" t="s">
        <v>202</v>
      </c>
      <c r="H424" s="13" t="s">
        <v>20</v>
      </c>
      <c r="I424" s="13" t="s">
        <v>203</v>
      </c>
      <c r="J424" s="13" t="s">
        <v>121</v>
      </c>
      <c r="K424" s="13" t="s">
        <v>107</v>
      </c>
      <c r="L424" s="13" t="s">
        <v>177</v>
      </c>
      <c r="M424" s="13" t="s">
        <v>251</v>
      </c>
      <c r="N424" s="27" t="n">
        <v>5627</v>
      </c>
      <c r="O424" s="28" t="n">
        <v>718028.5</v>
      </c>
      <c r="P424" s="27" t="n">
        <v>5627</v>
      </c>
      <c r="Q424" s="29" t="n">
        <v>1</v>
      </c>
      <c r="R424" s="28" t="n">
        <v>127.6</v>
      </c>
      <c r="S424" s="28" t="n">
        <v>127.6</v>
      </c>
      <c r="T424" s="28" t="n">
        <v>127.6</v>
      </c>
      <c r="U424" s="13" t="n">
        <f aca="false">IFERROR(YEAR(A424),"")</f>
        <v>2025</v>
      </c>
      <c r="V424" s="28" t="n">
        <f aca="false">IFERROR(O424*B424,0)</f>
        <v>1436057</v>
      </c>
      <c r="W424" s="27" t="n">
        <f aca="false">IFERROR(N424*B424,0)</f>
        <v>11254</v>
      </c>
      <c r="X424" s="13" t="n">
        <f aca="false">IF(OR(ISNUMBER(SEARCH("live nation",L424)),ISNUMBER(SEARCH("ocesa",L424))),1,0)</f>
        <v>1</v>
      </c>
      <c r="Y424" s="13" t="s">
        <v>49</v>
      </c>
    </row>
    <row r="425" customFormat="false" ht="15" hidden="false" customHeight="false" outlineLevel="0" collapsed="false">
      <c r="A425" s="30" t="n">
        <v>45760</v>
      </c>
      <c r="B425" s="11" t="n">
        <v>1</v>
      </c>
      <c r="C425" s="31" t="s">
        <v>401</v>
      </c>
      <c r="D425" s="31"/>
      <c r="E425" s="11" t="s">
        <v>200</v>
      </c>
      <c r="F425" s="11" t="s">
        <v>201</v>
      </c>
      <c r="G425" s="11" t="s">
        <v>202</v>
      </c>
      <c r="H425" s="11" t="s">
        <v>20</v>
      </c>
      <c r="I425" s="11" t="s">
        <v>203</v>
      </c>
      <c r="J425" s="11" t="s">
        <v>121</v>
      </c>
      <c r="K425" s="11" t="s">
        <v>107</v>
      </c>
      <c r="L425" s="11" t="s">
        <v>177</v>
      </c>
      <c r="M425" s="11" t="s">
        <v>100</v>
      </c>
      <c r="N425" s="32" t="n">
        <v>2551</v>
      </c>
      <c r="O425" s="33" t="n">
        <v>315269</v>
      </c>
      <c r="P425" s="32" t="n">
        <v>2819</v>
      </c>
      <c r="Q425" s="34" t="n">
        <v>0.9</v>
      </c>
      <c r="R425" s="33" t="n">
        <v>59.5</v>
      </c>
      <c r="S425" s="33" t="n">
        <v>179.5</v>
      </c>
      <c r="T425" s="33" t="n">
        <v>123.59</v>
      </c>
      <c r="U425" s="11" t="n">
        <f aca="false">IFERROR(YEAR(A425),"")</f>
        <v>2025</v>
      </c>
      <c r="V425" s="33" t="n">
        <f aca="false">IFERROR(O425*B425,0)</f>
        <v>315269</v>
      </c>
      <c r="W425" s="32" t="n">
        <f aca="false">IFERROR(N425*B425,0)</f>
        <v>2551</v>
      </c>
      <c r="X425" s="11" t="n">
        <f aca="false">IF(OR(ISNUMBER(SEARCH("live nation",L425)),ISNUMBER(SEARCH("ocesa",L425))),1,0)</f>
        <v>1</v>
      </c>
      <c r="Y425" s="11" t="s">
        <v>49</v>
      </c>
    </row>
    <row r="426" customFormat="false" ht="15" hidden="false" customHeight="false" outlineLevel="0" collapsed="false">
      <c r="A426" s="25" t="n">
        <v>45760</v>
      </c>
      <c r="B426" s="13" t="n">
        <v>1</v>
      </c>
      <c r="C426" s="26" t="s">
        <v>66</v>
      </c>
      <c r="D426" s="26"/>
      <c r="E426" s="13" t="s">
        <v>131</v>
      </c>
      <c r="F426" s="13" t="s">
        <v>132</v>
      </c>
      <c r="G426" s="13"/>
      <c r="H426" s="13" t="s">
        <v>23</v>
      </c>
      <c r="I426" s="13"/>
      <c r="J426" s="13" t="s">
        <v>133</v>
      </c>
      <c r="K426" s="13" t="s">
        <v>134</v>
      </c>
      <c r="L426" s="13" t="s">
        <v>750</v>
      </c>
      <c r="M426" s="13" t="s">
        <v>100</v>
      </c>
      <c r="N426" s="27" t="n">
        <v>55028</v>
      </c>
      <c r="O426" s="28" t="n">
        <v>6930365.73</v>
      </c>
      <c r="P426" s="27" t="n">
        <v>55051</v>
      </c>
      <c r="Q426" s="29" t="n">
        <v>0.99</v>
      </c>
      <c r="R426" s="28" t="n">
        <v>59.09</v>
      </c>
      <c r="S426" s="28" t="n">
        <v>492.45</v>
      </c>
      <c r="T426" s="28" t="n">
        <v>125.94</v>
      </c>
      <c r="U426" s="13" t="n">
        <f aca="false">IFERROR(YEAR(A426),"")</f>
        <v>2025</v>
      </c>
      <c r="V426" s="28" t="n">
        <f aca="false">IFERROR(O426*B426,0)</f>
        <v>6930365.73</v>
      </c>
      <c r="W426" s="27" t="n">
        <f aca="false">IFERROR(N426*B426,0)</f>
        <v>55028</v>
      </c>
      <c r="X426" s="13" t="n">
        <f aca="false">IF(OR(ISNUMBER(SEARCH("live nation",L426)),ISNUMBER(SEARCH("ocesa",L426))),1,0)</f>
        <v>1</v>
      </c>
      <c r="Y426" s="13" t="s">
        <v>49</v>
      </c>
    </row>
    <row r="427" customFormat="false" ht="15" hidden="false" customHeight="false" outlineLevel="0" collapsed="false">
      <c r="A427" s="30" t="n">
        <v>45760</v>
      </c>
      <c r="B427" s="11" t="n">
        <v>1</v>
      </c>
      <c r="C427" s="31" t="s">
        <v>542</v>
      </c>
      <c r="D427" s="31"/>
      <c r="E427" s="11" t="s">
        <v>111</v>
      </c>
      <c r="F427" s="11" t="s">
        <v>112</v>
      </c>
      <c r="G427" s="11"/>
      <c r="H427" s="11" t="s">
        <v>21</v>
      </c>
      <c r="I427" s="11"/>
      <c r="J427" s="11" t="s">
        <v>97</v>
      </c>
      <c r="K427" s="11" t="s">
        <v>113</v>
      </c>
      <c r="L427" s="11" t="s">
        <v>194</v>
      </c>
      <c r="M427" s="11" t="s">
        <v>100</v>
      </c>
      <c r="N427" s="32" t="n">
        <v>15774</v>
      </c>
      <c r="O427" s="33" t="n">
        <v>1483913.91</v>
      </c>
      <c r="P427" s="32" t="n">
        <v>15774</v>
      </c>
      <c r="Q427" s="34" t="n">
        <v>1</v>
      </c>
      <c r="R427" s="33" t="n">
        <v>94.07</v>
      </c>
      <c r="S427" s="33" t="n">
        <v>94.07</v>
      </c>
      <c r="T427" s="33" t="n">
        <v>94.07</v>
      </c>
      <c r="U427" s="11" t="n">
        <f aca="false">IFERROR(YEAR(A427),"")</f>
        <v>2025</v>
      </c>
      <c r="V427" s="33" t="n">
        <f aca="false">IFERROR(O427*B427,0)</f>
        <v>1483913.91</v>
      </c>
      <c r="W427" s="32" t="n">
        <f aca="false">IFERROR(N427*B427,0)</f>
        <v>15774</v>
      </c>
      <c r="X427" s="11" t="n">
        <f aca="false">IF(OR(ISNUMBER(SEARCH("live nation",L427)),ISNUMBER(SEARCH("ocesa",L427))),1,0)</f>
        <v>0</v>
      </c>
      <c r="Y427" s="11" t="s">
        <v>50</v>
      </c>
    </row>
    <row r="428" customFormat="false" ht="15" hidden="false" customHeight="false" outlineLevel="0" collapsed="false">
      <c r="A428" s="25" t="n">
        <v>45759</v>
      </c>
      <c r="B428" s="13" t="n">
        <v>1</v>
      </c>
      <c r="C428" s="26" t="s">
        <v>748</v>
      </c>
      <c r="D428" s="26"/>
      <c r="E428" s="13" t="s">
        <v>628</v>
      </c>
      <c r="F428" s="13" t="s">
        <v>629</v>
      </c>
      <c r="G428" s="13"/>
      <c r="H428" s="13" t="s">
        <v>630</v>
      </c>
      <c r="I428" s="13"/>
      <c r="J428" s="13" t="s">
        <v>97</v>
      </c>
      <c r="K428" s="13" t="s">
        <v>630</v>
      </c>
      <c r="L428" s="13" t="s">
        <v>177</v>
      </c>
      <c r="M428" s="13" t="s">
        <v>251</v>
      </c>
      <c r="N428" s="27" t="n">
        <v>3417</v>
      </c>
      <c r="O428" s="28" t="n">
        <v>281155.41</v>
      </c>
      <c r="P428" s="27" t="n">
        <v>5312</v>
      </c>
      <c r="Q428" s="29" t="n">
        <v>0.64</v>
      </c>
      <c r="R428" s="28" t="n">
        <v>57.64</v>
      </c>
      <c r="S428" s="28" t="n">
        <v>128.08</v>
      </c>
      <c r="T428" s="28" t="n">
        <v>82.28</v>
      </c>
      <c r="U428" s="13" t="n">
        <f aca="false">IFERROR(YEAR(A428),"")</f>
        <v>2025</v>
      </c>
      <c r="V428" s="28" t="n">
        <f aca="false">IFERROR(O428*B428,0)</f>
        <v>281155.41</v>
      </c>
      <c r="W428" s="27" t="n">
        <f aca="false">IFERROR(N428*B428,0)</f>
        <v>3417</v>
      </c>
      <c r="X428" s="13" t="n">
        <f aca="false">IF(OR(ISNUMBER(SEARCH("live nation",L428)),ISNUMBER(SEARCH("ocesa",L428))),1,0)</f>
        <v>1</v>
      </c>
      <c r="Y428" s="13" t="s">
        <v>49</v>
      </c>
    </row>
    <row r="429" customFormat="false" ht="15" hidden="false" customHeight="false" outlineLevel="0" collapsed="false">
      <c r="A429" s="30" t="n">
        <v>45759</v>
      </c>
      <c r="B429" s="11" t="n">
        <v>2</v>
      </c>
      <c r="C429" s="31" t="s">
        <v>65</v>
      </c>
      <c r="D429" s="31"/>
      <c r="E429" s="11" t="s">
        <v>751</v>
      </c>
      <c r="F429" s="11" t="s">
        <v>752</v>
      </c>
      <c r="G429" s="11"/>
      <c r="H429" s="11" t="s">
        <v>285</v>
      </c>
      <c r="I429" s="11"/>
      <c r="J429" s="11" t="s">
        <v>97</v>
      </c>
      <c r="K429" s="11" t="s">
        <v>134</v>
      </c>
      <c r="L429" s="11" t="s">
        <v>145</v>
      </c>
      <c r="M429" s="11" t="s">
        <v>270</v>
      </c>
      <c r="N429" s="32" t="n">
        <v>11069</v>
      </c>
      <c r="O429" s="33" t="n">
        <v>2288286.38</v>
      </c>
      <c r="P429" s="32" t="n">
        <v>11069</v>
      </c>
      <c r="Q429" s="34" t="n">
        <v>1</v>
      </c>
      <c r="R429" s="33" t="n">
        <v>69.95</v>
      </c>
      <c r="S429" s="33" t="n">
        <v>393.47</v>
      </c>
      <c r="T429" s="33" t="n">
        <v>206.73</v>
      </c>
      <c r="U429" s="11" t="n">
        <f aca="false">IFERROR(YEAR(A429),"")</f>
        <v>2025</v>
      </c>
      <c r="V429" s="33" t="n">
        <f aca="false">IFERROR(O429*B429,0)</f>
        <v>4576572.76</v>
      </c>
      <c r="W429" s="32" t="n">
        <f aca="false">IFERROR(N429*B429,0)</f>
        <v>22138</v>
      </c>
      <c r="X429" s="11" t="n">
        <f aca="false">IF(OR(ISNUMBER(SEARCH("live nation",L429)),ISNUMBER(SEARCH("ocesa",L429))),1,0)</f>
        <v>0</v>
      </c>
      <c r="Y429" s="11" t="s">
        <v>50</v>
      </c>
    </row>
    <row r="430" customFormat="false" ht="15" hidden="false" customHeight="false" outlineLevel="0" collapsed="false">
      <c r="A430" s="25" t="n">
        <v>45759</v>
      </c>
      <c r="B430" s="13" t="n">
        <v>2</v>
      </c>
      <c r="C430" s="26" t="s">
        <v>63</v>
      </c>
      <c r="D430" s="26"/>
      <c r="E430" s="13" t="s">
        <v>753</v>
      </c>
      <c r="F430" s="13" t="s">
        <v>754</v>
      </c>
      <c r="G430" s="13"/>
      <c r="H430" s="13" t="s">
        <v>21</v>
      </c>
      <c r="I430" s="13"/>
      <c r="J430" s="13" t="s">
        <v>97</v>
      </c>
      <c r="K430" s="13" t="s">
        <v>113</v>
      </c>
      <c r="L430" s="13" t="s">
        <v>145</v>
      </c>
      <c r="M430" s="13" t="s">
        <v>100</v>
      </c>
      <c r="N430" s="27" t="n">
        <v>7273</v>
      </c>
      <c r="O430" s="28" t="n">
        <v>896158.35</v>
      </c>
      <c r="P430" s="27" t="n">
        <v>7273</v>
      </c>
      <c r="Q430" s="29" t="n">
        <v>1</v>
      </c>
      <c r="R430" s="28" t="n">
        <v>91.84</v>
      </c>
      <c r="S430" s="28" t="n">
        <v>171.01</v>
      </c>
      <c r="T430" s="28" t="n">
        <v>123.22</v>
      </c>
      <c r="U430" s="13" t="n">
        <f aca="false">IFERROR(YEAR(A430),"")</f>
        <v>2025</v>
      </c>
      <c r="V430" s="28" t="n">
        <f aca="false">IFERROR(O430*B430,0)</f>
        <v>1792316.7</v>
      </c>
      <c r="W430" s="27" t="n">
        <f aca="false">IFERROR(N430*B430,0)</f>
        <v>14546</v>
      </c>
      <c r="X430" s="13" t="n">
        <f aca="false">IF(OR(ISNUMBER(SEARCH("live nation",L430)),ISNUMBER(SEARCH("ocesa",L430))),1,0)</f>
        <v>0</v>
      </c>
      <c r="Y430" s="13" t="s">
        <v>50</v>
      </c>
    </row>
    <row r="431" customFormat="false" ht="15" hidden="false" customHeight="false" outlineLevel="0" collapsed="false">
      <c r="A431" s="30" t="n">
        <v>45759</v>
      </c>
      <c r="B431" s="11" t="n">
        <v>1</v>
      </c>
      <c r="C431" s="31" t="s">
        <v>66</v>
      </c>
      <c r="D431" s="31"/>
      <c r="E431" s="11" t="s">
        <v>131</v>
      </c>
      <c r="F431" s="11" t="s">
        <v>132</v>
      </c>
      <c r="G431" s="11"/>
      <c r="H431" s="11" t="s">
        <v>23</v>
      </c>
      <c r="I431" s="11"/>
      <c r="J431" s="11" t="s">
        <v>133</v>
      </c>
      <c r="K431" s="11" t="s">
        <v>134</v>
      </c>
      <c r="L431" s="11" t="s">
        <v>750</v>
      </c>
      <c r="M431" s="11" t="s">
        <v>100</v>
      </c>
      <c r="N431" s="32" t="n">
        <v>54935</v>
      </c>
      <c r="O431" s="33" t="n">
        <v>6904959.18</v>
      </c>
      <c r="P431" s="32" t="n">
        <v>55035</v>
      </c>
      <c r="Q431" s="34" t="n">
        <v>0.99</v>
      </c>
      <c r="R431" s="33" t="n">
        <v>59.03</v>
      </c>
      <c r="S431" s="33" t="n">
        <v>344.32</v>
      </c>
      <c r="T431" s="33" t="n">
        <v>125.69</v>
      </c>
      <c r="U431" s="11" t="n">
        <f aca="false">IFERROR(YEAR(A431),"")</f>
        <v>2025</v>
      </c>
      <c r="V431" s="33" t="n">
        <f aca="false">IFERROR(O431*B431,0)</f>
        <v>6904959.18</v>
      </c>
      <c r="W431" s="32" t="n">
        <f aca="false">IFERROR(N431*B431,0)</f>
        <v>54935</v>
      </c>
      <c r="X431" s="11" t="n">
        <f aca="false">IF(OR(ISNUMBER(SEARCH("live nation",L431)),ISNUMBER(SEARCH("ocesa",L431))),1,0)</f>
        <v>1</v>
      </c>
      <c r="Y431" s="11" t="s">
        <v>49</v>
      </c>
    </row>
    <row r="432" customFormat="false" ht="15" hidden="false" customHeight="false" outlineLevel="0" collapsed="false">
      <c r="A432" s="25" t="n">
        <v>45759</v>
      </c>
      <c r="B432" s="13" t="n">
        <v>1</v>
      </c>
      <c r="C432" s="26" t="s">
        <v>612</v>
      </c>
      <c r="D432" s="26"/>
      <c r="E432" s="13" t="s">
        <v>755</v>
      </c>
      <c r="F432" s="13" t="s">
        <v>673</v>
      </c>
      <c r="G432" s="13"/>
      <c r="H432" s="13" t="s">
        <v>674</v>
      </c>
      <c r="I432" s="13"/>
      <c r="J432" s="13" t="s">
        <v>97</v>
      </c>
      <c r="K432" s="13" t="s">
        <v>675</v>
      </c>
      <c r="L432" s="13" t="s">
        <v>145</v>
      </c>
      <c r="M432" s="13" t="s">
        <v>100</v>
      </c>
      <c r="N432" s="27" t="n">
        <v>3931</v>
      </c>
      <c r="O432" s="28" t="n">
        <v>525422.62</v>
      </c>
      <c r="P432" s="27" t="n">
        <v>3944</v>
      </c>
      <c r="Q432" s="29" t="n">
        <v>0.99</v>
      </c>
      <c r="R432" s="28" t="n">
        <v>95.24</v>
      </c>
      <c r="S432" s="28" t="n">
        <v>175.6</v>
      </c>
      <c r="T432" s="28" t="n">
        <v>133.66</v>
      </c>
      <c r="U432" s="13" t="n">
        <f aca="false">IFERROR(YEAR(A432),"")</f>
        <v>2025</v>
      </c>
      <c r="V432" s="28" t="n">
        <f aca="false">IFERROR(O432*B432,0)</f>
        <v>525422.62</v>
      </c>
      <c r="W432" s="27" t="n">
        <f aca="false">IFERROR(N432*B432,0)</f>
        <v>3931</v>
      </c>
      <c r="X432" s="13" t="n">
        <f aca="false">IF(OR(ISNUMBER(SEARCH("live nation",L432)),ISNUMBER(SEARCH("ocesa",L432))),1,0)</f>
        <v>0</v>
      </c>
      <c r="Y432" s="13" t="s">
        <v>50</v>
      </c>
    </row>
    <row r="433" customFormat="false" ht="15" hidden="false" customHeight="false" outlineLevel="0" collapsed="false">
      <c r="A433" s="30" t="n">
        <v>45759</v>
      </c>
      <c r="B433" s="11" t="n">
        <v>1</v>
      </c>
      <c r="C433" s="31" t="s">
        <v>542</v>
      </c>
      <c r="D433" s="31"/>
      <c r="E433" s="11" t="s">
        <v>111</v>
      </c>
      <c r="F433" s="11" t="s">
        <v>112</v>
      </c>
      <c r="G433" s="11"/>
      <c r="H433" s="11" t="s">
        <v>21</v>
      </c>
      <c r="I433" s="11"/>
      <c r="J433" s="11" t="s">
        <v>97</v>
      </c>
      <c r="K433" s="11" t="s">
        <v>113</v>
      </c>
      <c r="L433" s="11" t="s">
        <v>194</v>
      </c>
      <c r="M433" s="11" t="s">
        <v>100</v>
      </c>
      <c r="N433" s="32" t="n">
        <v>15856</v>
      </c>
      <c r="O433" s="33" t="n">
        <v>1491357.2</v>
      </c>
      <c r="P433" s="32" t="n">
        <v>15856</v>
      </c>
      <c r="Q433" s="34" t="n">
        <v>1</v>
      </c>
      <c r="R433" s="33" t="n">
        <v>94.06</v>
      </c>
      <c r="S433" s="33" t="n">
        <v>94.06</v>
      </c>
      <c r="T433" s="33" t="n">
        <v>94.06</v>
      </c>
      <c r="U433" s="11" t="n">
        <f aca="false">IFERROR(YEAR(A433),"")</f>
        <v>2025</v>
      </c>
      <c r="V433" s="33" t="n">
        <f aca="false">IFERROR(O433*B433,0)</f>
        <v>1491357.2</v>
      </c>
      <c r="W433" s="32" t="n">
        <f aca="false">IFERROR(N433*B433,0)</f>
        <v>15856</v>
      </c>
      <c r="X433" s="11" t="n">
        <f aca="false">IF(OR(ISNUMBER(SEARCH("live nation",L433)),ISNUMBER(SEARCH("ocesa",L433))),1,0)</f>
        <v>0</v>
      </c>
      <c r="Y433" s="11" t="s">
        <v>50</v>
      </c>
    </row>
    <row r="434" customFormat="false" ht="15" hidden="false" customHeight="false" outlineLevel="0" collapsed="false">
      <c r="A434" s="25" t="n">
        <v>45758</v>
      </c>
      <c r="B434" s="13" t="n">
        <v>1</v>
      </c>
      <c r="C434" s="26" t="s">
        <v>542</v>
      </c>
      <c r="D434" s="26"/>
      <c r="E434" s="13" t="s">
        <v>111</v>
      </c>
      <c r="F434" s="13" t="s">
        <v>112</v>
      </c>
      <c r="G434" s="13"/>
      <c r="H434" s="13" t="s">
        <v>21</v>
      </c>
      <c r="I434" s="13"/>
      <c r="J434" s="13" t="s">
        <v>97</v>
      </c>
      <c r="K434" s="13" t="s">
        <v>113</v>
      </c>
      <c r="L434" s="13" t="s">
        <v>194</v>
      </c>
      <c r="M434" s="13" t="s">
        <v>100</v>
      </c>
      <c r="N434" s="27" t="n">
        <v>9306</v>
      </c>
      <c r="O434" s="28" t="n">
        <v>877349.41</v>
      </c>
      <c r="P434" s="27" t="n">
        <v>9306</v>
      </c>
      <c r="Q434" s="29" t="n">
        <v>1</v>
      </c>
      <c r="R434" s="28" t="n">
        <v>94.28</v>
      </c>
      <c r="S434" s="28" t="n">
        <v>94.28</v>
      </c>
      <c r="T434" s="28" t="n">
        <v>94.28</v>
      </c>
      <c r="U434" s="13" t="n">
        <f aca="false">IFERROR(YEAR(A434),"")</f>
        <v>2025</v>
      </c>
      <c r="V434" s="28" t="n">
        <f aca="false">IFERROR(O434*B434,0)</f>
        <v>877349.41</v>
      </c>
      <c r="W434" s="27" t="n">
        <f aca="false">IFERROR(N434*B434,0)</f>
        <v>9306</v>
      </c>
      <c r="X434" s="13" t="n">
        <f aca="false">IF(OR(ISNUMBER(SEARCH("live nation",L434)),ISNUMBER(SEARCH("ocesa",L434))),1,0)</f>
        <v>0</v>
      </c>
      <c r="Y434" s="13" t="s">
        <v>50</v>
      </c>
    </row>
    <row r="435" customFormat="false" ht="15" hidden="false" customHeight="false" outlineLevel="0" collapsed="false">
      <c r="A435" s="30" t="n">
        <v>45757</v>
      </c>
      <c r="B435" s="11" t="n">
        <v>1</v>
      </c>
      <c r="C435" s="31" t="s">
        <v>401</v>
      </c>
      <c r="D435" s="31"/>
      <c r="E435" s="11" t="s">
        <v>503</v>
      </c>
      <c r="F435" s="11" t="s">
        <v>231</v>
      </c>
      <c r="G435" s="11" t="s">
        <v>202</v>
      </c>
      <c r="H435" s="11" t="s">
        <v>20</v>
      </c>
      <c r="I435" s="11" t="s">
        <v>232</v>
      </c>
      <c r="J435" s="11" t="s">
        <v>121</v>
      </c>
      <c r="K435" s="11" t="s">
        <v>107</v>
      </c>
      <c r="L435" s="11" t="s">
        <v>177</v>
      </c>
      <c r="M435" s="11" t="s">
        <v>100</v>
      </c>
      <c r="N435" s="32" t="n">
        <v>1508</v>
      </c>
      <c r="O435" s="33" t="n">
        <v>171170</v>
      </c>
      <c r="P435" s="32" t="n">
        <v>3009</v>
      </c>
      <c r="Q435" s="34" t="n">
        <v>0.5</v>
      </c>
      <c r="R435" s="33" t="n">
        <v>56</v>
      </c>
      <c r="S435" s="33" t="n">
        <v>176</v>
      </c>
      <c r="T435" s="33" t="n">
        <v>113.51</v>
      </c>
      <c r="U435" s="11" t="n">
        <f aca="false">IFERROR(YEAR(A435),"")</f>
        <v>2025</v>
      </c>
      <c r="V435" s="33" t="n">
        <f aca="false">IFERROR(O435*B435,0)</f>
        <v>171170</v>
      </c>
      <c r="W435" s="32" t="n">
        <f aca="false">IFERROR(N435*B435,0)</f>
        <v>1508</v>
      </c>
      <c r="X435" s="11" t="n">
        <f aca="false">IF(OR(ISNUMBER(SEARCH("live nation",L435)),ISNUMBER(SEARCH("ocesa",L435))),1,0)</f>
        <v>1</v>
      </c>
      <c r="Y435" s="11" t="s">
        <v>49</v>
      </c>
    </row>
    <row r="436" customFormat="false" ht="15" hidden="false" customHeight="false" outlineLevel="0" collapsed="false">
      <c r="A436" s="25" t="n">
        <v>45756</v>
      </c>
      <c r="B436" s="13" t="n">
        <v>1</v>
      </c>
      <c r="C436" s="26" t="s">
        <v>66</v>
      </c>
      <c r="D436" s="26"/>
      <c r="E436" s="13" t="s">
        <v>756</v>
      </c>
      <c r="F436" s="13" t="s">
        <v>757</v>
      </c>
      <c r="G436" s="13"/>
      <c r="H436" s="13" t="s">
        <v>758</v>
      </c>
      <c r="I436" s="13"/>
      <c r="J436" s="13" t="s">
        <v>133</v>
      </c>
      <c r="K436" s="13" t="s">
        <v>759</v>
      </c>
      <c r="L436" s="13" t="s">
        <v>177</v>
      </c>
      <c r="M436" s="13" t="s">
        <v>100</v>
      </c>
      <c r="N436" s="27" t="n">
        <v>43802</v>
      </c>
      <c r="O436" s="28" t="n">
        <v>5424558.94</v>
      </c>
      <c r="P436" s="27" t="n">
        <v>43802</v>
      </c>
      <c r="Q436" s="29" t="n">
        <v>1</v>
      </c>
      <c r="R436" s="28" t="n">
        <v>41.55</v>
      </c>
      <c r="S436" s="28" t="n">
        <v>160.24</v>
      </c>
      <c r="T436" s="28" t="n">
        <v>123.84</v>
      </c>
      <c r="U436" s="13" t="n">
        <f aca="false">IFERROR(YEAR(A436),"")</f>
        <v>2025</v>
      </c>
      <c r="V436" s="28" t="n">
        <f aca="false">IFERROR(O436*B436,0)</f>
        <v>5424558.94</v>
      </c>
      <c r="W436" s="27" t="n">
        <f aca="false">IFERROR(N436*B436,0)</f>
        <v>43802</v>
      </c>
      <c r="X436" s="13" t="n">
        <f aca="false">IF(OR(ISNUMBER(SEARCH("live nation",L436)),ISNUMBER(SEARCH("ocesa",L436))),1,0)</f>
        <v>1</v>
      </c>
      <c r="Y436" s="13" t="s">
        <v>49</v>
      </c>
    </row>
    <row r="437" customFormat="false" ht="15" hidden="false" customHeight="false" outlineLevel="0" collapsed="false">
      <c r="A437" s="30" t="n">
        <v>45755</v>
      </c>
      <c r="B437" s="11" t="n">
        <v>1</v>
      </c>
      <c r="C437" s="31" t="s">
        <v>401</v>
      </c>
      <c r="D437" s="31"/>
      <c r="E437" s="11" t="s">
        <v>227</v>
      </c>
      <c r="F437" s="11" t="s">
        <v>228</v>
      </c>
      <c r="G437" s="11" t="s">
        <v>229</v>
      </c>
      <c r="H437" s="11" t="s">
        <v>20</v>
      </c>
      <c r="I437" s="11" t="s">
        <v>190</v>
      </c>
      <c r="J437" s="11" t="s">
        <v>121</v>
      </c>
      <c r="K437" s="11" t="s">
        <v>107</v>
      </c>
      <c r="L437" s="11" t="s">
        <v>177</v>
      </c>
      <c r="M437" s="11" t="s">
        <v>100</v>
      </c>
      <c r="N437" s="32" t="n">
        <v>1400</v>
      </c>
      <c r="O437" s="33" t="n">
        <v>201092</v>
      </c>
      <c r="P437" s="32" t="n">
        <v>2900</v>
      </c>
      <c r="Q437" s="34" t="n">
        <v>0.48</v>
      </c>
      <c r="R437" s="33" t="n">
        <v>59.5</v>
      </c>
      <c r="S437" s="33" t="n">
        <v>179.5</v>
      </c>
      <c r="T437" s="33" t="n">
        <v>143.64</v>
      </c>
      <c r="U437" s="11" t="n">
        <f aca="false">IFERROR(YEAR(A437),"")</f>
        <v>2025</v>
      </c>
      <c r="V437" s="33" t="n">
        <f aca="false">IFERROR(O437*B437,0)</f>
        <v>201092</v>
      </c>
      <c r="W437" s="32" t="n">
        <f aca="false">IFERROR(N437*B437,0)</f>
        <v>1400</v>
      </c>
      <c r="X437" s="11" t="n">
        <f aca="false">IF(OR(ISNUMBER(SEARCH("live nation",L437)),ISNUMBER(SEARCH("ocesa",L437))),1,0)</f>
        <v>1</v>
      </c>
      <c r="Y437" s="11" t="s">
        <v>49</v>
      </c>
    </row>
    <row r="438" customFormat="false" ht="15" hidden="false" customHeight="false" outlineLevel="0" collapsed="false">
      <c r="A438" s="25" t="n">
        <v>45753</v>
      </c>
      <c r="B438" s="13" t="n">
        <v>1</v>
      </c>
      <c r="C438" s="26" t="s">
        <v>612</v>
      </c>
      <c r="D438" s="26"/>
      <c r="E438" s="13" t="s">
        <v>760</v>
      </c>
      <c r="F438" s="13" t="s">
        <v>25</v>
      </c>
      <c r="G438" s="13"/>
      <c r="H438" s="13" t="s">
        <v>22</v>
      </c>
      <c r="I438" s="13"/>
      <c r="J438" s="13" t="s">
        <v>738</v>
      </c>
      <c r="K438" s="13" t="s">
        <v>406</v>
      </c>
      <c r="L438" s="13" t="s">
        <v>145</v>
      </c>
      <c r="M438" s="13" t="s">
        <v>100</v>
      </c>
      <c r="N438" s="27" t="n">
        <v>4917</v>
      </c>
      <c r="O438" s="28" t="n">
        <v>1009466.23</v>
      </c>
      <c r="P438" s="27" t="n">
        <v>4998</v>
      </c>
      <c r="Q438" s="29" t="n">
        <v>0.98</v>
      </c>
      <c r="R438" s="28" t="n">
        <v>109.49</v>
      </c>
      <c r="S438" s="28" t="n">
        <v>246.51</v>
      </c>
      <c r="T438" s="28" t="n">
        <v>205.3</v>
      </c>
      <c r="U438" s="13" t="n">
        <f aca="false">IFERROR(YEAR(A438),"")</f>
        <v>2025</v>
      </c>
      <c r="V438" s="28" t="n">
        <f aca="false">IFERROR(O438*B438,0)</f>
        <v>1009466.23</v>
      </c>
      <c r="W438" s="27" t="n">
        <f aca="false">IFERROR(N438*B438,0)</f>
        <v>4917</v>
      </c>
      <c r="X438" s="13" t="n">
        <f aca="false">IF(OR(ISNUMBER(SEARCH("live nation",L438)),ISNUMBER(SEARCH("ocesa",L438))),1,0)</f>
        <v>0</v>
      </c>
      <c r="Y438" s="13" t="s">
        <v>50</v>
      </c>
    </row>
    <row r="439" customFormat="false" ht="15" hidden="false" customHeight="false" outlineLevel="0" collapsed="false">
      <c r="A439" s="30" t="n">
        <v>45753</v>
      </c>
      <c r="B439" s="11" t="n">
        <v>1</v>
      </c>
      <c r="C439" s="31" t="s">
        <v>211</v>
      </c>
      <c r="D439" s="31" t="s">
        <v>761</v>
      </c>
      <c r="E439" s="11" t="s">
        <v>111</v>
      </c>
      <c r="F439" s="11" t="s">
        <v>112</v>
      </c>
      <c r="G439" s="11"/>
      <c r="H439" s="11" t="s">
        <v>21</v>
      </c>
      <c r="I439" s="11"/>
      <c r="J439" s="11" t="s">
        <v>97</v>
      </c>
      <c r="K439" s="11" t="s">
        <v>113</v>
      </c>
      <c r="L439" s="11" t="s">
        <v>762</v>
      </c>
      <c r="M439" s="11" t="s">
        <v>100</v>
      </c>
      <c r="N439" s="32" t="n">
        <v>14000</v>
      </c>
      <c r="O439" s="33" t="n">
        <v>1057140.57</v>
      </c>
      <c r="P439" s="32" t="n">
        <v>14000</v>
      </c>
      <c r="Q439" s="34" t="n">
        <v>1</v>
      </c>
      <c r="R439" s="33" t="n">
        <v>74.81</v>
      </c>
      <c r="S439" s="33" t="n">
        <v>74.81</v>
      </c>
      <c r="T439" s="33" t="n">
        <v>75.51</v>
      </c>
      <c r="U439" s="11" t="n">
        <f aca="false">IFERROR(YEAR(A439),"")</f>
        <v>2025</v>
      </c>
      <c r="V439" s="33" t="n">
        <f aca="false">IFERROR(O439*B439,0)</f>
        <v>1057140.57</v>
      </c>
      <c r="W439" s="32" t="n">
        <f aca="false">IFERROR(N439*B439,0)</f>
        <v>14000</v>
      </c>
      <c r="X439" s="11" t="n">
        <f aca="false">IF(OR(ISNUMBER(SEARCH("live nation",L439)),ISNUMBER(SEARCH("ocesa",L439))),1,0)</f>
        <v>0</v>
      </c>
      <c r="Y439" s="11" t="s">
        <v>50</v>
      </c>
    </row>
    <row r="440" customFormat="false" ht="15" hidden="false" customHeight="false" outlineLevel="0" collapsed="false">
      <c r="A440" s="25" t="n">
        <v>45753</v>
      </c>
      <c r="B440" s="13" t="n">
        <v>1</v>
      </c>
      <c r="C440" s="26" t="s">
        <v>211</v>
      </c>
      <c r="D440" s="26" t="s">
        <v>763</v>
      </c>
      <c r="E440" s="13" t="s">
        <v>111</v>
      </c>
      <c r="F440" s="13" t="s">
        <v>112</v>
      </c>
      <c r="G440" s="13"/>
      <c r="H440" s="13" t="s">
        <v>21</v>
      </c>
      <c r="I440" s="13"/>
      <c r="J440" s="13" t="s">
        <v>97</v>
      </c>
      <c r="K440" s="13" t="s">
        <v>113</v>
      </c>
      <c r="L440" s="13" t="s">
        <v>762</v>
      </c>
      <c r="M440" s="13" t="s">
        <v>100</v>
      </c>
      <c r="N440" s="27" t="n">
        <v>11000</v>
      </c>
      <c r="O440" s="28" t="n">
        <v>819898.75</v>
      </c>
      <c r="P440" s="27" t="n">
        <v>11000</v>
      </c>
      <c r="Q440" s="29" t="n">
        <v>1</v>
      </c>
      <c r="R440" s="28" t="n">
        <v>74.81</v>
      </c>
      <c r="S440" s="28" t="n">
        <v>74.81</v>
      </c>
      <c r="T440" s="28" t="n">
        <v>74.54</v>
      </c>
      <c r="U440" s="13" t="n">
        <f aca="false">IFERROR(YEAR(A440),"")</f>
        <v>2025</v>
      </c>
      <c r="V440" s="28" t="n">
        <f aca="false">IFERROR(O440*B440,0)</f>
        <v>819898.75</v>
      </c>
      <c r="W440" s="27" t="n">
        <f aca="false">IFERROR(N440*B440,0)</f>
        <v>11000</v>
      </c>
      <c r="X440" s="13" t="n">
        <f aca="false">IF(OR(ISNUMBER(SEARCH("live nation",L440)),ISNUMBER(SEARCH("ocesa",L440))),1,0)</f>
        <v>0</v>
      </c>
      <c r="Y440" s="13" t="s">
        <v>50</v>
      </c>
    </row>
    <row r="441" customFormat="false" ht="15" hidden="false" customHeight="false" outlineLevel="0" collapsed="false">
      <c r="A441" s="30" t="n">
        <v>45752</v>
      </c>
      <c r="B441" s="11" t="n">
        <v>2</v>
      </c>
      <c r="C441" s="31" t="s">
        <v>66</v>
      </c>
      <c r="D441" s="31"/>
      <c r="E441" s="11" t="s">
        <v>764</v>
      </c>
      <c r="F441" s="11" t="s">
        <v>582</v>
      </c>
      <c r="G441" s="11"/>
      <c r="H441" s="11" t="s">
        <v>583</v>
      </c>
      <c r="I441" s="11"/>
      <c r="J441" s="11" t="s">
        <v>133</v>
      </c>
      <c r="K441" s="11" t="s">
        <v>584</v>
      </c>
      <c r="L441" s="11" t="s">
        <v>177</v>
      </c>
      <c r="M441" s="11" t="s">
        <v>100</v>
      </c>
      <c r="N441" s="32" t="n">
        <v>55237</v>
      </c>
      <c r="O441" s="33" t="n">
        <v>5135549.16</v>
      </c>
      <c r="P441" s="32" t="n">
        <v>55238</v>
      </c>
      <c r="Q441" s="34" t="n">
        <v>0.99</v>
      </c>
      <c r="R441" s="33" t="n">
        <v>39.37</v>
      </c>
      <c r="S441" s="33" t="n">
        <v>157.5</v>
      </c>
      <c r="T441" s="33" t="n">
        <v>92.97</v>
      </c>
      <c r="U441" s="11" t="n">
        <f aca="false">IFERROR(YEAR(A441),"")</f>
        <v>2025</v>
      </c>
      <c r="V441" s="33" t="n">
        <f aca="false">IFERROR(O441*B441,0)</f>
        <v>10271098.32</v>
      </c>
      <c r="W441" s="32" t="n">
        <f aca="false">IFERROR(N441*B441,0)</f>
        <v>110474</v>
      </c>
      <c r="X441" s="11" t="n">
        <f aca="false">IF(OR(ISNUMBER(SEARCH("live nation",L441)),ISNUMBER(SEARCH("ocesa",L441))),1,0)</f>
        <v>1</v>
      </c>
      <c r="Y441" s="11" t="s">
        <v>49</v>
      </c>
    </row>
    <row r="442" customFormat="false" ht="15" hidden="false" customHeight="false" outlineLevel="0" collapsed="false">
      <c r="A442" s="25" t="n">
        <v>45752</v>
      </c>
      <c r="B442" s="13" t="n">
        <v>1</v>
      </c>
      <c r="C442" s="26" t="s">
        <v>711</v>
      </c>
      <c r="D442" s="26"/>
      <c r="E442" s="13" t="s">
        <v>95</v>
      </c>
      <c r="F442" s="13" t="s">
        <v>96</v>
      </c>
      <c r="G442" s="13"/>
      <c r="H442" s="13" t="s">
        <v>28</v>
      </c>
      <c r="I442" s="13"/>
      <c r="J442" s="13" t="s">
        <v>97</v>
      </c>
      <c r="K442" s="13" t="s">
        <v>98</v>
      </c>
      <c r="L442" s="13" t="s">
        <v>765</v>
      </c>
      <c r="M442" s="13" t="s">
        <v>100</v>
      </c>
      <c r="N442" s="27" t="n">
        <v>11735</v>
      </c>
      <c r="O442" s="28" t="n">
        <v>2167030.18</v>
      </c>
      <c r="P442" s="27" t="n">
        <v>11960</v>
      </c>
      <c r="Q442" s="29" t="n">
        <v>0.98</v>
      </c>
      <c r="R442" s="28" t="n">
        <v>89.4</v>
      </c>
      <c r="S442" s="28" t="n">
        <v>276.65</v>
      </c>
      <c r="T442" s="28" t="n">
        <v>184.66</v>
      </c>
      <c r="U442" s="13" t="n">
        <f aca="false">IFERROR(YEAR(A442),"")</f>
        <v>2025</v>
      </c>
      <c r="V442" s="28" t="n">
        <f aca="false">IFERROR(O442*B442,0)</f>
        <v>2167030.18</v>
      </c>
      <c r="W442" s="27" t="n">
        <f aca="false">IFERROR(N442*B442,0)</f>
        <v>11735</v>
      </c>
      <c r="X442" s="13" t="n">
        <f aca="false">IF(OR(ISNUMBER(SEARCH("live nation",L442)),ISNUMBER(SEARCH("ocesa",L442))),1,0)</f>
        <v>0</v>
      </c>
      <c r="Y442" s="13" t="s">
        <v>49</v>
      </c>
    </row>
    <row r="443" customFormat="false" ht="15" hidden="false" customHeight="false" outlineLevel="0" collapsed="false">
      <c r="A443" s="30" t="n">
        <v>45752</v>
      </c>
      <c r="B443" s="11" t="n">
        <v>1</v>
      </c>
      <c r="C443" s="31" t="s">
        <v>211</v>
      </c>
      <c r="D443" s="31" t="s">
        <v>766</v>
      </c>
      <c r="E443" s="11" t="s">
        <v>111</v>
      </c>
      <c r="F443" s="11" t="s">
        <v>112</v>
      </c>
      <c r="G443" s="11"/>
      <c r="H443" s="11" t="s">
        <v>21</v>
      </c>
      <c r="I443" s="11"/>
      <c r="J443" s="11" t="s">
        <v>97</v>
      </c>
      <c r="K443" s="11" t="s">
        <v>113</v>
      </c>
      <c r="L443" s="11" t="s">
        <v>762</v>
      </c>
      <c r="M443" s="11" t="s">
        <v>100</v>
      </c>
      <c r="N443" s="32" t="n">
        <v>9000</v>
      </c>
      <c r="O443" s="33" t="n">
        <v>673629.67</v>
      </c>
      <c r="P443" s="32" t="n">
        <v>9000</v>
      </c>
      <c r="Q443" s="34" t="n">
        <v>1</v>
      </c>
      <c r="R443" s="33" t="n">
        <v>74.85</v>
      </c>
      <c r="S443" s="33" t="n">
        <v>74.85</v>
      </c>
      <c r="T443" s="33" t="n">
        <v>74.85</v>
      </c>
      <c r="U443" s="11" t="n">
        <f aca="false">IFERROR(YEAR(A443),"")</f>
        <v>2025</v>
      </c>
      <c r="V443" s="33" t="n">
        <f aca="false">IFERROR(O443*B443,0)</f>
        <v>673629.67</v>
      </c>
      <c r="W443" s="32" t="n">
        <f aca="false">IFERROR(N443*B443,0)</f>
        <v>9000</v>
      </c>
      <c r="X443" s="11" t="n">
        <f aca="false">IF(OR(ISNUMBER(SEARCH("live nation",L443)),ISNUMBER(SEARCH("ocesa",L443))),1,0)</f>
        <v>0</v>
      </c>
      <c r="Y443" s="11" t="s">
        <v>50</v>
      </c>
    </row>
    <row r="444" customFormat="false" ht="15" hidden="false" customHeight="false" outlineLevel="0" collapsed="false">
      <c r="A444" s="25" t="n">
        <v>45751</v>
      </c>
      <c r="B444" s="13" t="n">
        <v>2</v>
      </c>
      <c r="C444" s="26" t="s">
        <v>65</v>
      </c>
      <c r="D444" s="26"/>
      <c r="E444" s="13" t="s">
        <v>486</v>
      </c>
      <c r="F444" s="13" t="s">
        <v>203</v>
      </c>
      <c r="G444" s="13" t="s">
        <v>202</v>
      </c>
      <c r="H444" s="13" t="s">
        <v>20</v>
      </c>
      <c r="I444" s="13" t="s">
        <v>203</v>
      </c>
      <c r="J444" s="13" t="s">
        <v>133</v>
      </c>
      <c r="K444" s="13" t="s">
        <v>107</v>
      </c>
      <c r="L444" s="13" t="s">
        <v>468</v>
      </c>
      <c r="M444" s="13" t="s">
        <v>270</v>
      </c>
      <c r="N444" s="27" t="n">
        <v>21399</v>
      </c>
      <c r="O444" s="28" t="n">
        <v>4409315.5</v>
      </c>
      <c r="P444" s="27" t="n">
        <v>21738</v>
      </c>
      <c r="Q444" s="29" t="n">
        <v>0.98</v>
      </c>
      <c r="R444" s="28" t="n">
        <v>59.5</v>
      </c>
      <c r="S444" s="28" t="n">
        <v>279.5</v>
      </c>
      <c r="T444" s="28" t="n">
        <v>206.05</v>
      </c>
      <c r="U444" s="13" t="n">
        <f aca="false">IFERROR(YEAR(A444),"")</f>
        <v>2025</v>
      </c>
      <c r="V444" s="28" t="n">
        <f aca="false">IFERROR(O444*B444,0)</f>
        <v>8818631</v>
      </c>
      <c r="W444" s="27" t="n">
        <f aca="false">IFERROR(N444*B444,0)</f>
        <v>42798</v>
      </c>
      <c r="X444" s="13" t="n">
        <f aca="false">IF(OR(ISNUMBER(SEARCH("live nation",L444)),ISNUMBER(SEARCH("ocesa",L444))),1,0)</f>
        <v>1</v>
      </c>
      <c r="Y444" s="13" t="s">
        <v>49</v>
      </c>
    </row>
    <row r="445" customFormat="false" ht="15" hidden="false" customHeight="false" outlineLevel="0" collapsed="false">
      <c r="A445" s="30" t="n">
        <v>45750</v>
      </c>
      <c r="B445" s="11" t="n">
        <v>1</v>
      </c>
      <c r="C445" s="31" t="s">
        <v>612</v>
      </c>
      <c r="D445" s="31"/>
      <c r="E445" s="11" t="s">
        <v>668</v>
      </c>
      <c r="F445" s="11" t="s">
        <v>377</v>
      </c>
      <c r="G445" s="11"/>
      <c r="H445" s="11" t="s">
        <v>378</v>
      </c>
      <c r="I445" s="11"/>
      <c r="J445" s="11" t="s">
        <v>97</v>
      </c>
      <c r="K445" s="11" t="s">
        <v>379</v>
      </c>
      <c r="L445" s="11" t="s">
        <v>145</v>
      </c>
      <c r="M445" s="11" t="s">
        <v>100</v>
      </c>
      <c r="N445" s="32" t="n">
        <v>4472</v>
      </c>
      <c r="O445" s="33" t="n">
        <v>783988.94</v>
      </c>
      <c r="P445" s="32" t="n">
        <v>4508</v>
      </c>
      <c r="Q445" s="34" t="n">
        <v>0.99</v>
      </c>
      <c r="R445" s="33" t="n">
        <v>102.44</v>
      </c>
      <c r="S445" s="33" t="n">
        <v>204.88</v>
      </c>
      <c r="T445" s="33" t="n">
        <v>175.31</v>
      </c>
      <c r="U445" s="11" t="n">
        <f aca="false">IFERROR(YEAR(A445),"")</f>
        <v>2025</v>
      </c>
      <c r="V445" s="33" t="n">
        <f aca="false">IFERROR(O445*B445,0)</f>
        <v>783988.94</v>
      </c>
      <c r="W445" s="32" t="n">
        <f aca="false">IFERROR(N445*B445,0)</f>
        <v>4472</v>
      </c>
      <c r="X445" s="11" t="n">
        <f aca="false">IF(OR(ISNUMBER(SEARCH("live nation",L445)),ISNUMBER(SEARCH("ocesa",L445))),1,0)</f>
        <v>0</v>
      </c>
      <c r="Y445" s="11" t="s">
        <v>50</v>
      </c>
    </row>
    <row r="446" customFormat="false" ht="15" hidden="false" customHeight="false" outlineLevel="0" collapsed="false">
      <c r="A446" s="25" t="n">
        <v>45748</v>
      </c>
      <c r="B446" s="13" t="n">
        <v>1</v>
      </c>
      <c r="C446" s="26" t="s">
        <v>63</v>
      </c>
      <c r="D446" s="26"/>
      <c r="E446" s="13" t="s">
        <v>560</v>
      </c>
      <c r="F446" s="13" t="s">
        <v>561</v>
      </c>
      <c r="G446" s="13"/>
      <c r="H446" s="13" t="s">
        <v>449</v>
      </c>
      <c r="I446" s="13"/>
      <c r="J446" s="13" t="s">
        <v>97</v>
      </c>
      <c r="K446" s="13" t="s">
        <v>173</v>
      </c>
      <c r="L446" s="13" t="s">
        <v>508</v>
      </c>
      <c r="M446" s="13" t="s">
        <v>100</v>
      </c>
      <c r="N446" s="27" t="n">
        <v>13055</v>
      </c>
      <c r="O446" s="28" t="n">
        <v>1916402.64</v>
      </c>
      <c r="P446" s="27" t="n">
        <v>14030</v>
      </c>
      <c r="Q446" s="29" t="n">
        <v>0.93</v>
      </c>
      <c r="R446" s="28" t="n">
        <v>67.12</v>
      </c>
      <c r="S446" s="28" t="n">
        <v>162.38</v>
      </c>
      <c r="T446" s="28" t="n">
        <v>146.79</v>
      </c>
      <c r="U446" s="13" t="n">
        <f aca="false">IFERROR(YEAR(A446),"")</f>
        <v>2025</v>
      </c>
      <c r="V446" s="28" t="n">
        <f aca="false">IFERROR(O446*B446,0)</f>
        <v>1916402.64</v>
      </c>
      <c r="W446" s="27" t="n">
        <f aca="false">IFERROR(N446*B446,0)</f>
        <v>13055</v>
      </c>
      <c r="X446" s="13" t="n">
        <f aca="false">IF(OR(ISNUMBER(SEARCH("live nation",L446)),ISNUMBER(SEARCH("ocesa",L446))),1,0)</f>
        <v>0</v>
      </c>
      <c r="Y446" s="13" t="s">
        <v>49</v>
      </c>
    </row>
    <row r="447" customFormat="false" ht="15" hidden="false" customHeight="false" outlineLevel="0" collapsed="false">
      <c r="A447" s="30" t="n">
        <v>45748</v>
      </c>
      <c r="B447" s="11" t="n">
        <v>1</v>
      </c>
      <c r="C447" s="31" t="s">
        <v>66</v>
      </c>
      <c r="D447" s="31"/>
      <c r="E447" s="11" t="s">
        <v>767</v>
      </c>
      <c r="F447" s="11" t="s">
        <v>768</v>
      </c>
      <c r="G447" s="11"/>
      <c r="H447" s="11" t="s">
        <v>583</v>
      </c>
      <c r="I447" s="11"/>
      <c r="J447" s="11" t="s">
        <v>133</v>
      </c>
      <c r="K447" s="11" t="s">
        <v>584</v>
      </c>
      <c r="L447" s="11" t="s">
        <v>177</v>
      </c>
      <c r="M447" s="11" t="s">
        <v>100</v>
      </c>
      <c r="N447" s="32" t="n">
        <v>48553</v>
      </c>
      <c r="O447" s="33" t="n">
        <v>4809100</v>
      </c>
      <c r="P447" s="32" t="n">
        <v>48553</v>
      </c>
      <c r="Q447" s="34" t="n">
        <v>1</v>
      </c>
      <c r="R447" s="33" t="n">
        <v>38.59</v>
      </c>
      <c r="S447" s="33" t="n">
        <v>161.37</v>
      </c>
      <c r="T447" s="33" t="n">
        <v>99.05</v>
      </c>
      <c r="U447" s="11" t="n">
        <f aca="false">IFERROR(YEAR(A447),"")</f>
        <v>2025</v>
      </c>
      <c r="V447" s="33" t="n">
        <f aca="false">IFERROR(O447*B447,0)</f>
        <v>4809100</v>
      </c>
      <c r="W447" s="32" t="n">
        <f aca="false">IFERROR(N447*B447,0)</f>
        <v>48553</v>
      </c>
      <c r="X447" s="11" t="n">
        <f aca="false">IF(OR(ISNUMBER(SEARCH("live nation",L447)),ISNUMBER(SEARCH("ocesa",L447))),1,0)</f>
        <v>1</v>
      </c>
      <c r="Y447" s="11" t="s">
        <v>49</v>
      </c>
    </row>
    <row r="448" customFormat="false" ht="15" hidden="false" customHeight="false" outlineLevel="0" collapsed="false">
      <c r="A448" s="25" t="n">
        <v>45747</v>
      </c>
      <c r="B448" s="13" t="n">
        <v>2</v>
      </c>
      <c r="C448" s="26" t="s">
        <v>65</v>
      </c>
      <c r="D448" s="26"/>
      <c r="E448" s="13" t="s">
        <v>230</v>
      </c>
      <c r="F448" s="13" t="s">
        <v>231</v>
      </c>
      <c r="G448" s="13" t="s">
        <v>202</v>
      </c>
      <c r="H448" s="13" t="s">
        <v>20</v>
      </c>
      <c r="I448" s="13" t="s">
        <v>232</v>
      </c>
      <c r="J448" s="13" t="s">
        <v>97</v>
      </c>
      <c r="K448" s="13" t="s">
        <v>107</v>
      </c>
      <c r="L448" s="13" t="s">
        <v>468</v>
      </c>
      <c r="M448" s="13" t="s">
        <v>270</v>
      </c>
      <c r="N448" s="27" t="n">
        <v>12047</v>
      </c>
      <c r="O448" s="28" t="n">
        <v>1933488.49</v>
      </c>
      <c r="P448" s="27" t="n">
        <v>12047</v>
      </c>
      <c r="Q448" s="29" t="n">
        <v>1</v>
      </c>
      <c r="R448" s="28" t="n">
        <v>56.67</v>
      </c>
      <c r="S448" s="28" t="n">
        <v>266.19</v>
      </c>
      <c r="T448" s="28" t="n">
        <v>160.5</v>
      </c>
      <c r="U448" s="13" t="n">
        <f aca="false">IFERROR(YEAR(A448),"")</f>
        <v>2025</v>
      </c>
      <c r="V448" s="28" t="n">
        <f aca="false">IFERROR(O448*B448,0)</f>
        <v>3866976.98</v>
      </c>
      <c r="W448" s="27" t="n">
        <f aca="false">IFERROR(N448*B448,0)</f>
        <v>24094</v>
      </c>
      <c r="X448" s="13" t="n">
        <f aca="false">IF(OR(ISNUMBER(SEARCH("live nation",L448)),ISNUMBER(SEARCH("ocesa",L448))),1,0)</f>
        <v>1</v>
      </c>
      <c r="Y448" s="13" t="s">
        <v>49</v>
      </c>
    </row>
    <row r="449" customFormat="false" ht="15" hidden="false" customHeight="false" outlineLevel="0" collapsed="false">
      <c r="A449" s="30" t="n">
        <v>45746</v>
      </c>
      <c r="B449" s="11" t="n">
        <v>1</v>
      </c>
      <c r="C449" s="31" t="s">
        <v>63</v>
      </c>
      <c r="D449" s="31"/>
      <c r="E449" s="11" t="s">
        <v>551</v>
      </c>
      <c r="F449" s="11" t="s">
        <v>552</v>
      </c>
      <c r="G449" s="11"/>
      <c r="H449" s="11" t="s">
        <v>26</v>
      </c>
      <c r="I449" s="11"/>
      <c r="J449" s="11" t="s">
        <v>97</v>
      </c>
      <c r="K449" s="11" t="s">
        <v>173</v>
      </c>
      <c r="L449" s="11" t="s">
        <v>508</v>
      </c>
      <c r="M449" s="11" t="s">
        <v>100</v>
      </c>
      <c r="N449" s="32" t="n">
        <v>14152</v>
      </c>
      <c r="O449" s="33" t="n">
        <v>2124884.41</v>
      </c>
      <c r="P449" s="32" t="n">
        <v>14271</v>
      </c>
      <c r="Q449" s="34" t="n">
        <v>0.99</v>
      </c>
      <c r="R449" s="33" t="n">
        <v>85.92</v>
      </c>
      <c r="S449" s="33" t="n">
        <v>163.13</v>
      </c>
      <c r="T449" s="33" t="n">
        <v>150.15</v>
      </c>
      <c r="U449" s="11" t="n">
        <f aca="false">IFERROR(YEAR(A449),"")</f>
        <v>2025</v>
      </c>
      <c r="V449" s="33" t="n">
        <f aca="false">IFERROR(O449*B449,0)</f>
        <v>2124884.41</v>
      </c>
      <c r="W449" s="32" t="n">
        <f aca="false">IFERROR(N449*B449,0)</f>
        <v>14152</v>
      </c>
      <c r="X449" s="11" t="n">
        <f aca="false">IF(OR(ISNUMBER(SEARCH("live nation",L449)),ISNUMBER(SEARCH("ocesa",L449))),1,0)</f>
        <v>0</v>
      </c>
      <c r="Y449" s="11" t="s">
        <v>49</v>
      </c>
    </row>
    <row r="450" customFormat="false" ht="15" hidden="false" customHeight="false" outlineLevel="0" collapsed="false">
      <c r="A450" s="25" t="n">
        <v>45746</v>
      </c>
      <c r="B450" s="13" t="n">
        <v>1</v>
      </c>
      <c r="C450" s="26" t="s">
        <v>769</v>
      </c>
      <c r="D450" s="26"/>
      <c r="E450" s="13" t="s">
        <v>482</v>
      </c>
      <c r="F450" s="13" t="s">
        <v>223</v>
      </c>
      <c r="G450" s="13" t="s">
        <v>224</v>
      </c>
      <c r="H450" s="13" t="s">
        <v>20</v>
      </c>
      <c r="I450" s="13" t="s">
        <v>225</v>
      </c>
      <c r="J450" s="13" t="s">
        <v>106</v>
      </c>
      <c r="K450" s="13" t="s">
        <v>107</v>
      </c>
      <c r="L450" s="13" t="s">
        <v>483</v>
      </c>
      <c r="M450" s="13" t="s">
        <v>100</v>
      </c>
      <c r="N450" s="27" t="n">
        <v>2311</v>
      </c>
      <c r="O450" s="28" t="n">
        <v>197742</v>
      </c>
      <c r="P450" s="27" t="n">
        <v>2640</v>
      </c>
      <c r="Q450" s="29" t="n">
        <v>0.87</v>
      </c>
      <c r="R450" s="28" t="n">
        <v>35.5</v>
      </c>
      <c r="S450" s="28" t="n">
        <v>141</v>
      </c>
      <c r="T450" s="28" t="n">
        <v>85.57</v>
      </c>
      <c r="U450" s="13" t="n">
        <f aca="false">IFERROR(YEAR(A450),"")</f>
        <v>2025</v>
      </c>
      <c r="V450" s="28" t="n">
        <f aca="false">IFERROR(O450*B450,0)</f>
        <v>197742</v>
      </c>
      <c r="W450" s="27" t="n">
        <f aca="false">IFERROR(N450*B450,0)</f>
        <v>2311</v>
      </c>
      <c r="X450" s="13" t="n">
        <f aca="false">IF(OR(ISNUMBER(SEARCH("live nation",L450)),ISNUMBER(SEARCH("ocesa",L450))),1,0)</f>
        <v>1</v>
      </c>
      <c r="Y450" s="13" t="s">
        <v>49</v>
      </c>
    </row>
    <row r="451" customFormat="false" ht="15" hidden="false" customHeight="false" outlineLevel="0" collapsed="false">
      <c r="A451" s="30" t="n">
        <v>45746</v>
      </c>
      <c r="B451" s="11" t="n">
        <v>1</v>
      </c>
      <c r="C451" s="31" t="s">
        <v>192</v>
      </c>
      <c r="D451" s="31" t="s">
        <v>770</v>
      </c>
      <c r="E451" s="11" t="s">
        <v>111</v>
      </c>
      <c r="F451" s="11" t="s">
        <v>112</v>
      </c>
      <c r="G451" s="11"/>
      <c r="H451" s="11" t="s">
        <v>21</v>
      </c>
      <c r="I451" s="11"/>
      <c r="J451" s="11" t="s">
        <v>97</v>
      </c>
      <c r="K451" s="11" t="s">
        <v>113</v>
      </c>
      <c r="L451" s="11" t="s">
        <v>194</v>
      </c>
      <c r="M451" s="11" t="s">
        <v>100</v>
      </c>
      <c r="N451" s="32" t="n">
        <v>8827</v>
      </c>
      <c r="O451" s="33" t="n">
        <v>765798.22</v>
      </c>
      <c r="P451" s="32" t="n">
        <v>8827</v>
      </c>
      <c r="Q451" s="34" t="n">
        <v>1</v>
      </c>
      <c r="R451" s="33" t="n">
        <v>86.76</v>
      </c>
      <c r="S451" s="33" t="n">
        <v>86.76</v>
      </c>
      <c r="T451" s="33" t="n">
        <v>86.76</v>
      </c>
      <c r="U451" s="11" t="n">
        <f aca="false">IFERROR(YEAR(A451),"")</f>
        <v>2025</v>
      </c>
      <c r="V451" s="33" t="n">
        <f aca="false">IFERROR(O451*B451,0)</f>
        <v>765798.22</v>
      </c>
      <c r="W451" s="32" t="n">
        <f aca="false">IFERROR(N451*B451,0)</f>
        <v>8827</v>
      </c>
      <c r="X451" s="11" t="n">
        <f aca="false">IF(OR(ISNUMBER(SEARCH("live nation",L451)),ISNUMBER(SEARCH("ocesa",L451))),1,0)</f>
        <v>0</v>
      </c>
      <c r="Y451" s="11" t="s">
        <v>50</v>
      </c>
    </row>
    <row r="452" customFormat="false" ht="15" hidden="false" customHeight="false" outlineLevel="0" collapsed="false">
      <c r="A452" s="25" t="n">
        <v>45745</v>
      </c>
      <c r="B452" s="13" t="n">
        <v>1</v>
      </c>
      <c r="C452" s="26" t="s">
        <v>729</v>
      </c>
      <c r="D452" s="26" t="s">
        <v>771</v>
      </c>
      <c r="E452" s="13" t="s">
        <v>772</v>
      </c>
      <c r="F452" s="13" t="s">
        <v>395</v>
      </c>
      <c r="G452" s="13" t="s">
        <v>396</v>
      </c>
      <c r="H452" s="13" t="s">
        <v>20</v>
      </c>
      <c r="I452" s="13" t="s">
        <v>395</v>
      </c>
      <c r="J452" s="13" t="s">
        <v>133</v>
      </c>
      <c r="K452" s="13" t="s">
        <v>107</v>
      </c>
      <c r="L452" s="13" t="s">
        <v>322</v>
      </c>
      <c r="M452" s="13" t="s">
        <v>100</v>
      </c>
      <c r="N452" s="27" t="n">
        <v>15515</v>
      </c>
      <c r="O452" s="28" t="n">
        <v>3838827.33</v>
      </c>
      <c r="P452" s="27" t="n">
        <v>30000</v>
      </c>
      <c r="Q452" s="29" t="n">
        <v>0.51</v>
      </c>
      <c r="R452" s="28" t="n">
        <v>100</v>
      </c>
      <c r="S452" s="28" t="n">
        <v>525</v>
      </c>
      <c r="T452" s="28" t="n">
        <v>247.43</v>
      </c>
      <c r="U452" s="13" t="n">
        <f aca="false">IFERROR(YEAR(A452),"")</f>
        <v>2025</v>
      </c>
      <c r="V452" s="28" t="n">
        <f aca="false">IFERROR(O452*B452,0)</f>
        <v>3838827.33</v>
      </c>
      <c r="W452" s="27" t="n">
        <f aca="false">IFERROR(N452*B452,0)</f>
        <v>15515</v>
      </c>
      <c r="X452" s="13" t="n">
        <f aca="false">IF(OR(ISNUMBER(SEARCH("live nation",L452)),ISNUMBER(SEARCH("ocesa",L452))),1,0)</f>
        <v>0</v>
      </c>
      <c r="Y452" s="13" t="s">
        <v>49</v>
      </c>
    </row>
    <row r="453" customFormat="false" ht="15" hidden="false" customHeight="false" outlineLevel="0" collapsed="false">
      <c r="A453" s="30" t="n">
        <v>45745</v>
      </c>
      <c r="B453" s="11" t="n">
        <v>1</v>
      </c>
      <c r="C453" s="31" t="s">
        <v>569</v>
      </c>
      <c r="D453" s="31"/>
      <c r="E453" s="11" t="s">
        <v>196</v>
      </c>
      <c r="F453" s="11" t="s">
        <v>197</v>
      </c>
      <c r="G453" s="11" t="s">
        <v>139</v>
      </c>
      <c r="H453" s="11" t="s">
        <v>20</v>
      </c>
      <c r="I453" s="11" t="s">
        <v>139</v>
      </c>
      <c r="J453" s="11" t="s">
        <v>97</v>
      </c>
      <c r="K453" s="11" t="s">
        <v>107</v>
      </c>
      <c r="L453" s="11" t="s">
        <v>322</v>
      </c>
      <c r="M453" s="11" t="s">
        <v>100</v>
      </c>
      <c r="N453" s="32" t="n">
        <v>12917</v>
      </c>
      <c r="O453" s="33" t="n">
        <v>3372751</v>
      </c>
      <c r="P453" s="32" t="n">
        <v>12917</v>
      </c>
      <c r="Q453" s="34" t="n">
        <v>1</v>
      </c>
      <c r="R453" s="33" t="n">
        <v>98</v>
      </c>
      <c r="S453" s="33" t="n">
        <v>408</v>
      </c>
      <c r="T453" s="33" t="n">
        <v>261.11</v>
      </c>
      <c r="U453" s="11" t="n">
        <f aca="false">IFERROR(YEAR(A453),"")</f>
        <v>2025</v>
      </c>
      <c r="V453" s="33" t="n">
        <f aca="false">IFERROR(O453*B453,0)</f>
        <v>3372751</v>
      </c>
      <c r="W453" s="32" t="n">
        <f aca="false">IFERROR(N453*B453,0)</f>
        <v>12917</v>
      </c>
      <c r="X453" s="11" t="n">
        <f aca="false">IF(OR(ISNUMBER(SEARCH("live nation",L453)),ISNUMBER(SEARCH("ocesa",L453))),1,0)</f>
        <v>0</v>
      </c>
      <c r="Y453" s="11" t="s">
        <v>49</v>
      </c>
    </row>
    <row r="454" customFormat="false" ht="15" hidden="false" customHeight="false" outlineLevel="0" collapsed="false">
      <c r="A454" s="25" t="n">
        <v>45745</v>
      </c>
      <c r="B454" s="13" t="n">
        <v>1</v>
      </c>
      <c r="C454" s="26" t="s">
        <v>192</v>
      </c>
      <c r="D454" s="26" t="s">
        <v>773</v>
      </c>
      <c r="E454" s="13" t="s">
        <v>111</v>
      </c>
      <c r="F454" s="13" t="s">
        <v>112</v>
      </c>
      <c r="G454" s="13"/>
      <c r="H454" s="13" t="s">
        <v>21</v>
      </c>
      <c r="I454" s="13"/>
      <c r="J454" s="13" t="s">
        <v>97</v>
      </c>
      <c r="K454" s="13" t="s">
        <v>113</v>
      </c>
      <c r="L454" s="13" t="s">
        <v>194</v>
      </c>
      <c r="M454" s="13" t="s">
        <v>100</v>
      </c>
      <c r="N454" s="27" t="n">
        <v>16505</v>
      </c>
      <c r="O454" s="28" t="n">
        <v>1431817.49</v>
      </c>
      <c r="P454" s="27" t="n">
        <v>16505</v>
      </c>
      <c r="Q454" s="29" t="n">
        <v>1</v>
      </c>
      <c r="R454" s="28" t="n">
        <v>86.75</v>
      </c>
      <c r="S454" s="28" t="n">
        <v>86.75</v>
      </c>
      <c r="T454" s="28" t="n">
        <v>86.75</v>
      </c>
      <c r="U454" s="13" t="n">
        <f aca="false">IFERROR(YEAR(A454),"")</f>
        <v>2025</v>
      </c>
      <c r="V454" s="28" t="n">
        <f aca="false">IFERROR(O454*B454,0)</f>
        <v>1431817.49</v>
      </c>
      <c r="W454" s="27" t="n">
        <f aca="false">IFERROR(N454*B454,0)</f>
        <v>16505</v>
      </c>
      <c r="X454" s="13" t="n">
        <f aca="false">IF(OR(ISNUMBER(SEARCH("live nation",L454)),ISNUMBER(SEARCH("ocesa",L454))),1,0)</f>
        <v>0</v>
      </c>
      <c r="Y454" s="13" t="s">
        <v>50</v>
      </c>
    </row>
    <row r="455" customFormat="false" ht="15" hidden="false" customHeight="false" outlineLevel="0" collapsed="false">
      <c r="A455" s="30" t="n">
        <v>45744</v>
      </c>
      <c r="B455" s="11" t="n">
        <v>1</v>
      </c>
      <c r="C455" s="31" t="s">
        <v>66</v>
      </c>
      <c r="D455" s="31" t="s">
        <v>774</v>
      </c>
      <c r="E455" s="11" t="s">
        <v>775</v>
      </c>
      <c r="F455" s="11" t="s">
        <v>156</v>
      </c>
      <c r="G455" s="11"/>
      <c r="H455" s="11" t="s">
        <v>157</v>
      </c>
      <c r="I455" s="11"/>
      <c r="J455" s="11" t="s">
        <v>133</v>
      </c>
      <c r="K455" s="11" t="s">
        <v>158</v>
      </c>
      <c r="L455" s="11" t="s">
        <v>776</v>
      </c>
      <c r="M455" s="11" t="s">
        <v>100</v>
      </c>
      <c r="N455" s="32" t="n">
        <v>24131</v>
      </c>
      <c r="O455" s="33" t="n">
        <v>3020492.39</v>
      </c>
      <c r="P455" s="32" t="n">
        <v>24131</v>
      </c>
      <c r="Q455" s="34" t="n">
        <v>1</v>
      </c>
      <c r="R455" s="33" t="n">
        <v>59.96</v>
      </c>
      <c r="S455" s="33" t="n">
        <v>283.76</v>
      </c>
      <c r="T455" s="33" t="n">
        <v>125.17</v>
      </c>
      <c r="U455" s="11" t="n">
        <f aca="false">IFERROR(YEAR(A455),"")</f>
        <v>2025</v>
      </c>
      <c r="V455" s="33" t="n">
        <f aca="false">IFERROR(O455*B455,0)</f>
        <v>3020492.39</v>
      </c>
      <c r="W455" s="32" t="n">
        <f aca="false">IFERROR(N455*B455,0)</f>
        <v>24131</v>
      </c>
      <c r="X455" s="11" t="n">
        <f aca="false">IF(OR(ISNUMBER(SEARCH("live nation",L455)),ISNUMBER(SEARCH("ocesa",L455))),1,0)</f>
        <v>1</v>
      </c>
      <c r="Y455" s="11" t="s">
        <v>49</v>
      </c>
    </row>
    <row r="456" customFormat="false" ht="15" hidden="false" customHeight="false" outlineLevel="0" collapsed="false">
      <c r="A456" s="25" t="n">
        <v>45744</v>
      </c>
      <c r="B456" s="13" t="n">
        <v>1</v>
      </c>
      <c r="C456" s="26" t="s">
        <v>192</v>
      </c>
      <c r="D456" s="26" t="s">
        <v>777</v>
      </c>
      <c r="E456" s="13" t="s">
        <v>111</v>
      </c>
      <c r="F456" s="13" t="s">
        <v>112</v>
      </c>
      <c r="G456" s="13"/>
      <c r="H456" s="13" t="s">
        <v>21</v>
      </c>
      <c r="I456" s="13"/>
      <c r="J456" s="13" t="s">
        <v>97</v>
      </c>
      <c r="K456" s="13" t="s">
        <v>113</v>
      </c>
      <c r="L456" s="13" t="s">
        <v>194</v>
      </c>
      <c r="M456" s="13" t="s">
        <v>100</v>
      </c>
      <c r="N456" s="27" t="n">
        <v>18445</v>
      </c>
      <c r="O456" s="28" t="n">
        <v>1467690.07</v>
      </c>
      <c r="P456" s="27" t="n">
        <v>18445</v>
      </c>
      <c r="Q456" s="29" t="n">
        <v>1</v>
      </c>
      <c r="R456" s="28" t="n">
        <v>79.57</v>
      </c>
      <c r="S456" s="28" t="n">
        <v>79.57</v>
      </c>
      <c r="T456" s="28" t="n">
        <v>79.57</v>
      </c>
      <c r="U456" s="13" t="n">
        <f aca="false">IFERROR(YEAR(A456),"")</f>
        <v>2025</v>
      </c>
      <c r="V456" s="28" t="n">
        <f aca="false">IFERROR(O456*B456,0)</f>
        <v>1467690.07</v>
      </c>
      <c r="W456" s="27" t="n">
        <f aca="false">IFERROR(N456*B456,0)</f>
        <v>18445</v>
      </c>
      <c r="X456" s="13" t="n">
        <f aca="false">IF(OR(ISNUMBER(SEARCH("live nation",L456)),ISNUMBER(SEARCH("ocesa",L456))),1,0)</f>
        <v>0</v>
      </c>
      <c r="Y456" s="13" t="s">
        <v>50</v>
      </c>
    </row>
    <row r="457" customFormat="false" ht="15" hidden="false" customHeight="false" outlineLevel="0" collapsed="false">
      <c r="A457" s="30" t="n">
        <v>45743</v>
      </c>
      <c r="B457" s="11" t="n">
        <v>1</v>
      </c>
      <c r="C457" s="31" t="s">
        <v>63</v>
      </c>
      <c r="D457" s="31"/>
      <c r="E457" s="11" t="s">
        <v>553</v>
      </c>
      <c r="F457" s="11" t="s">
        <v>349</v>
      </c>
      <c r="G457" s="11"/>
      <c r="H457" s="11" t="s">
        <v>350</v>
      </c>
      <c r="I457" s="11"/>
      <c r="J457" s="11" t="s">
        <v>97</v>
      </c>
      <c r="K457" s="11" t="s">
        <v>173</v>
      </c>
      <c r="L457" s="11" t="s">
        <v>508</v>
      </c>
      <c r="M457" s="11" t="s">
        <v>100</v>
      </c>
      <c r="N457" s="32" t="n">
        <v>11950</v>
      </c>
      <c r="O457" s="33" t="n">
        <v>1899783.25</v>
      </c>
      <c r="P457" s="32" t="n">
        <v>13018</v>
      </c>
      <c r="Q457" s="34" t="n">
        <v>0.91</v>
      </c>
      <c r="R457" s="33" t="n">
        <v>64.67</v>
      </c>
      <c r="S457" s="33" t="n">
        <v>161.68</v>
      </c>
      <c r="T457" s="33" t="n">
        <v>158.98</v>
      </c>
      <c r="U457" s="11" t="n">
        <f aca="false">IFERROR(YEAR(A457),"")</f>
        <v>2025</v>
      </c>
      <c r="V457" s="33" t="n">
        <f aca="false">IFERROR(O457*B457,0)</f>
        <v>1899783.25</v>
      </c>
      <c r="W457" s="32" t="n">
        <f aca="false">IFERROR(N457*B457,0)</f>
        <v>11950</v>
      </c>
      <c r="X457" s="11" t="n">
        <f aca="false">IF(OR(ISNUMBER(SEARCH("live nation",L457)),ISNUMBER(SEARCH("ocesa",L457))),1,0)</f>
        <v>0</v>
      </c>
      <c r="Y457" s="11" t="s">
        <v>49</v>
      </c>
    </row>
    <row r="458" customFormat="false" ht="15" hidden="false" customHeight="false" outlineLevel="0" collapsed="false">
      <c r="A458" s="25" t="n">
        <v>45743</v>
      </c>
      <c r="B458" s="13" t="n">
        <v>1</v>
      </c>
      <c r="C458" s="26" t="s">
        <v>66</v>
      </c>
      <c r="D458" s="26" t="s">
        <v>774</v>
      </c>
      <c r="E458" s="13" t="s">
        <v>775</v>
      </c>
      <c r="F458" s="13" t="s">
        <v>156</v>
      </c>
      <c r="G458" s="13"/>
      <c r="H458" s="13" t="s">
        <v>157</v>
      </c>
      <c r="I458" s="13"/>
      <c r="J458" s="13" t="s">
        <v>133</v>
      </c>
      <c r="K458" s="13" t="s">
        <v>158</v>
      </c>
      <c r="L458" s="13" t="s">
        <v>776</v>
      </c>
      <c r="M458" s="13" t="s">
        <v>100</v>
      </c>
      <c r="N458" s="27" t="n">
        <v>24098</v>
      </c>
      <c r="O458" s="28" t="n">
        <v>3041434.23</v>
      </c>
      <c r="P458" s="27" t="n">
        <v>24098</v>
      </c>
      <c r="Q458" s="29" t="n">
        <v>1</v>
      </c>
      <c r="R458" s="28" t="n">
        <v>60.65</v>
      </c>
      <c r="S458" s="28" t="n">
        <v>287.02</v>
      </c>
      <c r="T458" s="28" t="n">
        <v>126.21</v>
      </c>
      <c r="U458" s="13" t="n">
        <f aca="false">IFERROR(YEAR(A458),"")</f>
        <v>2025</v>
      </c>
      <c r="V458" s="28" t="n">
        <f aca="false">IFERROR(O458*B458,0)</f>
        <v>3041434.23</v>
      </c>
      <c r="W458" s="27" t="n">
        <f aca="false">IFERROR(N458*B458,0)</f>
        <v>24098</v>
      </c>
      <c r="X458" s="13" t="n">
        <f aca="false">IF(OR(ISNUMBER(SEARCH("live nation",L458)),ISNUMBER(SEARCH("ocesa",L458))),1,0)</f>
        <v>1</v>
      </c>
      <c r="Y458" s="13" t="s">
        <v>49</v>
      </c>
    </row>
    <row r="459" customFormat="false" ht="15" hidden="false" customHeight="false" outlineLevel="0" collapsed="false">
      <c r="A459" s="30" t="n">
        <v>45742</v>
      </c>
      <c r="B459" s="11" t="n">
        <v>2</v>
      </c>
      <c r="C459" s="31" t="s">
        <v>65</v>
      </c>
      <c r="D459" s="31"/>
      <c r="E459" s="11" t="s">
        <v>778</v>
      </c>
      <c r="F459" s="11" t="s">
        <v>779</v>
      </c>
      <c r="G459" s="11" t="s">
        <v>143</v>
      </c>
      <c r="H459" s="11" t="s">
        <v>20</v>
      </c>
      <c r="I459" s="11" t="s">
        <v>779</v>
      </c>
      <c r="J459" s="11" t="s">
        <v>97</v>
      </c>
      <c r="K459" s="11" t="s">
        <v>107</v>
      </c>
      <c r="L459" s="11" t="s">
        <v>468</v>
      </c>
      <c r="M459" s="11" t="s">
        <v>270</v>
      </c>
      <c r="N459" s="32" t="n">
        <v>13404</v>
      </c>
      <c r="O459" s="33" t="n">
        <v>2604550</v>
      </c>
      <c r="P459" s="32" t="n">
        <v>13405</v>
      </c>
      <c r="Q459" s="34" t="n">
        <v>0.99</v>
      </c>
      <c r="R459" s="33" t="n">
        <v>59.5</v>
      </c>
      <c r="S459" s="33" t="n">
        <v>279.5</v>
      </c>
      <c r="T459" s="33" t="n">
        <v>194.3</v>
      </c>
      <c r="U459" s="11" t="n">
        <f aca="false">IFERROR(YEAR(A459),"")</f>
        <v>2025</v>
      </c>
      <c r="V459" s="33" t="n">
        <f aca="false">IFERROR(O459*B459,0)</f>
        <v>5209100</v>
      </c>
      <c r="W459" s="32" t="n">
        <f aca="false">IFERROR(N459*B459,0)</f>
        <v>26808</v>
      </c>
      <c r="X459" s="11" t="n">
        <f aca="false">IF(OR(ISNUMBER(SEARCH("live nation",L459)),ISNUMBER(SEARCH("ocesa",L459))),1,0)</f>
        <v>1</v>
      </c>
      <c r="Y459" s="11" t="s">
        <v>49</v>
      </c>
    </row>
    <row r="460" customFormat="false" ht="15" hidden="false" customHeight="false" outlineLevel="0" collapsed="false">
      <c r="A460" s="25" t="n">
        <v>45741</v>
      </c>
      <c r="B460" s="13" t="n">
        <v>1</v>
      </c>
      <c r="C460" s="26" t="s">
        <v>63</v>
      </c>
      <c r="D460" s="26"/>
      <c r="E460" s="13" t="s">
        <v>567</v>
      </c>
      <c r="F460" s="13" t="s">
        <v>313</v>
      </c>
      <c r="G460" s="13"/>
      <c r="H460" s="13" t="s">
        <v>27</v>
      </c>
      <c r="I460" s="13"/>
      <c r="J460" s="13" t="s">
        <v>97</v>
      </c>
      <c r="K460" s="13" t="s">
        <v>314</v>
      </c>
      <c r="L460" s="13" t="s">
        <v>508</v>
      </c>
      <c r="M460" s="13" t="s">
        <v>100</v>
      </c>
      <c r="N460" s="27" t="n">
        <v>15582</v>
      </c>
      <c r="O460" s="28" t="n">
        <v>2617985.75</v>
      </c>
      <c r="P460" s="27" t="n">
        <v>16988</v>
      </c>
      <c r="Q460" s="29" t="n">
        <v>0.91</v>
      </c>
      <c r="R460" s="28" t="n">
        <v>76.26</v>
      </c>
      <c r="S460" s="28" t="n">
        <v>193.87</v>
      </c>
      <c r="T460" s="28" t="n">
        <v>168.01</v>
      </c>
      <c r="U460" s="13" t="n">
        <f aca="false">IFERROR(YEAR(A460),"")</f>
        <v>2025</v>
      </c>
      <c r="V460" s="28" t="n">
        <f aca="false">IFERROR(O460*B460,0)</f>
        <v>2617985.75</v>
      </c>
      <c r="W460" s="27" t="n">
        <f aca="false">IFERROR(N460*B460,0)</f>
        <v>15582</v>
      </c>
      <c r="X460" s="13" t="n">
        <f aca="false">IF(OR(ISNUMBER(SEARCH("live nation",L460)),ISNUMBER(SEARCH("ocesa",L460))),1,0)</f>
        <v>0</v>
      </c>
      <c r="Y460" s="13" t="s">
        <v>49</v>
      </c>
    </row>
    <row r="461" customFormat="false" ht="15" hidden="false" customHeight="false" outlineLevel="0" collapsed="false">
      <c r="A461" s="30" t="n">
        <v>45739</v>
      </c>
      <c r="B461" s="11" t="n">
        <v>1</v>
      </c>
      <c r="C461" s="31" t="s">
        <v>475</v>
      </c>
      <c r="D461" s="31"/>
      <c r="E461" s="11" t="s">
        <v>111</v>
      </c>
      <c r="F461" s="11" t="s">
        <v>112</v>
      </c>
      <c r="G461" s="11"/>
      <c r="H461" s="11" t="s">
        <v>21</v>
      </c>
      <c r="I461" s="11"/>
      <c r="J461" s="11" t="s">
        <v>97</v>
      </c>
      <c r="K461" s="11" t="s">
        <v>113</v>
      </c>
      <c r="L461" s="11" t="s">
        <v>250</v>
      </c>
      <c r="M461" s="11" t="s">
        <v>100</v>
      </c>
      <c r="N461" s="32" t="n">
        <v>21000</v>
      </c>
      <c r="O461" s="33" t="n">
        <v>1082873.43</v>
      </c>
      <c r="P461" s="32" t="n">
        <v>21000</v>
      </c>
      <c r="Q461" s="34" t="n">
        <v>1</v>
      </c>
      <c r="R461" s="33" t="n">
        <v>51.57</v>
      </c>
      <c r="S461" s="33" t="n">
        <v>51.57</v>
      </c>
      <c r="T461" s="33" t="n">
        <v>51.57</v>
      </c>
      <c r="U461" s="11" t="n">
        <f aca="false">IFERROR(YEAR(A461),"")</f>
        <v>2025</v>
      </c>
      <c r="V461" s="33" t="n">
        <f aca="false">IFERROR(O461*B461,0)</f>
        <v>1082873.43</v>
      </c>
      <c r="W461" s="32" t="n">
        <f aca="false">IFERROR(N461*B461,0)</f>
        <v>21000</v>
      </c>
      <c r="X461" s="11" t="n">
        <f aca="false">IF(OR(ISNUMBER(SEARCH("live nation",L461)),ISNUMBER(SEARCH("ocesa",L461))),1,0)</f>
        <v>0</v>
      </c>
      <c r="Y461" s="11" t="s">
        <v>50</v>
      </c>
    </row>
    <row r="462" customFormat="false" ht="15" hidden="false" customHeight="false" outlineLevel="0" collapsed="false">
      <c r="A462" s="25" t="n">
        <v>45739</v>
      </c>
      <c r="B462" s="13" t="n">
        <v>1</v>
      </c>
      <c r="C462" s="26" t="s">
        <v>780</v>
      </c>
      <c r="D462" s="26"/>
      <c r="E462" s="13" t="s">
        <v>781</v>
      </c>
      <c r="F462" s="13" t="s">
        <v>112</v>
      </c>
      <c r="G462" s="13"/>
      <c r="H462" s="13" t="s">
        <v>21</v>
      </c>
      <c r="I462" s="13"/>
      <c r="J462" s="13" t="s">
        <v>97</v>
      </c>
      <c r="K462" s="13" t="s">
        <v>113</v>
      </c>
      <c r="L462" s="13" t="s">
        <v>250</v>
      </c>
      <c r="M462" s="13" t="s">
        <v>100</v>
      </c>
      <c r="N462" s="27" t="n">
        <v>17000</v>
      </c>
      <c r="O462" s="28" t="n">
        <v>1366148.29</v>
      </c>
      <c r="P462" s="27" t="n">
        <v>17000</v>
      </c>
      <c r="Q462" s="29" t="n">
        <v>1</v>
      </c>
      <c r="R462" s="28" t="n">
        <v>66.97</v>
      </c>
      <c r="S462" s="28" t="n">
        <v>133.94</v>
      </c>
      <c r="T462" s="28" t="n">
        <v>80.36</v>
      </c>
      <c r="U462" s="13" t="n">
        <f aca="false">IFERROR(YEAR(A462),"")</f>
        <v>2025</v>
      </c>
      <c r="V462" s="28" t="n">
        <f aca="false">IFERROR(O462*B462,0)</f>
        <v>1366148.29</v>
      </c>
      <c r="W462" s="27" t="n">
        <f aca="false">IFERROR(N462*B462,0)</f>
        <v>17000</v>
      </c>
      <c r="X462" s="13" t="n">
        <f aca="false">IF(OR(ISNUMBER(SEARCH("live nation",L462)),ISNUMBER(SEARCH("ocesa",L462))),1,0)</f>
        <v>0</v>
      </c>
      <c r="Y462" s="13" t="s">
        <v>50</v>
      </c>
    </row>
    <row r="463" customFormat="false" ht="15" hidden="false" customHeight="false" outlineLevel="0" collapsed="false">
      <c r="A463" s="30" t="n">
        <v>45738</v>
      </c>
      <c r="B463" s="11" t="n">
        <v>1</v>
      </c>
      <c r="C463" s="31" t="s">
        <v>711</v>
      </c>
      <c r="D463" s="31"/>
      <c r="E463" s="11" t="s">
        <v>529</v>
      </c>
      <c r="F463" s="11" t="s">
        <v>530</v>
      </c>
      <c r="G463" s="11"/>
      <c r="H463" s="11" t="s">
        <v>26</v>
      </c>
      <c r="I463" s="11"/>
      <c r="J463" s="11" t="s">
        <v>97</v>
      </c>
      <c r="K463" s="11" t="s">
        <v>173</v>
      </c>
      <c r="L463" s="11" t="s">
        <v>177</v>
      </c>
      <c r="M463" s="11" t="s">
        <v>100</v>
      </c>
      <c r="N463" s="32" t="n">
        <v>12068</v>
      </c>
      <c r="O463" s="33" t="n">
        <v>2999033.85</v>
      </c>
      <c r="P463" s="32" t="n">
        <v>15000</v>
      </c>
      <c r="Q463" s="34" t="n">
        <v>0.8</v>
      </c>
      <c r="R463" s="33" t="n">
        <v>118.88</v>
      </c>
      <c r="S463" s="33" t="n">
        <v>406.03</v>
      </c>
      <c r="T463" s="33" t="n">
        <v>248.51</v>
      </c>
      <c r="U463" s="11" t="n">
        <f aca="false">IFERROR(YEAR(A463),"")</f>
        <v>2025</v>
      </c>
      <c r="V463" s="33" t="n">
        <f aca="false">IFERROR(O463*B463,0)</f>
        <v>2999033.85</v>
      </c>
      <c r="W463" s="32" t="n">
        <f aca="false">IFERROR(N463*B463,0)</f>
        <v>12068</v>
      </c>
      <c r="X463" s="11" t="n">
        <f aca="false">IF(OR(ISNUMBER(SEARCH("live nation",L463)),ISNUMBER(SEARCH("ocesa",L463))),1,0)</f>
        <v>1</v>
      </c>
      <c r="Y463" s="11" t="s">
        <v>49</v>
      </c>
    </row>
    <row r="464" customFormat="false" ht="15" hidden="false" customHeight="false" outlineLevel="0" collapsed="false">
      <c r="A464" s="25" t="n">
        <v>45738</v>
      </c>
      <c r="B464" s="13" t="n">
        <v>1</v>
      </c>
      <c r="C464" s="26" t="s">
        <v>475</v>
      </c>
      <c r="D464" s="26"/>
      <c r="E464" s="13" t="s">
        <v>111</v>
      </c>
      <c r="F464" s="13" t="s">
        <v>112</v>
      </c>
      <c r="G464" s="13"/>
      <c r="H464" s="13" t="s">
        <v>21</v>
      </c>
      <c r="I464" s="13"/>
      <c r="J464" s="13" t="s">
        <v>97</v>
      </c>
      <c r="K464" s="13" t="s">
        <v>113</v>
      </c>
      <c r="L464" s="13" t="s">
        <v>250</v>
      </c>
      <c r="M464" s="13" t="s">
        <v>100</v>
      </c>
      <c r="N464" s="27" t="n">
        <v>21000</v>
      </c>
      <c r="O464" s="28" t="n">
        <v>1082873.42</v>
      </c>
      <c r="P464" s="27" t="n">
        <v>21000</v>
      </c>
      <c r="Q464" s="29" t="n">
        <v>1</v>
      </c>
      <c r="R464" s="28" t="n">
        <v>51.57</v>
      </c>
      <c r="S464" s="28" t="n">
        <v>51.57</v>
      </c>
      <c r="T464" s="28" t="n">
        <v>51.57</v>
      </c>
      <c r="U464" s="13" t="n">
        <f aca="false">IFERROR(YEAR(A464),"")</f>
        <v>2025</v>
      </c>
      <c r="V464" s="28" t="n">
        <f aca="false">IFERROR(O464*B464,0)</f>
        <v>1082873.42</v>
      </c>
      <c r="W464" s="27" t="n">
        <f aca="false">IFERROR(N464*B464,0)</f>
        <v>21000</v>
      </c>
      <c r="X464" s="13" t="n">
        <f aca="false">IF(OR(ISNUMBER(SEARCH("live nation",L464)),ISNUMBER(SEARCH("ocesa",L464))),1,0)</f>
        <v>0</v>
      </c>
      <c r="Y464" s="13" t="s">
        <v>50</v>
      </c>
    </row>
    <row r="465" customFormat="false" ht="15" hidden="false" customHeight="false" outlineLevel="0" collapsed="false">
      <c r="A465" s="30" t="n">
        <v>45738</v>
      </c>
      <c r="B465" s="11" t="n">
        <v>2</v>
      </c>
      <c r="C465" s="31" t="s">
        <v>65</v>
      </c>
      <c r="D465" s="31"/>
      <c r="E465" s="11" t="s">
        <v>491</v>
      </c>
      <c r="F465" s="11" t="s">
        <v>132</v>
      </c>
      <c r="G465" s="11"/>
      <c r="H465" s="11" t="s">
        <v>23</v>
      </c>
      <c r="I465" s="11"/>
      <c r="J465" s="11" t="s">
        <v>97</v>
      </c>
      <c r="K465" s="11" t="s">
        <v>134</v>
      </c>
      <c r="L465" s="11" t="s">
        <v>782</v>
      </c>
      <c r="M465" s="11" t="s">
        <v>270</v>
      </c>
      <c r="N465" s="32" t="n">
        <v>16402</v>
      </c>
      <c r="O465" s="33" t="n">
        <v>2898468.69</v>
      </c>
      <c r="P465" s="32" t="n">
        <v>16615</v>
      </c>
      <c r="Q465" s="34" t="n">
        <v>0.98</v>
      </c>
      <c r="R465" s="33" t="n">
        <v>49.41</v>
      </c>
      <c r="S465" s="33" t="n">
        <v>395.27</v>
      </c>
      <c r="T465" s="33" t="n">
        <v>176.71</v>
      </c>
      <c r="U465" s="11" t="n">
        <f aca="false">IFERROR(YEAR(A465),"")</f>
        <v>2025</v>
      </c>
      <c r="V465" s="33" t="n">
        <f aca="false">IFERROR(O465*B465,0)</f>
        <v>5796937.38</v>
      </c>
      <c r="W465" s="32" t="n">
        <f aca="false">IFERROR(N465*B465,0)</f>
        <v>32804</v>
      </c>
      <c r="X465" s="11" t="n">
        <f aca="false">IF(OR(ISNUMBER(SEARCH("live nation",L465)),ISNUMBER(SEARCH("ocesa",L465))),1,0)</f>
        <v>1</v>
      </c>
      <c r="Y465" s="11" t="s">
        <v>49</v>
      </c>
    </row>
    <row r="466" customFormat="false" ht="15" hidden="false" customHeight="false" outlineLevel="0" collapsed="false">
      <c r="A466" s="25" t="n">
        <v>45738</v>
      </c>
      <c r="B466" s="13" t="n">
        <v>1</v>
      </c>
      <c r="C466" s="26" t="s">
        <v>569</v>
      </c>
      <c r="D466" s="26"/>
      <c r="E466" s="13" t="s">
        <v>783</v>
      </c>
      <c r="F466" s="13" t="s">
        <v>535</v>
      </c>
      <c r="G466" s="13" t="s">
        <v>202</v>
      </c>
      <c r="H466" s="13" t="s">
        <v>20</v>
      </c>
      <c r="I466" s="13" t="s">
        <v>232</v>
      </c>
      <c r="J466" s="13" t="s">
        <v>97</v>
      </c>
      <c r="K466" s="13" t="s">
        <v>107</v>
      </c>
      <c r="L466" s="13" t="s">
        <v>322</v>
      </c>
      <c r="M466" s="13" t="s">
        <v>100</v>
      </c>
      <c r="N466" s="27" t="n">
        <v>10678</v>
      </c>
      <c r="O466" s="28" t="n">
        <v>2667554</v>
      </c>
      <c r="P466" s="27" t="n">
        <v>10940</v>
      </c>
      <c r="Q466" s="29" t="n">
        <v>0.97</v>
      </c>
      <c r="R466" s="28" t="n">
        <v>98</v>
      </c>
      <c r="S466" s="28" t="n">
        <v>398</v>
      </c>
      <c r="T466" s="28" t="n">
        <v>249.82</v>
      </c>
      <c r="U466" s="13" t="n">
        <f aca="false">IFERROR(YEAR(A466),"")</f>
        <v>2025</v>
      </c>
      <c r="V466" s="28" t="n">
        <f aca="false">IFERROR(O466*B466,0)</f>
        <v>2667554</v>
      </c>
      <c r="W466" s="27" t="n">
        <f aca="false">IFERROR(N466*B466,0)</f>
        <v>10678</v>
      </c>
      <c r="X466" s="13" t="n">
        <f aca="false">IF(OR(ISNUMBER(SEARCH("live nation",L466)),ISNUMBER(SEARCH("ocesa",L466))),1,0)</f>
        <v>0</v>
      </c>
      <c r="Y466" s="13" t="s">
        <v>49</v>
      </c>
    </row>
    <row r="467" customFormat="false" ht="15" hidden="false" customHeight="false" outlineLevel="0" collapsed="false">
      <c r="A467" s="30" t="n">
        <v>45738</v>
      </c>
      <c r="B467" s="11" t="n">
        <v>1</v>
      </c>
      <c r="C467" s="31" t="s">
        <v>612</v>
      </c>
      <c r="D467" s="31"/>
      <c r="E467" s="11" t="s">
        <v>784</v>
      </c>
      <c r="F467" s="11" t="s">
        <v>785</v>
      </c>
      <c r="G467" s="11"/>
      <c r="H467" s="11" t="s">
        <v>285</v>
      </c>
      <c r="I467" s="11"/>
      <c r="J467" s="11" t="s">
        <v>97</v>
      </c>
      <c r="K467" s="11" t="s">
        <v>134</v>
      </c>
      <c r="L467" s="11" t="s">
        <v>145</v>
      </c>
      <c r="M467" s="11" t="s">
        <v>100</v>
      </c>
      <c r="N467" s="32" t="n">
        <v>3109</v>
      </c>
      <c r="O467" s="33" t="n">
        <v>471031.07</v>
      </c>
      <c r="P467" s="32" t="n">
        <v>4124</v>
      </c>
      <c r="Q467" s="34" t="n">
        <v>0.75</v>
      </c>
      <c r="R467" s="33" t="n">
        <v>61.06</v>
      </c>
      <c r="S467" s="33" t="n">
        <v>218.07</v>
      </c>
      <c r="T467" s="33" t="n">
        <v>151.51</v>
      </c>
      <c r="U467" s="11" t="n">
        <f aca="false">IFERROR(YEAR(A467),"")</f>
        <v>2025</v>
      </c>
      <c r="V467" s="33" t="n">
        <f aca="false">IFERROR(O467*B467,0)</f>
        <v>471031.07</v>
      </c>
      <c r="W467" s="32" t="n">
        <f aca="false">IFERROR(N467*B467,0)</f>
        <v>3109</v>
      </c>
      <c r="X467" s="11" t="n">
        <f aca="false">IF(OR(ISNUMBER(SEARCH("live nation",L467)),ISNUMBER(SEARCH("ocesa",L467))),1,0)</f>
        <v>0</v>
      </c>
      <c r="Y467" s="11" t="s">
        <v>50</v>
      </c>
    </row>
    <row r="468" customFormat="false" ht="15" hidden="false" customHeight="false" outlineLevel="0" collapsed="false">
      <c r="A468" s="25" t="n">
        <v>45737</v>
      </c>
      <c r="B468" s="13" t="n">
        <v>1</v>
      </c>
      <c r="C468" s="26" t="s">
        <v>258</v>
      </c>
      <c r="D468" s="26"/>
      <c r="E468" s="13" t="s">
        <v>187</v>
      </c>
      <c r="F468" s="13" t="s">
        <v>188</v>
      </c>
      <c r="G468" s="13" t="s">
        <v>189</v>
      </c>
      <c r="H468" s="13" t="s">
        <v>20</v>
      </c>
      <c r="I468" s="13" t="s">
        <v>190</v>
      </c>
      <c r="J468" s="13" t="s">
        <v>106</v>
      </c>
      <c r="K468" s="13" t="s">
        <v>107</v>
      </c>
      <c r="L468" s="13" t="s">
        <v>259</v>
      </c>
      <c r="M468" s="13" t="s">
        <v>109</v>
      </c>
      <c r="N468" s="27" t="n">
        <v>380</v>
      </c>
      <c r="O468" s="28" t="n">
        <v>7825</v>
      </c>
      <c r="P468" s="27" t="n">
        <v>500</v>
      </c>
      <c r="Q468" s="29" t="n">
        <v>0.76</v>
      </c>
      <c r="R468" s="28" t="n">
        <v>10</v>
      </c>
      <c r="S468" s="28" t="n">
        <v>30</v>
      </c>
      <c r="T468" s="28" t="n">
        <v>20.59</v>
      </c>
      <c r="U468" s="13" t="n">
        <f aca="false">IFERROR(YEAR(A468),"")</f>
        <v>2025</v>
      </c>
      <c r="V468" s="28" t="n">
        <f aca="false">IFERROR(O468*B468,0)</f>
        <v>7825</v>
      </c>
      <c r="W468" s="27" t="n">
        <f aca="false">IFERROR(N468*B468,0)</f>
        <v>380</v>
      </c>
      <c r="X468" s="13" t="n">
        <f aca="false">IF(OR(ISNUMBER(SEARCH("live nation",L468)),ISNUMBER(SEARCH("ocesa",L468))),1,0)</f>
        <v>0</v>
      </c>
      <c r="Y468" s="13" t="s">
        <v>49</v>
      </c>
    </row>
    <row r="469" customFormat="false" ht="15" hidden="false" customHeight="false" outlineLevel="0" collapsed="false">
      <c r="A469" s="30" t="n">
        <v>45736</v>
      </c>
      <c r="B469" s="11" t="n">
        <v>1</v>
      </c>
      <c r="C469" s="31" t="s">
        <v>63</v>
      </c>
      <c r="D469" s="31"/>
      <c r="E469" s="11" t="s">
        <v>786</v>
      </c>
      <c r="F469" s="11" t="s">
        <v>787</v>
      </c>
      <c r="G469" s="11"/>
      <c r="H469" s="11" t="s">
        <v>610</v>
      </c>
      <c r="I469" s="11"/>
      <c r="J469" s="11" t="s">
        <v>97</v>
      </c>
      <c r="K469" s="11" t="s">
        <v>173</v>
      </c>
      <c r="L469" s="11" t="s">
        <v>508</v>
      </c>
      <c r="M469" s="11" t="s">
        <v>100</v>
      </c>
      <c r="N469" s="32" t="n">
        <v>10453</v>
      </c>
      <c r="O469" s="33" t="n">
        <v>1514760.91</v>
      </c>
      <c r="P469" s="32" t="n">
        <v>12796</v>
      </c>
      <c r="Q469" s="34" t="n">
        <v>0.81</v>
      </c>
      <c r="R469" s="33" t="n">
        <v>129.83</v>
      </c>
      <c r="S469" s="33" t="n">
        <v>163.65</v>
      </c>
      <c r="T469" s="33" t="n">
        <v>144.91</v>
      </c>
      <c r="U469" s="11" t="n">
        <f aca="false">IFERROR(YEAR(A469),"")</f>
        <v>2025</v>
      </c>
      <c r="V469" s="33" t="n">
        <f aca="false">IFERROR(O469*B469,0)</f>
        <v>1514760.91</v>
      </c>
      <c r="W469" s="32" t="n">
        <f aca="false">IFERROR(N469*B469,0)</f>
        <v>10453</v>
      </c>
      <c r="X469" s="11" t="n">
        <f aca="false">IF(OR(ISNUMBER(SEARCH("live nation",L469)),ISNUMBER(SEARCH("ocesa",L469))),1,0)</f>
        <v>0</v>
      </c>
      <c r="Y469" s="11" t="s">
        <v>49</v>
      </c>
    </row>
    <row r="470" customFormat="false" ht="15" hidden="false" customHeight="false" outlineLevel="0" collapsed="false">
      <c r="A470" s="25" t="n">
        <v>45734</v>
      </c>
      <c r="B470" s="13" t="n">
        <v>1</v>
      </c>
      <c r="C470" s="26" t="s">
        <v>393</v>
      </c>
      <c r="D470" s="26"/>
      <c r="E470" s="13" t="s">
        <v>564</v>
      </c>
      <c r="F470" s="13" t="s">
        <v>565</v>
      </c>
      <c r="G470" s="13"/>
      <c r="H470" s="13" t="s">
        <v>27</v>
      </c>
      <c r="I470" s="13"/>
      <c r="J470" s="13" t="s">
        <v>97</v>
      </c>
      <c r="K470" s="13" t="s">
        <v>314</v>
      </c>
      <c r="L470" s="13" t="s">
        <v>788</v>
      </c>
      <c r="M470" s="13" t="s">
        <v>100</v>
      </c>
      <c r="N470" s="27" t="n">
        <v>3386</v>
      </c>
      <c r="O470" s="28" t="n">
        <v>558197.91</v>
      </c>
      <c r="P470" s="27" t="n">
        <v>6507</v>
      </c>
      <c r="Q470" s="29" t="n">
        <v>0.52</v>
      </c>
      <c r="R470" s="28" t="n">
        <v>103.79</v>
      </c>
      <c r="S470" s="28" t="n">
        <v>188.12</v>
      </c>
      <c r="T470" s="28" t="n">
        <v>164.85</v>
      </c>
      <c r="U470" s="13" t="n">
        <f aca="false">IFERROR(YEAR(A470),"")</f>
        <v>2025</v>
      </c>
      <c r="V470" s="28" t="n">
        <f aca="false">IFERROR(O470*B470,0)</f>
        <v>558197.91</v>
      </c>
      <c r="W470" s="27" t="n">
        <f aca="false">IFERROR(N470*B470,0)</f>
        <v>3386</v>
      </c>
      <c r="X470" s="13" t="n">
        <f aca="false">IF(OR(ISNUMBER(SEARCH("live nation",L470)),ISNUMBER(SEARCH("ocesa",L470))),1,0)</f>
        <v>0</v>
      </c>
      <c r="Y470" s="13" t="s">
        <v>49</v>
      </c>
    </row>
    <row r="471" customFormat="false" ht="15" hidden="false" customHeight="false" outlineLevel="0" collapsed="false">
      <c r="A471" s="30" t="n">
        <v>45734</v>
      </c>
      <c r="B471" s="11" t="n">
        <v>1</v>
      </c>
      <c r="C471" s="31" t="s">
        <v>65</v>
      </c>
      <c r="D471" s="31"/>
      <c r="E471" s="11" t="s">
        <v>206</v>
      </c>
      <c r="F471" s="11" t="s">
        <v>207</v>
      </c>
      <c r="G471" s="11" t="s">
        <v>208</v>
      </c>
      <c r="H471" s="11" t="s">
        <v>20</v>
      </c>
      <c r="I471" s="11" t="s">
        <v>209</v>
      </c>
      <c r="J471" s="11" t="s">
        <v>97</v>
      </c>
      <c r="K471" s="11" t="s">
        <v>107</v>
      </c>
      <c r="L471" s="11" t="s">
        <v>468</v>
      </c>
      <c r="M471" s="11" t="s">
        <v>270</v>
      </c>
      <c r="N471" s="32" t="n">
        <v>12524</v>
      </c>
      <c r="O471" s="33" t="n">
        <v>2097296.5</v>
      </c>
      <c r="P471" s="32" t="n">
        <v>12524</v>
      </c>
      <c r="Q471" s="34" t="n">
        <v>1</v>
      </c>
      <c r="R471" s="33" t="n">
        <v>59.5</v>
      </c>
      <c r="S471" s="33" t="n">
        <v>279.5</v>
      </c>
      <c r="T471" s="33" t="n">
        <v>167.46</v>
      </c>
      <c r="U471" s="11" t="n">
        <f aca="false">IFERROR(YEAR(A471),"")</f>
        <v>2025</v>
      </c>
      <c r="V471" s="33" t="n">
        <f aca="false">IFERROR(O471*B471,0)</f>
        <v>2097296.5</v>
      </c>
      <c r="W471" s="32" t="n">
        <f aca="false">IFERROR(N471*B471,0)</f>
        <v>12524</v>
      </c>
      <c r="X471" s="11" t="n">
        <f aca="false">IF(OR(ISNUMBER(SEARCH("live nation",L471)),ISNUMBER(SEARCH("ocesa",L471))),1,0)</f>
        <v>1</v>
      </c>
      <c r="Y471" s="11" t="s">
        <v>49</v>
      </c>
    </row>
    <row r="472" customFormat="false" ht="15" hidden="false" customHeight="false" outlineLevel="0" collapsed="false">
      <c r="A472" s="25" t="n">
        <v>45733</v>
      </c>
      <c r="B472" s="13" t="n">
        <v>1</v>
      </c>
      <c r="C472" s="26" t="s">
        <v>65</v>
      </c>
      <c r="D472" s="26"/>
      <c r="E472" s="13" t="s">
        <v>206</v>
      </c>
      <c r="F472" s="13" t="s">
        <v>207</v>
      </c>
      <c r="G472" s="13" t="s">
        <v>208</v>
      </c>
      <c r="H472" s="13" t="s">
        <v>20</v>
      </c>
      <c r="I472" s="13" t="s">
        <v>209</v>
      </c>
      <c r="J472" s="13" t="s">
        <v>97</v>
      </c>
      <c r="K472" s="13" t="s">
        <v>107</v>
      </c>
      <c r="L472" s="13" t="s">
        <v>468</v>
      </c>
      <c r="M472" s="13" t="s">
        <v>270</v>
      </c>
      <c r="N472" s="27" t="n">
        <v>12432</v>
      </c>
      <c r="O472" s="28" t="n">
        <v>2068948</v>
      </c>
      <c r="P472" s="27" t="n">
        <v>12432</v>
      </c>
      <c r="Q472" s="29" t="n">
        <v>1</v>
      </c>
      <c r="R472" s="28" t="n">
        <v>59.5</v>
      </c>
      <c r="S472" s="28" t="n">
        <v>279.5</v>
      </c>
      <c r="T472" s="28" t="n">
        <v>166.42</v>
      </c>
      <c r="U472" s="13" t="n">
        <f aca="false">IFERROR(YEAR(A472),"")</f>
        <v>2025</v>
      </c>
      <c r="V472" s="28" t="n">
        <f aca="false">IFERROR(O472*B472,0)</f>
        <v>2068948</v>
      </c>
      <c r="W472" s="27" t="n">
        <f aca="false">IFERROR(N472*B472,0)</f>
        <v>12432</v>
      </c>
      <c r="X472" s="13" t="n">
        <f aca="false">IF(OR(ISNUMBER(SEARCH("live nation",L472)),ISNUMBER(SEARCH("ocesa",L472))),1,0)</f>
        <v>1</v>
      </c>
      <c r="Y472" s="13" t="s">
        <v>49</v>
      </c>
    </row>
    <row r="473" customFormat="false" ht="15" hidden="false" customHeight="false" outlineLevel="0" collapsed="false">
      <c r="A473" s="30" t="n">
        <v>45732</v>
      </c>
      <c r="B473" s="11" t="n">
        <v>1</v>
      </c>
      <c r="C473" s="31" t="s">
        <v>690</v>
      </c>
      <c r="D473" s="31" t="s">
        <v>789</v>
      </c>
      <c r="E473" s="11" t="s">
        <v>790</v>
      </c>
      <c r="F473" s="11" t="s">
        <v>203</v>
      </c>
      <c r="G473" s="11" t="s">
        <v>202</v>
      </c>
      <c r="H473" s="11" t="s">
        <v>20</v>
      </c>
      <c r="I473" s="11" t="s">
        <v>203</v>
      </c>
      <c r="J473" s="11" t="s">
        <v>121</v>
      </c>
      <c r="K473" s="11" t="s">
        <v>107</v>
      </c>
      <c r="L473" s="11" t="s">
        <v>791</v>
      </c>
      <c r="M473" s="11" t="s">
        <v>100</v>
      </c>
      <c r="N473" s="32" t="n">
        <v>6475</v>
      </c>
      <c r="O473" s="33" t="n">
        <v>698578.5</v>
      </c>
      <c r="P473" s="32" t="n">
        <v>6475</v>
      </c>
      <c r="Q473" s="34" t="n">
        <v>1</v>
      </c>
      <c r="R473" s="33" t="n">
        <v>85.5</v>
      </c>
      <c r="S473" s="33" t="n">
        <v>205.5</v>
      </c>
      <c r="T473" s="33" t="n">
        <v>107.89</v>
      </c>
      <c r="U473" s="11" t="n">
        <f aca="false">IFERROR(YEAR(A473),"")</f>
        <v>2025</v>
      </c>
      <c r="V473" s="33" t="n">
        <f aca="false">IFERROR(O473*B473,0)</f>
        <v>698578.5</v>
      </c>
      <c r="W473" s="32" t="n">
        <f aca="false">IFERROR(N473*B473,0)</f>
        <v>6475</v>
      </c>
      <c r="X473" s="11" t="n">
        <f aca="false">IF(OR(ISNUMBER(SEARCH("live nation",L473)),ISNUMBER(SEARCH("ocesa",L473))),1,0)</f>
        <v>0</v>
      </c>
      <c r="Y473" s="11" t="s">
        <v>49</v>
      </c>
    </row>
    <row r="474" customFormat="false" ht="15" hidden="false" customHeight="false" outlineLevel="0" collapsed="false">
      <c r="A474" s="25" t="n">
        <v>45731</v>
      </c>
      <c r="B474" s="13" t="n">
        <v>1</v>
      </c>
      <c r="C474" s="26" t="s">
        <v>393</v>
      </c>
      <c r="D474" s="26"/>
      <c r="E474" s="13" t="s">
        <v>556</v>
      </c>
      <c r="F474" s="13" t="s">
        <v>557</v>
      </c>
      <c r="G474" s="13"/>
      <c r="H474" s="13" t="s">
        <v>558</v>
      </c>
      <c r="I474" s="13"/>
      <c r="J474" s="13" t="s">
        <v>97</v>
      </c>
      <c r="K474" s="13" t="s">
        <v>173</v>
      </c>
      <c r="L474" s="13" t="s">
        <v>453</v>
      </c>
      <c r="M474" s="13" t="s">
        <v>100</v>
      </c>
      <c r="N474" s="27" t="n">
        <v>4682</v>
      </c>
      <c r="O474" s="28" t="n">
        <v>696510.28</v>
      </c>
      <c r="P474" s="27" t="n">
        <v>8323</v>
      </c>
      <c r="Q474" s="29" t="n">
        <v>0.56</v>
      </c>
      <c r="R474" s="28" t="n">
        <v>98.3</v>
      </c>
      <c r="S474" s="28" t="n">
        <v>185.68</v>
      </c>
      <c r="T474" s="28" t="n">
        <v>148.76</v>
      </c>
      <c r="U474" s="13" t="n">
        <f aca="false">IFERROR(YEAR(A474),"")</f>
        <v>2025</v>
      </c>
      <c r="V474" s="28" t="n">
        <f aca="false">IFERROR(O474*B474,0)</f>
        <v>696510.28</v>
      </c>
      <c r="W474" s="27" t="n">
        <f aca="false">IFERROR(N474*B474,0)</f>
        <v>4682</v>
      </c>
      <c r="X474" s="13" t="n">
        <f aca="false">IF(OR(ISNUMBER(SEARCH("live nation",L474)),ISNUMBER(SEARCH("ocesa",L474))),1,0)</f>
        <v>0</v>
      </c>
      <c r="Y474" s="13" t="s">
        <v>49</v>
      </c>
    </row>
    <row r="475" customFormat="false" ht="15" hidden="false" customHeight="false" outlineLevel="0" collapsed="false">
      <c r="A475" s="30" t="n">
        <v>45731</v>
      </c>
      <c r="B475" s="11" t="n">
        <v>1</v>
      </c>
      <c r="C475" s="31" t="s">
        <v>569</v>
      </c>
      <c r="D475" s="31"/>
      <c r="E475" s="11" t="s">
        <v>792</v>
      </c>
      <c r="F475" s="11" t="s">
        <v>395</v>
      </c>
      <c r="G475" s="11" t="s">
        <v>396</v>
      </c>
      <c r="H475" s="11" t="s">
        <v>20</v>
      </c>
      <c r="I475" s="11" t="s">
        <v>395</v>
      </c>
      <c r="J475" s="11" t="s">
        <v>97</v>
      </c>
      <c r="K475" s="11" t="s">
        <v>107</v>
      </c>
      <c r="L475" s="11" t="s">
        <v>322</v>
      </c>
      <c r="M475" s="11" t="s">
        <v>100</v>
      </c>
      <c r="N475" s="32" t="n">
        <v>7876</v>
      </c>
      <c r="O475" s="33" t="n">
        <v>2236887</v>
      </c>
      <c r="P475" s="32" t="n">
        <v>9019</v>
      </c>
      <c r="Q475" s="34" t="n">
        <v>0.87</v>
      </c>
      <c r="R475" s="33" t="n">
        <v>110.82</v>
      </c>
      <c r="S475" s="33" t="n">
        <v>437.82</v>
      </c>
      <c r="T475" s="33" t="n">
        <v>284.01</v>
      </c>
      <c r="U475" s="11" t="n">
        <f aca="false">IFERROR(YEAR(A475),"")</f>
        <v>2025</v>
      </c>
      <c r="V475" s="33" t="n">
        <f aca="false">IFERROR(O475*B475,0)</f>
        <v>2236887</v>
      </c>
      <c r="W475" s="32" t="n">
        <f aca="false">IFERROR(N475*B475,0)</f>
        <v>7876</v>
      </c>
      <c r="X475" s="11" t="n">
        <f aca="false">IF(OR(ISNUMBER(SEARCH("live nation",L475)),ISNUMBER(SEARCH("ocesa",L475))),1,0)</f>
        <v>0</v>
      </c>
      <c r="Y475" s="11" t="s">
        <v>49</v>
      </c>
    </row>
    <row r="476" customFormat="false" ht="15" hidden="false" customHeight="false" outlineLevel="0" collapsed="false">
      <c r="A476" s="25" t="n">
        <v>45731</v>
      </c>
      <c r="B476" s="13" t="n">
        <v>1</v>
      </c>
      <c r="C476" s="26" t="s">
        <v>612</v>
      </c>
      <c r="D476" s="26"/>
      <c r="E476" s="13" t="s">
        <v>793</v>
      </c>
      <c r="F476" s="13" t="s">
        <v>324</v>
      </c>
      <c r="G476" s="13"/>
      <c r="H476" s="13" t="s">
        <v>324</v>
      </c>
      <c r="I476" s="13"/>
      <c r="J476" s="13" t="s">
        <v>97</v>
      </c>
      <c r="K476" s="13" t="s">
        <v>324</v>
      </c>
      <c r="L476" s="13" t="s">
        <v>145</v>
      </c>
      <c r="M476" s="13" t="s">
        <v>100</v>
      </c>
      <c r="N476" s="27" t="n">
        <v>3869</v>
      </c>
      <c r="O476" s="28" t="n">
        <v>703916.71</v>
      </c>
      <c r="P476" s="27" t="n">
        <v>3918</v>
      </c>
      <c r="Q476" s="29" t="n">
        <v>0.98</v>
      </c>
      <c r="R476" s="28" t="n">
        <v>133.07</v>
      </c>
      <c r="S476" s="28" t="n">
        <v>222.79</v>
      </c>
      <c r="T476" s="28" t="n">
        <v>181.94</v>
      </c>
      <c r="U476" s="13" t="n">
        <f aca="false">IFERROR(YEAR(A476),"")</f>
        <v>2025</v>
      </c>
      <c r="V476" s="28" t="n">
        <f aca="false">IFERROR(O476*B476,0)</f>
        <v>703916.71</v>
      </c>
      <c r="W476" s="27" t="n">
        <f aca="false">IFERROR(N476*B476,0)</f>
        <v>3869</v>
      </c>
      <c r="X476" s="13" t="n">
        <f aca="false">IF(OR(ISNUMBER(SEARCH("live nation",L476)),ISNUMBER(SEARCH("ocesa",L476))),1,0)</f>
        <v>0</v>
      </c>
      <c r="Y476" s="13" t="s">
        <v>50</v>
      </c>
    </row>
    <row r="477" customFormat="false" ht="15" hidden="false" customHeight="false" outlineLevel="0" collapsed="false">
      <c r="A477" s="30" t="n">
        <v>45729</v>
      </c>
      <c r="B477" s="11" t="n">
        <v>2</v>
      </c>
      <c r="C477" s="31" t="s">
        <v>65</v>
      </c>
      <c r="D477" s="31"/>
      <c r="E477" s="11" t="s">
        <v>196</v>
      </c>
      <c r="F477" s="11" t="s">
        <v>197</v>
      </c>
      <c r="G477" s="11" t="s">
        <v>139</v>
      </c>
      <c r="H477" s="11" t="s">
        <v>20</v>
      </c>
      <c r="I477" s="11" t="s">
        <v>139</v>
      </c>
      <c r="J477" s="11" t="s">
        <v>97</v>
      </c>
      <c r="K477" s="11" t="s">
        <v>107</v>
      </c>
      <c r="L477" s="11" t="s">
        <v>468</v>
      </c>
      <c r="M477" s="11" t="s">
        <v>270</v>
      </c>
      <c r="N477" s="32" t="n">
        <v>13584</v>
      </c>
      <c r="O477" s="33" t="n">
        <v>3187855.25</v>
      </c>
      <c r="P477" s="32" t="n">
        <v>13585</v>
      </c>
      <c r="Q477" s="34" t="n">
        <v>0.99</v>
      </c>
      <c r="R477" s="33" t="n">
        <v>53.5</v>
      </c>
      <c r="S477" s="33" t="n">
        <v>273.5</v>
      </c>
      <c r="T477" s="33" t="n">
        <v>234.67</v>
      </c>
      <c r="U477" s="11" t="n">
        <f aca="false">IFERROR(YEAR(A477),"")</f>
        <v>2025</v>
      </c>
      <c r="V477" s="33" t="n">
        <f aca="false">IFERROR(O477*B477,0)</f>
        <v>6375710.5</v>
      </c>
      <c r="W477" s="32" t="n">
        <f aca="false">IFERROR(N477*B477,0)</f>
        <v>27168</v>
      </c>
      <c r="X477" s="11" t="n">
        <f aca="false">IF(OR(ISNUMBER(SEARCH("live nation",L477)),ISNUMBER(SEARCH("ocesa",L477))),1,0)</f>
        <v>1</v>
      </c>
      <c r="Y477" s="11" t="s">
        <v>49</v>
      </c>
    </row>
    <row r="478" customFormat="false" ht="15" hidden="false" customHeight="false" outlineLevel="0" collapsed="false">
      <c r="A478" s="25" t="n">
        <v>45729</v>
      </c>
      <c r="B478" s="13" t="n">
        <v>1</v>
      </c>
      <c r="C478" s="26" t="s">
        <v>63</v>
      </c>
      <c r="D478" s="26"/>
      <c r="E478" s="13" t="s">
        <v>111</v>
      </c>
      <c r="F478" s="13" t="s">
        <v>112</v>
      </c>
      <c r="G478" s="13"/>
      <c r="H478" s="13" t="s">
        <v>21</v>
      </c>
      <c r="I478" s="13"/>
      <c r="J478" s="13" t="s">
        <v>97</v>
      </c>
      <c r="K478" s="13" t="s">
        <v>113</v>
      </c>
      <c r="L478" s="13" t="s">
        <v>183</v>
      </c>
      <c r="M478" s="13" t="s">
        <v>100</v>
      </c>
      <c r="N478" s="27" t="n">
        <v>18000</v>
      </c>
      <c r="O478" s="28" t="n">
        <v>1945379.78</v>
      </c>
      <c r="P478" s="27" t="n">
        <v>18000</v>
      </c>
      <c r="Q478" s="29" t="n">
        <v>1</v>
      </c>
      <c r="R478" s="28" t="n">
        <v>108.08</v>
      </c>
      <c r="S478" s="28" t="n">
        <v>108.08</v>
      </c>
      <c r="T478" s="28" t="n">
        <v>108.08</v>
      </c>
      <c r="U478" s="13" t="n">
        <f aca="false">IFERROR(YEAR(A478),"")</f>
        <v>2025</v>
      </c>
      <c r="V478" s="28" t="n">
        <f aca="false">IFERROR(O478*B478,0)</f>
        <v>1945379.78</v>
      </c>
      <c r="W478" s="27" t="n">
        <f aca="false">IFERROR(N478*B478,0)</f>
        <v>18000</v>
      </c>
      <c r="X478" s="13" t="n">
        <f aca="false">IF(OR(ISNUMBER(SEARCH("live nation",L478)),ISNUMBER(SEARCH("ocesa",L478))),1,0)</f>
        <v>0</v>
      </c>
      <c r="Y478" s="13" t="s">
        <v>50</v>
      </c>
    </row>
    <row r="479" customFormat="false" ht="15" hidden="false" customHeight="false" outlineLevel="0" collapsed="false">
      <c r="A479" s="30" t="n">
        <v>45729</v>
      </c>
      <c r="B479" s="11" t="n">
        <v>1</v>
      </c>
      <c r="C479" s="31" t="s">
        <v>769</v>
      </c>
      <c r="D479" s="31"/>
      <c r="E479" s="11" t="s">
        <v>503</v>
      </c>
      <c r="F479" s="11" t="s">
        <v>231</v>
      </c>
      <c r="G479" s="11" t="s">
        <v>202</v>
      </c>
      <c r="H479" s="11" t="s">
        <v>20</v>
      </c>
      <c r="I479" s="11" t="s">
        <v>232</v>
      </c>
      <c r="J479" s="11" t="s">
        <v>121</v>
      </c>
      <c r="K479" s="11" t="s">
        <v>107</v>
      </c>
      <c r="L479" s="11" t="s">
        <v>177</v>
      </c>
      <c r="M479" s="11" t="s">
        <v>100</v>
      </c>
      <c r="N479" s="32" t="n">
        <v>2382</v>
      </c>
      <c r="O479" s="33" t="n">
        <v>220255.5</v>
      </c>
      <c r="P479" s="32" t="n">
        <v>3002</v>
      </c>
      <c r="Q479" s="34" t="n">
        <v>0.79</v>
      </c>
      <c r="R479" s="33" t="n">
        <v>56</v>
      </c>
      <c r="S479" s="33" t="n">
        <v>141.5</v>
      </c>
      <c r="T479" s="33" t="n">
        <v>92.47</v>
      </c>
      <c r="U479" s="11" t="n">
        <f aca="false">IFERROR(YEAR(A479),"")</f>
        <v>2025</v>
      </c>
      <c r="V479" s="33" t="n">
        <f aca="false">IFERROR(O479*B479,0)</f>
        <v>220255.5</v>
      </c>
      <c r="W479" s="32" t="n">
        <f aca="false">IFERROR(N479*B479,0)</f>
        <v>2382</v>
      </c>
      <c r="X479" s="11" t="n">
        <f aca="false">IF(OR(ISNUMBER(SEARCH("live nation",L479)),ISNUMBER(SEARCH("ocesa",L479))),1,0)</f>
        <v>1</v>
      </c>
      <c r="Y479" s="11" t="s">
        <v>49</v>
      </c>
    </row>
    <row r="480" customFormat="false" ht="15" hidden="false" customHeight="false" outlineLevel="0" collapsed="false">
      <c r="A480" s="25" t="n">
        <v>45728</v>
      </c>
      <c r="B480" s="13" t="n">
        <v>1</v>
      </c>
      <c r="C480" s="26" t="s">
        <v>794</v>
      </c>
      <c r="D480" s="26"/>
      <c r="E480" s="13" t="s">
        <v>312</v>
      </c>
      <c r="F480" s="13" t="s">
        <v>313</v>
      </c>
      <c r="G480" s="13"/>
      <c r="H480" s="13" t="s">
        <v>27</v>
      </c>
      <c r="I480" s="13"/>
      <c r="J480" s="13" t="s">
        <v>97</v>
      </c>
      <c r="K480" s="13" t="s">
        <v>314</v>
      </c>
      <c r="L480" s="13" t="s">
        <v>795</v>
      </c>
      <c r="M480" s="13" t="s">
        <v>100</v>
      </c>
      <c r="N480" s="27" t="n">
        <v>2570</v>
      </c>
      <c r="O480" s="28" t="n">
        <v>526195.01</v>
      </c>
      <c r="P480" s="27" t="n">
        <v>3172</v>
      </c>
      <c r="Q480" s="29" t="n">
        <v>0.81</v>
      </c>
      <c r="R480" s="28" t="n">
        <v>100.54</v>
      </c>
      <c r="S480" s="28" t="n">
        <v>293.89</v>
      </c>
      <c r="T480" s="28" t="n">
        <v>204.75</v>
      </c>
      <c r="U480" s="13" t="n">
        <f aca="false">IFERROR(YEAR(A480),"")</f>
        <v>2025</v>
      </c>
      <c r="V480" s="28" t="n">
        <f aca="false">IFERROR(O480*B480,0)</f>
        <v>526195.01</v>
      </c>
      <c r="W480" s="27" t="n">
        <f aca="false">IFERROR(N480*B480,0)</f>
        <v>2570</v>
      </c>
      <c r="X480" s="13" t="n">
        <f aca="false">IF(OR(ISNUMBER(SEARCH("live nation",L480)),ISNUMBER(SEARCH("ocesa",L480))),1,0)</f>
        <v>0</v>
      </c>
      <c r="Y480" s="13" t="s">
        <v>49</v>
      </c>
    </row>
    <row r="481" customFormat="false" ht="15" hidden="false" customHeight="false" outlineLevel="0" collapsed="false">
      <c r="A481" s="30" t="n">
        <v>45728</v>
      </c>
      <c r="B481" s="11" t="n">
        <v>1</v>
      </c>
      <c r="C481" s="31" t="s">
        <v>63</v>
      </c>
      <c r="D481" s="31"/>
      <c r="E481" s="11" t="s">
        <v>111</v>
      </c>
      <c r="F481" s="11" t="s">
        <v>112</v>
      </c>
      <c r="G481" s="11"/>
      <c r="H481" s="11" t="s">
        <v>21</v>
      </c>
      <c r="I481" s="11"/>
      <c r="J481" s="11" t="s">
        <v>97</v>
      </c>
      <c r="K481" s="11" t="s">
        <v>113</v>
      </c>
      <c r="L481" s="11" t="s">
        <v>796</v>
      </c>
      <c r="M481" s="11" t="s">
        <v>100</v>
      </c>
      <c r="N481" s="32" t="n">
        <v>18000</v>
      </c>
      <c r="O481" s="33" t="n">
        <v>1957628.09</v>
      </c>
      <c r="P481" s="32" t="n">
        <v>18000</v>
      </c>
      <c r="Q481" s="34" t="n">
        <v>1</v>
      </c>
      <c r="R481" s="33" t="n">
        <v>108.76</v>
      </c>
      <c r="S481" s="33" t="n">
        <v>108.76</v>
      </c>
      <c r="T481" s="33" t="n">
        <v>108.76</v>
      </c>
      <c r="U481" s="11" t="n">
        <f aca="false">IFERROR(YEAR(A481),"")</f>
        <v>2025</v>
      </c>
      <c r="V481" s="33" t="n">
        <f aca="false">IFERROR(O481*B481,0)</f>
        <v>1957628.09</v>
      </c>
      <c r="W481" s="32" t="n">
        <f aca="false">IFERROR(N481*B481,0)</f>
        <v>18000</v>
      </c>
      <c r="X481" s="11" t="n">
        <f aca="false">IF(OR(ISNUMBER(SEARCH("live nation",L481)),ISNUMBER(SEARCH("ocesa",L481))),1,0)</f>
        <v>0</v>
      </c>
      <c r="Y481" s="11" t="s">
        <v>50</v>
      </c>
    </row>
    <row r="482" customFormat="false" ht="15" hidden="false" customHeight="false" outlineLevel="0" collapsed="false">
      <c r="A482" s="25" t="n">
        <v>45727</v>
      </c>
      <c r="B482" s="13" t="n">
        <v>1</v>
      </c>
      <c r="C482" s="26" t="s">
        <v>393</v>
      </c>
      <c r="D482" s="26"/>
      <c r="E482" s="13" t="s">
        <v>451</v>
      </c>
      <c r="F482" s="13" t="s">
        <v>452</v>
      </c>
      <c r="G482" s="13"/>
      <c r="H482" s="13" t="s">
        <v>449</v>
      </c>
      <c r="I482" s="13"/>
      <c r="J482" s="13" t="s">
        <v>106</v>
      </c>
      <c r="K482" s="13" t="s">
        <v>173</v>
      </c>
      <c r="L482" s="13" t="s">
        <v>453</v>
      </c>
      <c r="M482" s="13" t="s">
        <v>100</v>
      </c>
      <c r="N482" s="27" t="n">
        <v>2524</v>
      </c>
      <c r="O482" s="28" t="n">
        <v>274788.31</v>
      </c>
      <c r="P482" s="27" t="n">
        <v>2850</v>
      </c>
      <c r="Q482" s="29" t="n">
        <v>0.88</v>
      </c>
      <c r="R482" s="28" t="n">
        <v>92.26</v>
      </c>
      <c r="S482" s="28" t="n">
        <v>141.11</v>
      </c>
      <c r="T482" s="28" t="n">
        <v>108.87</v>
      </c>
      <c r="U482" s="13" t="n">
        <f aca="false">IFERROR(YEAR(A482),"")</f>
        <v>2025</v>
      </c>
      <c r="V482" s="28" t="n">
        <f aca="false">IFERROR(O482*B482,0)</f>
        <v>274788.31</v>
      </c>
      <c r="W482" s="27" t="n">
        <f aca="false">IFERROR(N482*B482,0)</f>
        <v>2524</v>
      </c>
      <c r="X482" s="13" t="n">
        <f aca="false">IF(OR(ISNUMBER(SEARCH("live nation",L482)),ISNUMBER(SEARCH("ocesa",L482))),1,0)</f>
        <v>0</v>
      </c>
      <c r="Y482" s="13" t="s">
        <v>49</v>
      </c>
    </row>
    <row r="483" customFormat="false" ht="15" hidden="false" customHeight="false" outlineLevel="0" collapsed="false">
      <c r="A483" s="30" t="n">
        <v>45727</v>
      </c>
      <c r="B483" s="11" t="n">
        <v>1</v>
      </c>
      <c r="C483" s="31" t="s">
        <v>769</v>
      </c>
      <c r="D483" s="31"/>
      <c r="E483" s="11" t="s">
        <v>797</v>
      </c>
      <c r="F483" s="11" t="s">
        <v>306</v>
      </c>
      <c r="G483" s="11" t="s">
        <v>188</v>
      </c>
      <c r="H483" s="11" t="s">
        <v>20</v>
      </c>
      <c r="I483" s="11" t="s">
        <v>307</v>
      </c>
      <c r="J483" s="11" t="s">
        <v>121</v>
      </c>
      <c r="K483" s="11" t="s">
        <v>107</v>
      </c>
      <c r="L483" s="11" t="s">
        <v>177</v>
      </c>
      <c r="M483" s="11" t="s">
        <v>100</v>
      </c>
      <c r="N483" s="32" t="n">
        <v>1719</v>
      </c>
      <c r="O483" s="33" t="n">
        <v>161640</v>
      </c>
      <c r="P483" s="32" t="n">
        <v>1720</v>
      </c>
      <c r="Q483" s="34" t="n">
        <v>0.99</v>
      </c>
      <c r="R483" s="33" t="n">
        <v>56</v>
      </c>
      <c r="S483" s="33" t="n">
        <v>141.5</v>
      </c>
      <c r="T483" s="33" t="n">
        <v>94.03</v>
      </c>
      <c r="U483" s="11" t="n">
        <f aca="false">IFERROR(YEAR(A483),"")</f>
        <v>2025</v>
      </c>
      <c r="V483" s="33" t="n">
        <f aca="false">IFERROR(O483*B483,0)</f>
        <v>161640</v>
      </c>
      <c r="W483" s="32" t="n">
        <f aca="false">IFERROR(N483*B483,0)</f>
        <v>1719</v>
      </c>
      <c r="X483" s="11" t="n">
        <f aca="false">IF(OR(ISNUMBER(SEARCH("live nation",L483)),ISNUMBER(SEARCH("ocesa",L483))),1,0)</f>
        <v>1</v>
      </c>
      <c r="Y483" s="11" t="s">
        <v>49</v>
      </c>
    </row>
    <row r="484" customFormat="false" ht="15" hidden="false" customHeight="false" outlineLevel="0" collapsed="false">
      <c r="A484" s="25" t="n">
        <v>45725</v>
      </c>
      <c r="B484" s="13" t="n">
        <v>1</v>
      </c>
      <c r="C484" s="26" t="s">
        <v>798</v>
      </c>
      <c r="D484" s="26"/>
      <c r="E484" s="13" t="s">
        <v>778</v>
      </c>
      <c r="F484" s="13" t="s">
        <v>779</v>
      </c>
      <c r="G484" s="13" t="s">
        <v>143</v>
      </c>
      <c r="H484" s="13" t="s">
        <v>20</v>
      </c>
      <c r="I484" s="13" t="s">
        <v>779</v>
      </c>
      <c r="J484" s="13" t="s">
        <v>97</v>
      </c>
      <c r="K484" s="13" t="s">
        <v>107</v>
      </c>
      <c r="L484" s="13" t="s">
        <v>531</v>
      </c>
      <c r="M484" s="13" t="s">
        <v>100</v>
      </c>
      <c r="N484" s="27" t="n">
        <v>7241</v>
      </c>
      <c r="O484" s="28" t="n">
        <v>1296260</v>
      </c>
      <c r="P484" s="27" t="n">
        <v>8001</v>
      </c>
      <c r="Q484" s="29" t="n">
        <v>0.9</v>
      </c>
      <c r="R484" s="28" t="n">
        <v>39.5</v>
      </c>
      <c r="S484" s="28" t="n">
        <v>229.5</v>
      </c>
      <c r="T484" s="28" t="n">
        <v>179.02</v>
      </c>
      <c r="U484" s="13" t="n">
        <f aca="false">IFERROR(YEAR(A484),"")</f>
        <v>2025</v>
      </c>
      <c r="V484" s="28" t="n">
        <f aca="false">IFERROR(O484*B484,0)</f>
        <v>1296260</v>
      </c>
      <c r="W484" s="27" t="n">
        <f aca="false">IFERROR(N484*B484,0)</f>
        <v>7241</v>
      </c>
      <c r="X484" s="13" t="n">
        <f aca="false">IF(OR(ISNUMBER(SEARCH("live nation",L484)),ISNUMBER(SEARCH("ocesa",L484))),1,0)</f>
        <v>0</v>
      </c>
      <c r="Y484" s="13" t="s">
        <v>49</v>
      </c>
    </row>
    <row r="485" customFormat="false" ht="15" hidden="false" customHeight="false" outlineLevel="0" collapsed="false">
      <c r="A485" s="30" t="n">
        <v>45725</v>
      </c>
      <c r="B485" s="11" t="n">
        <v>1</v>
      </c>
      <c r="C485" s="31" t="s">
        <v>319</v>
      </c>
      <c r="D485" s="31" t="s">
        <v>799</v>
      </c>
      <c r="E485" s="11" t="s">
        <v>111</v>
      </c>
      <c r="F485" s="11" t="s">
        <v>112</v>
      </c>
      <c r="G485" s="11"/>
      <c r="H485" s="11" t="s">
        <v>21</v>
      </c>
      <c r="I485" s="11"/>
      <c r="J485" s="11" t="s">
        <v>97</v>
      </c>
      <c r="K485" s="11" t="s">
        <v>113</v>
      </c>
      <c r="L485" s="11" t="s">
        <v>321</v>
      </c>
      <c r="M485" s="11" t="s">
        <v>100</v>
      </c>
      <c r="N485" s="32" t="n">
        <v>19800</v>
      </c>
      <c r="O485" s="33" t="n">
        <v>1604917.41</v>
      </c>
      <c r="P485" s="32" t="n">
        <v>19800</v>
      </c>
      <c r="Q485" s="34" t="n">
        <v>1</v>
      </c>
      <c r="R485" s="33" t="n">
        <v>81.06</v>
      </c>
      <c r="S485" s="33" t="n">
        <v>81.06</v>
      </c>
      <c r="T485" s="33" t="n">
        <v>81.06</v>
      </c>
      <c r="U485" s="11" t="n">
        <f aca="false">IFERROR(YEAR(A485),"")</f>
        <v>2025</v>
      </c>
      <c r="V485" s="33" t="n">
        <f aca="false">IFERROR(O485*B485,0)</f>
        <v>1604917.41</v>
      </c>
      <c r="W485" s="32" t="n">
        <f aca="false">IFERROR(N485*B485,0)</f>
        <v>19800</v>
      </c>
      <c r="X485" s="11" t="n">
        <f aca="false">IF(OR(ISNUMBER(SEARCH("live nation",L485)),ISNUMBER(SEARCH("ocesa",L485))),1,0)</f>
        <v>0</v>
      </c>
      <c r="Y485" s="11" t="s">
        <v>50</v>
      </c>
    </row>
    <row r="486" customFormat="false" ht="15" hidden="false" customHeight="false" outlineLevel="0" collapsed="false">
      <c r="A486" s="25" t="n">
        <v>45724</v>
      </c>
      <c r="B486" s="13" t="n">
        <v>1</v>
      </c>
      <c r="C486" s="26" t="s">
        <v>800</v>
      </c>
      <c r="D486" s="26"/>
      <c r="E486" s="13" t="s">
        <v>801</v>
      </c>
      <c r="F486" s="13" t="s">
        <v>802</v>
      </c>
      <c r="G486" s="13"/>
      <c r="H486" s="13" t="s">
        <v>27</v>
      </c>
      <c r="I486" s="13"/>
      <c r="J486" s="13" t="s">
        <v>121</v>
      </c>
      <c r="K486" s="13" t="s">
        <v>314</v>
      </c>
      <c r="L486" s="13" t="s">
        <v>803</v>
      </c>
      <c r="M486" s="13" t="s">
        <v>277</v>
      </c>
      <c r="N486" s="27" t="n">
        <v>2319</v>
      </c>
      <c r="O486" s="28" t="n">
        <v>271599.97</v>
      </c>
      <c r="P486" s="27" t="n">
        <v>2354</v>
      </c>
      <c r="Q486" s="29" t="n">
        <v>0.98</v>
      </c>
      <c r="R486" s="28" t="n">
        <v>83.92</v>
      </c>
      <c r="S486" s="28" t="n">
        <v>322.79</v>
      </c>
      <c r="T486" s="28" t="n">
        <v>117.12</v>
      </c>
      <c r="U486" s="13" t="n">
        <f aca="false">IFERROR(YEAR(A486),"")</f>
        <v>2025</v>
      </c>
      <c r="V486" s="28" t="n">
        <f aca="false">IFERROR(O486*B486,0)</f>
        <v>271599.97</v>
      </c>
      <c r="W486" s="27" t="n">
        <f aca="false">IFERROR(N486*B486,0)</f>
        <v>2319</v>
      </c>
      <c r="X486" s="13" t="n">
        <f aca="false">IF(OR(ISNUMBER(SEARCH("live nation",L486)),ISNUMBER(SEARCH("ocesa",L486))),1,0)</f>
        <v>0</v>
      </c>
      <c r="Y486" s="13" t="s">
        <v>49</v>
      </c>
    </row>
    <row r="487" customFormat="false" ht="15" hidden="false" customHeight="false" outlineLevel="0" collapsed="false">
      <c r="A487" s="30" t="n">
        <v>45724</v>
      </c>
      <c r="B487" s="11" t="n">
        <v>1</v>
      </c>
      <c r="C487" s="31" t="s">
        <v>319</v>
      </c>
      <c r="D487" s="31" t="s">
        <v>804</v>
      </c>
      <c r="E487" s="11" t="s">
        <v>111</v>
      </c>
      <c r="F487" s="11" t="s">
        <v>112</v>
      </c>
      <c r="G487" s="11"/>
      <c r="H487" s="11" t="s">
        <v>21</v>
      </c>
      <c r="I487" s="11"/>
      <c r="J487" s="11" t="s">
        <v>97</v>
      </c>
      <c r="K487" s="11" t="s">
        <v>113</v>
      </c>
      <c r="L487" s="11" t="s">
        <v>321</v>
      </c>
      <c r="M487" s="11" t="s">
        <v>100</v>
      </c>
      <c r="N487" s="32" t="n">
        <v>19800</v>
      </c>
      <c r="O487" s="33" t="n">
        <v>1604917.41</v>
      </c>
      <c r="P487" s="32" t="n">
        <v>19800</v>
      </c>
      <c r="Q487" s="34" t="n">
        <v>1</v>
      </c>
      <c r="R487" s="33" t="n">
        <v>81.06</v>
      </c>
      <c r="S487" s="33" t="n">
        <v>81.06</v>
      </c>
      <c r="T487" s="33" t="n">
        <v>81.06</v>
      </c>
      <c r="U487" s="11" t="n">
        <f aca="false">IFERROR(YEAR(A487),"")</f>
        <v>2025</v>
      </c>
      <c r="V487" s="33" t="n">
        <f aca="false">IFERROR(O487*B487,0)</f>
        <v>1604917.41</v>
      </c>
      <c r="W487" s="32" t="n">
        <f aca="false">IFERROR(N487*B487,0)</f>
        <v>19800</v>
      </c>
      <c r="X487" s="11" t="n">
        <f aca="false">IF(OR(ISNUMBER(SEARCH("live nation",L487)),ISNUMBER(SEARCH("ocesa",L487))),1,0)</f>
        <v>0</v>
      </c>
      <c r="Y487" s="11" t="s">
        <v>50</v>
      </c>
    </row>
    <row r="488" customFormat="false" ht="15" hidden="false" customHeight="false" outlineLevel="0" collapsed="false">
      <c r="A488" s="25" t="n">
        <v>45723</v>
      </c>
      <c r="B488" s="13" t="n">
        <v>3</v>
      </c>
      <c r="C488" s="26" t="s">
        <v>63</v>
      </c>
      <c r="D488" s="26"/>
      <c r="E488" s="13" t="s">
        <v>805</v>
      </c>
      <c r="F488" s="13" t="s">
        <v>216</v>
      </c>
      <c r="G488" s="13"/>
      <c r="H488" s="13" t="s">
        <v>24</v>
      </c>
      <c r="I488" s="13"/>
      <c r="J488" s="13" t="s">
        <v>97</v>
      </c>
      <c r="K488" s="13" t="s">
        <v>148</v>
      </c>
      <c r="L488" s="13" t="s">
        <v>145</v>
      </c>
      <c r="M488" s="13" t="s">
        <v>100</v>
      </c>
      <c r="N488" s="27" t="n">
        <v>8208</v>
      </c>
      <c r="O488" s="28" t="n">
        <v>869497.19</v>
      </c>
      <c r="P488" s="27" t="n">
        <v>8431</v>
      </c>
      <c r="Q488" s="29" t="n">
        <v>0.97</v>
      </c>
      <c r="R488" s="28" t="n">
        <v>106.5</v>
      </c>
      <c r="S488" s="28" t="n">
        <v>136.93</v>
      </c>
      <c r="T488" s="28" t="n">
        <v>105.93</v>
      </c>
      <c r="U488" s="13" t="n">
        <f aca="false">IFERROR(YEAR(A488),"")</f>
        <v>2025</v>
      </c>
      <c r="V488" s="28" t="n">
        <f aca="false">IFERROR(O488*B488,0)</f>
        <v>2608491.57</v>
      </c>
      <c r="W488" s="27" t="n">
        <f aca="false">IFERROR(N488*B488,0)</f>
        <v>24624</v>
      </c>
      <c r="X488" s="13" t="n">
        <f aca="false">IF(OR(ISNUMBER(SEARCH("live nation",L488)),ISNUMBER(SEARCH("ocesa",L488))),1,0)</f>
        <v>0</v>
      </c>
      <c r="Y488" s="13" t="s">
        <v>50</v>
      </c>
    </row>
    <row r="489" customFormat="false" ht="15" hidden="false" customHeight="false" outlineLevel="0" collapsed="false">
      <c r="A489" s="30" t="n">
        <v>45723</v>
      </c>
      <c r="B489" s="11" t="n">
        <v>1</v>
      </c>
      <c r="C489" s="31" t="s">
        <v>806</v>
      </c>
      <c r="D489" s="31"/>
      <c r="E489" s="11" t="s">
        <v>206</v>
      </c>
      <c r="F489" s="11" t="s">
        <v>207</v>
      </c>
      <c r="G489" s="11" t="s">
        <v>208</v>
      </c>
      <c r="H489" s="11" t="s">
        <v>20</v>
      </c>
      <c r="I489" s="11" t="s">
        <v>209</v>
      </c>
      <c r="J489" s="11" t="s">
        <v>97</v>
      </c>
      <c r="K489" s="11" t="s">
        <v>107</v>
      </c>
      <c r="L489" s="11" t="s">
        <v>531</v>
      </c>
      <c r="M489" s="11" t="s">
        <v>100</v>
      </c>
      <c r="N489" s="32" t="n">
        <v>7773</v>
      </c>
      <c r="O489" s="33" t="n">
        <v>1360395.5</v>
      </c>
      <c r="P489" s="32" t="n">
        <v>10876</v>
      </c>
      <c r="Q489" s="34" t="n">
        <v>0.71</v>
      </c>
      <c r="R489" s="33" t="n">
        <v>49.5</v>
      </c>
      <c r="S489" s="33" t="n">
        <v>549.5</v>
      </c>
      <c r="T489" s="33" t="n">
        <v>175.02</v>
      </c>
      <c r="U489" s="11" t="n">
        <f aca="false">IFERROR(YEAR(A489),"")</f>
        <v>2025</v>
      </c>
      <c r="V489" s="33" t="n">
        <f aca="false">IFERROR(O489*B489,0)</f>
        <v>1360395.5</v>
      </c>
      <c r="W489" s="32" t="n">
        <f aca="false">IFERROR(N489*B489,0)</f>
        <v>7773</v>
      </c>
      <c r="X489" s="11" t="n">
        <f aca="false">IF(OR(ISNUMBER(SEARCH("live nation",L489)),ISNUMBER(SEARCH("ocesa",L489))),1,0)</f>
        <v>0</v>
      </c>
      <c r="Y489" s="11" t="s">
        <v>49</v>
      </c>
    </row>
    <row r="490" customFormat="false" ht="15" hidden="false" customHeight="false" outlineLevel="0" collapsed="false">
      <c r="A490" s="25" t="n">
        <v>45722</v>
      </c>
      <c r="B490" s="13" t="n">
        <v>1</v>
      </c>
      <c r="C490" s="26" t="s">
        <v>272</v>
      </c>
      <c r="D490" s="26" t="s">
        <v>807</v>
      </c>
      <c r="E490" s="13" t="s">
        <v>808</v>
      </c>
      <c r="F490" s="13" t="s">
        <v>809</v>
      </c>
      <c r="G490" s="13"/>
      <c r="H490" s="13" t="s">
        <v>28</v>
      </c>
      <c r="I490" s="13"/>
      <c r="J490" s="13" t="s">
        <v>121</v>
      </c>
      <c r="K490" s="13" t="s">
        <v>98</v>
      </c>
      <c r="L490" s="13" t="s">
        <v>810</v>
      </c>
      <c r="M490" s="13" t="s">
        <v>277</v>
      </c>
      <c r="N490" s="27" t="n">
        <v>2383</v>
      </c>
      <c r="O490" s="28" t="n">
        <v>148247.64</v>
      </c>
      <c r="P490" s="27" t="n">
        <v>2476</v>
      </c>
      <c r="Q490" s="29" t="n">
        <v>0.96</v>
      </c>
      <c r="R490" s="28" t="n">
        <v>69.75</v>
      </c>
      <c r="S490" s="28" t="n">
        <v>82.45</v>
      </c>
      <c r="T490" s="28" t="n">
        <v>62.21</v>
      </c>
      <c r="U490" s="13" t="n">
        <f aca="false">IFERROR(YEAR(A490),"")</f>
        <v>2025</v>
      </c>
      <c r="V490" s="28" t="n">
        <f aca="false">IFERROR(O490*B490,0)</f>
        <v>148247.64</v>
      </c>
      <c r="W490" s="27" t="n">
        <f aca="false">IFERROR(N490*B490,0)</f>
        <v>2383</v>
      </c>
      <c r="X490" s="13" t="n">
        <f aca="false">IF(OR(ISNUMBER(SEARCH("live nation",L490)),ISNUMBER(SEARCH("ocesa",L490))),1,0)</f>
        <v>0</v>
      </c>
      <c r="Y490" s="13" t="s">
        <v>49</v>
      </c>
    </row>
    <row r="491" customFormat="false" ht="15" hidden="false" customHeight="false" outlineLevel="0" collapsed="false">
      <c r="A491" s="30" t="n">
        <v>45721</v>
      </c>
      <c r="B491" s="11" t="n">
        <v>1</v>
      </c>
      <c r="C491" s="31" t="s">
        <v>811</v>
      </c>
      <c r="D491" s="31" t="s">
        <v>812</v>
      </c>
      <c r="E491" s="11" t="s">
        <v>111</v>
      </c>
      <c r="F491" s="11" t="s">
        <v>112</v>
      </c>
      <c r="G491" s="11"/>
      <c r="H491" s="11" t="s">
        <v>21</v>
      </c>
      <c r="I491" s="11"/>
      <c r="J491" s="11" t="s">
        <v>97</v>
      </c>
      <c r="K491" s="11" t="s">
        <v>113</v>
      </c>
      <c r="L491" s="11" t="s">
        <v>114</v>
      </c>
      <c r="M491" s="11" t="s">
        <v>100</v>
      </c>
      <c r="N491" s="32" t="n">
        <v>11000</v>
      </c>
      <c r="O491" s="33" t="n">
        <v>1431635.34</v>
      </c>
      <c r="P491" s="32" t="n">
        <v>11000</v>
      </c>
      <c r="Q491" s="34" t="n">
        <v>1</v>
      </c>
      <c r="R491" s="33" t="n">
        <v>130.15</v>
      </c>
      <c r="S491" s="33" t="n">
        <v>130.15</v>
      </c>
      <c r="T491" s="33" t="n">
        <v>130.15</v>
      </c>
      <c r="U491" s="11" t="n">
        <f aca="false">IFERROR(YEAR(A491),"")</f>
        <v>2025</v>
      </c>
      <c r="V491" s="33" t="n">
        <f aca="false">IFERROR(O491*B491,0)</f>
        <v>1431635.34</v>
      </c>
      <c r="W491" s="32" t="n">
        <f aca="false">IFERROR(N491*B491,0)</f>
        <v>11000</v>
      </c>
      <c r="X491" s="11" t="n">
        <f aca="false">IF(OR(ISNUMBER(SEARCH("live nation",L491)),ISNUMBER(SEARCH("ocesa",L491))),1,0)</f>
        <v>0</v>
      </c>
      <c r="Y491" s="11" t="s">
        <v>50</v>
      </c>
    </row>
    <row r="492" customFormat="false" ht="15" hidden="false" customHeight="false" outlineLevel="0" collapsed="false">
      <c r="A492" s="25" t="n">
        <v>45720</v>
      </c>
      <c r="B492" s="13" t="n">
        <v>1</v>
      </c>
      <c r="C492" s="26" t="s">
        <v>272</v>
      </c>
      <c r="D492" s="26" t="s">
        <v>813</v>
      </c>
      <c r="E492" s="13" t="s">
        <v>814</v>
      </c>
      <c r="F492" s="13" t="s">
        <v>815</v>
      </c>
      <c r="G492" s="13"/>
      <c r="H492" s="13" t="s">
        <v>28</v>
      </c>
      <c r="I492" s="13"/>
      <c r="J492" s="13" t="s">
        <v>121</v>
      </c>
      <c r="K492" s="13" t="s">
        <v>98</v>
      </c>
      <c r="L492" s="13" t="s">
        <v>810</v>
      </c>
      <c r="M492" s="13" t="s">
        <v>277</v>
      </c>
      <c r="N492" s="27" t="n">
        <v>2401</v>
      </c>
      <c r="O492" s="28" t="n">
        <v>146404.15</v>
      </c>
      <c r="P492" s="27" t="n">
        <v>3000</v>
      </c>
      <c r="Q492" s="29" t="n">
        <v>0.8</v>
      </c>
      <c r="R492" s="28" t="n">
        <v>68.08</v>
      </c>
      <c r="S492" s="28" t="n">
        <v>80.47</v>
      </c>
      <c r="T492" s="28" t="n">
        <v>60.98</v>
      </c>
      <c r="U492" s="13" t="n">
        <f aca="false">IFERROR(YEAR(A492),"")</f>
        <v>2025</v>
      </c>
      <c r="V492" s="28" t="n">
        <f aca="false">IFERROR(O492*B492,0)</f>
        <v>146404.15</v>
      </c>
      <c r="W492" s="27" t="n">
        <f aca="false">IFERROR(N492*B492,0)</f>
        <v>2401</v>
      </c>
      <c r="X492" s="13" t="n">
        <f aca="false">IF(OR(ISNUMBER(SEARCH("live nation",L492)),ISNUMBER(SEARCH("ocesa",L492))),1,0)</f>
        <v>0</v>
      </c>
      <c r="Y492" s="13" t="s">
        <v>49</v>
      </c>
    </row>
    <row r="493" customFormat="false" ht="15" hidden="false" customHeight="false" outlineLevel="0" collapsed="false">
      <c r="A493" s="30" t="n">
        <v>45720</v>
      </c>
      <c r="B493" s="11" t="n">
        <v>1</v>
      </c>
      <c r="C493" s="31" t="s">
        <v>800</v>
      </c>
      <c r="D493" s="31"/>
      <c r="E493" s="11" t="s">
        <v>816</v>
      </c>
      <c r="F493" s="11" t="s">
        <v>817</v>
      </c>
      <c r="G493" s="11"/>
      <c r="H493" s="11" t="s">
        <v>350</v>
      </c>
      <c r="I493" s="11"/>
      <c r="J493" s="11" t="s">
        <v>106</v>
      </c>
      <c r="K493" s="11" t="s">
        <v>173</v>
      </c>
      <c r="L493" s="11" t="s">
        <v>818</v>
      </c>
      <c r="M493" s="11" t="s">
        <v>277</v>
      </c>
      <c r="N493" s="32" t="n">
        <v>1600</v>
      </c>
      <c r="O493" s="33" t="n">
        <v>108970.24</v>
      </c>
      <c r="P493" s="32" t="n">
        <v>1600</v>
      </c>
      <c r="Q493" s="34" t="n">
        <v>1</v>
      </c>
      <c r="R493" s="33" t="n">
        <v>68.11</v>
      </c>
      <c r="S493" s="33" t="n">
        <v>68.11</v>
      </c>
      <c r="T493" s="33" t="n">
        <v>68.11</v>
      </c>
      <c r="U493" s="11" t="n">
        <f aca="false">IFERROR(YEAR(A493),"")</f>
        <v>2025</v>
      </c>
      <c r="V493" s="33" t="n">
        <f aca="false">IFERROR(O493*B493,0)</f>
        <v>108970.24</v>
      </c>
      <c r="W493" s="32" t="n">
        <f aca="false">IFERROR(N493*B493,0)</f>
        <v>1600</v>
      </c>
      <c r="X493" s="11" t="n">
        <f aca="false">IF(OR(ISNUMBER(SEARCH("live nation",L493)),ISNUMBER(SEARCH("ocesa",L493))),1,0)</f>
        <v>0</v>
      </c>
      <c r="Y493" s="11" t="s">
        <v>49</v>
      </c>
    </row>
    <row r="494" customFormat="false" ht="15" hidden="false" customHeight="false" outlineLevel="0" collapsed="false">
      <c r="A494" s="25" t="n">
        <v>45720</v>
      </c>
      <c r="B494" s="13" t="n">
        <v>1</v>
      </c>
      <c r="C494" s="26" t="s">
        <v>811</v>
      </c>
      <c r="D494" s="26" t="s">
        <v>819</v>
      </c>
      <c r="E494" s="13" t="s">
        <v>111</v>
      </c>
      <c r="F494" s="13" t="s">
        <v>112</v>
      </c>
      <c r="G494" s="13"/>
      <c r="H494" s="13" t="s">
        <v>21</v>
      </c>
      <c r="I494" s="13"/>
      <c r="J494" s="13" t="s">
        <v>97</v>
      </c>
      <c r="K494" s="13" t="s">
        <v>113</v>
      </c>
      <c r="L494" s="13" t="s">
        <v>114</v>
      </c>
      <c r="M494" s="13" t="s">
        <v>100</v>
      </c>
      <c r="N494" s="27" t="n">
        <v>19500</v>
      </c>
      <c r="O494" s="28" t="n">
        <v>1438091.57</v>
      </c>
      <c r="P494" s="27" t="n">
        <v>19500</v>
      </c>
      <c r="Q494" s="29" t="n">
        <v>1</v>
      </c>
      <c r="R494" s="28" t="n">
        <v>73.75</v>
      </c>
      <c r="S494" s="28" t="n">
        <v>73.75</v>
      </c>
      <c r="T494" s="28" t="n">
        <v>73.75</v>
      </c>
      <c r="U494" s="13" t="n">
        <f aca="false">IFERROR(YEAR(A494),"")</f>
        <v>2025</v>
      </c>
      <c r="V494" s="28" t="n">
        <f aca="false">IFERROR(O494*B494,0)</f>
        <v>1438091.57</v>
      </c>
      <c r="W494" s="27" t="n">
        <f aca="false">IFERROR(N494*B494,0)</f>
        <v>19500</v>
      </c>
      <c r="X494" s="13" t="n">
        <f aca="false">IF(OR(ISNUMBER(SEARCH("live nation",L494)),ISNUMBER(SEARCH("ocesa",L494))),1,0)</f>
        <v>0</v>
      </c>
      <c r="Y494" s="13" t="s">
        <v>50</v>
      </c>
    </row>
    <row r="495" customFormat="false" ht="15" hidden="false" customHeight="false" outlineLevel="0" collapsed="false">
      <c r="A495" s="30" t="n">
        <v>45719</v>
      </c>
      <c r="B495" s="11" t="n">
        <v>1</v>
      </c>
      <c r="C495" s="31" t="s">
        <v>800</v>
      </c>
      <c r="D495" s="31"/>
      <c r="E495" s="11" t="s">
        <v>820</v>
      </c>
      <c r="F495" s="11" t="s">
        <v>821</v>
      </c>
      <c r="G495" s="11"/>
      <c r="H495" s="11" t="s">
        <v>350</v>
      </c>
      <c r="I495" s="11"/>
      <c r="J495" s="11" t="s">
        <v>121</v>
      </c>
      <c r="K495" s="11" t="s">
        <v>173</v>
      </c>
      <c r="L495" s="11" t="s">
        <v>818</v>
      </c>
      <c r="M495" s="11" t="s">
        <v>277</v>
      </c>
      <c r="N495" s="32" t="n">
        <v>2000</v>
      </c>
      <c r="O495" s="33" t="n">
        <v>135428.8</v>
      </c>
      <c r="P495" s="32" t="n">
        <v>2000</v>
      </c>
      <c r="Q495" s="34" t="n">
        <v>1</v>
      </c>
      <c r="R495" s="33" t="n">
        <v>67.71</v>
      </c>
      <c r="S495" s="33" t="n">
        <v>67.71</v>
      </c>
      <c r="T495" s="33" t="n">
        <v>67.71</v>
      </c>
      <c r="U495" s="11" t="n">
        <f aca="false">IFERROR(YEAR(A495),"")</f>
        <v>2025</v>
      </c>
      <c r="V495" s="33" t="n">
        <f aca="false">IFERROR(O495*B495,0)</f>
        <v>135428.8</v>
      </c>
      <c r="W495" s="32" t="n">
        <f aca="false">IFERROR(N495*B495,0)</f>
        <v>2000</v>
      </c>
      <c r="X495" s="11" t="n">
        <f aca="false">IF(OR(ISNUMBER(SEARCH("live nation",L495)),ISNUMBER(SEARCH("ocesa",L495))),1,0)</f>
        <v>0</v>
      </c>
      <c r="Y495" s="11" t="s">
        <v>49</v>
      </c>
    </row>
    <row r="496" customFormat="false" ht="15" hidden="false" customHeight="false" outlineLevel="0" collapsed="false">
      <c r="A496" s="25" t="n">
        <v>45718</v>
      </c>
      <c r="B496" s="13" t="n">
        <v>1</v>
      </c>
      <c r="C496" s="26" t="s">
        <v>542</v>
      </c>
      <c r="D496" s="26"/>
      <c r="E496" s="13" t="s">
        <v>822</v>
      </c>
      <c r="F496" s="13" t="s">
        <v>201</v>
      </c>
      <c r="G496" s="13" t="s">
        <v>202</v>
      </c>
      <c r="H496" s="13" t="s">
        <v>20</v>
      </c>
      <c r="I496" s="13" t="s">
        <v>203</v>
      </c>
      <c r="J496" s="13" t="s">
        <v>97</v>
      </c>
      <c r="K496" s="13" t="s">
        <v>107</v>
      </c>
      <c r="L496" s="13" t="s">
        <v>177</v>
      </c>
      <c r="M496" s="13" t="s">
        <v>100</v>
      </c>
      <c r="N496" s="27" t="n">
        <v>8926</v>
      </c>
      <c r="O496" s="28" t="n">
        <v>1292727</v>
      </c>
      <c r="P496" s="27" t="n">
        <v>8926</v>
      </c>
      <c r="Q496" s="29" t="n">
        <v>1</v>
      </c>
      <c r="R496" s="28" t="n">
        <v>144.83</v>
      </c>
      <c r="S496" s="28" t="n">
        <v>144.83</v>
      </c>
      <c r="T496" s="28" t="n">
        <v>144.83</v>
      </c>
      <c r="U496" s="13" t="n">
        <f aca="false">IFERROR(YEAR(A496),"")</f>
        <v>2025</v>
      </c>
      <c r="V496" s="28" t="n">
        <f aca="false">IFERROR(O496*B496,0)</f>
        <v>1292727</v>
      </c>
      <c r="W496" s="27" t="n">
        <f aca="false">IFERROR(N496*B496,0)</f>
        <v>8926</v>
      </c>
      <c r="X496" s="13" t="n">
        <f aca="false">IF(OR(ISNUMBER(SEARCH("live nation",L496)),ISNUMBER(SEARCH("ocesa",L496))),1,0)</f>
        <v>1</v>
      </c>
      <c r="Y496" s="13" t="s">
        <v>49</v>
      </c>
    </row>
    <row r="497" customFormat="false" ht="15" hidden="false" customHeight="false" outlineLevel="0" collapsed="false">
      <c r="A497" s="30" t="n">
        <v>45718</v>
      </c>
      <c r="B497" s="11" t="n">
        <v>1</v>
      </c>
      <c r="C497" s="31" t="s">
        <v>798</v>
      </c>
      <c r="D497" s="31"/>
      <c r="E497" s="11" t="s">
        <v>506</v>
      </c>
      <c r="F497" s="11" t="s">
        <v>507</v>
      </c>
      <c r="G497" s="11" t="s">
        <v>221</v>
      </c>
      <c r="H497" s="11" t="s">
        <v>20</v>
      </c>
      <c r="I497" s="11" t="s">
        <v>139</v>
      </c>
      <c r="J497" s="11" t="s">
        <v>97</v>
      </c>
      <c r="K497" s="11" t="s">
        <v>107</v>
      </c>
      <c r="L497" s="11" t="s">
        <v>531</v>
      </c>
      <c r="M497" s="11" t="s">
        <v>100</v>
      </c>
      <c r="N497" s="32" t="n">
        <v>8566</v>
      </c>
      <c r="O497" s="33" t="n">
        <v>1446774.5</v>
      </c>
      <c r="P497" s="32" t="n">
        <v>10677</v>
      </c>
      <c r="Q497" s="34" t="n">
        <v>0.8</v>
      </c>
      <c r="R497" s="33" t="n">
        <v>65.5</v>
      </c>
      <c r="S497" s="33" t="n">
        <v>555.5</v>
      </c>
      <c r="T497" s="33" t="n">
        <v>168.9</v>
      </c>
      <c r="U497" s="11" t="n">
        <f aca="false">IFERROR(YEAR(A497),"")</f>
        <v>2025</v>
      </c>
      <c r="V497" s="33" t="n">
        <f aca="false">IFERROR(O497*B497,0)</f>
        <v>1446774.5</v>
      </c>
      <c r="W497" s="32" t="n">
        <f aca="false">IFERROR(N497*B497,0)</f>
        <v>8566</v>
      </c>
      <c r="X497" s="11" t="n">
        <f aca="false">IF(OR(ISNUMBER(SEARCH("live nation",L497)),ISNUMBER(SEARCH("ocesa",L497))),1,0)</f>
        <v>0</v>
      </c>
      <c r="Y497" s="11" t="s">
        <v>49</v>
      </c>
    </row>
    <row r="498" customFormat="false" ht="15" hidden="false" customHeight="false" outlineLevel="0" collapsed="false">
      <c r="A498" s="25" t="n">
        <v>45717</v>
      </c>
      <c r="B498" s="13" t="n">
        <v>1</v>
      </c>
      <c r="C498" s="26" t="s">
        <v>64</v>
      </c>
      <c r="D498" s="26"/>
      <c r="E498" s="13" t="s">
        <v>283</v>
      </c>
      <c r="F498" s="13" t="s">
        <v>284</v>
      </c>
      <c r="G498" s="13"/>
      <c r="H498" s="13" t="s">
        <v>285</v>
      </c>
      <c r="I498" s="13"/>
      <c r="J498" s="13" t="s">
        <v>133</v>
      </c>
      <c r="K498" s="13" t="s">
        <v>134</v>
      </c>
      <c r="L498" s="13" t="s">
        <v>145</v>
      </c>
      <c r="M498" s="13" t="s">
        <v>100</v>
      </c>
      <c r="N498" s="27" t="n">
        <v>19482</v>
      </c>
      <c r="O498" s="28" t="n">
        <v>4227036.8</v>
      </c>
      <c r="P498" s="27" t="n">
        <v>20732</v>
      </c>
      <c r="Q498" s="29" t="n">
        <v>0.93</v>
      </c>
      <c r="R498" s="28" t="n">
        <v>94.93</v>
      </c>
      <c r="S498" s="28" t="n">
        <v>319.3</v>
      </c>
      <c r="T498" s="28" t="n">
        <v>216.97</v>
      </c>
      <c r="U498" s="13" t="n">
        <f aca="false">IFERROR(YEAR(A498),"")</f>
        <v>2025</v>
      </c>
      <c r="V498" s="28" t="n">
        <f aca="false">IFERROR(O498*B498,0)</f>
        <v>4227036.8</v>
      </c>
      <c r="W498" s="27" t="n">
        <f aca="false">IFERROR(N498*B498,0)</f>
        <v>19482</v>
      </c>
      <c r="X498" s="13" t="n">
        <f aca="false">IF(OR(ISNUMBER(SEARCH("live nation",L498)),ISNUMBER(SEARCH("ocesa",L498))),1,0)</f>
        <v>0</v>
      </c>
      <c r="Y498" s="13" t="s">
        <v>50</v>
      </c>
    </row>
    <row r="499" customFormat="false" ht="15" hidden="false" customHeight="false" outlineLevel="0" collapsed="false">
      <c r="A499" s="30" t="n">
        <v>45716</v>
      </c>
      <c r="B499" s="11" t="n">
        <v>3</v>
      </c>
      <c r="C499" s="31" t="s">
        <v>65</v>
      </c>
      <c r="D499" s="31"/>
      <c r="E499" s="11" t="s">
        <v>146</v>
      </c>
      <c r="F499" s="11" t="s">
        <v>147</v>
      </c>
      <c r="G499" s="11"/>
      <c r="H499" s="11" t="s">
        <v>24</v>
      </c>
      <c r="I499" s="11"/>
      <c r="J499" s="11" t="s">
        <v>97</v>
      </c>
      <c r="K499" s="11" t="s">
        <v>148</v>
      </c>
      <c r="L499" s="11" t="s">
        <v>145</v>
      </c>
      <c r="M499" s="11" t="s">
        <v>270</v>
      </c>
      <c r="N499" s="32" t="n">
        <v>12587</v>
      </c>
      <c r="O499" s="33" t="n">
        <v>1419105.47</v>
      </c>
      <c r="P499" s="32" t="n">
        <v>12587</v>
      </c>
      <c r="Q499" s="34" t="n">
        <v>1</v>
      </c>
      <c r="R499" s="33" t="n">
        <v>113</v>
      </c>
      <c r="S499" s="33" t="n">
        <v>150.66</v>
      </c>
      <c r="T499" s="33" t="n">
        <v>112.74</v>
      </c>
      <c r="U499" s="11" t="n">
        <f aca="false">IFERROR(YEAR(A499),"")</f>
        <v>2025</v>
      </c>
      <c r="V499" s="33" t="n">
        <f aca="false">IFERROR(O499*B499,0)</f>
        <v>4257316.41</v>
      </c>
      <c r="W499" s="32" t="n">
        <f aca="false">IFERROR(N499*B499,0)</f>
        <v>37761</v>
      </c>
      <c r="X499" s="11" t="n">
        <f aca="false">IF(OR(ISNUMBER(SEARCH("live nation",L499)),ISNUMBER(SEARCH("ocesa",L499))),1,0)</f>
        <v>0</v>
      </c>
      <c r="Y499" s="11" t="s">
        <v>50</v>
      </c>
    </row>
    <row r="500" customFormat="false" ht="15" hidden="false" customHeight="false" outlineLevel="0" collapsed="false">
      <c r="A500" s="25" t="n">
        <v>45716</v>
      </c>
      <c r="B500" s="13" t="n">
        <v>1</v>
      </c>
      <c r="C500" s="26" t="s">
        <v>542</v>
      </c>
      <c r="D500" s="26"/>
      <c r="E500" s="13" t="s">
        <v>506</v>
      </c>
      <c r="F500" s="13" t="s">
        <v>507</v>
      </c>
      <c r="G500" s="13" t="s">
        <v>221</v>
      </c>
      <c r="H500" s="13" t="s">
        <v>20</v>
      </c>
      <c r="I500" s="13" t="s">
        <v>139</v>
      </c>
      <c r="J500" s="13" t="s">
        <v>97</v>
      </c>
      <c r="K500" s="13" t="s">
        <v>107</v>
      </c>
      <c r="L500" s="13" t="s">
        <v>177</v>
      </c>
      <c r="M500" s="13" t="s">
        <v>100</v>
      </c>
      <c r="N500" s="27" t="n">
        <v>8992</v>
      </c>
      <c r="O500" s="28" t="n">
        <v>1159033</v>
      </c>
      <c r="P500" s="27" t="n">
        <v>8992</v>
      </c>
      <c r="Q500" s="29" t="n">
        <v>1</v>
      </c>
      <c r="R500" s="28" t="n">
        <v>59.5</v>
      </c>
      <c r="S500" s="28" t="n">
        <v>179.5</v>
      </c>
      <c r="T500" s="28" t="n">
        <v>128.9</v>
      </c>
      <c r="U500" s="13" t="n">
        <f aca="false">IFERROR(YEAR(A500),"")</f>
        <v>2025</v>
      </c>
      <c r="V500" s="28" t="n">
        <f aca="false">IFERROR(O500*B500,0)</f>
        <v>1159033</v>
      </c>
      <c r="W500" s="27" t="n">
        <f aca="false">IFERROR(N500*B500,0)</f>
        <v>8992</v>
      </c>
      <c r="X500" s="13" t="n">
        <f aca="false">IF(OR(ISNUMBER(SEARCH("live nation",L500)),ISNUMBER(SEARCH("ocesa",L500))),1,0)</f>
        <v>1</v>
      </c>
      <c r="Y500" s="13" t="s">
        <v>49</v>
      </c>
    </row>
    <row r="501" customFormat="false" ht="15" hidden="false" customHeight="false" outlineLevel="0" collapsed="false">
      <c r="A501" s="30" t="n">
        <v>45715</v>
      </c>
      <c r="B501" s="11" t="n">
        <v>1</v>
      </c>
      <c r="C501" s="31" t="s">
        <v>800</v>
      </c>
      <c r="D501" s="31"/>
      <c r="E501" s="11" t="s">
        <v>823</v>
      </c>
      <c r="F501" s="11" t="s">
        <v>339</v>
      </c>
      <c r="G501" s="11"/>
      <c r="H501" s="11" t="s">
        <v>477</v>
      </c>
      <c r="I501" s="11"/>
      <c r="J501" s="11" t="s">
        <v>121</v>
      </c>
      <c r="K501" s="11" t="s">
        <v>173</v>
      </c>
      <c r="L501" s="11" t="s">
        <v>685</v>
      </c>
      <c r="M501" s="11" t="s">
        <v>277</v>
      </c>
      <c r="N501" s="32" t="n">
        <v>2189</v>
      </c>
      <c r="O501" s="33" t="n">
        <v>202492.73</v>
      </c>
      <c r="P501" s="32" t="n">
        <v>2200</v>
      </c>
      <c r="Q501" s="34" t="n">
        <v>0.99</v>
      </c>
      <c r="R501" s="33" t="n">
        <v>68.01</v>
      </c>
      <c r="S501" s="33" t="n">
        <v>68.01</v>
      </c>
      <c r="T501" s="33" t="n">
        <v>92.5</v>
      </c>
      <c r="U501" s="11" t="n">
        <f aca="false">IFERROR(YEAR(A501),"")</f>
        <v>2025</v>
      </c>
      <c r="V501" s="33" t="n">
        <f aca="false">IFERROR(O501*B501,0)</f>
        <v>202492.73</v>
      </c>
      <c r="W501" s="32" t="n">
        <f aca="false">IFERROR(N501*B501,0)</f>
        <v>2189</v>
      </c>
      <c r="X501" s="11" t="n">
        <f aca="false">IF(OR(ISNUMBER(SEARCH("live nation",L501)),ISNUMBER(SEARCH("ocesa",L501))),1,0)</f>
        <v>0</v>
      </c>
      <c r="Y501" s="11" t="s">
        <v>49</v>
      </c>
    </row>
    <row r="502" customFormat="false" ht="15" hidden="false" customHeight="false" outlineLevel="0" collapsed="false">
      <c r="A502" s="25" t="n">
        <v>45713</v>
      </c>
      <c r="B502" s="13" t="n">
        <v>1</v>
      </c>
      <c r="C502" s="26" t="s">
        <v>71</v>
      </c>
      <c r="D502" s="26"/>
      <c r="E502" s="13" t="s">
        <v>556</v>
      </c>
      <c r="F502" s="13" t="s">
        <v>557</v>
      </c>
      <c r="G502" s="13"/>
      <c r="H502" s="13" t="s">
        <v>558</v>
      </c>
      <c r="I502" s="13"/>
      <c r="J502" s="13" t="s">
        <v>97</v>
      </c>
      <c r="K502" s="13" t="s">
        <v>173</v>
      </c>
      <c r="L502" s="13" t="s">
        <v>453</v>
      </c>
      <c r="M502" s="13" t="s">
        <v>100</v>
      </c>
      <c r="N502" s="27" t="n">
        <v>9808</v>
      </c>
      <c r="O502" s="28" t="n">
        <v>1282950.7</v>
      </c>
      <c r="P502" s="27" t="n">
        <v>11006</v>
      </c>
      <c r="Q502" s="29" t="n">
        <v>0.89</v>
      </c>
      <c r="R502" s="28" t="n">
        <v>68.08</v>
      </c>
      <c r="S502" s="28" t="n">
        <v>157.1</v>
      </c>
      <c r="T502" s="28" t="n">
        <v>130.81</v>
      </c>
      <c r="U502" s="13" t="n">
        <f aca="false">IFERROR(YEAR(A502),"")</f>
        <v>2025</v>
      </c>
      <c r="V502" s="28" t="n">
        <f aca="false">IFERROR(O502*B502,0)</f>
        <v>1282950.7</v>
      </c>
      <c r="W502" s="27" t="n">
        <f aca="false">IFERROR(N502*B502,0)</f>
        <v>9808</v>
      </c>
      <c r="X502" s="13" t="n">
        <f aca="false">IF(OR(ISNUMBER(SEARCH("live nation",L502)),ISNUMBER(SEARCH("ocesa",L502))),1,0)</f>
        <v>0</v>
      </c>
      <c r="Y502" s="13" t="s">
        <v>49</v>
      </c>
    </row>
    <row r="503" customFormat="false" ht="15" hidden="false" customHeight="false" outlineLevel="0" collapsed="false">
      <c r="A503" s="30" t="n">
        <v>45711</v>
      </c>
      <c r="B503" s="11" t="n">
        <v>1</v>
      </c>
      <c r="C503" s="31" t="s">
        <v>393</v>
      </c>
      <c r="D503" s="31"/>
      <c r="E503" s="11" t="s">
        <v>822</v>
      </c>
      <c r="F503" s="11" t="s">
        <v>201</v>
      </c>
      <c r="G503" s="11" t="s">
        <v>202</v>
      </c>
      <c r="H503" s="11" t="s">
        <v>20</v>
      </c>
      <c r="I503" s="11" t="s">
        <v>203</v>
      </c>
      <c r="J503" s="11" t="s">
        <v>97</v>
      </c>
      <c r="K503" s="11" t="s">
        <v>107</v>
      </c>
      <c r="L503" s="11" t="s">
        <v>390</v>
      </c>
      <c r="M503" s="11" t="s">
        <v>100</v>
      </c>
      <c r="N503" s="32" t="n">
        <v>12553</v>
      </c>
      <c r="O503" s="33" t="n">
        <v>1237667.6</v>
      </c>
      <c r="P503" s="32" t="n">
        <v>12553</v>
      </c>
      <c r="Q503" s="34" t="n">
        <v>1</v>
      </c>
      <c r="R503" s="33" t="n">
        <v>46</v>
      </c>
      <c r="S503" s="33" t="n">
        <v>46</v>
      </c>
      <c r="T503" s="33" t="n">
        <v>98.6</v>
      </c>
      <c r="U503" s="11" t="n">
        <f aca="false">IFERROR(YEAR(A503),"")</f>
        <v>2025</v>
      </c>
      <c r="V503" s="33" t="n">
        <f aca="false">IFERROR(O503*B503,0)</f>
        <v>1237667.6</v>
      </c>
      <c r="W503" s="32" t="n">
        <f aca="false">IFERROR(N503*B503,0)</f>
        <v>12553</v>
      </c>
      <c r="X503" s="11" t="n">
        <f aca="false">IF(OR(ISNUMBER(SEARCH("live nation",L503)),ISNUMBER(SEARCH("ocesa",L503))),1,0)</f>
        <v>0</v>
      </c>
      <c r="Y503" s="11" t="s">
        <v>49</v>
      </c>
    </row>
    <row r="504" customFormat="false" ht="15" hidden="false" customHeight="false" outlineLevel="0" collapsed="false">
      <c r="A504" s="25" t="n">
        <v>45711</v>
      </c>
      <c r="B504" s="13" t="n">
        <v>1</v>
      </c>
      <c r="C504" s="26" t="s">
        <v>367</v>
      </c>
      <c r="D504" s="26"/>
      <c r="E504" s="13" t="s">
        <v>111</v>
      </c>
      <c r="F504" s="13" t="s">
        <v>112</v>
      </c>
      <c r="G504" s="13"/>
      <c r="H504" s="13" t="s">
        <v>21</v>
      </c>
      <c r="I504" s="13"/>
      <c r="J504" s="13" t="s">
        <v>97</v>
      </c>
      <c r="K504" s="13" t="s">
        <v>113</v>
      </c>
      <c r="L504" s="13" t="s">
        <v>183</v>
      </c>
      <c r="M504" s="13" t="s">
        <v>100</v>
      </c>
      <c r="N504" s="27" t="n">
        <v>18000</v>
      </c>
      <c r="O504" s="28" t="n">
        <v>964921.07</v>
      </c>
      <c r="P504" s="27" t="n">
        <v>18000</v>
      </c>
      <c r="Q504" s="29" t="n">
        <v>1</v>
      </c>
      <c r="R504" s="28" t="n">
        <v>53.61</v>
      </c>
      <c r="S504" s="28" t="n">
        <v>53.61</v>
      </c>
      <c r="T504" s="28" t="n">
        <v>53.61</v>
      </c>
      <c r="U504" s="13" t="n">
        <f aca="false">IFERROR(YEAR(A504),"")</f>
        <v>2025</v>
      </c>
      <c r="V504" s="28" t="n">
        <f aca="false">IFERROR(O504*B504,0)</f>
        <v>964921.07</v>
      </c>
      <c r="W504" s="27" t="n">
        <f aca="false">IFERROR(N504*B504,0)</f>
        <v>18000</v>
      </c>
      <c r="X504" s="13" t="n">
        <f aca="false">IF(OR(ISNUMBER(SEARCH("live nation",L504)),ISNUMBER(SEARCH("ocesa",L504))),1,0)</f>
        <v>0</v>
      </c>
      <c r="Y504" s="13" t="s">
        <v>50</v>
      </c>
    </row>
    <row r="505" customFormat="false" ht="15" hidden="false" customHeight="false" outlineLevel="0" collapsed="false">
      <c r="A505" s="30" t="n">
        <v>45710</v>
      </c>
      <c r="B505" s="11" t="n">
        <v>1</v>
      </c>
      <c r="C505" s="31" t="s">
        <v>71</v>
      </c>
      <c r="D505" s="31"/>
      <c r="E505" s="11" t="s">
        <v>529</v>
      </c>
      <c r="F505" s="11" t="s">
        <v>530</v>
      </c>
      <c r="G505" s="11"/>
      <c r="H505" s="11" t="s">
        <v>26</v>
      </c>
      <c r="I505" s="11"/>
      <c r="J505" s="11" t="s">
        <v>97</v>
      </c>
      <c r="K505" s="11" t="s">
        <v>173</v>
      </c>
      <c r="L505" s="11" t="s">
        <v>531</v>
      </c>
      <c r="M505" s="11" t="s">
        <v>100</v>
      </c>
      <c r="N505" s="32" t="n">
        <v>29375</v>
      </c>
      <c r="O505" s="33" t="n">
        <v>4441489.18</v>
      </c>
      <c r="P505" s="32" t="n">
        <v>30000</v>
      </c>
      <c r="Q505" s="34" t="n">
        <v>0.97</v>
      </c>
      <c r="R505" s="33" t="n">
        <v>81</v>
      </c>
      <c r="S505" s="33" t="n">
        <v>174.23</v>
      </c>
      <c r="T505" s="33" t="n">
        <v>151.2</v>
      </c>
      <c r="U505" s="11" t="n">
        <f aca="false">IFERROR(YEAR(A505),"")</f>
        <v>2025</v>
      </c>
      <c r="V505" s="33" t="n">
        <f aca="false">IFERROR(O505*B505,0)</f>
        <v>4441489.18</v>
      </c>
      <c r="W505" s="32" t="n">
        <f aca="false">IFERROR(N505*B505,0)</f>
        <v>29375</v>
      </c>
      <c r="X505" s="11" t="n">
        <f aca="false">IF(OR(ISNUMBER(SEARCH("live nation",L505)),ISNUMBER(SEARCH("ocesa",L505))),1,0)</f>
        <v>0</v>
      </c>
      <c r="Y505" s="11" t="s">
        <v>49</v>
      </c>
    </row>
    <row r="506" customFormat="false" ht="15" hidden="false" customHeight="false" outlineLevel="0" collapsed="false">
      <c r="A506" s="25" t="n">
        <v>45710</v>
      </c>
      <c r="B506" s="13" t="n">
        <v>1</v>
      </c>
      <c r="C506" s="26" t="s">
        <v>711</v>
      </c>
      <c r="D506" s="26"/>
      <c r="E506" s="13" t="s">
        <v>196</v>
      </c>
      <c r="F506" s="13" t="s">
        <v>197</v>
      </c>
      <c r="G506" s="13" t="s">
        <v>139</v>
      </c>
      <c r="H506" s="13" t="s">
        <v>20</v>
      </c>
      <c r="I506" s="13" t="s">
        <v>139</v>
      </c>
      <c r="J506" s="13" t="s">
        <v>97</v>
      </c>
      <c r="K506" s="13" t="s">
        <v>107</v>
      </c>
      <c r="L506" s="13" t="s">
        <v>322</v>
      </c>
      <c r="M506" s="13" t="s">
        <v>100</v>
      </c>
      <c r="N506" s="27" t="n">
        <v>13199</v>
      </c>
      <c r="O506" s="28" t="n">
        <v>3172159</v>
      </c>
      <c r="P506" s="27" t="n">
        <v>13199</v>
      </c>
      <c r="Q506" s="29" t="n">
        <v>1</v>
      </c>
      <c r="R506" s="28" t="n">
        <v>98</v>
      </c>
      <c r="S506" s="28" t="n">
        <v>408</v>
      </c>
      <c r="T506" s="28" t="n">
        <v>240.33</v>
      </c>
      <c r="U506" s="13" t="n">
        <f aca="false">IFERROR(YEAR(A506),"")</f>
        <v>2025</v>
      </c>
      <c r="V506" s="28" t="n">
        <f aca="false">IFERROR(O506*B506,0)</f>
        <v>3172159</v>
      </c>
      <c r="W506" s="27" t="n">
        <f aca="false">IFERROR(N506*B506,0)</f>
        <v>13199</v>
      </c>
      <c r="X506" s="13" t="n">
        <f aca="false">IF(OR(ISNUMBER(SEARCH("live nation",L506)),ISNUMBER(SEARCH("ocesa",L506))),1,0)</f>
        <v>0</v>
      </c>
      <c r="Y506" s="13" t="s">
        <v>49</v>
      </c>
    </row>
    <row r="507" customFormat="false" ht="15" hidden="false" customHeight="false" outlineLevel="0" collapsed="false">
      <c r="A507" s="30" t="n">
        <v>45710</v>
      </c>
      <c r="B507" s="11" t="n">
        <v>1</v>
      </c>
      <c r="C507" s="31" t="s">
        <v>357</v>
      </c>
      <c r="D507" s="31" t="s">
        <v>824</v>
      </c>
      <c r="E507" s="11" t="s">
        <v>111</v>
      </c>
      <c r="F507" s="11" t="s">
        <v>112</v>
      </c>
      <c r="G507" s="11"/>
      <c r="H507" s="11" t="s">
        <v>21</v>
      </c>
      <c r="I507" s="11"/>
      <c r="J507" s="11" t="s">
        <v>97</v>
      </c>
      <c r="K507" s="11" t="s">
        <v>113</v>
      </c>
      <c r="L507" s="11" t="s">
        <v>183</v>
      </c>
      <c r="M507" s="11" t="s">
        <v>100</v>
      </c>
      <c r="N507" s="32" t="n">
        <v>18000</v>
      </c>
      <c r="O507" s="33" t="n">
        <v>964985.71</v>
      </c>
      <c r="P507" s="32" t="n">
        <v>18000</v>
      </c>
      <c r="Q507" s="34" t="n">
        <v>1</v>
      </c>
      <c r="R507" s="33" t="n">
        <v>53.61</v>
      </c>
      <c r="S507" s="33" t="n">
        <v>53.61</v>
      </c>
      <c r="T507" s="33" t="n">
        <v>53.61</v>
      </c>
      <c r="U507" s="11" t="n">
        <f aca="false">IFERROR(YEAR(A507),"")</f>
        <v>2025</v>
      </c>
      <c r="V507" s="33" t="n">
        <f aca="false">IFERROR(O507*B507,0)</f>
        <v>964985.71</v>
      </c>
      <c r="W507" s="32" t="n">
        <f aca="false">IFERROR(N507*B507,0)</f>
        <v>18000</v>
      </c>
      <c r="X507" s="11" t="n">
        <f aca="false">IF(OR(ISNUMBER(SEARCH("live nation",L507)),ISNUMBER(SEARCH("ocesa",L507))),1,0)</f>
        <v>0</v>
      </c>
      <c r="Y507" s="11" t="s">
        <v>50</v>
      </c>
    </row>
    <row r="508" customFormat="false" ht="15" hidden="false" customHeight="false" outlineLevel="0" collapsed="false">
      <c r="A508" s="25" t="n">
        <v>45710</v>
      </c>
      <c r="B508" s="13" t="n">
        <v>3</v>
      </c>
      <c r="C508" s="26" t="s">
        <v>612</v>
      </c>
      <c r="D508" s="26"/>
      <c r="E508" s="13" t="s">
        <v>825</v>
      </c>
      <c r="F508" s="13" t="s">
        <v>112</v>
      </c>
      <c r="G508" s="13"/>
      <c r="H508" s="13" t="s">
        <v>21</v>
      </c>
      <c r="I508" s="13"/>
      <c r="J508" s="13" t="s">
        <v>738</v>
      </c>
      <c r="K508" s="13" t="s">
        <v>113</v>
      </c>
      <c r="L508" s="13" t="s">
        <v>145</v>
      </c>
      <c r="M508" s="13" t="s">
        <v>100</v>
      </c>
      <c r="N508" s="27" t="n">
        <v>5493</v>
      </c>
      <c r="O508" s="28" t="n">
        <v>479445.18</v>
      </c>
      <c r="P508" s="27" t="n">
        <v>5588</v>
      </c>
      <c r="Q508" s="29" t="n">
        <v>0.98</v>
      </c>
      <c r="R508" s="28" t="n">
        <v>77.98</v>
      </c>
      <c r="S508" s="28" t="n">
        <v>138.9</v>
      </c>
      <c r="T508" s="28" t="n">
        <v>87.28</v>
      </c>
      <c r="U508" s="13" t="n">
        <f aca="false">IFERROR(YEAR(A508),"")</f>
        <v>2025</v>
      </c>
      <c r="V508" s="28" t="n">
        <f aca="false">IFERROR(O508*B508,0)</f>
        <v>1438335.54</v>
      </c>
      <c r="W508" s="27" t="n">
        <f aca="false">IFERROR(N508*B508,0)</f>
        <v>16479</v>
      </c>
      <c r="X508" s="13" t="n">
        <f aca="false">IF(OR(ISNUMBER(SEARCH("live nation",L508)),ISNUMBER(SEARCH("ocesa",L508))),1,0)</f>
        <v>0</v>
      </c>
      <c r="Y508" s="13" t="s">
        <v>50</v>
      </c>
    </row>
    <row r="509" customFormat="false" ht="15" hidden="false" customHeight="false" outlineLevel="0" collapsed="false">
      <c r="A509" s="30" t="n">
        <v>45709</v>
      </c>
      <c r="B509" s="11" t="n">
        <v>1</v>
      </c>
      <c r="C509" s="31" t="s">
        <v>393</v>
      </c>
      <c r="D509" s="31"/>
      <c r="E509" s="11" t="s">
        <v>503</v>
      </c>
      <c r="F509" s="11" t="s">
        <v>231</v>
      </c>
      <c r="G509" s="11" t="s">
        <v>202</v>
      </c>
      <c r="H509" s="11" t="s">
        <v>20</v>
      </c>
      <c r="I509" s="11" t="s">
        <v>232</v>
      </c>
      <c r="J509" s="11" t="s">
        <v>121</v>
      </c>
      <c r="K509" s="11" t="s">
        <v>107</v>
      </c>
      <c r="L509" s="11" t="s">
        <v>390</v>
      </c>
      <c r="M509" s="11" t="s">
        <v>100</v>
      </c>
      <c r="N509" s="32" t="n">
        <v>2930</v>
      </c>
      <c r="O509" s="33" t="n">
        <v>486260</v>
      </c>
      <c r="P509" s="32" t="n">
        <v>2990</v>
      </c>
      <c r="Q509" s="34" t="n">
        <v>0.97</v>
      </c>
      <c r="R509" s="33" t="n">
        <v>60</v>
      </c>
      <c r="S509" s="33" t="n">
        <v>60</v>
      </c>
      <c r="T509" s="33" t="n">
        <v>165.96</v>
      </c>
      <c r="U509" s="11" t="n">
        <f aca="false">IFERROR(YEAR(A509),"")</f>
        <v>2025</v>
      </c>
      <c r="V509" s="33" t="n">
        <f aca="false">IFERROR(O509*B509,0)</f>
        <v>486260</v>
      </c>
      <c r="W509" s="32" t="n">
        <f aca="false">IFERROR(N509*B509,0)</f>
        <v>2930</v>
      </c>
      <c r="X509" s="11" t="n">
        <f aca="false">IF(OR(ISNUMBER(SEARCH("live nation",L509)),ISNUMBER(SEARCH("ocesa",L509))),1,0)</f>
        <v>0</v>
      </c>
      <c r="Y509" s="11" t="s">
        <v>49</v>
      </c>
    </row>
    <row r="510" customFormat="false" ht="15" hidden="false" customHeight="false" outlineLevel="0" collapsed="false">
      <c r="A510" s="25" t="n">
        <v>45709</v>
      </c>
      <c r="B510" s="13" t="n">
        <v>1</v>
      </c>
      <c r="C510" s="26" t="s">
        <v>800</v>
      </c>
      <c r="D510" s="26"/>
      <c r="E510" s="13" t="s">
        <v>826</v>
      </c>
      <c r="F510" s="13" t="s">
        <v>827</v>
      </c>
      <c r="G510" s="13"/>
      <c r="H510" s="13" t="s">
        <v>693</v>
      </c>
      <c r="I510" s="13"/>
      <c r="J510" s="13" t="s">
        <v>121</v>
      </c>
      <c r="K510" s="13" t="s">
        <v>694</v>
      </c>
      <c r="L510" s="13" t="s">
        <v>695</v>
      </c>
      <c r="M510" s="13" t="s">
        <v>277</v>
      </c>
      <c r="N510" s="27" t="n">
        <v>1812</v>
      </c>
      <c r="O510" s="28" t="n">
        <v>226104.94</v>
      </c>
      <c r="P510" s="27" t="n">
        <v>1837</v>
      </c>
      <c r="Q510" s="29" t="n">
        <v>0.98</v>
      </c>
      <c r="R510" s="28" t="n">
        <v>82.39</v>
      </c>
      <c r="S510" s="28" t="n">
        <v>300.61</v>
      </c>
      <c r="T510" s="28" t="n">
        <v>124.78</v>
      </c>
      <c r="U510" s="13" t="n">
        <f aca="false">IFERROR(YEAR(A510),"")</f>
        <v>2025</v>
      </c>
      <c r="V510" s="28" t="n">
        <f aca="false">IFERROR(O510*B510,0)</f>
        <v>226104.94</v>
      </c>
      <c r="W510" s="27" t="n">
        <f aca="false">IFERROR(N510*B510,0)</f>
        <v>1812</v>
      </c>
      <c r="X510" s="13" t="n">
        <f aca="false">IF(OR(ISNUMBER(SEARCH("live nation",L510)),ISNUMBER(SEARCH("ocesa",L510))),1,0)</f>
        <v>0</v>
      </c>
      <c r="Y510" s="13" t="s">
        <v>49</v>
      </c>
    </row>
    <row r="511" customFormat="false" ht="15" hidden="false" customHeight="false" outlineLevel="0" collapsed="false">
      <c r="A511" s="30" t="n">
        <v>45708</v>
      </c>
      <c r="B511" s="11" t="n">
        <v>1</v>
      </c>
      <c r="C511" s="31" t="s">
        <v>800</v>
      </c>
      <c r="D511" s="31"/>
      <c r="E511" s="11" t="s">
        <v>828</v>
      </c>
      <c r="F511" s="11" t="s">
        <v>829</v>
      </c>
      <c r="G511" s="11"/>
      <c r="H511" s="11" t="s">
        <v>172</v>
      </c>
      <c r="I511" s="11"/>
      <c r="J511" s="11" t="s">
        <v>106</v>
      </c>
      <c r="K511" s="11" t="s">
        <v>173</v>
      </c>
      <c r="L511" s="11" t="s">
        <v>830</v>
      </c>
      <c r="M511" s="11" t="s">
        <v>277</v>
      </c>
      <c r="N511" s="32" t="n">
        <v>1999</v>
      </c>
      <c r="O511" s="33" t="n">
        <v>135526.69</v>
      </c>
      <c r="P511" s="32" t="n">
        <v>1999</v>
      </c>
      <c r="Q511" s="34" t="n">
        <v>1</v>
      </c>
      <c r="R511" s="33" t="n">
        <v>67.8</v>
      </c>
      <c r="S511" s="33" t="n">
        <v>67.8</v>
      </c>
      <c r="T511" s="33" t="n">
        <v>67.8</v>
      </c>
      <c r="U511" s="11" t="n">
        <f aca="false">IFERROR(YEAR(A511),"")</f>
        <v>2025</v>
      </c>
      <c r="V511" s="33" t="n">
        <f aca="false">IFERROR(O511*B511,0)</f>
        <v>135526.69</v>
      </c>
      <c r="W511" s="32" t="n">
        <f aca="false">IFERROR(N511*B511,0)</f>
        <v>1999</v>
      </c>
      <c r="X511" s="11" t="n">
        <f aca="false">IF(OR(ISNUMBER(SEARCH("live nation",L511)),ISNUMBER(SEARCH("ocesa",L511))),1,0)</f>
        <v>0</v>
      </c>
      <c r="Y511" s="11" t="s">
        <v>49</v>
      </c>
    </row>
    <row r="512" customFormat="false" ht="15" hidden="false" customHeight="false" outlineLevel="0" collapsed="false">
      <c r="A512" s="25" t="n">
        <v>45707</v>
      </c>
      <c r="B512" s="13" t="n">
        <v>1</v>
      </c>
      <c r="C512" s="26" t="s">
        <v>831</v>
      </c>
      <c r="D512" s="26"/>
      <c r="E512" s="13" t="s">
        <v>727</v>
      </c>
      <c r="F512" s="13" t="s">
        <v>295</v>
      </c>
      <c r="G512" s="13"/>
      <c r="H512" s="13" t="s">
        <v>28</v>
      </c>
      <c r="I512" s="13"/>
      <c r="J512" s="13" t="s">
        <v>106</v>
      </c>
      <c r="K512" s="13" t="s">
        <v>98</v>
      </c>
      <c r="L512" s="13" t="s">
        <v>832</v>
      </c>
      <c r="M512" s="13" t="s">
        <v>100</v>
      </c>
      <c r="N512" s="27" t="n">
        <v>323</v>
      </c>
      <c r="O512" s="28" t="n">
        <v>22403.42</v>
      </c>
      <c r="P512" s="27" t="n">
        <v>1100</v>
      </c>
      <c r="Q512" s="29" t="n">
        <v>0.29</v>
      </c>
      <c r="R512" s="28" t="n">
        <v>69.36</v>
      </c>
      <c r="S512" s="28" t="n">
        <v>69.36</v>
      </c>
      <c r="T512" s="28" t="n">
        <v>69.36</v>
      </c>
      <c r="U512" s="13" t="n">
        <f aca="false">IFERROR(YEAR(A512),"")</f>
        <v>2025</v>
      </c>
      <c r="V512" s="28" t="n">
        <f aca="false">IFERROR(O512*B512,0)</f>
        <v>22403.42</v>
      </c>
      <c r="W512" s="27" t="n">
        <f aca="false">IFERROR(N512*B512,0)</f>
        <v>323</v>
      </c>
      <c r="X512" s="13" t="n">
        <f aca="false">IF(OR(ISNUMBER(SEARCH("live nation",L512)),ISNUMBER(SEARCH("ocesa",L512))),1,0)</f>
        <v>0</v>
      </c>
      <c r="Y512" s="13" t="s">
        <v>49</v>
      </c>
    </row>
    <row r="513" customFormat="false" ht="15" hidden="false" customHeight="false" outlineLevel="0" collapsed="false">
      <c r="A513" s="30" t="n">
        <v>45707</v>
      </c>
      <c r="B513" s="11" t="n">
        <v>1</v>
      </c>
      <c r="C513" s="31" t="s">
        <v>711</v>
      </c>
      <c r="D513" s="31"/>
      <c r="E513" s="11" t="s">
        <v>783</v>
      </c>
      <c r="F513" s="11" t="s">
        <v>535</v>
      </c>
      <c r="G513" s="11" t="s">
        <v>202</v>
      </c>
      <c r="H513" s="11" t="s">
        <v>20</v>
      </c>
      <c r="I513" s="11" t="s">
        <v>232</v>
      </c>
      <c r="J513" s="11" t="s">
        <v>97</v>
      </c>
      <c r="K513" s="11" t="s">
        <v>107</v>
      </c>
      <c r="L513" s="11" t="s">
        <v>322</v>
      </c>
      <c r="M513" s="11" t="s">
        <v>100</v>
      </c>
      <c r="N513" s="32" t="n">
        <v>11634</v>
      </c>
      <c r="O513" s="33" t="n">
        <v>2884352</v>
      </c>
      <c r="P513" s="32" t="n">
        <v>11999</v>
      </c>
      <c r="Q513" s="34" t="n">
        <v>0.96</v>
      </c>
      <c r="R513" s="33" t="n">
        <v>138</v>
      </c>
      <c r="S513" s="33" t="n">
        <v>398</v>
      </c>
      <c r="T513" s="33" t="n">
        <v>247.92</v>
      </c>
      <c r="U513" s="11" t="n">
        <f aca="false">IFERROR(YEAR(A513),"")</f>
        <v>2025</v>
      </c>
      <c r="V513" s="33" t="n">
        <f aca="false">IFERROR(O513*B513,0)</f>
        <v>2884352</v>
      </c>
      <c r="W513" s="32" t="n">
        <f aca="false">IFERROR(N513*B513,0)</f>
        <v>11634</v>
      </c>
      <c r="X513" s="11" t="n">
        <f aca="false">IF(OR(ISNUMBER(SEARCH("live nation",L513)),ISNUMBER(SEARCH("ocesa",L513))),1,0)</f>
        <v>0</v>
      </c>
      <c r="Y513" s="11" t="s">
        <v>49</v>
      </c>
    </row>
    <row r="514" customFormat="false" ht="15" hidden="false" customHeight="false" outlineLevel="0" collapsed="false">
      <c r="A514" s="25" t="n">
        <v>45706</v>
      </c>
      <c r="B514" s="13" t="n">
        <v>1</v>
      </c>
      <c r="C514" s="26" t="s">
        <v>393</v>
      </c>
      <c r="D514" s="26"/>
      <c r="E514" s="13" t="s">
        <v>833</v>
      </c>
      <c r="F514" s="13" t="s">
        <v>834</v>
      </c>
      <c r="G514" s="13" t="s">
        <v>143</v>
      </c>
      <c r="H514" s="13" t="s">
        <v>20</v>
      </c>
      <c r="I514" s="13" t="s">
        <v>586</v>
      </c>
      <c r="J514" s="13" t="s">
        <v>121</v>
      </c>
      <c r="K514" s="13" t="s">
        <v>107</v>
      </c>
      <c r="L514" s="13" t="s">
        <v>122</v>
      </c>
      <c r="M514" s="13" t="s">
        <v>100</v>
      </c>
      <c r="N514" s="27" t="n">
        <v>6116</v>
      </c>
      <c r="O514" s="28" t="n">
        <v>918705.12</v>
      </c>
      <c r="P514" s="27" t="n">
        <v>6286</v>
      </c>
      <c r="Q514" s="29" t="n">
        <v>0.97</v>
      </c>
      <c r="R514" s="28" t="n">
        <v>59.5</v>
      </c>
      <c r="S514" s="28" t="n">
        <v>59.5</v>
      </c>
      <c r="T514" s="28" t="n">
        <v>150.21</v>
      </c>
      <c r="U514" s="13" t="n">
        <f aca="false">IFERROR(YEAR(A514),"")</f>
        <v>2025</v>
      </c>
      <c r="V514" s="28" t="n">
        <f aca="false">IFERROR(O514*B514,0)</f>
        <v>918705.12</v>
      </c>
      <c r="W514" s="27" t="n">
        <f aca="false">IFERROR(N514*B514,0)</f>
        <v>6116</v>
      </c>
      <c r="X514" s="13" t="n">
        <f aca="false">IF(OR(ISNUMBER(SEARCH("live nation",L514)),ISNUMBER(SEARCH("ocesa",L514))),1,0)</f>
        <v>0</v>
      </c>
      <c r="Y514" s="13" t="s">
        <v>49</v>
      </c>
    </row>
    <row r="515" customFormat="false" ht="15" hidden="false" customHeight="false" outlineLevel="0" collapsed="false">
      <c r="A515" s="30" t="n">
        <v>45706</v>
      </c>
      <c r="B515" s="11" t="n">
        <v>2</v>
      </c>
      <c r="C515" s="31" t="s">
        <v>612</v>
      </c>
      <c r="D515" s="31"/>
      <c r="E515" s="11" t="s">
        <v>835</v>
      </c>
      <c r="F515" s="11" t="s">
        <v>408</v>
      </c>
      <c r="G515" s="11"/>
      <c r="H515" s="11" t="s">
        <v>21</v>
      </c>
      <c r="I515" s="11"/>
      <c r="J515" s="11" t="s">
        <v>121</v>
      </c>
      <c r="K515" s="11" t="s">
        <v>113</v>
      </c>
      <c r="L515" s="11" t="s">
        <v>145</v>
      </c>
      <c r="M515" s="11" t="s">
        <v>100</v>
      </c>
      <c r="N515" s="32" t="n">
        <v>2192</v>
      </c>
      <c r="O515" s="33" t="n">
        <v>204703.96</v>
      </c>
      <c r="P515" s="32" t="n">
        <v>2232</v>
      </c>
      <c r="Q515" s="34" t="n">
        <v>0.98</v>
      </c>
      <c r="R515" s="33" t="n">
        <v>76.48</v>
      </c>
      <c r="S515" s="33" t="n">
        <v>136.23</v>
      </c>
      <c r="T515" s="33" t="n">
        <v>93.39</v>
      </c>
      <c r="U515" s="11" t="n">
        <f aca="false">IFERROR(YEAR(A515),"")</f>
        <v>2025</v>
      </c>
      <c r="V515" s="33" t="n">
        <f aca="false">IFERROR(O515*B515,0)</f>
        <v>409407.92</v>
      </c>
      <c r="W515" s="32" t="n">
        <f aca="false">IFERROR(N515*B515,0)</f>
        <v>4384</v>
      </c>
      <c r="X515" s="11" t="n">
        <f aca="false">IF(OR(ISNUMBER(SEARCH("live nation",L515)),ISNUMBER(SEARCH("ocesa",L515))),1,0)</f>
        <v>0</v>
      </c>
      <c r="Y515" s="11" t="s">
        <v>50</v>
      </c>
    </row>
    <row r="516" customFormat="false" ht="15" hidden="false" customHeight="false" outlineLevel="0" collapsed="false">
      <c r="A516" s="25" t="n">
        <v>45705</v>
      </c>
      <c r="B516" s="13" t="n">
        <v>1</v>
      </c>
      <c r="C516" s="26" t="s">
        <v>836</v>
      </c>
      <c r="D516" s="26"/>
      <c r="E516" s="13" t="s">
        <v>837</v>
      </c>
      <c r="F516" s="13" t="s">
        <v>349</v>
      </c>
      <c r="G516" s="13"/>
      <c r="H516" s="13" t="s">
        <v>350</v>
      </c>
      <c r="I516" s="13"/>
      <c r="J516" s="13" t="s">
        <v>121</v>
      </c>
      <c r="K516" s="13" t="s">
        <v>173</v>
      </c>
      <c r="L516" s="13" t="s">
        <v>443</v>
      </c>
      <c r="M516" s="13" t="s">
        <v>100</v>
      </c>
      <c r="N516" s="27" t="n">
        <v>584</v>
      </c>
      <c r="O516" s="28" t="n">
        <v>36839.37</v>
      </c>
      <c r="P516" s="27" t="n">
        <v>1100</v>
      </c>
      <c r="Q516" s="29" t="n">
        <v>0.53</v>
      </c>
      <c r="R516" s="28" t="n">
        <v>47.23</v>
      </c>
      <c r="S516" s="28" t="n">
        <v>47.23</v>
      </c>
      <c r="T516" s="28" t="n">
        <v>63.08</v>
      </c>
      <c r="U516" s="13" t="n">
        <f aca="false">IFERROR(YEAR(A516),"")</f>
        <v>2025</v>
      </c>
      <c r="V516" s="28" t="n">
        <f aca="false">IFERROR(O516*B516,0)</f>
        <v>36839.37</v>
      </c>
      <c r="W516" s="27" t="n">
        <f aca="false">IFERROR(N516*B516,0)</f>
        <v>584</v>
      </c>
      <c r="X516" s="13" t="n">
        <f aca="false">IF(OR(ISNUMBER(SEARCH("live nation",L516)),ISNUMBER(SEARCH("ocesa",L516))),1,0)</f>
        <v>0</v>
      </c>
      <c r="Y516" s="13" t="s">
        <v>49</v>
      </c>
    </row>
    <row r="517" customFormat="false" ht="15" hidden="false" customHeight="false" outlineLevel="0" collapsed="false">
      <c r="A517" s="30" t="n">
        <v>45704</v>
      </c>
      <c r="B517" s="11" t="n">
        <v>1</v>
      </c>
      <c r="C517" s="31" t="s">
        <v>393</v>
      </c>
      <c r="D517" s="31"/>
      <c r="E517" s="11" t="s">
        <v>540</v>
      </c>
      <c r="F517" s="11" t="s">
        <v>209</v>
      </c>
      <c r="G517" s="11" t="s">
        <v>208</v>
      </c>
      <c r="H517" s="11" t="s">
        <v>20</v>
      </c>
      <c r="I517" s="11" t="s">
        <v>209</v>
      </c>
      <c r="J517" s="11" t="s">
        <v>121</v>
      </c>
      <c r="K517" s="11" t="s">
        <v>107</v>
      </c>
      <c r="L517" s="11" t="s">
        <v>390</v>
      </c>
      <c r="M517" s="11" t="s">
        <v>100</v>
      </c>
      <c r="N517" s="32" t="n">
        <v>3553</v>
      </c>
      <c r="O517" s="33" t="n">
        <v>534432</v>
      </c>
      <c r="P517" s="32" t="n">
        <v>3553</v>
      </c>
      <c r="Q517" s="34" t="n">
        <v>1</v>
      </c>
      <c r="R517" s="33" t="n">
        <v>56</v>
      </c>
      <c r="S517" s="33" t="n">
        <v>246</v>
      </c>
      <c r="T517" s="33" t="n">
        <v>150.42</v>
      </c>
      <c r="U517" s="11" t="n">
        <f aca="false">IFERROR(YEAR(A517),"")</f>
        <v>2025</v>
      </c>
      <c r="V517" s="33" t="n">
        <f aca="false">IFERROR(O517*B517,0)</f>
        <v>534432</v>
      </c>
      <c r="W517" s="32" t="n">
        <f aca="false">IFERROR(N517*B517,0)</f>
        <v>3553</v>
      </c>
      <c r="X517" s="11" t="n">
        <f aca="false">IF(OR(ISNUMBER(SEARCH("live nation",L517)),ISNUMBER(SEARCH("ocesa",L517))),1,0)</f>
        <v>0</v>
      </c>
      <c r="Y517" s="11" t="s">
        <v>49</v>
      </c>
    </row>
    <row r="518" customFormat="false" ht="15" hidden="false" customHeight="false" outlineLevel="0" collapsed="false">
      <c r="A518" s="25" t="n">
        <v>45703</v>
      </c>
      <c r="B518" s="13" t="n">
        <v>1</v>
      </c>
      <c r="C518" s="26" t="s">
        <v>711</v>
      </c>
      <c r="D518" s="26"/>
      <c r="E518" s="13" t="s">
        <v>838</v>
      </c>
      <c r="F518" s="13" t="s">
        <v>550</v>
      </c>
      <c r="G518" s="13" t="s">
        <v>328</v>
      </c>
      <c r="H518" s="13" t="s">
        <v>128</v>
      </c>
      <c r="I518" s="13"/>
      <c r="J518" s="13" t="s">
        <v>97</v>
      </c>
      <c r="K518" s="13" t="s">
        <v>129</v>
      </c>
      <c r="L518" s="13" t="s">
        <v>122</v>
      </c>
      <c r="M518" s="13" t="s">
        <v>100</v>
      </c>
      <c r="N518" s="27" t="n">
        <v>14100</v>
      </c>
      <c r="O518" s="28" t="n">
        <v>2981826.33</v>
      </c>
      <c r="P518" s="27" t="n">
        <v>14100</v>
      </c>
      <c r="Q518" s="29" t="n">
        <v>1</v>
      </c>
      <c r="R518" s="28" t="n">
        <v>102.08</v>
      </c>
      <c r="S518" s="28" t="n">
        <v>388.94</v>
      </c>
      <c r="T518" s="28" t="n">
        <v>211.48</v>
      </c>
      <c r="U518" s="13" t="n">
        <f aca="false">IFERROR(YEAR(A518),"")</f>
        <v>2025</v>
      </c>
      <c r="V518" s="28" t="n">
        <f aca="false">IFERROR(O518*B518,0)</f>
        <v>2981826.33</v>
      </c>
      <c r="W518" s="27" t="n">
        <f aca="false">IFERROR(N518*B518,0)</f>
        <v>14100</v>
      </c>
      <c r="X518" s="13" t="n">
        <f aca="false">IF(OR(ISNUMBER(SEARCH("live nation",L518)),ISNUMBER(SEARCH("ocesa",L518))),1,0)</f>
        <v>0</v>
      </c>
      <c r="Y518" s="13" t="s">
        <v>49</v>
      </c>
    </row>
    <row r="519" customFormat="false" ht="15" hidden="false" customHeight="false" outlineLevel="0" collapsed="false">
      <c r="A519" s="30" t="n">
        <v>45703</v>
      </c>
      <c r="B519" s="11" t="n">
        <v>2</v>
      </c>
      <c r="C519" s="31" t="s">
        <v>62</v>
      </c>
      <c r="D519" s="31"/>
      <c r="E519" s="11" t="s">
        <v>298</v>
      </c>
      <c r="F519" s="11" t="s">
        <v>299</v>
      </c>
      <c r="G519" s="11"/>
      <c r="H519" s="11" t="s">
        <v>56</v>
      </c>
      <c r="I519" s="11"/>
      <c r="J519" s="11" t="s">
        <v>133</v>
      </c>
      <c r="K519" s="11" t="s">
        <v>300</v>
      </c>
      <c r="L519" s="11" t="s">
        <v>145</v>
      </c>
      <c r="M519" s="11" t="s">
        <v>100</v>
      </c>
      <c r="N519" s="32" t="n">
        <v>34424</v>
      </c>
      <c r="O519" s="33" t="n">
        <v>6059347.1</v>
      </c>
      <c r="P519" s="32" t="n">
        <v>35480</v>
      </c>
      <c r="Q519" s="34" t="n">
        <v>0.97</v>
      </c>
      <c r="R519" s="33" t="n">
        <v>83.01</v>
      </c>
      <c r="S519" s="33" t="n">
        <v>275.73</v>
      </c>
      <c r="T519" s="33" t="n">
        <v>176.02</v>
      </c>
      <c r="U519" s="11" t="n">
        <f aca="false">IFERROR(YEAR(A519),"")</f>
        <v>2025</v>
      </c>
      <c r="V519" s="33" t="n">
        <f aca="false">IFERROR(O519*B519,0)</f>
        <v>12118694.2</v>
      </c>
      <c r="W519" s="32" t="n">
        <f aca="false">IFERROR(N519*B519,0)</f>
        <v>68848</v>
      </c>
      <c r="X519" s="11" t="n">
        <f aca="false">IF(OR(ISNUMBER(SEARCH("live nation",L519)),ISNUMBER(SEARCH("ocesa",L519))),1,0)</f>
        <v>0</v>
      </c>
      <c r="Y519" s="11" t="s">
        <v>50</v>
      </c>
    </row>
    <row r="520" customFormat="false" ht="15" hidden="false" customHeight="false" outlineLevel="0" collapsed="false">
      <c r="A520" s="25" t="n">
        <v>45703</v>
      </c>
      <c r="B520" s="13" t="n">
        <v>1</v>
      </c>
      <c r="C520" s="26" t="s">
        <v>612</v>
      </c>
      <c r="D520" s="26"/>
      <c r="E520" s="13" t="s">
        <v>839</v>
      </c>
      <c r="F520" s="13" t="s">
        <v>840</v>
      </c>
      <c r="G520" s="13"/>
      <c r="H520" s="13" t="s">
        <v>21</v>
      </c>
      <c r="I520" s="13"/>
      <c r="J520" s="13" t="s">
        <v>121</v>
      </c>
      <c r="K520" s="13" t="s">
        <v>113</v>
      </c>
      <c r="L520" s="13" t="s">
        <v>145</v>
      </c>
      <c r="M520" s="13" t="s">
        <v>100</v>
      </c>
      <c r="N520" s="27" t="n">
        <v>2056</v>
      </c>
      <c r="O520" s="28" t="n">
        <v>191360.07</v>
      </c>
      <c r="P520" s="27" t="n">
        <v>2087</v>
      </c>
      <c r="Q520" s="29" t="n">
        <v>0.98</v>
      </c>
      <c r="R520" s="28" t="n">
        <v>76.39</v>
      </c>
      <c r="S520" s="28" t="n">
        <v>136.07</v>
      </c>
      <c r="T520" s="28" t="n">
        <v>93.07</v>
      </c>
      <c r="U520" s="13" t="n">
        <f aca="false">IFERROR(YEAR(A520),"")</f>
        <v>2025</v>
      </c>
      <c r="V520" s="28" t="n">
        <f aca="false">IFERROR(O520*B520,0)</f>
        <v>191360.07</v>
      </c>
      <c r="W520" s="27" t="n">
        <f aca="false">IFERROR(N520*B520,0)</f>
        <v>2056</v>
      </c>
      <c r="X520" s="13" t="n">
        <f aca="false">IF(OR(ISNUMBER(SEARCH("live nation",L520)),ISNUMBER(SEARCH("ocesa",L520))),1,0)</f>
        <v>0</v>
      </c>
      <c r="Y520" s="13" t="s">
        <v>50</v>
      </c>
    </row>
    <row r="521" customFormat="false" ht="15" hidden="false" customHeight="false" outlineLevel="0" collapsed="false">
      <c r="A521" s="30" t="n">
        <v>45702</v>
      </c>
      <c r="B521" s="11" t="n">
        <v>1</v>
      </c>
      <c r="C521" s="31" t="s">
        <v>522</v>
      </c>
      <c r="D521" s="31"/>
      <c r="E521" s="11" t="s">
        <v>841</v>
      </c>
      <c r="F521" s="11" t="s">
        <v>842</v>
      </c>
      <c r="G521" s="11" t="s">
        <v>119</v>
      </c>
      <c r="H521" s="11" t="s">
        <v>20</v>
      </c>
      <c r="I521" s="11" t="s">
        <v>120</v>
      </c>
      <c r="J521" s="11" t="s">
        <v>106</v>
      </c>
      <c r="K521" s="11" t="s">
        <v>107</v>
      </c>
      <c r="L521" s="11" t="s">
        <v>122</v>
      </c>
      <c r="M521" s="11" t="s">
        <v>100</v>
      </c>
      <c r="N521" s="32" t="n">
        <v>377</v>
      </c>
      <c r="O521" s="33" t="n">
        <v>40200</v>
      </c>
      <c r="P521" s="32" t="n">
        <v>550</v>
      </c>
      <c r="Q521" s="34" t="n">
        <v>0.68</v>
      </c>
      <c r="R521" s="33" t="n">
        <v>40</v>
      </c>
      <c r="S521" s="33" t="n">
        <v>179</v>
      </c>
      <c r="T521" s="33" t="n">
        <v>106.63</v>
      </c>
      <c r="U521" s="11" t="n">
        <f aca="false">IFERROR(YEAR(A521),"")</f>
        <v>2025</v>
      </c>
      <c r="V521" s="33" t="n">
        <f aca="false">IFERROR(O521*B521,0)</f>
        <v>40200</v>
      </c>
      <c r="W521" s="32" t="n">
        <f aca="false">IFERROR(N521*B521,0)</f>
        <v>377</v>
      </c>
      <c r="X521" s="11" t="n">
        <f aca="false">IF(OR(ISNUMBER(SEARCH("live nation",L521)),ISNUMBER(SEARCH("ocesa",L521))),1,0)</f>
        <v>0</v>
      </c>
      <c r="Y521" s="11" t="s">
        <v>49</v>
      </c>
    </row>
    <row r="522" customFormat="false" ht="15" hidden="false" customHeight="false" outlineLevel="0" collapsed="false">
      <c r="A522" s="25" t="n">
        <v>45701</v>
      </c>
      <c r="B522" s="13" t="n">
        <v>1</v>
      </c>
      <c r="C522" s="26" t="s">
        <v>393</v>
      </c>
      <c r="D522" s="26"/>
      <c r="E522" s="13" t="s">
        <v>392</v>
      </c>
      <c r="F522" s="13" t="s">
        <v>197</v>
      </c>
      <c r="G522" s="13" t="s">
        <v>139</v>
      </c>
      <c r="H522" s="13" t="s">
        <v>20</v>
      </c>
      <c r="I522" s="13" t="s">
        <v>139</v>
      </c>
      <c r="J522" s="13" t="s">
        <v>121</v>
      </c>
      <c r="K522" s="13" t="s">
        <v>107</v>
      </c>
      <c r="L522" s="13" t="s">
        <v>390</v>
      </c>
      <c r="M522" s="13" t="s">
        <v>100</v>
      </c>
      <c r="N522" s="27" t="n">
        <v>3071</v>
      </c>
      <c r="O522" s="28" t="n">
        <v>440955.21</v>
      </c>
      <c r="P522" s="27" t="n">
        <v>3071</v>
      </c>
      <c r="Q522" s="29" t="n">
        <v>1</v>
      </c>
      <c r="R522" s="28" t="n">
        <v>60</v>
      </c>
      <c r="S522" s="28" t="n">
        <v>60</v>
      </c>
      <c r="T522" s="28" t="n">
        <v>143.59</v>
      </c>
      <c r="U522" s="13" t="n">
        <f aca="false">IFERROR(YEAR(A522),"")</f>
        <v>2025</v>
      </c>
      <c r="V522" s="28" t="n">
        <f aca="false">IFERROR(O522*B522,0)</f>
        <v>440955.21</v>
      </c>
      <c r="W522" s="27" t="n">
        <f aca="false">IFERROR(N522*B522,0)</f>
        <v>3071</v>
      </c>
      <c r="X522" s="13" t="n">
        <f aca="false">IF(OR(ISNUMBER(SEARCH("live nation",L522)),ISNUMBER(SEARCH("ocesa",L522))),1,0)</f>
        <v>0</v>
      </c>
      <c r="Y522" s="13" t="s">
        <v>49</v>
      </c>
    </row>
    <row r="523" customFormat="false" ht="15" hidden="false" customHeight="false" outlineLevel="0" collapsed="false">
      <c r="A523" s="30" t="n">
        <v>45701</v>
      </c>
      <c r="B523" s="11" t="n">
        <v>1</v>
      </c>
      <c r="C523" s="31" t="s">
        <v>836</v>
      </c>
      <c r="D523" s="31"/>
      <c r="E523" s="11" t="s">
        <v>447</v>
      </c>
      <c r="F523" s="11" t="s">
        <v>448</v>
      </c>
      <c r="G523" s="11"/>
      <c r="H523" s="11" t="s">
        <v>449</v>
      </c>
      <c r="I523" s="11"/>
      <c r="J523" s="11" t="s">
        <v>121</v>
      </c>
      <c r="K523" s="11" t="s">
        <v>173</v>
      </c>
      <c r="L523" s="11" t="s">
        <v>667</v>
      </c>
      <c r="M523" s="11" t="s">
        <v>100</v>
      </c>
      <c r="N523" s="32" t="n">
        <v>615</v>
      </c>
      <c r="O523" s="33" t="n">
        <v>25669.68</v>
      </c>
      <c r="P523" s="32" t="n">
        <v>1900</v>
      </c>
      <c r="Q523" s="34" t="n">
        <v>0.32</v>
      </c>
      <c r="R523" s="33" t="n">
        <v>41.74</v>
      </c>
      <c r="S523" s="33" t="n">
        <v>41.74</v>
      </c>
      <c r="T523" s="33" t="n">
        <v>41.74</v>
      </c>
      <c r="U523" s="11" t="n">
        <f aca="false">IFERROR(YEAR(A523),"")</f>
        <v>2025</v>
      </c>
      <c r="V523" s="33" t="n">
        <f aca="false">IFERROR(O523*B523,0)</f>
        <v>25669.68</v>
      </c>
      <c r="W523" s="32" t="n">
        <f aca="false">IFERROR(N523*B523,0)</f>
        <v>615</v>
      </c>
      <c r="X523" s="11" t="n">
        <f aca="false">IF(OR(ISNUMBER(SEARCH("live nation",L523)),ISNUMBER(SEARCH("ocesa",L523))),1,0)</f>
        <v>0</v>
      </c>
      <c r="Y523" s="11" t="s">
        <v>49</v>
      </c>
    </row>
    <row r="524" customFormat="false" ht="15" hidden="false" customHeight="false" outlineLevel="0" collapsed="false">
      <c r="A524" s="25" t="n">
        <v>45700</v>
      </c>
      <c r="B524" s="13" t="n">
        <v>1</v>
      </c>
      <c r="C524" s="26" t="s">
        <v>843</v>
      </c>
      <c r="D524" s="26"/>
      <c r="E524" s="13" t="s">
        <v>844</v>
      </c>
      <c r="F524" s="13" t="s">
        <v>306</v>
      </c>
      <c r="G524" s="13" t="s">
        <v>188</v>
      </c>
      <c r="H524" s="13" t="s">
        <v>20</v>
      </c>
      <c r="I524" s="13" t="s">
        <v>307</v>
      </c>
      <c r="J524" s="13" t="s">
        <v>106</v>
      </c>
      <c r="K524" s="13" t="s">
        <v>107</v>
      </c>
      <c r="L524" s="13" t="s">
        <v>122</v>
      </c>
      <c r="M524" s="13" t="s">
        <v>100</v>
      </c>
      <c r="N524" s="27" t="n">
        <v>618</v>
      </c>
      <c r="O524" s="28" t="n">
        <v>28740</v>
      </c>
      <c r="P524" s="27" t="n">
        <v>999</v>
      </c>
      <c r="Q524" s="29" t="n">
        <v>0.61</v>
      </c>
      <c r="R524" s="28" t="n">
        <v>35</v>
      </c>
      <c r="S524" s="28" t="n">
        <v>50</v>
      </c>
      <c r="T524" s="28" t="n">
        <v>46.5</v>
      </c>
      <c r="U524" s="13" t="n">
        <f aca="false">IFERROR(YEAR(A524),"")</f>
        <v>2025</v>
      </c>
      <c r="V524" s="28" t="n">
        <f aca="false">IFERROR(O524*B524,0)</f>
        <v>28740</v>
      </c>
      <c r="W524" s="27" t="n">
        <f aca="false">IFERROR(N524*B524,0)</f>
        <v>618</v>
      </c>
      <c r="X524" s="13" t="n">
        <f aca="false">IF(OR(ISNUMBER(SEARCH("live nation",L524)),ISNUMBER(SEARCH("ocesa",L524))),1,0)</f>
        <v>0</v>
      </c>
      <c r="Y524" s="13" t="s">
        <v>49</v>
      </c>
    </row>
    <row r="525" customFormat="false" ht="15" hidden="false" customHeight="false" outlineLevel="0" collapsed="false">
      <c r="A525" s="30" t="n">
        <v>45699</v>
      </c>
      <c r="B525" s="11" t="n">
        <v>1</v>
      </c>
      <c r="C525" s="31" t="s">
        <v>71</v>
      </c>
      <c r="D525" s="31"/>
      <c r="E525" s="11" t="s">
        <v>845</v>
      </c>
      <c r="F525" s="11" t="s">
        <v>455</v>
      </c>
      <c r="G525" s="11"/>
      <c r="H525" s="11" t="s">
        <v>350</v>
      </c>
      <c r="I525" s="11"/>
      <c r="J525" s="11" t="s">
        <v>97</v>
      </c>
      <c r="K525" s="11" t="s">
        <v>173</v>
      </c>
      <c r="L525" s="11" t="s">
        <v>846</v>
      </c>
      <c r="M525" s="11" t="s">
        <v>100</v>
      </c>
      <c r="N525" s="32" t="n">
        <v>14156</v>
      </c>
      <c r="O525" s="33" t="n">
        <v>1139821.1</v>
      </c>
      <c r="P525" s="32" t="n">
        <v>14500</v>
      </c>
      <c r="Q525" s="34" t="n">
        <v>0.97</v>
      </c>
      <c r="R525" s="33" t="n">
        <v>77.28</v>
      </c>
      <c r="S525" s="33" t="n">
        <v>183.42</v>
      </c>
      <c r="T525" s="33" t="n">
        <v>80.52</v>
      </c>
      <c r="U525" s="11" t="n">
        <f aca="false">IFERROR(YEAR(A525),"")</f>
        <v>2025</v>
      </c>
      <c r="V525" s="33" t="n">
        <f aca="false">IFERROR(O525*B525,0)</f>
        <v>1139821.1</v>
      </c>
      <c r="W525" s="32" t="n">
        <f aca="false">IFERROR(N525*B525,0)</f>
        <v>14156</v>
      </c>
      <c r="X525" s="11" t="n">
        <f aca="false">IF(OR(ISNUMBER(SEARCH("live nation",L525)),ISNUMBER(SEARCH("ocesa",L525))),1,0)</f>
        <v>0</v>
      </c>
      <c r="Y525" s="11" t="s">
        <v>49</v>
      </c>
    </row>
    <row r="526" customFormat="false" ht="15" hidden="false" customHeight="false" outlineLevel="0" collapsed="false">
      <c r="A526" s="25" t="n">
        <v>45699</v>
      </c>
      <c r="B526" s="13" t="n">
        <v>1</v>
      </c>
      <c r="C526" s="26" t="s">
        <v>847</v>
      </c>
      <c r="D526" s="26" t="s">
        <v>848</v>
      </c>
      <c r="E526" s="13" t="s">
        <v>111</v>
      </c>
      <c r="F526" s="13" t="s">
        <v>112</v>
      </c>
      <c r="G526" s="13"/>
      <c r="H526" s="13" t="s">
        <v>21</v>
      </c>
      <c r="I526" s="13"/>
      <c r="J526" s="13" t="s">
        <v>97</v>
      </c>
      <c r="K526" s="13" t="s">
        <v>113</v>
      </c>
      <c r="L526" s="13" t="s">
        <v>250</v>
      </c>
      <c r="M526" s="13" t="s">
        <v>100</v>
      </c>
      <c r="N526" s="27" t="n">
        <v>13000</v>
      </c>
      <c r="O526" s="28" t="n">
        <v>838214.44</v>
      </c>
      <c r="P526" s="27" t="n">
        <v>13000</v>
      </c>
      <c r="Q526" s="29" t="n">
        <v>1</v>
      </c>
      <c r="R526" s="28" t="n">
        <v>64.48</v>
      </c>
      <c r="S526" s="28" t="n">
        <v>64.48</v>
      </c>
      <c r="T526" s="28" t="n">
        <v>64.48</v>
      </c>
      <c r="U526" s="13" t="n">
        <f aca="false">IFERROR(YEAR(A526),"")</f>
        <v>2025</v>
      </c>
      <c r="V526" s="28" t="n">
        <f aca="false">IFERROR(O526*B526,0)</f>
        <v>838214.44</v>
      </c>
      <c r="W526" s="27" t="n">
        <f aca="false">IFERROR(N526*B526,0)</f>
        <v>13000</v>
      </c>
      <c r="X526" s="13" t="n">
        <f aca="false">IF(OR(ISNUMBER(SEARCH("live nation",L526)),ISNUMBER(SEARCH("ocesa",L526))),1,0)</f>
        <v>0</v>
      </c>
      <c r="Y526" s="13" t="s">
        <v>50</v>
      </c>
    </row>
    <row r="527" customFormat="false" ht="15" hidden="false" customHeight="false" outlineLevel="0" collapsed="false">
      <c r="A527" s="30" t="n">
        <v>45699</v>
      </c>
      <c r="B527" s="11" t="n">
        <v>1</v>
      </c>
      <c r="C527" s="31" t="s">
        <v>357</v>
      </c>
      <c r="D527" s="31" t="s">
        <v>849</v>
      </c>
      <c r="E527" s="11" t="s">
        <v>111</v>
      </c>
      <c r="F527" s="11" t="s">
        <v>112</v>
      </c>
      <c r="G527" s="11"/>
      <c r="H527" s="11" t="s">
        <v>21</v>
      </c>
      <c r="I527" s="11"/>
      <c r="J527" s="11" t="s">
        <v>97</v>
      </c>
      <c r="K527" s="11" t="s">
        <v>113</v>
      </c>
      <c r="L527" s="11" t="s">
        <v>359</v>
      </c>
      <c r="M527" s="11" t="s">
        <v>100</v>
      </c>
      <c r="N527" s="32" t="n">
        <v>11800</v>
      </c>
      <c r="O527" s="33" t="n">
        <v>776368.16</v>
      </c>
      <c r="P527" s="32" t="n">
        <v>11800</v>
      </c>
      <c r="Q527" s="34" t="n">
        <v>1</v>
      </c>
      <c r="R527" s="33" t="n">
        <v>65.79</v>
      </c>
      <c r="S527" s="33" t="n">
        <v>65.79</v>
      </c>
      <c r="T527" s="33" t="n">
        <v>65.79</v>
      </c>
      <c r="U527" s="11" t="n">
        <f aca="false">IFERROR(YEAR(A527),"")</f>
        <v>2025</v>
      </c>
      <c r="V527" s="33" t="n">
        <f aca="false">IFERROR(O527*B527,0)</f>
        <v>776368.16</v>
      </c>
      <c r="W527" s="32" t="n">
        <f aca="false">IFERROR(N527*B527,0)</f>
        <v>11800</v>
      </c>
      <c r="X527" s="11" t="n">
        <f aca="false">IF(OR(ISNUMBER(SEARCH("live nation",L527)),ISNUMBER(SEARCH("ocesa",L527))),1,0)</f>
        <v>0</v>
      </c>
      <c r="Y527" s="11" t="s">
        <v>50</v>
      </c>
    </row>
    <row r="528" customFormat="false" ht="15" hidden="false" customHeight="false" outlineLevel="0" collapsed="false">
      <c r="A528" s="25" t="n">
        <v>45696</v>
      </c>
      <c r="B528" s="13" t="n">
        <v>1</v>
      </c>
      <c r="C528" s="26" t="s">
        <v>711</v>
      </c>
      <c r="D528" s="26"/>
      <c r="E528" s="13" t="s">
        <v>822</v>
      </c>
      <c r="F528" s="13" t="s">
        <v>201</v>
      </c>
      <c r="G528" s="13" t="s">
        <v>202</v>
      </c>
      <c r="H528" s="13" t="s">
        <v>20</v>
      </c>
      <c r="I528" s="13" t="s">
        <v>203</v>
      </c>
      <c r="J528" s="13" t="s">
        <v>97</v>
      </c>
      <c r="K528" s="13" t="s">
        <v>107</v>
      </c>
      <c r="L528" s="13" t="s">
        <v>322</v>
      </c>
      <c r="M528" s="13" t="s">
        <v>100</v>
      </c>
      <c r="N528" s="27" t="n">
        <v>12055</v>
      </c>
      <c r="O528" s="28" t="n">
        <v>3187315</v>
      </c>
      <c r="P528" s="27" t="n">
        <v>12055</v>
      </c>
      <c r="Q528" s="29" t="n">
        <v>1</v>
      </c>
      <c r="R528" s="28" t="n">
        <v>264.39</v>
      </c>
      <c r="S528" s="28" t="n">
        <v>264.39</v>
      </c>
      <c r="T528" s="28" t="n">
        <v>264.4</v>
      </c>
      <c r="U528" s="13" t="n">
        <f aca="false">IFERROR(YEAR(A528),"")</f>
        <v>2025</v>
      </c>
      <c r="V528" s="28" t="n">
        <f aca="false">IFERROR(O528*B528,0)</f>
        <v>3187315</v>
      </c>
      <c r="W528" s="27" t="n">
        <f aca="false">IFERROR(N528*B528,0)</f>
        <v>12055</v>
      </c>
      <c r="X528" s="13" t="n">
        <f aca="false">IF(OR(ISNUMBER(SEARCH("live nation",L528)),ISNUMBER(SEARCH("ocesa",L528))),1,0)</f>
        <v>0</v>
      </c>
      <c r="Y528" s="13" t="s">
        <v>49</v>
      </c>
    </row>
    <row r="529" customFormat="false" ht="15" hidden="false" customHeight="false" outlineLevel="0" collapsed="false">
      <c r="A529" s="30" t="n">
        <v>45696</v>
      </c>
      <c r="B529" s="11" t="n">
        <v>1</v>
      </c>
      <c r="C529" s="31" t="s">
        <v>850</v>
      </c>
      <c r="D529" s="31"/>
      <c r="E529" s="11" t="s">
        <v>651</v>
      </c>
      <c r="F529" s="11" t="s">
        <v>652</v>
      </c>
      <c r="G529" s="11" t="s">
        <v>653</v>
      </c>
      <c r="H529" s="11" t="s">
        <v>20</v>
      </c>
      <c r="I529" s="11" t="s">
        <v>654</v>
      </c>
      <c r="J529" s="11" t="s">
        <v>97</v>
      </c>
      <c r="K529" s="11" t="s">
        <v>107</v>
      </c>
      <c r="L529" s="11" t="s">
        <v>322</v>
      </c>
      <c r="M529" s="11" t="s">
        <v>277</v>
      </c>
      <c r="N529" s="32" t="n">
        <v>4355</v>
      </c>
      <c r="O529" s="33" t="n">
        <v>751980</v>
      </c>
      <c r="P529" s="32" t="n">
        <v>4672</v>
      </c>
      <c r="Q529" s="34" t="n">
        <v>0.93</v>
      </c>
      <c r="R529" s="33" t="n">
        <v>88</v>
      </c>
      <c r="S529" s="33" t="n">
        <v>238</v>
      </c>
      <c r="T529" s="33" t="n">
        <v>172.67</v>
      </c>
      <c r="U529" s="11" t="n">
        <f aca="false">IFERROR(YEAR(A529),"")</f>
        <v>2025</v>
      </c>
      <c r="V529" s="33" t="n">
        <f aca="false">IFERROR(O529*B529,0)</f>
        <v>751980</v>
      </c>
      <c r="W529" s="32" t="n">
        <f aca="false">IFERROR(N529*B529,0)</f>
        <v>4355</v>
      </c>
      <c r="X529" s="11" t="n">
        <f aca="false">IF(OR(ISNUMBER(SEARCH("live nation",L529)),ISNUMBER(SEARCH("ocesa",L529))),1,0)</f>
        <v>0</v>
      </c>
      <c r="Y529" s="11" t="s">
        <v>49</v>
      </c>
    </row>
    <row r="530" customFormat="false" ht="15" hidden="false" customHeight="false" outlineLevel="0" collapsed="false">
      <c r="A530" s="25" t="n">
        <v>45696</v>
      </c>
      <c r="B530" s="13" t="n">
        <v>2</v>
      </c>
      <c r="C530" s="26" t="s">
        <v>62</v>
      </c>
      <c r="D530" s="26"/>
      <c r="E530" s="13" t="s">
        <v>851</v>
      </c>
      <c r="F530" s="13" t="s">
        <v>673</v>
      </c>
      <c r="G530" s="13"/>
      <c r="H530" s="13" t="s">
        <v>674</v>
      </c>
      <c r="I530" s="13"/>
      <c r="J530" s="13" t="s">
        <v>133</v>
      </c>
      <c r="K530" s="13" t="s">
        <v>675</v>
      </c>
      <c r="L530" s="13" t="s">
        <v>145</v>
      </c>
      <c r="M530" s="13" t="s">
        <v>100</v>
      </c>
      <c r="N530" s="27" t="n">
        <v>32409</v>
      </c>
      <c r="O530" s="28" t="n">
        <v>5097664.44</v>
      </c>
      <c r="P530" s="27" t="n">
        <v>37826</v>
      </c>
      <c r="Q530" s="29" t="n">
        <v>0.85</v>
      </c>
      <c r="R530" s="28" t="n">
        <v>97.89</v>
      </c>
      <c r="S530" s="28" t="n">
        <v>232.48</v>
      </c>
      <c r="T530" s="28" t="n">
        <v>157.29</v>
      </c>
      <c r="U530" s="13" t="n">
        <f aca="false">IFERROR(YEAR(A530),"")</f>
        <v>2025</v>
      </c>
      <c r="V530" s="28" t="n">
        <f aca="false">IFERROR(O530*B530,0)</f>
        <v>10195328.88</v>
      </c>
      <c r="W530" s="27" t="n">
        <f aca="false">IFERROR(N530*B530,0)</f>
        <v>64818</v>
      </c>
      <c r="X530" s="13" t="n">
        <f aca="false">IF(OR(ISNUMBER(SEARCH("live nation",L530)),ISNUMBER(SEARCH("ocesa",L530))),1,0)</f>
        <v>0</v>
      </c>
      <c r="Y530" s="13" t="s">
        <v>50</v>
      </c>
    </row>
    <row r="531" customFormat="false" ht="15" hidden="false" customHeight="false" outlineLevel="0" collapsed="false">
      <c r="A531" s="30" t="n">
        <v>45696</v>
      </c>
      <c r="B531" s="11" t="n">
        <v>2</v>
      </c>
      <c r="C531" s="31" t="s">
        <v>612</v>
      </c>
      <c r="D531" s="31"/>
      <c r="E531" s="11" t="s">
        <v>852</v>
      </c>
      <c r="F531" s="11" t="s">
        <v>370</v>
      </c>
      <c r="G531" s="11"/>
      <c r="H531" s="11" t="s">
        <v>21</v>
      </c>
      <c r="I531" s="11"/>
      <c r="J531" s="11" t="s">
        <v>121</v>
      </c>
      <c r="K531" s="11" t="s">
        <v>113</v>
      </c>
      <c r="L531" s="11" t="s">
        <v>145</v>
      </c>
      <c r="M531" s="11" t="s">
        <v>100</v>
      </c>
      <c r="N531" s="32" t="n">
        <v>3729</v>
      </c>
      <c r="O531" s="33" t="n">
        <v>336025.79</v>
      </c>
      <c r="P531" s="32" t="n">
        <v>3837</v>
      </c>
      <c r="Q531" s="34" t="n">
        <v>0.97</v>
      </c>
      <c r="R531" s="33" t="n">
        <v>76.87</v>
      </c>
      <c r="S531" s="33" t="n">
        <v>136.92</v>
      </c>
      <c r="T531" s="33" t="n">
        <v>90.1</v>
      </c>
      <c r="U531" s="11" t="n">
        <f aca="false">IFERROR(YEAR(A531),"")</f>
        <v>2025</v>
      </c>
      <c r="V531" s="33" t="n">
        <f aca="false">IFERROR(O531*B531,0)</f>
        <v>672051.58</v>
      </c>
      <c r="W531" s="32" t="n">
        <f aca="false">IFERROR(N531*B531,0)</f>
        <v>7458</v>
      </c>
      <c r="X531" s="11" t="n">
        <f aca="false">IF(OR(ISNUMBER(SEARCH("live nation",L531)),ISNUMBER(SEARCH("ocesa",L531))),1,0)</f>
        <v>0</v>
      </c>
      <c r="Y531" s="11" t="s">
        <v>50</v>
      </c>
    </row>
    <row r="532" customFormat="false" ht="15" hidden="false" customHeight="false" outlineLevel="0" collapsed="false">
      <c r="A532" s="25" t="n">
        <v>45693</v>
      </c>
      <c r="B532" s="13" t="n">
        <v>1</v>
      </c>
      <c r="C532" s="26" t="s">
        <v>522</v>
      </c>
      <c r="D532" s="26"/>
      <c r="E532" s="13" t="s">
        <v>853</v>
      </c>
      <c r="F532" s="13" t="s">
        <v>126</v>
      </c>
      <c r="G532" s="13" t="s">
        <v>127</v>
      </c>
      <c r="H532" s="13" t="s">
        <v>128</v>
      </c>
      <c r="I532" s="13"/>
      <c r="J532" s="13" t="s">
        <v>106</v>
      </c>
      <c r="K532" s="13" t="s">
        <v>129</v>
      </c>
      <c r="L532" s="13" t="s">
        <v>854</v>
      </c>
      <c r="M532" s="13" t="s">
        <v>100</v>
      </c>
      <c r="N532" s="27" t="n">
        <v>646</v>
      </c>
      <c r="O532" s="28" t="n">
        <v>38457.03</v>
      </c>
      <c r="P532" s="27" t="n">
        <v>819</v>
      </c>
      <c r="Q532" s="29" t="n">
        <v>0.78</v>
      </c>
      <c r="R532" s="28" t="n">
        <v>41.15</v>
      </c>
      <c r="S532" s="28" t="n">
        <v>104.61</v>
      </c>
      <c r="T532" s="28" t="n">
        <v>59.53</v>
      </c>
      <c r="U532" s="13" t="n">
        <f aca="false">IFERROR(YEAR(A532),"")</f>
        <v>2025</v>
      </c>
      <c r="V532" s="28" t="n">
        <f aca="false">IFERROR(O532*B532,0)</f>
        <v>38457.03</v>
      </c>
      <c r="W532" s="27" t="n">
        <f aca="false">IFERROR(N532*B532,0)</f>
        <v>646</v>
      </c>
      <c r="X532" s="13" t="n">
        <f aca="false">IF(OR(ISNUMBER(SEARCH("live nation",L532)),ISNUMBER(SEARCH("ocesa",L532))),1,0)</f>
        <v>1</v>
      </c>
      <c r="Y532" s="13" t="s">
        <v>49</v>
      </c>
    </row>
    <row r="533" customFormat="false" ht="15" hidden="false" customHeight="false" outlineLevel="0" collapsed="false">
      <c r="A533" s="30" t="n">
        <v>45690</v>
      </c>
      <c r="B533" s="11" t="n">
        <v>1</v>
      </c>
      <c r="C533" s="31" t="s">
        <v>843</v>
      </c>
      <c r="D533" s="31"/>
      <c r="E533" s="11" t="s">
        <v>372</v>
      </c>
      <c r="F533" s="11" t="s">
        <v>188</v>
      </c>
      <c r="G533" s="11" t="s">
        <v>189</v>
      </c>
      <c r="H533" s="11" t="s">
        <v>20</v>
      </c>
      <c r="I533" s="11" t="s">
        <v>190</v>
      </c>
      <c r="J533" s="11" t="s">
        <v>106</v>
      </c>
      <c r="K533" s="11" t="s">
        <v>107</v>
      </c>
      <c r="L533" s="11" t="s">
        <v>855</v>
      </c>
      <c r="M533" s="11" t="s">
        <v>100</v>
      </c>
      <c r="N533" s="32" t="n">
        <v>813</v>
      </c>
      <c r="O533" s="33" t="n">
        <v>43300</v>
      </c>
      <c r="P533" s="32" t="n">
        <v>1200</v>
      </c>
      <c r="Q533" s="34" t="n">
        <v>0.67</v>
      </c>
      <c r="R533" s="33" t="n">
        <v>35</v>
      </c>
      <c r="S533" s="33" t="n">
        <v>100</v>
      </c>
      <c r="T533" s="33" t="n">
        <v>53.26</v>
      </c>
      <c r="U533" s="11" t="n">
        <f aca="false">IFERROR(YEAR(A533),"")</f>
        <v>2025</v>
      </c>
      <c r="V533" s="33" t="n">
        <f aca="false">IFERROR(O533*B533,0)</f>
        <v>43300</v>
      </c>
      <c r="W533" s="32" t="n">
        <f aca="false">IFERROR(N533*B533,0)</f>
        <v>813</v>
      </c>
      <c r="X533" s="11" t="n">
        <f aca="false">IF(OR(ISNUMBER(SEARCH("live nation",L533)),ISNUMBER(SEARCH("ocesa",L533))),1,0)</f>
        <v>0</v>
      </c>
      <c r="Y533" s="11" t="s">
        <v>49</v>
      </c>
    </row>
    <row r="534" customFormat="false" ht="15" hidden="false" customHeight="false" outlineLevel="0" collapsed="false">
      <c r="A534" s="25" t="n">
        <v>45690</v>
      </c>
      <c r="B534" s="13" t="n">
        <v>1</v>
      </c>
      <c r="C534" s="26" t="s">
        <v>612</v>
      </c>
      <c r="D534" s="26"/>
      <c r="E534" s="13" t="s">
        <v>856</v>
      </c>
      <c r="F534" s="13" t="s">
        <v>423</v>
      </c>
      <c r="G534" s="13"/>
      <c r="H534" s="13" t="s">
        <v>21</v>
      </c>
      <c r="I534" s="13"/>
      <c r="J534" s="13" t="s">
        <v>121</v>
      </c>
      <c r="K534" s="13" t="s">
        <v>113</v>
      </c>
      <c r="L534" s="13" t="s">
        <v>145</v>
      </c>
      <c r="M534" s="13" t="s">
        <v>100</v>
      </c>
      <c r="N534" s="27" t="n">
        <v>2099</v>
      </c>
      <c r="O534" s="28" t="n">
        <v>195812.29</v>
      </c>
      <c r="P534" s="27" t="n">
        <v>2135</v>
      </c>
      <c r="Q534" s="29" t="n">
        <v>0.98</v>
      </c>
      <c r="R534" s="28" t="n">
        <v>74.98</v>
      </c>
      <c r="S534" s="28" t="n">
        <v>133.55</v>
      </c>
      <c r="T534" s="28" t="n">
        <v>93.29</v>
      </c>
      <c r="U534" s="13" t="n">
        <f aca="false">IFERROR(YEAR(A534),"")</f>
        <v>2025</v>
      </c>
      <c r="V534" s="28" t="n">
        <f aca="false">IFERROR(O534*B534,0)</f>
        <v>195812.29</v>
      </c>
      <c r="W534" s="27" t="n">
        <f aca="false">IFERROR(N534*B534,0)</f>
        <v>2099</v>
      </c>
      <c r="X534" s="13" t="n">
        <f aca="false">IF(OR(ISNUMBER(SEARCH("live nation",L534)),ISNUMBER(SEARCH("ocesa",L534))),1,0)</f>
        <v>0</v>
      </c>
      <c r="Y534" s="13" t="s">
        <v>50</v>
      </c>
    </row>
    <row r="535" customFormat="false" ht="15" hidden="false" customHeight="false" outlineLevel="0" collapsed="false">
      <c r="A535" s="30" t="n">
        <v>45687</v>
      </c>
      <c r="B535" s="11" t="n">
        <v>1</v>
      </c>
      <c r="C535" s="31" t="s">
        <v>612</v>
      </c>
      <c r="D535" s="31"/>
      <c r="E535" s="11" t="s">
        <v>857</v>
      </c>
      <c r="F535" s="11" t="s">
        <v>185</v>
      </c>
      <c r="G535" s="11"/>
      <c r="H535" s="11" t="s">
        <v>21</v>
      </c>
      <c r="I535" s="11"/>
      <c r="J535" s="11" t="s">
        <v>121</v>
      </c>
      <c r="K535" s="11" t="s">
        <v>113</v>
      </c>
      <c r="L535" s="11" t="s">
        <v>145</v>
      </c>
      <c r="M535" s="11" t="s">
        <v>100</v>
      </c>
      <c r="N535" s="32" t="n">
        <v>2243</v>
      </c>
      <c r="O535" s="33" t="n">
        <v>20051.27</v>
      </c>
      <c r="P535" s="32" t="n">
        <v>2248</v>
      </c>
      <c r="Q535" s="34" t="n">
        <v>0.99</v>
      </c>
      <c r="R535" s="33" t="n">
        <v>75.26</v>
      </c>
      <c r="S535" s="33" t="n">
        <v>134.07</v>
      </c>
      <c r="T535" s="33" t="n">
        <v>8.94</v>
      </c>
      <c r="U535" s="11" t="n">
        <f aca="false">IFERROR(YEAR(A535),"")</f>
        <v>2025</v>
      </c>
      <c r="V535" s="33" t="n">
        <f aca="false">IFERROR(O535*B535,0)</f>
        <v>20051.27</v>
      </c>
      <c r="W535" s="32" t="n">
        <f aca="false">IFERROR(N535*B535,0)</f>
        <v>2243</v>
      </c>
      <c r="X535" s="11" t="n">
        <f aca="false">IF(OR(ISNUMBER(SEARCH("live nation",L535)),ISNUMBER(SEARCH("ocesa",L535))),1,0)</f>
        <v>0</v>
      </c>
      <c r="Y535" s="11" t="s">
        <v>50</v>
      </c>
    </row>
    <row r="536" customFormat="false" ht="15" hidden="false" customHeight="false" outlineLevel="0" collapsed="false">
      <c r="A536" s="25" t="n">
        <v>45685</v>
      </c>
      <c r="B536" s="13" t="n">
        <v>1</v>
      </c>
      <c r="C536" s="26" t="s">
        <v>393</v>
      </c>
      <c r="D536" s="26"/>
      <c r="E536" s="13" t="s">
        <v>588</v>
      </c>
      <c r="F536" s="13" t="s">
        <v>132</v>
      </c>
      <c r="G536" s="13"/>
      <c r="H536" s="13" t="s">
        <v>23</v>
      </c>
      <c r="I536" s="13"/>
      <c r="J536" s="13" t="s">
        <v>151</v>
      </c>
      <c r="K536" s="13" t="s">
        <v>134</v>
      </c>
      <c r="L536" s="13" t="s">
        <v>858</v>
      </c>
      <c r="M536" s="13" t="s">
        <v>100</v>
      </c>
      <c r="N536" s="27" t="n">
        <v>3961</v>
      </c>
      <c r="O536" s="28" t="n">
        <v>1059588.7</v>
      </c>
      <c r="P536" s="27" t="n">
        <v>6000</v>
      </c>
      <c r="Q536" s="29" t="n">
        <v>0.66</v>
      </c>
      <c r="R536" s="28" t="n">
        <v>72.33</v>
      </c>
      <c r="S536" s="28" t="n">
        <v>241.09</v>
      </c>
      <c r="T536" s="28" t="n">
        <v>267.51</v>
      </c>
      <c r="U536" s="13" t="n">
        <f aca="false">IFERROR(YEAR(A536),"")</f>
        <v>2025</v>
      </c>
      <c r="V536" s="28" t="n">
        <f aca="false">IFERROR(O536*B536,0)</f>
        <v>1059588.7</v>
      </c>
      <c r="W536" s="27" t="n">
        <f aca="false">IFERROR(N536*B536,0)</f>
        <v>3961</v>
      </c>
      <c r="X536" s="13" t="n">
        <f aca="false">IF(OR(ISNUMBER(SEARCH("live nation",L536)),ISNUMBER(SEARCH("ocesa",L536))),1,0)</f>
        <v>0</v>
      </c>
      <c r="Y536" s="13" t="s">
        <v>49</v>
      </c>
    </row>
    <row r="537" customFormat="false" ht="15" hidden="false" customHeight="false" outlineLevel="0" collapsed="false">
      <c r="A537" s="30" t="n">
        <v>45685</v>
      </c>
      <c r="B537" s="11" t="n">
        <v>1</v>
      </c>
      <c r="C537" s="31" t="s">
        <v>836</v>
      </c>
      <c r="D537" s="31"/>
      <c r="E537" s="11" t="s">
        <v>403</v>
      </c>
      <c r="F537" s="11" t="s">
        <v>404</v>
      </c>
      <c r="G537" s="11" t="s">
        <v>202</v>
      </c>
      <c r="H537" s="11" t="s">
        <v>20</v>
      </c>
      <c r="I537" s="11" t="s">
        <v>232</v>
      </c>
      <c r="J537" s="11" t="s">
        <v>121</v>
      </c>
      <c r="K537" s="11" t="s">
        <v>107</v>
      </c>
      <c r="L537" s="11" t="s">
        <v>859</v>
      </c>
      <c r="M537" s="11" t="s">
        <v>100</v>
      </c>
      <c r="N537" s="32" t="n">
        <v>726</v>
      </c>
      <c r="O537" s="33" t="n">
        <v>31188</v>
      </c>
      <c r="P537" s="32" t="n">
        <v>1016</v>
      </c>
      <c r="Q537" s="34" t="n">
        <v>0.71</v>
      </c>
      <c r="R537" s="33" t="n">
        <v>65</v>
      </c>
      <c r="S537" s="33" t="n">
        <v>250</v>
      </c>
      <c r="T537" s="33" t="n">
        <v>42.96</v>
      </c>
      <c r="U537" s="11" t="n">
        <f aca="false">IFERROR(YEAR(A537),"")</f>
        <v>2025</v>
      </c>
      <c r="V537" s="33" t="n">
        <f aca="false">IFERROR(O537*B537,0)</f>
        <v>31188</v>
      </c>
      <c r="W537" s="32" t="n">
        <f aca="false">IFERROR(N537*B537,0)</f>
        <v>726</v>
      </c>
      <c r="X537" s="11" t="n">
        <f aca="false">IF(OR(ISNUMBER(SEARCH("live nation",L537)),ISNUMBER(SEARCH("ocesa",L537))),1,0)</f>
        <v>0</v>
      </c>
      <c r="Y537" s="11" t="s">
        <v>49</v>
      </c>
    </row>
    <row r="538" customFormat="false" ht="15" hidden="false" customHeight="false" outlineLevel="0" collapsed="false">
      <c r="A538" s="25" t="n">
        <v>45682</v>
      </c>
      <c r="B538" s="13" t="n">
        <v>2</v>
      </c>
      <c r="C538" s="26" t="s">
        <v>64</v>
      </c>
      <c r="D538" s="26"/>
      <c r="E538" s="13" t="s">
        <v>369</v>
      </c>
      <c r="F538" s="13" t="s">
        <v>370</v>
      </c>
      <c r="G538" s="13"/>
      <c r="H538" s="13" t="s">
        <v>21</v>
      </c>
      <c r="I538" s="13"/>
      <c r="J538" s="13" t="s">
        <v>133</v>
      </c>
      <c r="K538" s="13" t="s">
        <v>113</v>
      </c>
      <c r="L538" s="13" t="s">
        <v>145</v>
      </c>
      <c r="M538" s="13" t="s">
        <v>100</v>
      </c>
      <c r="N538" s="27" t="n">
        <v>37990</v>
      </c>
      <c r="O538" s="28" t="n">
        <v>3840561.87</v>
      </c>
      <c r="P538" s="27" t="n">
        <v>38093</v>
      </c>
      <c r="Q538" s="29" t="n">
        <v>0.99</v>
      </c>
      <c r="R538" s="28" t="n">
        <v>89.73</v>
      </c>
      <c r="S538" s="28" t="n">
        <v>173.05</v>
      </c>
      <c r="T538" s="28" t="n">
        <v>101.09</v>
      </c>
      <c r="U538" s="13" t="n">
        <f aca="false">IFERROR(YEAR(A538),"")</f>
        <v>2025</v>
      </c>
      <c r="V538" s="28" t="n">
        <f aca="false">IFERROR(O538*B538,0)</f>
        <v>7681123.74</v>
      </c>
      <c r="W538" s="27" t="n">
        <f aca="false">IFERROR(N538*B538,0)</f>
        <v>75980</v>
      </c>
      <c r="X538" s="13" t="n">
        <f aca="false">IF(OR(ISNUMBER(SEARCH("live nation",L538)),ISNUMBER(SEARCH("ocesa",L538))),1,0)</f>
        <v>0</v>
      </c>
      <c r="Y538" s="13" t="s">
        <v>50</v>
      </c>
    </row>
    <row r="539" customFormat="false" ht="15" hidden="false" customHeight="false" outlineLevel="0" collapsed="false">
      <c r="A539" s="30" t="n">
        <v>45682</v>
      </c>
      <c r="B539" s="11" t="n">
        <v>2</v>
      </c>
      <c r="C539" s="31" t="s">
        <v>62</v>
      </c>
      <c r="D539" s="31"/>
      <c r="E539" s="11" t="s">
        <v>323</v>
      </c>
      <c r="F539" s="11" t="s">
        <v>324</v>
      </c>
      <c r="G539" s="11"/>
      <c r="H539" s="11" t="s">
        <v>324</v>
      </c>
      <c r="I539" s="11"/>
      <c r="J539" s="11" t="s">
        <v>133</v>
      </c>
      <c r="K539" s="11" t="s">
        <v>324</v>
      </c>
      <c r="L539" s="11" t="s">
        <v>145</v>
      </c>
      <c r="M539" s="11" t="s">
        <v>100</v>
      </c>
      <c r="N539" s="32" t="n">
        <v>36992</v>
      </c>
      <c r="O539" s="33" t="n">
        <v>8028755.31</v>
      </c>
      <c r="P539" s="32" t="n">
        <v>37167</v>
      </c>
      <c r="Q539" s="34" t="n">
        <v>0.99</v>
      </c>
      <c r="R539" s="33" t="n">
        <v>124.81</v>
      </c>
      <c r="S539" s="33" t="n">
        <v>288.26</v>
      </c>
      <c r="T539" s="33" t="n">
        <v>217.04</v>
      </c>
      <c r="U539" s="11" t="n">
        <f aca="false">IFERROR(YEAR(A539),"")</f>
        <v>2025</v>
      </c>
      <c r="V539" s="33" t="n">
        <f aca="false">IFERROR(O539*B539,0)</f>
        <v>16057510.62</v>
      </c>
      <c r="W539" s="32" t="n">
        <f aca="false">IFERROR(N539*B539,0)</f>
        <v>73984</v>
      </c>
      <c r="X539" s="11" t="n">
        <f aca="false">IF(OR(ISNUMBER(SEARCH("live nation",L539)),ISNUMBER(SEARCH("ocesa",L539))),1,0)</f>
        <v>0</v>
      </c>
      <c r="Y539" s="11" t="s">
        <v>50</v>
      </c>
    </row>
    <row r="540" customFormat="false" ht="15" hidden="false" customHeight="false" outlineLevel="0" collapsed="false">
      <c r="A540" s="25" t="n">
        <v>45681</v>
      </c>
      <c r="B540" s="13" t="n">
        <v>1</v>
      </c>
      <c r="C540" s="26" t="s">
        <v>569</v>
      </c>
      <c r="D540" s="26"/>
      <c r="E540" s="13" t="s">
        <v>312</v>
      </c>
      <c r="F540" s="13" t="s">
        <v>313</v>
      </c>
      <c r="G540" s="13"/>
      <c r="H540" s="13" t="s">
        <v>27</v>
      </c>
      <c r="I540" s="13"/>
      <c r="J540" s="13" t="s">
        <v>97</v>
      </c>
      <c r="K540" s="13" t="s">
        <v>314</v>
      </c>
      <c r="L540" s="13" t="s">
        <v>860</v>
      </c>
      <c r="M540" s="13" t="s">
        <v>100</v>
      </c>
      <c r="N540" s="27" t="n">
        <v>6508</v>
      </c>
      <c r="O540" s="28" t="n">
        <v>1516579.85</v>
      </c>
      <c r="P540" s="27" t="n">
        <v>7338</v>
      </c>
      <c r="Q540" s="29" t="n">
        <v>0.88</v>
      </c>
      <c r="R540" s="28" t="n">
        <v>96.67</v>
      </c>
      <c r="S540" s="28" t="n">
        <v>344.54</v>
      </c>
      <c r="T540" s="28" t="n">
        <v>233.03</v>
      </c>
      <c r="U540" s="13" t="n">
        <f aca="false">IFERROR(YEAR(A540),"")</f>
        <v>2025</v>
      </c>
      <c r="V540" s="28" t="n">
        <f aca="false">IFERROR(O540*B540,0)</f>
        <v>1516579.85</v>
      </c>
      <c r="W540" s="27" t="n">
        <f aca="false">IFERROR(N540*B540,0)</f>
        <v>6508</v>
      </c>
      <c r="X540" s="13" t="n">
        <f aca="false">IF(OR(ISNUMBER(SEARCH("live nation",L540)),ISNUMBER(SEARCH("ocesa",L540))),1,0)</f>
        <v>0</v>
      </c>
      <c r="Y540" s="13" t="s">
        <v>49</v>
      </c>
    </row>
    <row r="541" customFormat="false" ht="15" hidden="false" customHeight="false" outlineLevel="0" collapsed="false">
      <c r="A541" s="30" t="n">
        <v>45680</v>
      </c>
      <c r="B541" s="11" t="n">
        <v>1</v>
      </c>
      <c r="C541" s="31" t="s">
        <v>71</v>
      </c>
      <c r="D541" s="31"/>
      <c r="E541" s="11" t="s">
        <v>861</v>
      </c>
      <c r="F541" s="11" t="s">
        <v>827</v>
      </c>
      <c r="G541" s="11"/>
      <c r="H541" s="11" t="s">
        <v>693</v>
      </c>
      <c r="I541" s="11"/>
      <c r="J541" s="11" t="s">
        <v>97</v>
      </c>
      <c r="K541" s="11" t="s">
        <v>694</v>
      </c>
      <c r="L541" s="11" t="s">
        <v>862</v>
      </c>
      <c r="M541" s="11" t="s">
        <v>100</v>
      </c>
      <c r="N541" s="32" t="n">
        <v>9607</v>
      </c>
      <c r="O541" s="33" t="n">
        <v>1895092.13</v>
      </c>
      <c r="P541" s="32" t="n">
        <v>13000</v>
      </c>
      <c r="Q541" s="34" t="n">
        <v>0.73</v>
      </c>
      <c r="R541" s="33" t="n">
        <v>84.97</v>
      </c>
      <c r="S541" s="33" t="n">
        <v>837.36</v>
      </c>
      <c r="T541" s="33" t="n">
        <v>197.26</v>
      </c>
      <c r="U541" s="11" t="n">
        <f aca="false">IFERROR(YEAR(A541),"")</f>
        <v>2025</v>
      </c>
      <c r="V541" s="33" t="n">
        <f aca="false">IFERROR(O541*B541,0)</f>
        <v>1895092.13</v>
      </c>
      <c r="W541" s="32" t="n">
        <f aca="false">IFERROR(N541*B541,0)</f>
        <v>9607</v>
      </c>
      <c r="X541" s="11" t="n">
        <f aca="false">IF(OR(ISNUMBER(SEARCH("live nation",L541)),ISNUMBER(SEARCH("ocesa",L541))),1,0)</f>
        <v>0</v>
      </c>
      <c r="Y541" s="11" t="s">
        <v>49</v>
      </c>
    </row>
    <row r="542" customFormat="false" ht="15" hidden="false" customHeight="false" outlineLevel="0" collapsed="false">
      <c r="A542" s="25" t="n">
        <v>45677</v>
      </c>
      <c r="B542" s="13" t="n">
        <v>1</v>
      </c>
      <c r="C542" s="26" t="s">
        <v>71</v>
      </c>
      <c r="D542" s="26"/>
      <c r="E542" s="13" t="s">
        <v>170</v>
      </c>
      <c r="F542" s="13" t="s">
        <v>171</v>
      </c>
      <c r="G542" s="13"/>
      <c r="H542" s="13" t="s">
        <v>172</v>
      </c>
      <c r="I542" s="13"/>
      <c r="J542" s="13" t="s">
        <v>97</v>
      </c>
      <c r="K542" s="13" t="s">
        <v>173</v>
      </c>
      <c r="L542" s="13" t="s">
        <v>830</v>
      </c>
      <c r="M542" s="13" t="s">
        <v>100</v>
      </c>
      <c r="N542" s="27" t="n">
        <v>9514</v>
      </c>
      <c r="O542" s="28" t="n">
        <v>1280551.43</v>
      </c>
      <c r="P542" s="27" t="n">
        <v>9514</v>
      </c>
      <c r="Q542" s="29" t="n">
        <v>1</v>
      </c>
      <c r="R542" s="28" t="n">
        <v>80.36</v>
      </c>
      <c r="S542" s="28" t="n">
        <v>206.05</v>
      </c>
      <c r="T542" s="28" t="n">
        <v>134.6</v>
      </c>
      <c r="U542" s="13" t="n">
        <f aca="false">IFERROR(YEAR(A542),"")</f>
        <v>2025</v>
      </c>
      <c r="V542" s="28" t="n">
        <f aca="false">IFERROR(O542*B542,0)</f>
        <v>1280551.43</v>
      </c>
      <c r="W542" s="27" t="n">
        <f aca="false">IFERROR(N542*B542,0)</f>
        <v>9514</v>
      </c>
      <c r="X542" s="13" t="n">
        <f aca="false">IF(OR(ISNUMBER(SEARCH("live nation",L542)),ISNUMBER(SEARCH("ocesa",L542))),1,0)</f>
        <v>0</v>
      </c>
      <c r="Y542" s="13" t="s">
        <v>49</v>
      </c>
    </row>
    <row r="543" customFormat="false" ht="15" hidden="false" customHeight="false" outlineLevel="0" collapsed="false">
      <c r="A543" s="30" t="n">
        <v>45676</v>
      </c>
      <c r="B543" s="11" t="n">
        <v>1</v>
      </c>
      <c r="C543" s="31" t="s">
        <v>863</v>
      </c>
      <c r="D543" s="31" t="s">
        <v>864</v>
      </c>
      <c r="E543" s="11" t="s">
        <v>111</v>
      </c>
      <c r="F543" s="11" t="s">
        <v>112</v>
      </c>
      <c r="G543" s="11"/>
      <c r="H543" s="11" t="s">
        <v>21</v>
      </c>
      <c r="I543" s="11"/>
      <c r="J543" s="11" t="s">
        <v>97</v>
      </c>
      <c r="K543" s="11" t="s">
        <v>113</v>
      </c>
      <c r="L543" s="11" t="s">
        <v>865</v>
      </c>
      <c r="M543" s="11" t="s">
        <v>100</v>
      </c>
      <c r="N543" s="32" t="n">
        <v>10000</v>
      </c>
      <c r="O543" s="33" t="n">
        <v>767827.98</v>
      </c>
      <c r="P543" s="32" t="n">
        <v>10000</v>
      </c>
      <c r="Q543" s="34" t="n">
        <v>1</v>
      </c>
      <c r="R543" s="33" t="n">
        <v>76.78</v>
      </c>
      <c r="S543" s="33" t="n">
        <v>76.78</v>
      </c>
      <c r="T543" s="33" t="n">
        <v>76.78</v>
      </c>
      <c r="U543" s="11" t="n">
        <f aca="false">IFERROR(YEAR(A543),"")</f>
        <v>2025</v>
      </c>
      <c r="V543" s="33" t="n">
        <f aca="false">IFERROR(O543*B543,0)</f>
        <v>767827.98</v>
      </c>
      <c r="W543" s="32" t="n">
        <f aca="false">IFERROR(N543*B543,0)</f>
        <v>10000</v>
      </c>
      <c r="X543" s="11" t="n">
        <f aca="false">IF(OR(ISNUMBER(SEARCH("live nation",L543)),ISNUMBER(SEARCH("ocesa",L543))),1,0)</f>
        <v>0</v>
      </c>
      <c r="Y543" s="11" t="s">
        <v>50</v>
      </c>
    </row>
    <row r="544" customFormat="false" ht="15" hidden="false" customHeight="false" outlineLevel="0" collapsed="false">
      <c r="A544" s="25" t="n">
        <v>45675</v>
      </c>
      <c r="B544" s="13" t="n">
        <v>1</v>
      </c>
      <c r="C544" s="26" t="s">
        <v>71</v>
      </c>
      <c r="D544" s="26"/>
      <c r="E544" s="13" t="s">
        <v>866</v>
      </c>
      <c r="F544" s="13" t="s">
        <v>867</v>
      </c>
      <c r="G544" s="13"/>
      <c r="H544" s="13" t="s">
        <v>26</v>
      </c>
      <c r="I544" s="13"/>
      <c r="J544" s="13" t="s">
        <v>97</v>
      </c>
      <c r="K544" s="13" t="s">
        <v>173</v>
      </c>
      <c r="L544" s="13" t="s">
        <v>868</v>
      </c>
      <c r="M544" s="13" t="s">
        <v>100</v>
      </c>
      <c r="N544" s="27" t="n">
        <v>11294</v>
      </c>
      <c r="O544" s="28" t="n">
        <v>1487551.46</v>
      </c>
      <c r="P544" s="27" t="n">
        <v>11376</v>
      </c>
      <c r="Q544" s="29" t="n">
        <v>0.99</v>
      </c>
      <c r="R544" s="28" t="n">
        <v>85.41</v>
      </c>
      <c r="S544" s="28" t="n">
        <v>165.87</v>
      </c>
      <c r="T544" s="28" t="n">
        <v>131.71</v>
      </c>
      <c r="U544" s="13" t="n">
        <f aca="false">IFERROR(YEAR(A544),"")</f>
        <v>2025</v>
      </c>
      <c r="V544" s="28" t="n">
        <f aca="false">IFERROR(O544*B544,0)</f>
        <v>1487551.46</v>
      </c>
      <c r="W544" s="27" t="n">
        <f aca="false">IFERROR(N544*B544,0)</f>
        <v>11294</v>
      </c>
      <c r="X544" s="13" t="n">
        <f aca="false">IF(OR(ISNUMBER(SEARCH("live nation",L544)),ISNUMBER(SEARCH("ocesa",L544))),1,0)</f>
        <v>0</v>
      </c>
      <c r="Y544" s="13" t="s">
        <v>49</v>
      </c>
    </row>
    <row r="545" customFormat="false" ht="15" hidden="false" customHeight="false" outlineLevel="0" collapsed="false">
      <c r="A545" s="30" t="n">
        <v>45675</v>
      </c>
      <c r="B545" s="11" t="n">
        <v>1</v>
      </c>
      <c r="C545" s="31" t="s">
        <v>863</v>
      </c>
      <c r="D545" s="31" t="s">
        <v>869</v>
      </c>
      <c r="E545" s="11" t="s">
        <v>111</v>
      </c>
      <c r="F545" s="11" t="s">
        <v>112</v>
      </c>
      <c r="G545" s="11"/>
      <c r="H545" s="11" t="s">
        <v>21</v>
      </c>
      <c r="I545" s="11"/>
      <c r="J545" s="11" t="s">
        <v>97</v>
      </c>
      <c r="K545" s="11" t="s">
        <v>113</v>
      </c>
      <c r="L545" s="11" t="s">
        <v>865</v>
      </c>
      <c r="M545" s="11" t="s">
        <v>100</v>
      </c>
      <c r="N545" s="32" t="n">
        <v>10000</v>
      </c>
      <c r="O545" s="33" t="n">
        <v>767827.98</v>
      </c>
      <c r="P545" s="32" t="n">
        <v>10000</v>
      </c>
      <c r="Q545" s="34" t="n">
        <v>1</v>
      </c>
      <c r="R545" s="33" t="n">
        <v>76.78</v>
      </c>
      <c r="S545" s="33" t="n">
        <v>76.78</v>
      </c>
      <c r="T545" s="33" t="n">
        <v>76.78</v>
      </c>
      <c r="U545" s="11" t="n">
        <f aca="false">IFERROR(YEAR(A545),"")</f>
        <v>2025</v>
      </c>
      <c r="V545" s="33" t="n">
        <f aca="false">IFERROR(O545*B545,0)</f>
        <v>767827.98</v>
      </c>
      <c r="W545" s="32" t="n">
        <f aca="false">IFERROR(N545*B545,0)</f>
        <v>10000</v>
      </c>
      <c r="X545" s="11" t="n">
        <f aca="false">IF(OR(ISNUMBER(SEARCH("live nation",L545)),ISNUMBER(SEARCH("ocesa",L545))),1,0)</f>
        <v>0</v>
      </c>
      <c r="Y545" s="11" t="s">
        <v>50</v>
      </c>
    </row>
    <row r="546" customFormat="false" ht="15" hidden="false" customHeight="false" outlineLevel="0" collapsed="false">
      <c r="A546" s="25" t="n">
        <v>45675</v>
      </c>
      <c r="B546" s="13" t="n">
        <v>2</v>
      </c>
      <c r="C546" s="26" t="s">
        <v>62</v>
      </c>
      <c r="D546" s="26"/>
      <c r="E546" s="13" t="s">
        <v>283</v>
      </c>
      <c r="F546" s="13" t="s">
        <v>284</v>
      </c>
      <c r="G546" s="13"/>
      <c r="H546" s="13" t="s">
        <v>285</v>
      </c>
      <c r="I546" s="13"/>
      <c r="J546" s="13" t="s">
        <v>133</v>
      </c>
      <c r="K546" s="13" t="s">
        <v>134</v>
      </c>
      <c r="L546" s="13" t="s">
        <v>145</v>
      </c>
      <c r="M546" s="13" t="s">
        <v>100</v>
      </c>
      <c r="N546" s="27" t="n">
        <v>28817</v>
      </c>
      <c r="O546" s="28" t="n">
        <v>6407691.44</v>
      </c>
      <c r="P546" s="27" t="n">
        <v>30020</v>
      </c>
      <c r="Q546" s="29" t="n">
        <v>0.95</v>
      </c>
      <c r="R546" s="28" t="n">
        <v>93.93</v>
      </c>
      <c r="S546" s="28" t="n">
        <v>341.57</v>
      </c>
      <c r="T546" s="28" t="n">
        <v>222.36</v>
      </c>
      <c r="U546" s="13" t="n">
        <f aca="false">IFERROR(YEAR(A546),"")</f>
        <v>2025</v>
      </c>
      <c r="V546" s="28" t="n">
        <f aca="false">IFERROR(O546*B546,0)</f>
        <v>12815382.88</v>
      </c>
      <c r="W546" s="27" t="n">
        <f aca="false">IFERROR(N546*B546,0)</f>
        <v>57634</v>
      </c>
      <c r="X546" s="13" t="n">
        <f aca="false">IF(OR(ISNUMBER(SEARCH("live nation",L546)),ISNUMBER(SEARCH("ocesa",L546))),1,0)</f>
        <v>0</v>
      </c>
      <c r="Y546" s="13" t="s">
        <v>50</v>
      </c>
    </row>
    <row r="547" customFormat="false" ht="15" hidden="false" customHeight="false" outlineLevel="0" collapsed="false">
      <c r="A547" s="30" t="n">
        <v>45675</v>
      </c>
      <c r="B547" s="11" t="n">
        <v>2</v>
      </c>
      <c r="C547" s="31" t="s">
        <v>66</v>
      </c>
      <c r="D547" s="31"/>
      <c r="E547" s="11" t="s">
        <v>405</v>
      </c>
      <c r="F547" s="11" t="s">
        <v>25</v>
      </c>
      <c r="G547" s="11"/>
      <c r="H547" s="11" t="s">
        <v>22</v>
      </c>
      <c r="I547" s="11"/>
      <c r="J547" s="11" t="s">
        <v>97</v>
      </c>
      <c r="K547" s="11" t="s">
        <v>406</v>
      </c>
      <c r="L547" s="11" t="s">
        <v>177</v>
      </c>
      <c r="M547" s="11" t="s">
        <v>100</v>
      </c>
      <c r="N547" s="32" t="n">
        <v>10782</v>
      </c>
      <c r="O547" s="33" t="n">
        <v>2201558.79</v>
      </c>
      <c r="P547" s="32" t="n">
        <v>10782</v>
      </c>
      <c r="Q547" s="34" t="n">
        <v>1</v>
      </c>
      <c r="R547" s="33" t="n">
        <v>95.43</v>
      </c>
      <c r="S547" s="33" t="n">
        <v>313.86</v>
      </c>
      <c r="T547" s="33" t="n">
        <v>204.19</v>
      </c>
      <c r="U547" s="11" t="n">
        <f aca="false">IFERROR(YEAR(A547),"")</f>
        <v>2025</v>
      </c>
      <c r="V547" s="33" t="n">
        <f aca="false">IFERROR(O547*B547,0)</f>
        <v>4403117.58</v>
      </c>
      <c r="W547" s="32" t="n">
        <f aca="false">IFERROR(N547*B547,0)</f>
        <v>21564</v>
      </c>
      <c r="X547" s="11" t="n">
        <f aca="false">IF(OR(ISNUMBER(SEARCH("live nation",L547)),ISNUMBER(SEARCH("ocesa",L547))),1,0)</f>
        <v>1</v>
      </c>
      <c r="Y547" s="11" t="s">
        <v>50</v>
      </c>
    </row>
    <row r="548" customFormat="false" ht="15" hidden="false" customHeight="false" outlineLevel="0" collapsed="false">
      <c r="A548" s="25" t="n">
        <v>45674</v>
      </c>
      <c r="B548" s="13" t="n">
        <v>1</v>
      </c>
      <c r="C548" s="26" t="s">
        <v>870</v>
      </c>
      <c r="D548" s="26"/>
      <c r="E548" s="13" t="s">
        <v>111</v>
      </c>
      <c r="F548" s="13" t="s">
        <v>112</v>
      </c>
      <c r="G548" s="13"/>
      <c r="H548" s="13" t="s">
        <v>21</v>
      </c>
      <c r="I548" s="13"/>
      <c r="J548" s="13" t="s">
        <v>97</v>
      </c>
      <c r="K548" s="13" t="s">
        <v>113</v>
      </c>
      <c r="L548" s="13" t="s">
        <v>321</v>
      </c>
      <c r="M548" s="13" t="s">
        <v>100</v>
      </c>
      <c r="N548" s="27" t="n">
        <v>18000</v>
      </c>
      <c r="O548" s="28" t="n">
        <v>1505793.89</v>
      </c>
      <c r="P548" s="27" t="n">
        <v>18000</v>
      </c>
      <c r="Q548" s="29" t="n">
        <v>1</v>
      </c>
      <c r="R548" s="28" t="n">
        <v>83.66</v>
      </c>
      <c r="S548" s="28" t="n">
        <v>83.66</v>
      </c>
      <c r="T548" s="28" t="n">
        <v>83.66</v>
      </c>
      <c r="U548" s="13" t="n">
        <f aca="false">IFERROR(YEAR(A548),"")</f>
        <v>2025</v>
      </c>
      <c r="V548" s="28" t="n">
        <f aca="false">IFERROR(O548*B548,0)</f>
        <v>1505793.89</v>
      </c>
      <c r="W548" s="27" t="n">
        <f aca="false">IFERROR(N548*B548,0)</f>
        <v>18000</v>
      </c>
      <c r="X548" s="13" t="n">
        <f aca="false">IF(OR(ISNUMBER(SEARCH("live nation",L548)),ISNUMBER(SEARCH("ocesa",L548))),1,0)</f>
        <v>0</v>
      </c>
      <c r="Y548" s="13" t="s">
        <v>50</v>
      </c>
    </row>
    <row r="549" customFormat="false" ht="15" hidden="false" customHeight="false" outlineLevel="0" collapsed="false">
      <c r="A549" s="30" t="n">
        <v>45673</v>
      </c>
      <c r="B549" s="11" t="n">
        <v>1</v>
      </c>
      <c r="C549" s="31" t="s">
        <v>870</v>
      </c>
      <c r="D549" s="31"/>
      <c r="E549" s="11" t="s">
        <v>111</v>
      </c>
      <c r="F549" s="11" t="s">
        <v>112</v>
      </c>
      <c r="G549" s="11"/>
      <c r="H549" s="11" t="s">
        <v>21</v>
      </c>
      <c r="I549" s="11"/>
      <c r="J549" s="11" t="s">
        <v>97</v>
      </c>
      <c r="K549" s="11" t="s">
        <v>113</v>
      </c>
      <c r="L549" s="11" t="s">
        <v>321</v>
      </c>
      <c r="M549" s="11" t="s">
        <v>100</v>
      </c>
      <c r="N549" s="32" t="n">
        <v>6000</v>
      </c>
      <c r="O549" s="33" t="n">
        <v>338563.53</v>
      </c>
      <c r="P549" s="32" t="n">
        <v>6000</v>
      </c>
      <c r="Q549" s="34" t="n">
        <v>1</v>
      </c>
      <c r="R549" s="33" t="n">
        <v>56.43</v>
      </c>
      <c r="S549" s="33" t="n">
        <v>56.43</v>
      </c>
      <c r="T549" s="33" t="n">
        <v>56.43</v>
      </c>
      <c r="U549" s="11" t="n">
        <f aca="false">IFERROR(YEAR(A549),"")</f>
        <v>2025</v>
      </c>
      <c r="V549" s="33" t="n">
        <f aca="false">IFERROR(O549*B549,0)</f>
        <v>338563.53</v>
      </c>
      <c r="W549" s="32" t="n">
        <f aca="false">IFERROR(N549*B549,0)</f>
        <v>6000</v>
      </c>
      <c r="X549" s="11" t="n">
        <f aca="false">IF(OR(ISNUMBER(SEARCH("live nation",L549)),ISNUMBER(SEARCH("ocesa",L549))),1,0)</f>
        <v>0</v>
      </c>
      <c r="Y549" s="11" t="s">
        <v>50</v>
      </c>
    </row>
    <row r="550" customFormat="false" ht="15" hidden="false" customHeight="false" outlineLevel="0" collapsed="false">
      <c r="A550" s="25" t="n">
        <v>45672</v>
      </c>
      <c r="B550" s="13" t="n">
        <v>1</v>
      </c>
      <c r="C550" s="26" t="s">
        <v>870</v>
      </c>
      <c r="D550" s="26"/>
      <c r="E550" s="13" t="s">
        <v>111</v>
      </c>
      <c r="F550" s="13" t="s">
        <v>112</v>
      </c>
      <c r="G550" s="13"/>
      <c r="H550" s="13" t="s">
        <v>21</v>
      </c>
      <c r="I550" s="13"/>
      <c r="J550" s="13" t="s">
        <v>97</v>
      </c>
      <c r="K550" s="13" t="s">
        <v>113</v>
      </c>
      <c r="L550" s="13" t="s">
        <v>321</v>
      </c>
      <c r="M550" s="13" t="s">
        <v>100</v>
      </c>
      <c r="N550" s="27" t="n">
        <v>14000</v>
      </c>
      <c r="O550" s="28" t="n">
        <v>1154763.07</v>
      </c>
      <c r="P550" s="27" t="n">
        <v>14000</v>
      </c>
      <c r="Q550" s="29" t="n">
        <v>1</v>
      </c>
      <c r="R550" s="28" t="n">
        <v>82.48</v>
      </c>
      <c r="S550" s="28" t="n">
        <v>82.48</v>
      </c>
      <c r="T550" s="28" t="n">
        <v>82.48</v>
      </c>
      <c r="U550" s="13" t="n">
        <f aca="false">IFERROR(YEAR(A550),"")</f>
        <v>2025</v>
      </c>
      <c r="V550" s="28" t="n">
        <f aca="false">IFERROR(O550*B550,0)</f>
        <v>1154763.07</v>
      </c>
      <c r="W550" s="27" t="n">
        <f aca="false">IFERROR(N550*B550,0)</f>
        <v>14000</v>
      </c>
      <c r="X550" s="13" t="n">
        <f aca="false">IF(OR(ISNUMBER(SEARCH("live nation",L550)),ISNUMBER(SEARCH("ocesa",L550))),1,0)</f>
        <v>0</v>
      </c>
      <c r="Y550" s="13" t="s">
        <v>50</v>
      </c>
    </row>
    <row r="551" customFormat="false" ht="15" hidden="false" customHeight="false" outlineLevel="0" collapsed="false">
      <c r="A551" s="30" t="n">
        <v>45670</v>
      </c>
      <c r="B551" s="11" t="n">
        <v>1</v>
      </c>
      <c r="C551" s="31" t="s">
        <v>296</v>
      </c>
      <c r="D551" s="31" t="s">
        <v>871</v>
      </c>
      <c r="E551" s="11" t="s">
        <v>111</v>
      </c>
      <c r="F551" s="11" t="s">
        <v>112</v>
      </c>
      <c r="G551" s="11"/>
      <c r="H551" s="11" t="s">
        <v>21</v>
      </c>
      <c r="I551" s="11"/>
      <c r="J551" s="11" t="s">
        <v>97</v>
      </c>
      <c r="K551" s="11" t="s">
        <v>113</v>
      </c>
      <c r="L551" s="11" t="s">
        <v>114</v>
      </c>
      <c r="M551" s="11" t="s">
        <v>100</v>
      </c>
      <c r="N551" s="32" t="n">
        <v>19000</v>
      </c>
      <c r="O551" s="33" t="n">
        <v>2291408.76</v>
      </c>
      <c r="P551" s="32" t="n">
        <v>19000</v>
      </c>
      <c r="Q551" s="34" t="n">
        <v>1</v>
      </c>
      <c r="R551" s="33" t="n">
        <v>120.6</v>
      </c>
      <c r="S551" s="33" t="n">
        <v>120.6</v>
      </c>
      <c r="T551" s="33" t="n">
        <v>120.6</v>
      </c>
      <c r="U551" s="11" t="n">
        <f aca="false">IFERROR(YEAR(A551),"")</f>
        <v>2025</v>
      </c>
      <c r="V551" s="33" t="n">
        <f aca="false">IFERROR(O551*B551,0)</f>
        <v>2291408.76</v>
      </c>
      <c r="W551" s="32" t="n">
        <f aca="false">IFERROR(N551*B551,0)</f>
        <v>19000</v>
      </c>
      <c r="X551" s="11" t="n">
        <f aca="false">IF(OR(ISNUMBER(SEARCH("live nation",L551)),ISNUMBER(SEARCH("ocesa",L551))),1,0)</f>
        <v>0</v>
      </c>
      <c r="Y551" s="11" t="s">
        <v>50</v>
      </c>
    </row>
    <row r="552" customFormat="false" ht="15" hidden="false" customHeight="false" outlineLevel="0" collapsed="false">
      <c r="A552" s="25" t="n">
        <v>45669</v>
      </c>
      <c r="B552" s="13" t="n">
        <v>1</v>
      </c>
      <c r="C552" s="26" t="s">
        <v>296</v>
      </c>
      <c r="D552" s="26" t="s">
        <v>872</v>
      </c>
      <c r="E552" s="13" t="s">
        <v>111</v>
      </c>
      <c r="F552" s="13" t="s">
        <v>112</v>
      </c>
      <c r="G552" s="13"/>
      <c r="H552" s="13" t="s">
        <v>21</v>
      </c>
      <c r="I552" s="13"/>
      <c r="J552" s="13" t="s">
        <v>97</v>
      </c>
      <c r="K552" s="13" t="s">
        <v>113</v>
      </c>
      <c r="L552" s="13" t="s">
        <v>114</v>
      </c>
      <c r="M552" s="13" t="s">
        <v>100</v>
      </c>
      <c r="N552" s="27" t="n">
        <v>19000</v>
      </c>
      <c r="O552" s="28" t="n">
        <v>2289374.37</v>
      </c>
      <c r="P552" s="27" t="n">
        <v>19000</v>
      </c>
      <c r="Q552" s="29" t="n">
        <v>1</v>
      </c>
      <c r="R552" s="28" t="n">
        <v>120.49</v>
      </c>
      <c r="S552" s="28" t="n">
        <v>120.49</v>
      </c>
      <c r="T552" s="28" t="n">
        <v>120.49</v>
      </c>
      <c r="U552" s="13" t="n">
        <f aca="false">IFERROR(YEAR(A552),"")</f>
        <v>2025</v>
      </c>
      <c r="V552" s="28" t="n">
        <f aca="false">IFERROR(O552*B552,0)</f>
        <v>2289374.37</v>
      </c>
      <c r="W552" s="27" t="n">
        <f aca="false">IFERROR(N552*B552,0)</f>
        <v>19000</v>
      </c>
      <c r="X552" s="13" t="n">
        <f aca="false">IF(OR(ISNUMBER(SEARCH("live nation",L552)),ISNUMBER(SEARCH("ocesa",L552))),1,0)</f>
        <v>0</v>
      </c>
      <c r="Y552" s="13" t="s">
        <v>50</v>
      </c>
    </row>
    <row r="553" customFormat="false" ht="15" hidden="false" customHeight="false" outlineLevel="0" collapsed="false">
      <c r="A553" s="30" t="n">
        <v>45669</v>
      </c>
      <c r="B553" s="11" t="n">
        <v>2</v>
      </c>
      <c r="C553" s="31" t="s">
        <v>456</v>
      </c>
      <c r="D553" s="31"/>
      <c r="E553" s="11" t="s">
        <v>473</v>
      </c>
      <c r="F553" s="11" t="s">
        <v>474</v>
      </c>
      <c r="G553" s="11"/>
      <c r="H553" s="11" t="s">
        <v>21</v>
      </c>
      <c r="I553" s="11"/>
      <c r="J553" s="11" t="s">
        <v>97</v>
      </c>
      <c r="K553" s="11" t="s">
        <v>113</v>
      </c>
      <c r="L553" s="11" t="s">
        <v>250</v>
      </c>
      <c r="M553" s="11" t="s">
        <v>100</v>
      </c>
      <c r="N553" s="32" t="n">
        <v>25000</v>
      </c>
      <c r="O553" s="33" t="n">
        <v>1109807.52</v>
      </c>
      <c r="P553" s="32" t="n">
        <v>25000</v>
      </c>
      <c r="Q553" s="34" t="n">
        <v>1</v>
      </c>
      <c r="R553" s="33" t="n">
        <v>41.86</v>
      </c>
      <c r="S553" s="33" t="n">
        <v>55.81</v>
      </c>
      <c r="T553" s="33" t="n">
        <v>44.39</v>
      </c>
      <c r="U553" s="11" t="n">
        <f aca="false">IFERROR(YEAR(A553),"")</f>
        <v>2025</v>
      </c>
      <c r="V553" s="33" t="n">
        <f aca="false">IFERROR(O553*B553,0)</f>
        <v>2219615.04</v>
      </c>
      <c r="W553" s="32" t="n">
        <f aca="false">IFERROR(N553*B553,0)</f>
        <v>50000</v>
      </c>
      <c r="X553" s="11" t="n">
        <f aca="false">IF(OR(ISNUMBER(SEARCH("live nation",L553)),ISNUMBER(SEARCH("ocesa",L553))),1,0)</f>
        <v>0</v>
      </c>
      <c r="Y553" s="11" t="s">
        <v>50</v>
      </c>
    </row>
    <row r="554" customFormat="false" ht="15" hidden="false" customHeight="false" outlineLevel="0" collapsed="false">
      <c r="A554" s="25" t="n">
        <v>45668</v>
      </c>
      <c r="B554" s="13" t="n">
        <v>1</v>
      </c>
      <c r="C554" s="26" t="s">
        <v>873</v>
      </c>
      <c r="D554" s="26" t="s">
        <v>874</v>
      </c>
      <c r="E554" s="13" t="s">
        <v>111</v>
      </c>
      <c r="F554" s="13" t="s">
        <v>112</v>
      </c>
      <c r="G554" s="13"/>
      <c r="H554" s="13" t="s">
        <v>21</v>
      </c>
      <c r="I554" s="13"/>
      <c r="J554" s="13" t="s">
        <v>97</v>
      </c>
      <c r="K554" s="13" t="s">
        <v>113</v>
      </c>
      <c r="L554" s="13" t="s">
        <v>114</v>
      </c>
      <c r="M554" s="13" t="s">
        <v>100</v>
      </c>
      <c r="N554" s="27" t="n">
        <v>19000</v>
      </c>
      <c r="O554" s="28" t="n">
        <v>1325426.78</v>
      </c>
      <c r="P554" s="27" t="n">
        <v>19000</v>
      </c>
      <c r="Q554" s="29" t="n">
        <v>1</v>
      </c>
      <c r="R554" s="28" t="n">
        <v>69.76</v>
      </c>
      <c r="S554" s="28" t="n">
        <v>69.76</v>
      </c>
      <c r="T554" s="28" t="n">
        <v>69.76</v>
      </c>
      <c r="U554" s="13" t="n">
        <f aca="false">IFERROR(YEAR(A554),"")</f>
        <v>2025</v>
      </c>
      <c r="V554" s="28" t="n">
        <f aca="false">IFERROR(O554*B554,0)</f>
        <v>1325426.78</v>
      </c>
      <c r="W554" s="27" t="n">
        <f aca="false">IFERROR(N554*B554,0)</f>
        <v>19000</v>
      </c>
      <c r="X554" s="13" t="n">
        <f aca="false">IF(OR(ISNUMBER(SEARCH("live nation",L554)),ISNUMBER(SEARCH("ocesa",L554))),1,0)</f>
        <v>0</v>
      </c>
      <c r="Y554" s="13" t="s">
        <v>50</v>
      </c>
    </row>
    <row r="555" customFormat="false" ht="15" hidden="false" customHeight="false" outlineLevel="0" collapsed="false">
      <c r="A555" s="30" t="n">
        <v>45666</v>
      </c>
      <c r="B555" s="11" t="n">
        <v>1</v>
      </c>
      <c r="C555" s="31" t="s">
        <v>465</v>
      </c>
      <c r="D555" s="31"/>
      <c r="E555" s="11" t="s">
        <v>184</v>
      </c>
      <c r="F555" s="11" t="s">
        <v>185</v>
      </c>
      <c r="G555" s="11"/>
      <c r="H555" s="11" t="s">
        <v>21</v>
      </c>
      <c r="I555" s="11"/>
      <c r="J555" s="11" t="s">
        <v>133</v>
      </c>
      <c r="K555" s="11" t="s">
        <v>113</v>
      </c>
      <c r="L555" s="11" t="s">
        <v>250</v>
      </c>
      <c r="M555" s="11" t="s">
        <v>100</v>
      </c>
      <c r="N555" s="32" t="n">
        <v>50000</v>
      </c>
      <c r="O555" s="33" t="n">
        <v>3482561.21</v>
      </c>
      <c r="P555" s="32" t="n">
        <v>50000</v>
      </c>
      <c r="Q555" s="34" t="n">
        <v>1</v>
      </c>
      <c r="R555" s="33" t="n">
        <v>69.65</v>
      </c>
      <c r="S555" s="33" t="n">
        <v>189.96</v>
      </c>
      <c r="T555" s="33" t="n">
        <v>69.65</v>
      </c>
      <c r="U555" s="11" t="n">
        <f aca="false">IFERROR(YEAR(A555),"")</f>
        <v>2025</v>
      </c>
      <c r="V555" s="33" t="n">
        <f aca="false">IFERROR(O555*B555,0)</f>
        <v>3482561.21</v>
      </c>
      <c r="W555" s="32" t="n">
        <f aca="false">IFERROR(N555*B555,0)</f>
        <v>50000</v>
      </c>
      <c r="X555" s="11" t="n">
        <f aca="false">IF(OR(ISNUMBER(SEARCH("live nation",L555)),ISNUMBER(SEARCH("ocesa",L555))),1,0)</f>
        <v>0</v>
      </c>
      <c r="Y555" s="11" t="s">
        <v>50</v>
      </c>
    </row>
    <row r="556" customFormat="false" ht="15" hidden="false" customHeight="false" outlineLevel="0" collapsed="false">
      <c r="A556" s="25" t="n">
        <v>45665</v>
      </c>
      <c r="B556" s="13" t="n">
        <v>1</v>
      </c>
      <c r="C556" s="26" t="s">
        <v>465</v>
      </c>
      <c r="D556" s="26"/>
      <c r="E556" s="13" t="s">
        <v>184</v>
      </c>
      <c r="F556" s="13" t="s">
        <v>185</v>
      </c>
      <c r="G556" s="13"/>
      <c r="H556" s="13" t="s">
        <v>21</v>
      </c>
      <c r="I556" s="13"/>
      <c r="J556" s="13" t="s">
        <v>133</v>
      </c>
      <c r="K556" s="13" t="s">
        <v>113</v>
      </c>
      <c r="L556" s="13" t="s">
        <v>250</v>
      </c>
      <c r="M556" s="13" t="s">
        <v>100</v>
      </c>
      <c r="N556" s="27" t="n">
        <v>50000</v>
      </c>
      <c r="O556" s="28" t="n">
        <v>3475978.31</v>
      </c>
      <c r="P556" s="27" t="n">
        <v>50000</v>
      </c>
      <c r="Q556" s="29" t="n">
        <v>1</v>
      </c>
      <c r="R556" s="28" t="n">
        <v>69.52</v>
      </c>
      <c r="S556" s="28" t="n">
        <v>1895.99</v>
      </c>
      <c r="T556" s="28" t="n">
        <v>69.52</v>
      </c>
      <c r="U556" s="13" t="n">
        <f aca="false">IFERROR(YEAR(A556),"")</f>
        <v>2025</v>
      </c>
      <c r="V556" s="28" t="n">
        <f aca="false">IFERROR(O556*B556,0)</f>
        <v>3475978.31</v>
      </c>
      <c r="W556" s="27" t="n">
        <f aca="false">IFERROR(N556*B556,0)</f>
        <v>50000</v>
      </c>
      <c r="X556" s="13" t="n">
        <f aca="false">IF(OR(ISNUMBER(SEARCH("live nation",L556)),ISNUMBER(SEARCH("ocesa",L556))),1,0)</f>
        <v>0</v>
      </c>
      <c r="Y556" s="13" t="s">
        <v>50</v>
      </c>
    </row>
    <row r="557" customFormat="false" ht="15" hidden="false" customHeight="false" outlineLevel="0" collapsed="false">
      <c r="A557" s="30" t="n">
        <v>45654</v>
      </c>
      <c r="B557" s="11" t="n">
        <v>2</v>
      </c>
      <c r="C557" s="31" t="s">
        <v>64</v>
      </c>
      <c r="D557" s="31"/>
      <c r="E557" s="11" t="s">
        <v>407</v>
      </c>
      <c r="F557" s="11" t="s">
        <v>408</v>
      </c>
      <c r="G557" s="11"/>
      <c r="H557" s="11" t="s">
        <v>21</v>
      </c>
      <c r="I557" s="11"/>
      <c r="J557" s="11" t="s">
        <v>133</v>
      </c>
      <c r="K557" s="11" t="s">
        <v>113</v>
      </c>
      <c r="L557" s="11" t="s">
        <v>145</v>
      </c>
      <c r="M557" s="11" t="s">
        <v>100</v>
      </c>
      <c r="N557" s="32" t="n">
        <v>29973</v>
      </c>
      <c r="O557" s="33" t="n">
        <v>3122824.48</v>
      </c>
      <c r="P557" s="32" t="n">
        <v>30661</v>
      </c>
      <c r="Q557" s="34" t="n">
        <v>0.97</v>
      </c>
      <c r="R557" s="33" t="n">
        <v>88.68</v>
      </c>
      <c r="S557" s="33" t="n">
        <v>171.02</v>
      </c>
      <c r="T557" s="33" t="n">
        <v>104.19</v>
      </c>
      <c r="U557" s="11" t="n">
        <f aca="false">IFERROR(YEAR(A557),"")</f>
        <v>2024</v>
      </c>
      <c r="V557" s="33" t="n">
        <f aca="false">IFERROR(O557*B557,0)</f>
        <v>6245648.96</v>
      </c>
      <c r="W557" s="32" t="n">
        <f aca="false">IFERROR(N557*B557,0)</f>
        <v>59946</v>
      </c>
      <c r="X557" s="11" t="n">
        <f aca="false">IF(OR(ISNUMBER(SEARCH("live nation",L557)),ISNUMBER(SEARCH("ocesa",L557))),1,0)</f>
        <v>0</v>
      </c>
      <c r="Y557" s="11" t="s">
        <v>50</v>
      </c>
    </row>
    <row r="558" customFormat="false" ht="15" hidden="false" customHeight="false" outlineLevel="0" collapsed="false">
      <c r="A558" s="25" t="n">
        <v>45647</v>
      </c>
      <c r="B558" s="13" t="n">
        <v>1</v>
      </c>
      <c r="C558" s="26" t="s">
        <v>875</v>
      </c>
      <c r="D558" s="26"/>
      <c r="E558" s="13" t="s">
        <v>792</v>
      </c>
      <c r="F558" s="13" t="s">
        <v>395</v>
      </c>
      <c r="G558" s="13" t="s">
        <v>396</v>
      </c>
      <c r="H558" s="13" t="s">
        <v>20</v>
      </c>
      <c r="I558" s="13" t="s">
        <v>395</v>
      </c>
      <c r="J558" s="13" t="s">
        <v>97</v>
      </c>
      <c r="K558" s="13" t="s">
        <v>107</v>
      </c>
      <c r="L558" s="13" t="s">
        <v>322</v>
      </c>
      <c r="M558" s="13" t="s">
        <v>100</v>
      </c>
      <c r="N558" s="27" t="n">
        <v>8221</v>
      </c>
      <c r="O558" s="28" t="n">
        <v>1856864</v>
      </c>
      <c r="P558" s="27" t="n">
        <v>9315</v>
      </c>
      <c r="Q558" s="29" t="n">
        <v>0.88</v>
      </c>
      <c r="R558" s="28" t="n">
        <v>110.82</v>
      </c>
      <c r="S558" s="28" t="n">
        <v>426.92</v>
      </c>
      <c r="T558" s="28" t="n">
        <v>225.87</v>
      </c>
      <c r="U558" s="13" t="n">
        <f aca="false">IFERROR(YEAR(A558),"")</f>
        <v>2024</v>
      </c>
      <c r="V558" s="28" t="n">
        <f aca="false">IFERROR(O558*B558,0)</f>
        <v>1856864</v>
      </c>
      <c r="W558" s="27" t="n">
        <f aca="false">IFERROR(N558*B558,0)</f>
        <v>8221</v>
      </c>
      <c r="X558" s="13" t="n">
        <f aca="false">IF(OR(ISNUMBER(SEARCH("live nation",L558)),ISNUMBER(SEARCH("ocesa",L558))),1,0)</f>
        <v>0</v>
      </c>
      <c r="Y558" s="13" t="s">
        <v>49</v>
      </c>
    </row>
    <row r="559" customFormat="false" ht="15" hidden="false" customHeight="false" outlineLevel="0" collapsed="false">
      <c r="A559" s="30" t="n">
        <v>45645</v>
      </c>
      <c r="B559" s="11" t="n">
        <v>3</v>
      </c>
      <c r="C559" s="31" t="s">
        <v>62</v>
      </c>
      <c r="D559" s="31"/>
      <c r="E559" s="11" t="s">
        <v>407</v>
      </c>
      <c r="F559" s="11" t="s">
        <v>408</v>
      </c>
      <c r="G559" s="11"/>
      <c r="H559" s="11" t="s">
        <v>21</v>
      </c>
      <c r="I559" s="11"/>
      <c r="J559" s="11" t="s">
        <v>133</v>
      </c>
      <c r="K559" s="11" t="s">
        <v>113</v>
      </c>
      <c r="L559" s="11" t="s">
        <v>145</v>
      </c>
      <c r="M559" s="11" t="s">
        <v>100</v>
      </c>
      <c r="N559" s="32" t="n">
        <v>35523</v>
      </c>
      <c r="O559" s="33" t="n">
        <v>3794637.75</v>
      </c>
      <c r="P559" s="32" t="n">
        <v>35523</v>
      </c>
      <c r="Q559" s="34" t="n">
        <v>1</v>
      </c>
      <c r="R559" s="33" t="n">
        <v>81.95</v>
      </c>
      <c r="S559" s="33" t="n">
        <v>146.34</v>
      </c>
      <c r="T559" s="33" t="n">
        <v>106.82</v>
      </c>
      <c r="U559" s="11" t="n">
        <f aca="false">IFERROR(YEAR(A559),"")</f>
        <v>2024</v>
      </c>
      <c r="V559" s="33" t="n">
        <f aca="false">IFERROR(O559*B559,0)</f>
        <v>11383913.25</v>
      </c>
      <c r="W559" s="32" t="n">
        <f aca="false">IFERROR(N559*B559,0)</f>
        <v>106569</v>
      </c>
      <c r="X559" s="11" t="n">
        <f aca="false">IF(OR(ISNUMBER(SEARCH("live nation",L559)),ISNUMBER(SEARCH("ocesa",L559))),1,0)</f>
        <v>0</v>
      </c>
      <c r="Y559" s="11" t="s">
        <v>50</v>
      </c>
    </row>
    <row r="560" customFormat="false" ht="15" hidden="false" customHeight="false" outlineLevel="0" collapsed="false">
      <c r="A560" s="25" t="n">
        <v>45642</v>
      </c>
      <c r="B560" s="13" t="n">
        <v>1</v>
      </c>
      <c r="C560" s="26" t="s">
        <v>876</v>
      </c>
      <c r="D560" s="26"/>
      <c r="E560" s="13" t="s">
        <v>877</v>
      </c>
      <c r="F560" s="13" t="s">
        <v>139</v>
      </c>
      <c r="G560" s="13" t="s">
        <v>139</v>
      </c>
      <c r="H560" s="13" t="s">
        <v>20</v>
      </c>
      <c r="I560" s="13" t="s">
        <v>139</v>
      </c>
      <c r="J560" s="13" t="s">
        <v>121</v>
      </c>
      <c r="K560" s="13" t="s">
        <v>107</v>
      </c>
      <c r="L560" s="13" t="s">
        <v>390</v>
      </c>
      <c r="M560" s="13" t="s">
        <v>100</v>
      </c>
      <c r="N560" s="27" t="n">
        <v>691</v>
      </c>
      <c r="O560" s="28" t="n">
        <v>69962.5</v>
      </c>
      <c r="P560" s="27" t="n">
        <v>1429</v>
      </c>
      <c r="Q560" s="29" t="n">
        <v>0.48</v>
      </c>
      <c r="R560" s="28" t="n">
        <v>27.5</v>
      </c>
      <c r="S560" s="28" t="n">
        <v>27.5</v>
      </c>
      <c r="T560" s="28" t="n">
        <v>101.25</v>
      </c>
      <c r="U560" s="13" t="n">
        <f aca="false">IFERROR(YEAR(A560),"")</f>
        <v>2024</v>
      </c>
      <c r="V560" s="28" t="n">
        <f aca="false">IFERROR(O560*B560,0)</f>
        <v>69962.5</v>
      </c>
      <c r="W560" s="27" t="n">
        <f aca="false">IFERROR(N560*B560,0)</f>
        <v>691</v>
      </c>
      <c r="X560" s="13" t="n">
        <f aca="false">IF(OR(ISNUMBER(SEARCH("live nation",L560)),ISNUMBER(SEARCH("ocesa",L560))),1,0)</f>
        <v>0</v>
      </c>
      <c r="Y560" s="13" t="s">
        <v>49</v>
      </c>
    </row>
    <row r="561" customFormat="false" ht="15" hidden="false" customHeight="false" outlineLevel="0" collapsed="false">
      <c r="A561" s="30" t="n">
        <v>45640</v>
      </c>
      <c r="B561" s="11" t="n">
        <v>2</v>
      </c>
      <c r="C561" s="31" t="s">
        <v>612</v>
      </c>
      <c r="D561" s="31"/>
      <c r="E561" s="11" t="s">
        <v>805</v>
      </c>
      <c r="F561" s="11" t="s">
        <v>216</v>
      </c>
      <c r="G561" s="11"/>
      <c r="H561" s="11" t="s">
        <v>24</v>
      </c>
      <c r="I561" s="11"/>
      <c r="J561" s="11" t="s">
        <v>97</v>
      </c>
      <c r="K561" s="11" t="s">
        <v>148</v>
      </c>
      <c r="L561" s="11" t="s">
        <v>145</v>
      </c>
      <c r="M561" s="11" t="s">
        <v>100</v>
      </c>
      <c r="N561" s="32" t="n">
        <v>5775</v>
      </c>
      <c r="O561" s="33" t="n">
        <v>600724.56</v>
      </c>
      <c r="P561" s="32" t="n">
        <v>5775</v>
      </c>
      <c r="Q561" s="34" t="n">
        <v>1</v>
      </c>
      <c r="R561" s="33" t="n">
        <v>107.28</v>
      </c>
      <c r="S561" s="33" t="n">
        <v>137.94</v>
      </c>
      <c r="T561" s="33" t="n">
        <v>104.02</v>
      </c>
      <c r="U561" s="11" t="n">
        <f aca="false">IFERROR(YEAR(A561),"")</f>
        <v>2024</v>
      </c>
      <c r="V561" s="33" t="n">
        <f aca="false">IFERROR(O561*B561,0)</f>
        <v>1201449.12</v>
      </c>
      <c r="W561" s="32" t="n">
        <f aca="false">IFERROR(N561*B561,0)</f>
        <v>11550</v>
      </c>
      <c r="X561" s="11" t="n">
        <f aca="false">IF(OR(ISNUMBER(SEARCH("live nation",L561)),ISNUMBER(SEARCH("ocesa",L561))),1,0)</f>
        <v>0</v>
      </c>
      <c r="Y561" s="11" t="s">
        <v>50</v>
      </c>
    </row>
    <row r="562" customFormat="false" ht="15" hidden="false" customHeight="false" outlineLevel="0" collapsed="false">
      <c r="A562" s="25" t="n">
        <v>45640</v>
      </c>
      <c r="B562" s="13" t="n">
        <v>1</v>
      </c>
      <c r="C562" s="26" t="s">
        <v>875</v>
      </c>
      <c r="D562" s="26"/>
      <c r="E562" s="13" t="s">
        <v>196</v>
      </c>
      <c r="F562" s="13" t="s">
        <v>197</v>
      </c>
      <c r="G562" s="13" t="s">
        <v>139</v>
      </c>
      <c r="H562" s="13" t="s">
        <v>20</v>
      </c>
      <c r="I562" s="13" t="s">
        <v>139</v>
      </c>
      <c r="J562" s="13" t="s">
        <v>97</v>
      </c>
      <c r="K562" s="13" t="s">
        <v>107</v>
      </c>
      <c r="L562" s="13" t="s">
        <v>322</v>
      </c>
      <c r="M562" s="13" t="s">
        <v>100</v>
      </c>
      <c r="N562" s="27" t="n">
        <v>7076</v>
      </c>
      <c r="O562" s="28" t="n">
        <v>1408733.25</v>
      </c>
      <c r="P562" s="27" t="n">
        <v>7500</v>
      </c>
      <c r="Q562" s="29" t="n">
        <v>0.94</v>
      </c>
      <c r="R562" s="28" t="n">
        <v>98</v>
      </c>
      <c r="S562" s="28" t="n">
        <v>338</v>
      </c>
      <c r="T562" s="28" t="n">
        <v>199.09</v>
      </c>
      <c r="U562" s="13" t="n">
        <f aca="false">IFERROR(YEAR(A562),"")</f>
        <v>2024</v>
      </c>
      <c r="V562" s="28" t="n">
        <f aca="false">IFERROR(O562*B562,0)</f>
        <v>1408733.25</v>
      </c>
      <c r="W562" s="27" t="n">
        <f aca="false">IFERROR(N562*B562,0)</f>
        <v>7076</v>
      </c>
      <c r="X562" s="13" t="n">
        <f aca="false">IF(OR(ISNUMBER(SEARCH("live nation",L562)),ISNUMBER(SEARCH("ocesa",L562))),1,0)</f>
        <v>0</v>
      </c>
      <c r="Y562" s="13" t="s">
        <v>49</v>
      </c>
    </row>
    <row r="563" customFormat="false" ht="15" hidden="false" customHeight="false" outlineLevel="0" collapsed="false">
      <c r="A563" s="30" t="n">
        <v>45639</v>
      </c>
      <c r="B563" s="11" t="n">
        <v>1</v>
      </c>
      <c r="C563" s="31" t="s">
        <v>876</v>
      </c>
      <c r="D563" s="31"/>
      <c r="E563" s="11" t="s">
        <v>878</v>
      </c>
      <c r="F563" s="11" t="s">
        <v>346</v>
      </c>
      <c r="G563" s="11" t="s">
        <v>347</v>
      </c>
      <c r="H563" s="11" t="s">
        <v>20</v>
      </c>
      <c r="I563" s="11" t="s">
        <v>346</v>
      </c>
      <c r="J563" s="11" t="s">
        <v>121</v>
      </c>
      <c r="K563" s="11" t="s">
        <v>107</v>
      </c>
      <c r="L563" s="11" t="s">
        <v>122</v>
      </c>
      <c r="M563" s="11" t="s">
        <v>100</v>
      </c>
      <c r="N563" s="32" t="n">
        <v>441</v>
      </c>
      <c r="O563" s="33" t="n">
        <v>34720.15</v>
      </c>
      <c r="P563" s="32" t="n">
        <v>1553</v>
      </c>
      <c r="Q563" s="34" t="n">
        <v>0.28</v>
      </c>
      <c r="R563" s="33" t="n">
        <v>29.25</v>
      </c>
      <c r="S563" s="33" t="n">
        <v>199</v>
      </c>
      <c r="T563" s="33" t="n">
        <v>78.73</v>
      </c>
      <c r="U563" s="11" t="n">
        <f aca="false">IFERROR(YEAR(A563),"")</f>
        <v>2024</v>
      </c>
      <c r="V563" s="33" t="n">
        <f aca="false">IFERROR(O563*B563,0)</f>
        <v>34720.15</v>
      </c>
      <c r="W563" s="32" t="n">
        <f aca="false">IFERROR(N563*B563,0)</f>
        <v>441</v>
      </c>
      <c r="X563" s="11" t="n">
        <f aca="false">IF(OR(ISNUMBER(SEARCH("live nation",L563)),ISNUMBER(SEARCH("ocesa",L563))),1,0)</f>
        <v>0</v>
      </c>
      <c r="Y563" s="11" t="s">
        <v>49</v>
      </c>
    </row>
    <row r="564" customFormat="false" ht="15" hidden="false" customHeight="false" outlineLevel="0" collapsed="false">
      <c r="A564" s="25" t="n">
        <v>45638</v>
      </c>
      <c r="B564" s="13" t="n">
        <v>1</v>
      </c>
      <c r="C564" s="26" t="s">
        <v>800</v>
      </c>
      <c r="D564" s="26"/>
      <c r="E564" s="13" t="s">
        <v>797</v>
      </c>
      <c r="F564" s="13" t="s">
        <v>306</v>
      </c>
      <c r="G564" s="13" t="s">
        <v>188</v>
      </c>
      <c r="H564" s="13" t="s">
        <v>20</v>
      </c>
      <c r="I564" s="13" t="s">
        <v>307</v>
      </c>
      <c r="J564" s="13" t="s">
        <v>121</v>
      </c>
      <c r="K564" s="13" t="s">
        <v>107</v>
      </c>
      <c r="L564" s="13" t="s">
        <v>531</v>
      </c>
      <c r="M564" s="13" t="s">
        <v>277</v>
      </c>
      <c r="N564" s="27" t="n">
        <v>1720</v>
      </c>
      <c r="O564" s="28" t="n">
        <v>100360</v>
      </c>
      <c r="P564" s="27" t="n">
        <v>1720</v>
      </c>
      <c r="Q564" s="29" t="n">
        <v>1</v>
      </c>
      <c r="R564" s="28" t="n">
        <v>49.5</v>
      </c>
      <c r="S564" s="28" t="n">
        <v>59.5</v>
      </c>
      <c r="T564" s="28" t="n">
        <v>58.35</v>
      </c>
      <c r="U564" s="13" t="n">
        <f aca="false">IFERROR(YEAR(A564),"")</f>
        <v>2024</v>
      </c>
      <c r="V564" s="28" t="n">
        <f aca="false">IFERROR(O564*B564,0)</f>
        <v>100360</v>
      </c>
      <c r="W564" s="27" t="n">
        <f aca="false">IFERROR(N564*B564,0)</f>
        <v>1720</v>
      </c>
      <c r="X564" s="13" t="n">
        <f aca="false">IF(OR(ISNUMBER(SEARCH("live nation",L564)),ISNUMBER(SEARCH("ocesa",L564))),1,0)</f>
        <v>0</v>
      </c>
      <c r="Y564" s="13" t="s">
        <v>49</v>
      </c>
    </row>
    <row r="565" customFormat="false" ht="15" hidden="false" customHeight="false" outlineLevel="0" collapsed="false">
      <c r="A565" s="30" t="n">
        <v>45638</v>
      </c>
      <c r="B565" s="11" t="n">
        <v>3</v>
      </c>
      <c r="C565" s="31" t="s">
        <v>62</v>
      </c>
      <c r="D565" s="31"/>
      <c r="E565" s="11" t="s">
        <v>369</v>
      </c>
      <c r="F565" s="11" t="s">
        <v>370</v>
      </c>
      <c r="G565" s="11"/>
      <c r="H565" s="11" t="s">
        <v>21</v>
      </c>
      <c r="I565" s="11"/>
      <c r="J565" s="11" t="s">
        <v>133</v>
      </c>
      <c r="K565" s="11" t="s">
        <v>113</v>
      </c>
      <c r="L565" s="11" t="s">
        <v>145</v>
      </c>
      <c r="M565" s="11" t="s">
        <v>100</v>
      </c>
      <c r="N565" s="32" t="n">
        <v>37383</v>
      </c>
      <c r="O565" s="33" t="n">
        <v>4089651.98</v>
      </c>
      <c r="P565" s="32" t="n">
        <v>37383</v>
      </c>
      <c r="Q565" s="34" t="n">
        <v>1</v>
      </c>
      <c r="R565" s="33" t="n">
        <v>83.62</v>
      </c>
      <c r="S565" s="33" t="n">
        <v>149.33</v>
      </c>
      <c r="T565" s="33" t="n">
        <v>109.4</v>
      </c>
      <c r="U565" s="11" t="n">
        <f aca="false">IFERROR(YEAR(A565),"")</f>
        <v>2024</v>
      </c>
      <c r="V565" s="33" t="n">
        <f aca="false">IFERROR(O565*B565,0)</f>
        <v>12268955.94</v>
      </c>
      <c r="W565" s="32" t="n">
        <f aca="false">IFERROR(N565*B565,0)</f>
        <v>112149</v>
      </c>
      <c r="X565" s="11" t="n">
        <f aca="false">IF(OR(ISNUMBER(SEARCH("live nation",L565)),ISNUMBER(SEARCH("ocesa",L565))),1,0)</f>
        <v>0</v>
      </c>
      <c r="Y565" s="11" t="s">
        <v>50</v>
      </c>
    </row>
    <row r="566" customFormat="false" ht="15" hidden="false" customHeight="false" outlineLevel="0" collapsed="false">
      <c r="A566" s="25" t="n">
        <v>45636</v>
      </c>
      <c r="B566" s="13" t="n">
        <v>1</v>
      </c>
      <c r="C566" s="26" t="s">
        <v>876</v>
      </c>
      <c r="D566" s="26"/>
      <c r="E566" s="13" t="s">
        <v>397</v>
      </c>
      <c r="F566" s="13" t="s">
        <v>209</v>
      </c>
      <c r="G566" s="13" t="s">
        <v>208</v>
      </c>
      <c r="H566" s="13" t="s">
        <v>20</v>
      </c>
      <c r="I566" s="13" t="s">
        <v>209</v>
      </c>
      <c r="J566" s="13" t="s">
        <v>121</v>
      </c>
      <c r="K566" s="13" t="s">
        <v>107</v>
      </c>
      <c r="L566" s="13" t="s">
        <v>390</v>
      </c>
      <c r="M566" s="13" t="s">
        <v>100</v>
      </c>
      <c r="N566" s="27" t="n">
        <v>308</v>
      </c>
      <c r="O566" s="28" t="n">
        <v>30301.5</v>
      </c>
      <c r="P566" s="27" t="n">
        <v>1784</v>
      </c>
      <c r="Q566" s="29" t="n">
        <v>0.17</v>
      </c>
      <c r="R566" s="28" t="n">
        <v>20</v>
      </c>
      <c r="S566" s="28" t="n">
        <v>199</v>
      </c>
      <c r="T566" s="28" t="n">
        <v>98.38</v>
      </c>
      <c r="U566" s="13" t="n">
        <f aca="false">IFERROR(YEAR(A566),"")</f>
        <v>2024</v>
      </c>
      <c r="V566" s="28" t="n">
        <f aca="false">IFERROR(O566*B566,0)</f>
        <v>30301.5</v>
      </c>
      <c r="W566" s="27" t="n">
        <f aca="false">IFERROR(N566*B566,0)</f>
        <v>308</v>
      </c>
      <c r="X566" s="13" t="n">
        <f aca="false">IF(OR(ISNUMBER(SEARCH("live nation",L566)),ISNUMBER(SEARCH("ocesa",L566))),1,0)</f>
        <v>0</v>
      </c>
      <c r="Y566" s="13" t="s">
        <v>49</v>
      </c>
    </row>
    <row r="567" customFormat="false" ht="15" hidden="false" customHeight="false" outlineLevel="0" collapsed="false">
      <c r="A567" s="30" t="n">
        <v>45631</v>
      </c>
      <c r="B567" s="11" t="n">
        <v>1</v>
      </c>
      <c r="C567" s="31" t="s">
        <v>831</v>
      </c>
      <c r="D567" s="31"/>
      <c r="E567" s="11" t="s">
        <v>879</v>
      </c>
      <c r="F567" s="11" t="s">
        <v>132</v>
      </c>
      <c r="G567" s="11"/>
      <c r="H567" s="11" t="s">
        <v>23</v>
      </c>
      <c r="I567" s="11"/>
      <c r="J567" s="11" t="s">
        <v>106</v>
      </c>
      <c r="K567" s="11" t="s">
        <v>134</v>
      </c>
      <c r="L567" s="11" t="s">
        <v>135</v>
      </c>
      <c r="M567" s="11" t="s">
        <v>100</v>
      </c>
      <c r="N567" s="32" t="n">
        <v>438</v>
      </c>
      <c r="O567" s="33" t="n">
        <v>17418.41</v>
      </c>
      <c r="P567" s="32" t="n">
        <v>876</v>
      </c>
      <c r="Q567" s="34" t="n">
        <v>0.5</v>
      </c>
      <c r="R567" s="33" t="n">
        <v>19.7</v>
      </c>
      <c r="S567" s="33" t="n">
        <v>137.91</v>
      </c>
      <c r="T567" s="33" t="n">
        <v>39.77</v>
      </c>
      <c r="U567" s="11" t="n">
        <f aca="false">IFERROR(YEAR(A567),"")</f>
        <v>2024</v>
      </c>
      <c r="V567" s="33" t="n">
        <f aca="false">IFERROR(O567*B567,0)</f>
        <v>17418.41</v>
      </c>
      <c r="W567" s="32" t="n">
        <f aca="false">IFERROR(N567*B567,0)</f>
        <v>438</v>
      </c>
      <c r="X567" s="11" t="n">
        <f aca="false">IF(OR(ISNUMBER(SEARCH("live nation",L567)),ISNUMBER(SEARCH("ocesa",L567))),1,0)</f>
        <v>1</v>
      </c>
      <c r="Y567" s="11" t="s">
        <v>49</v>
      </c>
    </row>
    <row r="568" customFormat="false" ht="15" hidden="false" customHeight="false" outlineLevel="0" collapsed="false">
      <c r="A568" s="25" t="n">
        <v>45631</v>
      </c>
      <c r="B568" s="13" t="n">
        <v>1</v>
      </c>
      <c r="C568" s="26" t="s">
        <v>876</v>
      </c>
      <c r="D568" s="26"/>
      <c r="E568" s="13" t="s">
        <v>880</v>
      </c>
      <c r="F568" s="13" t="s">
        <v>374</v>
      </c>
      <c r="G568" s="13" t="s">
        <v>143</v>
      </c>
      <c r="H568" s="13" t="s">
        <v>20</v>
      </c>
      <c r="I568" s="13" t="s">
        <v>375</v>
      </c>
      <c r="J568" s="13" t="s">
        <v>121</v>
      </c>
      <c r="K568" s="13" t="s">
        <v>107</v>
      </c>
      <c r="L568" s="13" t="s">
        <v>881</v>
      </c>
      <c r="M568" s="13" t="s">
        <v>100</v>
      </c>
      <c r="N568" s="27" t="n">
        <v>161</v>
      </c>
      <c r="O568" s="28" t="n">
        <v>11649</v>
      </c>
      <c r="P568" s="27" t="n">
        <v>1450</v>
      </c>
      <c r="Q568" s="29" t="n">
        <v>0.11</v>
      </c>
      <c r="R568" s="28" t="n">
        <v>49</v>
      </c>
      <c r="S568" s="28" t="n">
        <v>99</v>
      </c>
      <c r="T568" s="28" t="n">
        <v>72.35</v>
      </c>
      <c r="U568" s="13" t="n">
        <f aca="false">IFERROR(YEAR(A568),"")</f>
        <v>2024</v>
      </c>
      <c r="V568" s="28" t="n">
        <f aca="false">IFERROR(O568*B568,0)</f>
        <v>11649</v>
      </c>
      <c r="W568" s="27" t="n">
        <f aca="false">IFERROR(N568*B568,0)</f>
        <v>161</v>
      </c>
      <c r="X568" s="13" t="n">
        <f aca="false">IF(OR(ISNUMBER(SEARCH("live nation",L568)),ISNUMBER(SEARCH("ocesa",L568))),1,0)</f>
        <v>0</v>
      </c>
      <c r="Y568" s="13" t="s">
        <v>49</v>
      </c>
    </row>
    <row r="569" customFormat="false" ht="15" hidden="false" customHeight="false" outlineLevel="0" collapsed="false">
      <c r="A569" s="30" t="n">
        <v>45631</v>
      </c>
      <c r="B569" s="11" t="n">
        <v>1</v>
      </c>
      <c r="C569" s="31" t="s">
        <v>354</v>
      </c>
      <c r="D569" s="31"/>
      <c r="E569" s="11" t="s">
        <v>111</v>
      </c>
      <c r="F569" s="11" t="s">
        <v>112</v>
      </c>
      <c r="G569" s="11"/>
      <c r="H569" s="11" t="s">
        <v>21</v>
      </c>
      <c r="I569" s="11"/>
      <c r="J569" s="11" t="s">
        <v>97</v>
      </c>
      <c r="K569" s="11" t="s">
        <v>113</v>
      </c>
      <c r="L569" s="11" t="s">
        <v>321</v>
      </c>
      <c r="M569" s="11" t="s">
        <v>100</v>
      </c>
      <c r="N569" s="32" t="n">
        <v>18000</v>
      </c>
      <c r="O569" s="33" t="n">
        <v>1579858.41</v>
      </c>
      <c r="P569" s="32" t="n">
        <v>18000</v>
      </c>
      <c r="Q569" s="34" t="n">
        <v>1</v>
      </c>
      <c r="R569" s="33" t="n">
        <v>87.77</v>
      </c>
      <c r="S569" s="33" t="n">
        <v>87.77</v>
      </c>
      <c r="T569" s="33" t="n">
        <v>87.77</v>
      </c>
      <c r="U569" s="11" t="n">
        <f aca="false">IFERROR(YEAR(A569),"")</f>
        <v>2024</v>
      </c>
      <c r="V569" s="33" t="n">
        <f aca="false">IFERROR(O569*B569,0)</f>
        <v>1579858.41</v>
      </c>
      <c r="W569" s="32" t="n">
        <f aca="false">IFERROR(N569*B569,0)</f>
        <v>18000</v>
      </c>
      <c r="X569" s="11" t="n">
        <f aca="false">IF(OR(ISNUMBER(SEARCH("live nation",L569)),ISNUMBER(SEARCH("ocesa",L569))),1,0)</f>
        <v>0</v>
      </c>
      <c r="Y569" s="11" t="s">
        <v>50</v>
      </c>
    </row>
    <row r="570" customFormat="false" ht="15" hidden="false" customHeight="false" outlineLevel="0" collapsed="false">
      <c r="A570" s="25" t="n">
        <v>45630</v>
      </c>
      <c r="B570" s="13" t="n">
        <v>1</v>
      </c>
      <c r="C570" s="26" t="s">
        <v>354</v>
      </c>
      <c r="D570" s="26"/>
      <c r="E570" s="13" t="s">
        <v>111</v>
      </c>
      <c r="F570" s="13" t="s">
        <v>112</v>
      </c>
      <c r="G570" s="13"/>
      <c r="H570" s="13" t="s">
        <v>21</v>
      </c>
      <c r="I570" s="13"/>
      <c r="J570" s="13" t="s">
        <v>97</v>
      </c>
      <c r="K570" s="13" t="s">
        <v>113</v>
      </c>
      <c r="L570" s="13" t="s">
        <v>321</v>
      </c>
      <c r="M570" s="13" t="s">
        <v>100</v>
      </c>
      <c r="N570" s="27" t="n">
        <v>18000</v>
      </c>
      <c r="O570" s="28" t="n">
        <v>1584248.54</v>
      </c>
      <c r="P570" s="27" t="n">
        <v>18000</v>
      </c>
      <c r="Q570" s="29" t="n">
        <v>1</v>
      </c>
      <c r="R570" s="28" t="n">
        <v>88.01</v>
      </c>
      <c r="S570" s="28" t="n">
        <v>88.01</v>
      </c>
      <c r="T570" s="28" t="n">
        <v>88.01</v>
      </c>
      <c r="U570" s="13" t="n">
        <f aca="false">IFERROR(YEAR(A570),"")</f>
        <v>2024</v>
      </c>
      <c r="V570" s="28" t="n">
        <f aca="false">IFERROR(O570*B570,0)</f>
        <v>1584248.54</v>
      </c>
      <c r="W570" s="27" t="n">
        <f aca="false">IFERROR(N570*B570,0)</f>
        <v>18000</v>
      </c>
      <c r="X570" s="13" t="n">
        <f aca="false">IF(OR(ISNUMBER(SEARCH("live nation",L570)),ISNUMBER(SEARCH("ocesa",L570))),1,0)</f>
        <v>0</v>
      </c>
      <c r="Y570" s="13" t="s">
        <v>50</v>
      </c>
    </row>
    <row r="571" customFormat="false" ht="15" hidden="false" customHeight="false" outlineLevel="0" collapsed="false">
      <c r="A571" s="30" t="n">
        <v>45630</v>
      </c>
      <c r="B571" s="11" t="n">
        <v>2</v>
      </c>
      <c r="C571" s="31" t="s">
        <v>62</v>
      </c>
      <c r="D571" s="31"/>
      <c r="E571" s="11" t="s">
        <v>184</v>
      </c>
      <c r="F571" s="11" t="s">
        <v>185</v>
      </c>
      <c r="G571" s="11"/>
      <c r="H571" s="11" t="s">
        <v>21</v>
      </c>
      <c r="I571" s="11"/>
      <c r="J571" s="11" t="s">
        <v>133</v>
      </c>
      <c r="K571" s="11" t="s">
        <v>113</v>
      </c>
      <c r="L571" s="11" t="s">
        <v>145</v>
      </c>
      <c r="M571" s="11" t="s">
        <v>100</v>
      </c>
      <c r="N571" s="32" t="n">
        <v>43881</v>
      </c>
      <c r="O571" s="33" t="n">
        <v>4808399.8</v>
      </c>
      <c r="P571" s="32" t="n">
        <v>43882</v>
      </c>
      <c r="Q571" s="34" t="n">
        <v>0.99</v>
      </c>
      <c r="R571" s="33" t="n">
        <v>84.86</v>
      </c>
      <c r="S571" s="33" t="n">
        <v>151.54</v>
      </c>
      <c r="T571" s="33" t="n">
        <v>109.58</v>
      </c>
      <c r="U571" s="11" t="n">
        <f aca="false">IFERROR(YEAR(A571),"")</f>
        <v>2024</v>
      </c>
      <c r="V571" s="33" t="n">
        <f aca="false">IFERROR(O571*B571,0)</f>
        <v>9616799.6</v>
      </c>
      <c r="W571" s="32" t="n">
        <f aca="false">IFERROR(N571*B571,0)</f>
        <v>87762</v>
      </c>
      <c r="X571" s="11" t="n">
        <f aca="false">IF(OR(ISNUMBER(SEARCH("live nation",L571)),ISNUMBER(SEARCH("ocesa",L571))),1,0)</f>
        <v>0</v>
      </c>
      <c r="Y571" s="11" t="s">
        <v>50</v>
      </c>
    </row>
    <row r="572" customFormat="false" ht="15" hidden="false" customHeight="false" outlineLevel="0" collapsed="false">
      <c r="A572" s="25" t="n">
        <v>45629</v>
      </c>
      <c r="B572" s="13" t="n">
        <v>1</v>
      </c>
      <c r="C572" s="26" t="s">
        <v>876</v>
      </c>
      <c r="D572" s="26"/>
      <c r="E572" s="13" t="s">
        <v>541</v>
      </c>
      <c r="F572" s="13" t="s">
        <v>586</v>
      </c>
      <c r="G572" s="13" t="s">
        <v>143</v>
      </c>
      <c r="H572" s="13" t="s">
        <v>20</v>
      </c>
      <c r="I572" s="13" t="s">
        <v>586</v>
      </c>
      <c r="J572" s="13" t="s">
        <v>106</v>
      </c>
      <c r="K572" s="13" t="s">
        <v>107</v>
      </c>
      <c r="L572" s="13" t="s">
        <v>122</v>
      </c>
      <c r="M572" s="13" t="s">
        <v>100</v>
      </c>
      <c r="N572" s="27" t="n">
        <v>251</v>
      </c>
      <c r="O572" s="28" t="n">
        <v>5637.1</v>
      </c>
      <c r="P572" s="27" t="n">
        <v>1118</v>
      </c>
      <c r="Q572" s="29" t="n">
        <v>0.22</v>
      </c>
      <c r="R572" s="28" t="n">
        <v>40</v>
      </c>
      <c r="S572" s="28" t="n">
        <v>199</v>
      </c>
      <c r="T572" s="28" t="n">
        <v>22.46</v>
      </c>
      <c r="U572" s="13" t="n">
        <f aca="false">IFERROR(YEAR(A572),"")</f>
        <v>2024</v>
      </c>
      <c r="V572" s="28" t="n">
        <f aca="false">IFERROR(O572*B572,0)</f>
        <v>5637.1</v>
      </c>
      <c r="W572" s="27" t="n">
        <f aca="false">IFERROR(N572*B572,0)</f>
        <v>251</v>
      </c>
      <c r="X572" s="13" t="n">
        <f aca="false">IF(OR(ISNUMBER(SEARCH("live nation",L572)),ISNUMBER(SEARCH("ocesa",L572))),1,0)</f>
        <v>0</v>
      </c>
      <c r="Y572" s="13" t="s">
        <v>49</v>
      </c>
    </row>
    <row r="573" customFormat="false" ht="15" hidden="false" customHeight="false" outlineLevel="0" collapsed="false">
      <c r="A573" s="30" t="n">
        <v>45627</v>
      </c>
      <c r="B573" s="11" t="n">
        <v>1</v>
      </c>
      <c r="C573" s="31" t="s">
        <v>876</v>
      </c>
      <c r="D573" s="31"/>
      <c r="E573" s="11" t="s">
        <v>882</v>
      </c>
      <c r="F573" s="11" t="s">
        <v>383</v>
      </c>
      <c r="G573" s="11" t="s">
        <v>119</v>
      </c>
      <c r="H573" s="11" t="s">
        <v>20</v>
      </c>
      <c r="I573" s="11" t="s">
        <v>120</v>
      </c>
      <c r="J573" s="11" t="s">
        <v>121</v>
      </c>
      <c r="K573" s="11" t="s">
        <v>107</v>
      </c>
      <c r="L573" s="11" t="s">
        <v>883</v>
      </c>
      <c r="M573" s="11" t="s">
        <v>100</v>
      </c>
      <c r="N573" s="32" t="n">
        <v>281</v>
      </c>
      <c r="O573" s="33" t="n">
        <v>21365</v>
      </c>
      <c r="P573" s="32" t="n">
        <v>1815</v>
      </c>
      <c r="Q573" s="34" t="n">
        <v>0.15</v>
      </c>
      <c r="R573" s="33" t="n">
        <v>35</v>
      </c>
      <c r="S573" s="33" t="n">
        <v>120</v>
      </c>
      <c r="T573" s="33" t="n">
        <v>76.03</v>
      </c>
      <c r="U573" s="11" t="n">
        <f aca="false">IFERROR(YEAR(A573),"")</f>
        <v>2024</v>
      </c>
      <c r="V573" s="33" t="n">
        <f aca="false">IFERROR(O573*B573,0)</f>
        <v>21365</v>
      </c>
      <c r="W573" s="32" t="n">
        <f aca="false">IFERROR(N573*B573,0)</f>
        <v>281</v>
      </c>
      <c r="X573" s="11" t="n">
        <f aca="false">IF(OR(ISNUMBER(SEARCH("live nation",L573)),ISNUMBER(SEARCH("ocesa",L573))),1,0)</f>
        <v>0</v>
      </c>
      <c r="Y573" s="11" t="s">
        <v>49</v>
      </c>
    </row>
    <row r="574" customFormat="false" ht="15" hidden="false" customHeight="false" outlineLevel="0" collapsed="false">
      <c r="A574" s="25" t="n">
        <v>45627</v>
      </c>
      <c r="B574" s="13" t="n">
        <v>1</v>
      </c>
      <c r="C574" s="26" t="s">
        <v>876</v>
      </c>
      <c r="D574" s="26"/>
      <c r="E574" s="13" t="s">
        <v>882</v>
      </c>
      <c r="F574" s="13" t="s">
        <v>383</v>
      </c>
      <c r="G574" s="13" t="s">
        <v>119</v>
      </c>
      <c r="H574" s="13" t="s">
        <v>20</v>
      </c>
      <c r="I574" s="13" t="s">
        <v>120</v>
      </c>
      <c r="J574" s="13" t="s">
        <v>121</v>
      </c>
      <c r="K574" s="13" t="s">
        <v>107</v>
      </c>
      <c r="L574" s="13" t="s">
        <v>122</v>
      </c>
      <c r="M574" s="13" t="s">
        <v>100</v>
      </c>
      <c r="N574" s="27" t="n">
        <v>281</v>
      </c>
      <c r="O574" s="28" t="n">
        <v>21365</v>
      </c>
      <c r="P574" s="27" t="n">
        <v>1700</v>
      </c>
      <c r="Q574" s="29" t="n">
        <v>0.16</v>
      </c>
      <c r="R574" s="28" t="n">
        <v>50</v>
      </c>
      <c r="S574" s="28" t="n">
        <v>120</v>
      </c>
      <c r="T574" s="28" t="n">
        <v>76.03</v>
      </c>
      <c r="U574" s="13" t="n">
        <f aca="false">IFERROR(YEAR(A574),"")</f>
        <v>2024</v>
      </c>
      <c r="V574" s="28" t="n">
        <f aca="false">IFERROR(O574*B574,0)</f>
        <v>21365</v>
      </c>
      <c r="W574" s="27" t="n">
        <f aca="false">IFERROR(N574*B574,0)</f>
        <v>281</v>
      </c>
      <c r="X574" s="13" t="n">
        <f aca="false">IF(OR(ISNUMBER(SEARCH("live nation",L574)),ISNUMBER(SEARCH("ocesa",L574))),1,0)</f>
        <v>0</v>
      </c>
      <c r="Y574" s="13" t="s">
        <v>49</v>
      </c>
    </row>
    <row r="575" customFormat="false" ht="15" hidden="false" customHeight="false" outlineLevel="0" collapsed="false">
      <c r="A575" s="30" t="n">
        <v>45626</v>
      </c>
      <c r="B575" s="11" t="n">
        <v>2</v>
      </c>
      <c r="C575" s="31" t="s">
        <v>63</v>
      </c>
      <c r="D575" s="31"/>
      <c r="E575" s="11" t="s">
        <v>369</v>
      </c>
      <c r="F575" s="11" t="s">
        <v>370</v>
      </c>
      <c r="G575" s="11"/>
      <c r="H575" s="11" t="s">
        <v>21</v>
      </c>
      <c r="I575" s="11"/>
      <c r="J575" s="11" t="s">
        <v>133</v>
      </c>
      <c r="K575" s="11" t="s">
        <v>113</v>
      </c>
      <c r="L575" s="11" t="s">
        <v>145</v>
      </c>
      <c r="M575" s="11" t="s">
        <v>100</v>
      </c>
      <c r="N575" s="32" t="n">
        <v>36874</v>
      </c>
      <c r="O575" s="33" t="n">
        <v>3527556.69</v>
      </c>
      <c r="P575" s="32" t="n">
        <v>37739</v>
      </c>
      <c r="Q575" s="34" t="n">
        <v>0.97</v>
      </c>
      <c r="R575" s="33" t="n">
        <v>86.51</v>
      </c>
      <c r="S575" s="33" t="n">
        <v>1322.16</v>
      </c>
      <c r="T575" s="33" t="n">
        <v>95.67</v>
      </c>
      <c r="U575" s="11" t="n">
        <f aca="false">IFERROR(YEAR(A575),"")</f>
        <v>2024</v>
      </c>
      <c r="V575" s="33" t="n">
        <f aca="false">IFERROR(O575*B575,0)</f>
        <v>7055113.38</v>
      </c>
      <c r="W575" s="32" t="n">
        <f aca="false">IFERROR(N575*B575,0)</f>
        <v>73748</v>
      </c>
      <c r="X575" s="11" t="n">
        <f aca="false">IF(OR(ISNUMBER(SEARCH("live nation",L575)),ISNUMBER(SEARCH("ocesa",L575))),1,0)</f>
        <v>0</v>
      </c>
      <c r="Y575" s="11" t="s">
        <v>50</v>
      </c>
    </row>
    <row r="576" customFormat="false" ht="15" hidden="false" customHeight="false" outlineLevel="0" collapsed="false">
      <c r="A576" s="25" t="n">
        <v>45625</v>
      </c>
      <c r="B576" s="13" t="n">
        <v>1</v>
      </c>
      <c r="C576" s="26" t="s">
        <v>876</v>
      </c>
      <c r="D576" s="26"/>
      <c r="E576" s="13" t="s">
        <v>400</v>
      </c>
      <c r="F576" s="13" t="s">
        <v>203</v>
      </c>
      <c r="G576" s="13" t="s">
        <v>202</v>
      </c>
      <c r="H576" s="13" t="s">
        <v>20</v>
      </c>
      <c r="I576" s="13" t="s">
        <v>203</v>
      </c>
      <c r="J576" s="13" t="s">
        <v>121</v>
      </c>
      <c r="K576" s="13" t="s">
        <v>107</v>
      </c>
      <c r="L576" s="13" t="s">
        <v>390</v>
      </c>
      <c r="M576" s="13" t="s">
        <v>100</v>
      </c>
      <c r="N576" s="27" t="n">
        <v>666</v>
      </c>
      <c r="O576" s="28" t="n">
        <v>60366.6</v>
      </c>
      <c r="P576" s="27" t="n">
        <v>1926</v>
      </c>
      <c r="Q576" s="29" t="n">
        <v>0.34</v>
      </c>
      <c r="R576" s="28" t="n">
        <v>40</v>
      </c>
      <c r="S576" s="28" t="n">
        <v>199</v>
      </c>
      <c r="T576" s="28" t="n">
        <v>90.64</v>
      </c>
      <c r="U576" s="13" t="n">
        <f aca="false">IFERROR(YEAR(A576),"")</f>
        <v>2024</v>
      </c>
      <c r="V576" s="28" t="n">
        <f aca="false">IFERROR(O576*B576,0)</f>
        <v>60366.6</v>
      </c>
      <c r="W576" s="27" t="n">
        <f aca="false">IFERROR(N576*B576,0)</f>
        <v>666</v>
      </c>
      <c r="X576" s="13" t="n">
        <f aca="false">IF(OR(ISNUMBER(SEARCH("live nation",L576)),ISNUMBER(SEARCH("ocesa",L576))),1,0)</f>
        <v>0</v>
      </c>
      <c r="Y576" s="13" t="s">
        <v>49</v>
      </c>
    </row>
    <row r="577" customFormat="false" ht="15" hidden="false" customHeight="false" outlineLevel="0" collapsed="false">
      <c r="A577" s="30" t="n">
        <v>45625</v>
      </c>
      <c r="B577" s="11" t="n">
        <v>2</v>
      </c>
      <c r="C577" s="31" t="s">
        <v>62</v>
      </c>
      <c r="D577" s="31"/>
      <c r="E577" s="11" t="s">
        <v>422</v>
      </c>
      <c r="F577" s="11" t="s">
        <v>423</v>
      </c>
      <c r="G577" s="11"/>
      <c r="H577" s="11" t="s">
        <v>21</v>
      </c>
      <c r="I577" s="11"/>
      <c r="J577" s="11" t="s">
        <v>133</v>
      </c>
      <c r="K577" s="11" t="s">
        <v>113</v>
      </c>
      <c r="L577" s="11" t="s">
        <v>145</v>
      </c>
      <c r="M577" s="11" t="s">
        <v>100</v>
      </c>
      <c r="N577" s="32" t="n">
        <v>38010</v>
      </c>
      <c r="O577" s="33" t="n">
        <v>4201514</v>
      </c>
      <c r="P577" s="32" t="n">
        <v>38010</v>
      </c>
      <c r="Q577" s="34" t="n">
        <v>1</v>
      </c>
      <c r="R577" s="33" t="n">
        <v>84.84</v>
      </c>
      <c r="S577" s="33" t="n">
        <v>151.5</v>
      </c>
      <c r="T577" s="33" t="n">
        <v>110.54</v>
      </c>
      <c r="U577" s="11" t="n">
        <f aca="false">IFERROR(YEAR(A577),"")</f>
        <v>2024</v>
      </c>
      <c r="V577" s="33" t="n">
        <f aca="false">IFERROR(O577*B577,0)</f>
        <v>8403028</v>
      </c>
      <c r="W577" s="32" t="n">
        <f aca="false">IFERROR(N577*B577,0)</f>
        <v>76020</v>
      </c>
      <c r="X577" s="11" t="n">
        <f aca="false">IF(OR(ISNUMBER(SEARCH("live nation",L577)),ISNUMBER(SEARCH("ocesa",L577))),1,0)</f>
        <v>0</v>
      </c>
      <c r="Y577" s="11" t="s">
        <v>50</v>
      </c>
    </row>
    <row r="578" customFormat="false" ht="15" hidden="false" customHeight="false" outlineLevel="0" collapsed="false">
      <c r="A578" s="25" t="n">
        <v>45623</v>
      </c>
      <c r="B578" s="13" t="n">
        <v>1</v>
      </c>
      <c r="C578" s="26" t="s">
        <v>876</v>
      </c>
      <c r="D578" s="26"/>
      <c r="E578" s="13" t="s">
        <v>534</v>
      </c>
      <c r="F578" s="13" t="s">
        <v>535</v>
      </c>
      <c r="G578" s="13" t="s">
        <v>202</v>
      </c>
      <c r="H578" s="13" t="s">
        <v>20</v>
      </c>
      <c r="I578" s="13" t="s">
        <v>232</v>
      </c>
      <c r="J578" s="13" t="s">
        <v>121</v>
      </c>
      <c r="K578" s="13" t="s">
        <v>107</v>
      </c>
      <c r="L578" s="13" t="s">
        <v>390</v>
      </c>
      <c r="M578" s="13" t="s">
        <v>100</v>
      </c>
      <c r="N578" s="27" t="n">
        <v>533</v>
      </c>
      <c r="O578" s="28" t="n">
        <v>54509.9</v>
      </c>
      <c r="P578" s="27" t="n">
        <v>911</v>
      </c>
      <c r="Q578" s="29" t="n">
        <v>0.58</v>
      </c>
      <c r="R578" s="28" t="n">
        <v>40</v>
      </c>
      <c r="S578" s="28" t="n">
        <v>199</v>
      </c>
      <c r="T578" s="28" t="n">
        <v>102.27</v>
      </c>
      <c r="U578" s="13" t="n">
        <f aca="false">IFERROR(YEAR(A578),"")</f>
        <v>2024</v>
      </c>
      <c r="V578" s="28" t="n">
        <f aca="false">IFERROR(O578*B578,0)</f>
        <v>54509.9</v>
      </c>
      <c r="W578" s="27" t="n">
        <f aca="false">IFERROR(N578*B578,0)</f>
        <v>533</v>
      </c>
      <c r="X578" s="13" t="n">
        <f aca="false">IF(OR(ISNUMBER(SEARCH("live nation",L578)),ISNUMBER(SEARCH("ocesa",L578))),1,0)</f>
        <v>0</v>
      </c>
      <c r="Y578" s="13" t="s">
        <v>49</v>
      </c>
    </row>
    <row r="579" customFormat="false" ht="15" hidden="false" customHeight="false" outlineLevel="0" collapsed="false">
      <c r="A579" s="30" t="n">
        <v>45620</v>
      </c>
      <c r="B579" s="11" t="n">
        <v>1</v>
      </c>
      <c r="C579" s="31" t="s">
        <v>272</v>
      </c>
      <c r="D579" s="31" t="s">
        <v>884</v>
      </c>
      <c r="E579" s="11" t="s">
        <v>885</v>
      </c>
      <c r="F579" s="11" t="s">
        <v>886</v>
      </c>
      <c r="G579" s="11" t="s">
        <v>238</v>
      </c>
      <c r="H579" s="11" t="s">
        <v>20</v>
      </c>
      <c r="I579" s="11" t="s">
        <v>886</v>
      </c>
      <c r="J579" s="11" t="s">
        <v>106</v>
      </c>
      <c r="K579" s="11" t="s">
        <v>107</v>
      </c>
      <c r="L579" s="11" t="s">
        <v>500</v>
      </c>
      <c r="M579" s="11" t="s">
        <v>277</v>
      </c>
      <c r="N579" s="32" t="n">
        <v>2454</v>
      </c>
      <c r="O579" s="33" t="n">
        <v>160453.5</v>
      </c>
      <c r="P579" s="32" t="n">
        <v>2454</v>
      </c>
      <c r="Q579" s="34" t="n">
        <v>1</v>
      </c>
      <c r="R579" s="33" t="n">
        <v>59.5</v>
      </c>
      <c r="S579" s="33" t="n">
        <v>75</v>
      </c>
      <c r="T579" s="33" t="n">
        <v>65.38</v>
      </c>
      <c r="U579" s="11" t="n">
        <f aca="false">IFERROR(YEAR(A579),"")</f>
        <v>2024</v>
      </c>
      <c r="V579" s="33" t="n">
        <f aca="false">IFERROR(O579*B579,0)</f>
        <v>160453.5</v>
      </c>
      <c r="W579" s="32" t="n">
        <f aca="false">IFERROR(N579*B579,0)</f>
        <v>2454</v>
      </c>
      <c r="X579" s="11" t="n">
        <f aca="false">IF(OR(ISNUMBER(SEARCH("live nation",L579)),ISNUMBER(SEARCH("ocesa",L579))),1,0)</f>
        <v>0</v>
      </c>
      <c r="Y579" s="11" t="s">
        <v>49</v>
      </c>
    </row>
    <row r="580" customFormat="false" ht="15" hidden="false" customHeight="false" outlineLevel="0" collapsed="false">
      <c r="A580" s="25" t="n">
        <v>45620</v>
      </c>
      <c r="B580" s="13" t="n">
        <v>1</v>
      </c>
      <c r="C580" s="26" t="s">
        <v>887</v>
      </c>
      <c r="D580" s="26"/>
      <c r="E580" s="13" t="s">
        <v>111</v>
      </c>
      <c r="F580" s="13" t="s">
        <v>112</v>
      </c>
      <c r="G580" s="13"/>
      <c r="H580" s="13" t="s">
        <v>21</v>
      </c>
      <c r="I580" s="13"/>
      <c r="J580" s="13" t="s">
        <v>97</v>
      </c>
      <c r="K580" s="13" t="s">
        <v>113</v>
      </c>
      <c r="L580" s="13" t="s">
        <v>321</v>
      </c>
      <c r="M580" s="13" t="s">
        <v>100</v>
      </c>
      <c r="N580" s="27" t="n">
        <v>18000</v>
      </c>
      <c r="O580" s="28" t="n">
        <v>1279317.66</v>
      </c>
      <c r="P580" s="27" t="n">
        <v>18000</v>
      </c>
      <c r="Q580" s="29" t="n">
        <v>1</v>
      </c>
      <c r="R580" s="28" t="n">
        <v>71.07</v>
      </c>
      <c r="S580" s="28" t="n">
        <v>71.07</v>
      </c>
      <c r="T580" s="28" t="n">
        <v>71.07</v>
      </c>
      <c r="U580" s="13" t="n">
        <f aca="false">IFERROR(YEAR(A580),"")</f>
        <v>2024</v>
      </c>
      <c r="V580" s="28" t="n">
        <f aca="false">IFERROR(O580*B580,0)</f>
        <v>1279317.66</v>
      </c>
      <c r="W580" s="27" t="n">
        <f aca="false">IFERROR(N580*B580,0)</f>
        <v>18000</v>
      </c>
      <c r="X580" s="13" t="n">
        <f aca="false">IF(OR(ISNUMBER(SEARCH("live nation",L580)),ISNUMBER(SEARCH("ocesa",L580))),1,0)</f>
        <v>0</v>
      </c>
      <c r="Y580" s="13" t="s">
        <v>50</v>
      </c>
    </row>
    <row r="581" customFormat="false" ht="15" hidden="false" customHeight="false" outlineLevel="0" collapsed="false">
      <c r="A581" s="30" t="n">
        <v>45620</v>
      </c>
      <c r="B581" s="11" t="n">
        <v>1</v>
      </c>
      <c r="C581" s="31" t="s">
        <v>887</v>
      </c>
      <c r="D581" s="31"/>
      <c r="E581" s="11" t="s">
        <v>111</v>
      </c>
      <c r="F581" s="11" t="s">
        <v>112</v>
      </c>
      <c r="G581" s="11"/>
      <c r="H581" s="11" t="s">
        <v>21</v>
      </c>
      <c r="I581" s="11"/>
      <c r="J581" s="11" t="s">
        <v>97</v>
      </c>
      <c r="K581" s="11" t="s">
        <v>113</v>
      </c>
      <c r="L581" s="11" t="s">
        <v>321</v>
      </c>
      <c r="M581" s="11" t="s">
        <v>100</v>
      </c>
      <c r="N581" s="32" t="n">
        <v>18000</v>
      </c>
      <c r="O581" s="33" t="n">
        <v>1279317.66</v>
      </c>
      <c r="P581" s="32" t="n">
        <v>18000</v>
      </c>
      <c r="Q581" s="34" t="n">
        <v>1</v>
      </c>
      <c r="R581" s="33" t="n">
        <v>71.07</v>
      </c>
      <c r="S581" s="33" t="n">
        <v>71.07</v>
      </c>
      <c r="T581" s="33" t="n">
        <v>71.07</v>
      </c>
      <c r="U581" s="11" t="n">
        <f aca="false">IFERROR(YEAR(A581),"")</f>
        <v>2024</v>
      </c>
      <c r="V581" s="33" t="n">
        <f aca="false">IFERROR(O581*B581,0)</f>
        <v>1279317.66</v>
      </c>
      <c r="W581" s="32" t="n">
        <f aca="false">IFERROR(N581*B581,0)</f>
        <v>18000</v>
      </c>
      <c r="X581" s="11" t="n">
        <f aca="false">IF(OR(ISNUMBER(SEARCH("live nation",L581)),ISNUMBER(SEARCH("ocesa",L581))),1,0)</f>
        <v>0</v>
      </c>
      <c r="Y581" s="11" t="s">
        <v>50</v>
      </c>
    </row>
    <row r="582" customFormat="false" ht="15" hidden="false" customHeight="false" outlineLevel="0" collapsed="false">
      <c r="A582" s="25" t="n">
        <v>45619</v>
      </c>
      <c r="B582" s="13" t="n">
        <v>1</v>
      </c>
      <c r="C582" s="26" t="s">
        <v>258</v>
      </c>
      <c r="D582" s="26"/>
      <c r="E582" s="13" t="s">
        <v>187</v>
      </c>
      <c r="F582" s="13" t="s">
        <v>188</v>
      </c>
      <c r="G582" s="13" t="s">
        <v>189</v>
      </c>
      <c r="H582" s="13" t="s">
        <v>20</v>
      </c>
      <c r="I582" s="13" t="s">
        <v>190</v>
      </c>
      <c r="J582" s="13" t="s">
        <v>106</v>
      </c>
      <c r="K582" s="13" t="s">
        <v>107</v>
      </c>
      <c r="L582" s="13" t="s">
        <v>855</v>
      </c>
      <c r="M582" s="13" t="s">
        <v>109</v>
      </c>
      <c r="N582" s="27" t="n">
        <v>424</v>
      </c>
      <c r="O582" s="28" t="n">
        <v>9120</v>
      </c>
      <c r="P582" s="27" t="n">
        <v>500</v>
      </c>
      <c r="Q582" s="29" t="n">
        <v>0.84</v>
      </c>
      <c r="R582" s="28" t="n">
        <v>10</v>
      </c>
      <c r="S582" s="28" t="n">
        <v>30</v>
      </c>
      <c r="T582" s="28" t="n">
        <v>21.51</v>
      </c>
      <c r="U582" s="13" t="n">
        <f aca="false">IFERROR(YEAR(A582),"")</f>
        <v>2024</v>
      </c>
      <c r="V582" s="28" t="n">
        <f aca="false">IFERROR(O582*B582,0)</f>
        <v>9120</v>
      </c>
      <c r="W582" s="27" t="n">
        <f aca="false">IFERROR(N582*B582,0)</f>
        <v>424</v>
      </c>
      <c r="X582" s="13" t="n">
        <f aca="false">IF(OR(ISNUMBER(SEARCH("live nation",L582)),ISNUMBER(SEARCH("ocesa",L582))),1,0)</f>
        <v>0</v>
      </c>
      <c r="Y582" s="13" t="s">
        <v>49</v>
      </c>
    </row>
    <row r="583" customFormat="false" ht="15" hidden="false" customHeight="false" outlineLevel="0" collapsed="false">
      <c r="A583" s="30" t="n">
        <v>45619</v>
      </c>
      <c r="B583" s="11" t="n">
        <v>1</v>
      </c>
      <c r="C583" s="31" t="s">
        <v>887</v>
      </c>
      <c r="D583" s="31"/>
      <c r="E583" s="11" t="s">
        <v>111</v>
      </c>
      <c r="F583" s="11" t="s">
        <v>112</v>
      </c>
      <c r="G583" s="11"/>
      <c r="H583" s="11" t="s">
        <v>21</v>
      </c>
      <c r="I583" s="11"/>
      <c r="J583" s="11" t="s">
        <v>97</v>
      </c>
      <c r="K583" s="11" t="s">
        <v>113</v>
      </c>
      <c r="L583" s="11" t="s">
        <v>321</v>
      </c>
      <c r="M583" s="11" t="s">
        <v>100</v>
      </c>
      <c r="N583" s="32" t="n">
        <v>18000</v>
      </c>
      <c r="O583" s="33" t="n">
        <v>1279277.09</v>
      </c>
      <c r="P583" s="32" t="n">
        <v>18000</v>
      </c>
      <c r="Q583" s="34" t="n">
        <v>1</v>
      </c>
      <c r="R583" s="33" t="n">
        <v>71.07</v>
      </c>
      <c r="S583" s="33" t="n">
        <v>71.07</v>
      </c>
      <c r="T583" s="33" t="n">
        <v>71.07</v>
      </c>
      <c r="U583" s="11" t="n">
        <f aca="false">IFERROR(YEAR(A583),"")</f>
        <v>2024</v>
      </c>
      <c r="V583" s="33" t="n">
        <f aca="false">IFERROR(O583*B583,0)</f>
        <v>1279277.09</v>
      </c>
      <c r="W583" s="32" t="n">
        <f aca="false">IFERROR(N583*B583,0)</f>
        <v>18000</v>
      </c>
      <c r="X583" s="11" t="n">
        <f aca="false">IF(OR(ISNUMBER(SEARCH("live nation",L583)),ISNUMBER(SEARCH("ocesa",L583))),1,0)</f>
        <v>0</v>
      </c>
      <c r="Y583" s="11" t="s">
        <v>50</v>
      </c>
    </row>
    <row r="584" customFormat="false" ht="15" hidden="false" customHeight="false" outlineLevel="0" collapsed="false">
      <c r="A584" s="25" t="n">
        <v>45617</v>
      </c>
      <c r="B584" s="13" t="n">
        <v>1</v>
      </c>
      <c r="C584" s="26" t="s">
        <v>272</v>
      </c>
      <c r="D584" s="26" t="s">
        <v>884</v>
      </c>
      <c r="E584" s="13" t="s">
        <v>888</v>
      </c>
      <c r="F584" s="13" t="s">
        <v>889</v>
      </c>
      <c r="G584" s="13" t="s">
        <v>281</v>
      </c>
      <c r="H584" s="13" t="s">
        <v>20</v>
      </c>
      <c r="I584" s="13" t="s">
        <v>890</v>
      </c>
      <c r="J584" s="13" t="s">
        <v>106</v>
      </c>
      <c r="K584" s="13" t="s">
        <v>107</v>
      </c>
      <c r="L584" s="13" t="s">
        <v>122</v>
      </c>
      <c r="M584" s="13" t="s">
        <v>277</v>
      </c>
      <c r="N584" s="27" t="n">
        <v>3089</v>
      </c>
      <c r="O584" s="28" t="n">
        <v>198114.9</v>
      </c>
      <c r="P584" s="27" t="n">
        <v>3500</v>
      </c>
      <c r="Q584" s="29" t="n">
        <v>0.88</v>
      </c>
      <c r="R584" s="28" t="n">
        <v>59.5</v>
      </c>
      <c r="S584" s="28" t="n">
        <v>450</v>
      </c>
      <c r="T584" s="28" t="n">
        <v>64.14</v>
      </c>
      <c r="U584" s="13" t="n">
        <f aca="false">IFERROR(YEAR(A584),"")</f>
        <v>2024</v>
      </c>
      <c r="V584" s="28" t="n">
        <f aca="false">IFERROR(O584*B584,0)</f>
        <v>198114.9</v>
      </c>
      <c r="W584" s="27" t="n">
        <f aca="false">IFERROR(N584*B584,0)</f>
        <v>3089</v>
      </c>
      <c r="X584" s="13" t="n">
        <f aca="false">IF(OR(ISNUMBER(SEARCH("live nation",L584)),ISNUMBER(SEARCH("ocesa",L584))),1,0)</f>
        <v>0</v>
      </c>
      <c r="Y584" s="13" t="s">
        <v>49</v>
      </c>
    </row>
    <row r="585" customFormat="false" ht="15" hidden="false" customHeight="false" outlineLevel="0" collapsed="false">
      <c r="A585" s="30" t="n">
        <v>45611</v>
      </c>
      <c r="B585" s="11" t="n">
        <v>1</v>
      </c>
      <c r="C585" s="31" t="s">
        <v>272</v>
      </c>
      <c r="D585" s="31"/>
      <c r="E585" s="11" t="s">
        <v>891</v>
      </c>
      <c r="F585" s="11" t="s">
        <v>188</v>
      </c>
      <c r="G585" s="11" t="s">
        <v>189</v>
      </c>
      <c r="H585" s="11" t="s">
        <v>20</v>
      </c>
      <c r="I585" s="11" t="s">
        <v>190</v>
      </c>
      <c r="J585" s="11" t="s">
        <v>121</v>
      </c>
      <c r="K585" s="11" t="s">
        <v>107</v>
      </c>
      <c r="L585" s="11" t="s">
        <v>177</v>
      </c>
      <c r="M585" s="11" t="s">
        <v>277</v>
      </c>
      <c r="N585" s="32" t="n">
        <v>6000</v>
      </c>
      <c r="O585" s="33" t="n">
        <v>372900</v>
      </c>
      <c r="P585" s="32" t="n">
        <v>6000</v>
      </c>
      <c r="Q585" s="34" t="n">
        <v>1</v>
      </c>
      <c r="R585" s="33" t="n">
        <v>59.5</v>
      </c>
      <c r="S585" s="33" t="n">
        <v>89.5</v>
      </c>
      <c r="T585" s="33" t="n">
        <v>62.15</v>
      </c>
      <c r="U585" s="11" t="n">
        <f aca="false">IFERROR(YEAR(A585),"")</f>
        <v>2024</v>
      </c>
      <c r="V585" s="33" t="n">
        <f aca="false">IFERROR(O585*B585,0)</f>
        <v>372900</v>
      </c>
      <c r="W585" s="32" t="n">
        <f aca="false">IFERROR(N585*B585,0)</f>
        <v>6000</v>
      </c>
      <c r="X585" s="11" t="n">
        <f aca="false">IF(OR(ISNUMBER(SEARCH("live nation",L585)),ISNUMBER(SEARCH("ocesa",L585))),1,0)</f>
        <v>1</v>
      </c>
      <c r="Y585" s="11" t="s">
        <v>49</v>
      </c>
    </row>
    <row r="586" customFormat="false" ht="15" hidden="false" customHeight="false" outlineLevel="0" collapsed="false">
      <c r="A586" s="25" t="n">
        <v>45611</v>
      </c>
      <c r="B586" s="13" t="n">
        <v>1</v>
      </c>
      <c r="C586" s="26" t="s">
        <v>800</v>
      </c>
      <c r="D586" s="26"/>
      <c r="E586" s="13" t="s">
        <v>853</v>
      </c>
      <c r="F586" s="13" t="s">
        <v>126</v>
      </c>
      <c r="G586" s="13" t="s">
        <v>127</v>
      </c>
      <c r="H586" s="13" t="s">
        <v>128</v>
      </c>
      <c r="I586" s="13"/>
      <c r="J586" s="13" t="s">
        <v>106</v>
      </c>
      <c r="K586" s="13" t="s">
        <v>129</v>
      </c>
      <c r="L586" s="13" t="s">
        <v>892</v>
      </c>
      <c r="M586" s="13" t="s">
        <v>277</v>
      </c>
      <c r="N586" s="27" t="n">
        <v>2200</v>
      </c>
      <c r="O586" s="28" t="n">
        <v>141214.9</v>
      </c>
      <c r="P586" s="27" t="n">
        <v>2200</v>
      </c>
      <c r="Q586" s="29" t="n">
        <v>1</v>
      </c>
      <c r="R586" s="28" t="n">
        <v>49.42</v>
      </c>
      <c r="S586" s="28" t="n">
        <v>142.23</v>
      </c>
      <c r="T586" s="28" t="n">
        <v>64.19</v>
      </c>
      <c r="U586" s="13" t="n">
        <f aca="false">IFERROR(YEAR(A586),"")</f>
        <v>2024</v>
      </c>
      <c r="V586" s="28" t="n">
        <f aca="false">IFERROR(O586*B586,0)</f>
        <v>141214.9</v>
      </c>
      <c r="W586" s="27" t="n">
        <f aca="false">IFERROR(N586*B586,0)</f>
        <v>2200</v>
      </c>
      <c r="X586" s="13" t="n">
        <f aca="false">IF(OR(ISNUMBER(SEARCH("live nation",L586)),ISNUMBER(SEARCH("ocesa",L586))),1,0)</f>
        <v>0</v>
      </c>
      <c r="Y586" s="13" t="s">
        <v>49</v>
      </c>
    </row>
    <row r="587" customFormat="false" ht="15" hidden="false" customHeight="false" outlineLevel="0" collapsed="false">
      <c r="A587" s="30" t="n">
        <v>45609</v>
      </c>
      <c r="B587" s="11" t="n">
        <v>1</v>
      </c>
      <c r="C587" s="31" t="s">
        <v>893</v>
      </c>
      <c r="D587" s="31"/>
      <c r="E587" s="11" t="s">
        <v>111</v>
      </c>
      <c r="F587" s="11" t="s">
        <v>112</v>
      </c>
      <c r="G587" s="11"/>
      <c r="H587" s="11" t="s">
        <v>21</v>
      </c>
      <c r="I587" s="11"/>
      <c r="J587" s="11" t="s">
        <v>97</v>
      </c>
      <c r="K587" s="11" t="s">
        <v>113</v>
      </c>
      <c r="L587" s="11" t="s">
        <v>321</v>
      </c>
      <c r="M587" s="11" t="s">
        <v>100</v>
      </c>
      <c r="N587" s="32" t="n">
        <v>18000</v>
      </c>
      <c r="O587" s="33" t="n">
        <v>1278640.17</v>
      </c>
      <c r="P587" s="32" t="n">
        <v>18000</v>
      </c>
      <c r="Q587" s="34" t="n">
        <v>1</v>
      </c>
      <c r="R587" s="33" t="n">
        <v>71.04</v>
      </c>
      <c r="S587" s="33" t="n">
        <v>71.04</v>
      </c>
      <c r="T587" s="33" t="n">
        <v>71.04</v>
      </c>
      <c r="U587" s="11" t="n">
        <f aca="false">IFERROR(YEAR(A587),"")</f>
        <v>2024</v>
      </c>
      <c r="V587" s="33" t="n">
        <f aca="false">IFERROR(O587*B587,0)</f>
        <v>1278640.17</v>
      </c>
      <c r="W587" s="32" t="n">
        <f aca="false">IFERROR(N587*B587,0)</f>
        <v>18000</v>
      </c>
      <c r="X587" s="11" t="n">
        <f aca="false">IF(OR(ISNUMBER(SEARCH("live nation",L587)),ISNUMBER(SEARCH("ocesa",L587))),1,0)</f>
        <v>0</v>
      </c>
      <c r="Y587" s="11" t="s">
        <v>50</v>
      </c>
    </row>
    <row r="588" customFormat="false" ht="15" hidden="false" customHeight="false" outlineLevel="0" collapsed="false">
      <c r="A588" s="25" t="n">
        <v>45608</v>
      </c>
      <c r="B588" s="13" t="n">
        <v>1</v>
      </c>
      <c r="C588" s="26" t="s">
        <v>559</v>
      </c>
      <c r="D588" s="26"/>
      <c r="E588" s="13" t="s">
        <v>312</v>
      </c>
      <c r="F588" s="13" t="s">
        <v>313</v>
      </c>
      <c r="G588" s="13"/>
      <c r="H588" s="13" t="s">
        <v>27</v>
      </c>
      <c r="I588" s="13"/>
      <c r="J588" s="13" t="s">
        <v>97</v>
      </c>
      <c r="K588" s="13" t="s">
        <v>314</v>
      </c>
      <c r="L588" s="13" t="s">
        <v>531</v>
      </c>
      <c r="M588" s="13" t="s">
        <v>100</v>
      </c>
      <c r="N588" s="27" t="n">
        <v>8074</v>
      </c>
      <c r="O588" s="28" t="n">
        <v>1693197.43</v>
      </c>
      <c r="P588" s="27" t="n">
        <v>9203</v>
      </c>
      <c r="Q588" s="29" t="n">
        <v>0.87</v>
      </c>
      <c r="R588" s="28" t="n">
        <v>88.63</v>
      </c>
      <c r="S588" s="28" t="n">
        <v>513.8</v>
      </c>
      <c r="T588" s="28" t="n">
        <v>209.71</v>
      </c>
      <c r="U588" s="13" t="n">
        <f aca="false">IFERROR(YEAR(A588),"")</f>
        <v>2024</v>
      </c>
      <c r="V588" s="28" t="n">
        <f aca="false">IFERROR(O588*B588,0)</f>
        <v>1693197.43</v>
      </c>
      <c r="W588" s="27" t="n">
        <f aca="false">IFERROR(N588*B588,0)</f>
        <v>8074</v>
      </c>
      <c r="X588" s="13" t="n">
        <f aca="false">IF(OR(ISNUMBER(SEARCH("live nation",L588)),ISNUMBER(SEARCH("ocesa",L588))),1,0)</f>
        <v>0</v>
      </c>
      <c r="Y588" s="13" t="s">
        <v>49</v>
      </c>
    </row>
    <row r="589" customFormat="false" ht="15" hidden="false" customHeight="false" outlineLevel="0" collapsed="false">
      <c r="A589" s="30" t="n">
        <v>45608</v>
      </c>
      <c r="B589" s="11" t="n">
        <v>1</v>
      </c>
      <c r="C589" s="31" t="s">
        <v>800</v>
      </c>
      <c r="D589" s="31"/>
      <c r="E589" s="11" t="s">
        <v>894</v>
      </c>
      <c r="F589" s="11" t="s">
        <v>209</v>
      </c>
      <c r="G589" s="11" t="s">
        <v>208</v>
      </c>
      <c r="H589" s="11" t="s">
        <v>20</v>
      </c>
      <c r="I589" s="11" t="s">
        <v>209</v>
      </c>
      <c r="J589" s="11" t="s">
        <v>106</v>
      </c>
      <c r="K589" s="11" t="s">
        <v>107</v>
      </c>
      <c r="L589" s="11" t="s">
        <v>545</v>
      </c>
      <c r="M589" s="11" t="s">
        <v>277</v>
      </c>
      <c r="N589" s="32" t="n">
        <v>2568</v>
      </c>
      <c r="O589" s="33" t="n">
        <v>185921</v>
      </c>
      <c r="P589" s="32" t="n">
        <v>2568</v>
      </c>
      <c r="Q589" s="34" t="n">
        <v>1</v>
      </c>
      <c r="R589" s="33" t="n">
        <v>52</v>
      </c>
      <c r="S589" s="33" t="n">
        <v>197</v>
      </c>
      <c r="T589" s="33" t="n">
        <v>72.4</v>
      </c>
      <c r="U589" s="11" t="n">
        <f aca="false">IFERROR(YEAR(A589),"")</f>
        <v>2024</v>
      </c>
      <c r="V589" s="33" t="n">
        <f aca="false">IFERROR(O589*B589,0)</f>
        <v>185921</v>
      </c>
      <c r="W589" s="32" t="n">
        <f aca="false">IFERROR(N589*B589,0)</f>
        <v>2568</v>
      </c>
      <c r="X589" s="11" t="n">
        <f aca="false">IF(OR(ISNUMBER(SEARCH("live nation",L589)),ISNUMBER(SEARCH("ocesa",L589))),1,0)</f>
        <v>0</v>
      </c>
      <c r="Y589" s="11" t="s">
        <v>49</v>
      </c>
    </row>
    <row r="590" customFormat="false" ht="15" hidden="false" customHeight="false" outlineLevel="0" collapsed="false">
      <c r="A590" s="25" t="n">
        <v>45608</v>
      </c>
      <c r="B590" s="13" t="n">
        <v>1</v>
      </c>
      <c r="C590" s="26" t="s">
        <v>893</v>
      </c>
      <c r="D590" s="26"/>
      <c r="E590" s="13" t="s">
        <v>111</v>
      </c>
      <c r="F590" s="13" t="s">
        <v>112</v>
      </c>
      <c r="G590" s="13"/>
      <c r="H590" s="13" t="s">
        <v>21</v>
      </c>
      <c r="I590" s="13"/>
      <c r="J590" s="13" t="s">
        <v>97</v>
      </c>
      <c r="K590" s="13" t="s">
        <v>113</v>
      </c>
      <c r="L590" s="13" t="s">
        <v>321</v>
      </c>
      <c r="M590" s="13" t="s">
        <v>100</v>
      </c>
      <c r="N590" s="27" t="n">
        <v>18000</v>
      </c>
      <c r="O590" s="28" t="n">
        <v>1289967.51</v>
      </c>
      <c r="P590" s="27" t="n">
        <v>18000</v>
      </c>
      <c r="Q590" s="29" t="n">
        <v>1</v>
      </c>
      <c r="R590" s="28" t="n">
        <v>71.66</v>
      </c>
      <c r="S590" s="28" t="n">
        <v>71.66</v>
      </c>
      <c r="T590" s="28" t="n">
        <v>71.66</v>
      </c>
      <c r="U590" s="13" t="n">
        <f aca="false">IFERROR(YEAR(A590),"")</f>
        <v>2024</v>
      </c>
      <c r="V590" s="28" t="n">
        <f aca="false">IFERROR(O590*B590,0)</f>
        <v>1289967.51</v>
      </c>
      <c r="W590" s="27" t="n">
        <f aca="false">IFERROR(N590*B590,0)</f>
        <v>18000</v>
      </c>
      <c r="X590" s="13" t="n">
        <f aca="false">IF(OR(ISNUMBER(SEARCH("live nation",L590)),ISNUMBER(SEARCH("ocesa",L590))),1,0)</f>
        <v>0</v>
      </c>
      <c r="Y590" s="13" t="s">
        <v>50</v>
      </c>
    </row>
    <row r="591" customFormat="false" ht="15" hidden="false" customHeight="false" outlineLevel="0" collapsed="false">
      <c r="A591" s="30" t="n">
        <v>45605</v>
      </c>
      <c r="B591" s="11" t="n">
        <v>2</v>
      </c>
      <c r="C591" s="31" t="s">
        <v>62</v>
      </c>
      <c r="D591" s="31"/>
      <c r="E591" s="11" t="s">
        <v>486</v>
      </c>
      <c r="F591" s="11" t="s">
        <v>203</v>
      </c>
      <c r="G591" s="11" t="s">
        <v>202</v>
      </c>
      <c r="H591" s="11" t="s">
        <v>20</v>
      </c>
      <c r="I591" s="11" t="s">
        <v>203</v>
      </c>
      <c r="J591" s="11" t="s">
        <v>133</v>
      </c>
      <c r="K591" s="11" t="s">
        <v>107</v>
      </c>
      <c r="L591" s="11" t="s">
        <v>177</v>
      </c>
      <c r="M591" s="11" t="s">
        <v>100</v>
      </c>
      <c r="N591" s="32" t="n">
        <v>21534</v>
      </c>
      <c r="O591" s="33" t="n">
        <v>3949399.75</v>
      </c>
      <c r="P591" s="32" t="n">
        <v>21534</v>
      </c>
      <c r="Q591" s="34" t="n">
        <v>1</v>
      </c>
      <c r="R591" s="33" t="n">
        <v>183.4</v>
      </c>
      <c r="S591" s="33" t="n">
        <v>183.4</v>
      </c>
      <c r="T591" s="33" t="n">
        <v>183.4</v>
      </c>
      <c r="U591" s="11" t="n">
        <f aca="false">IFERROR(YEAR(A591),"")</f>
        <v>2024</v>
      </c>
      <c r="V591" s="33" t="n">
        <f aca="false">IFERROR(O591*B591,0)</f>
        <v>7898799.5</v>
      </c>
      <c r="W591" s="32" t="n">
        <f aca="false">IFERROR(N591*B591,0)</f>
        <v>43068</v>
      </c>
      <c r="X591" s="11" t="n">
        <f aca="false">IF(OR(ISNUMBER(SEARCH("live nation",L591)),ISNUMBER(SEARCH("ocesa",L591))),1,0)</f>
        <v>1</v>
      </c>
      <c r="Y591" s="11" t="s">
        <v>49</v>
      </c>
    </row>
    <row r="592" customFormat="false" ht="15" hidden="false" customHeight="false" outlineLevel="0" collapsed="false">
      <c r="A592" s="25" t="n">
        <v>45605</v>
      </c>
      <c r="B592" s="13" t="n">
        <v>2</v>
      </c>
      <c r="C592" s="26" t="s">
        <v>64</v>
      </c>
      <c r="D592" s="26"/>
      <c r="E592" s="13" t="s">
        <v>457</v>
      </c>
      <c r="F592" s="13" t="s">
        <v>458</v>
      </c>
      <c r="G592" s="13"/>
      <c r="H592" s="13" t="s">
        <v>21</v>
      </c>
      <c r="I592" s="13"/>
      <c r="J592" s="13" t="s">
        <v>133</v>
      </c>
      <c r="K592" s="13" t="s">
        <v>113</v>
      </c>
      <c r="L592" s="13" t="s">
        <v>145</v>
      </c>
      <c r="M592" s="13" t="s">
        <v>100</v>
      </c>
      <c r="N592" s="27" t="n">
        <v>29973</v>
      </c>
      <c r="O592" s="28" t="n">
        <v>3229588.34</v>
      </c>
      <c r="P592" s="27" t="n">
        <v>30661</v>
      </c>
      <c r="Q592" s="29" t="n">
        <v>0.97</v>
      </c>
      <c r="R592" s="28" t="n">
        <v>0.6</v>
      </c>
      <c r="S592" s="28" t="n">
        <v>1.15</v>
      </c>
      <c r="T592" s="28" t="n">
        <v>107.75</v>
      </c>
      <c r="U592" s="13" t="n">
        <f aca="false">IFERROR(YEAR(A592),"")</f>
        <v>2024</v>
      </c>
      <c r="V592" s="28" t="n">
        <f aca="false">IFERROR(O592*B592,0)</f>
        <v>6459176.68</v>
      </c>
      <c r="W592" s="27" t="n">
        <f aca="false">IFERROR(N592*B592,0)</f>
        <v>59946</v>
      </c>
      <c r="X592" s="13" t="n">
        <f aca="false">IF(OR(ISNUMBER(SEARCH("live nation",L592)),ISNUMBER(SEARCH("ocesa",L592))),1,0)</f>
        <v>0</v>
      </c>
      <c r="Y592" s="13" t="s">
        <v>50</v>
      </c>
    </row>
    <row r="593" customFormat="false" ht="15" hidden="false" customHeight="false" outlineLevel="0" collapsed="false">
      <c r="A593" s="30" t="n">
        <v>45602</v>
      </c>
      <c r="B593" s="11" t="n">
        <v>1</v>
      </c>
      <c r="C593" s="31" t="s">
        <v>272</v>
      </c>
      <c r="D593" s="31"/>
      <c r="E593" s="11" t="s">
        <v>895</v>
      </c>
      <c r="F593" s="11" t="s">
        <v>896</v>
      </c>
      <c r="G593" s="11" t="s">
        <v>167</v>
      </c>
      <c r="H593" s="11" t="s">
        <v>20</v>
      </c>
      <c r="I593" s="11" t="s">
        <v>471</v>
      </c>
      <c r="J593" s="11" t="s">
        <v>121</v>
      </c>
      <c r="K593" s="11" t="s">
        <v>107</v>
      </c>
      <c r="L593" s="11" t="s">
        <v>122</v>
      </c>
      <c r="M593" s="11" t="s">
        <v>277</v>
      </c>
      <c r="N593" s="32" t="n">
        <v>4856</v>
      </c>
      <c r="O593" s="33" t="n">
        <v>292876</v>
      </c>
      <c r="P593" s="32" t="n">
        <v>5123</v>
      </c>
      <c r="Q593" s="34" t="n">
        <v>0.94</v>
      </c>
      <c r="R593" s="33" t="n">
        <v>44</v>
      </c>
      <c r="S593" s="33" t="n">
        <v>89</v>
      </c>
      <c r="T593" s="33" t="n">
        <v>60.31</v>
      </c>
      <c r="U593" s="11" t="n">
        <f aca="false">IFERROR(YEAR(A593),"")</f>
        <v>2024</v>
      </c>
      <c r="V593" s="33" t="n">
        <f aca="false">IFERROR(O593*B593,0)</f>
        <v>292876</v>
      </c>
      <c r="W593" s="32" t="n">
        <f aca="false">IFERROR(N593*B593,0)</f>
        <v>4856</v>
      </c>
      <c r="X593" s="11" t="n">
        <f aca="false">IF(OR(ISNUMBER(SEARCH("live nation",L593)),ISNUMBER(SEARCH("ocesa",L593))),1,0)</f>
        <v>0</v>
      </c>
      <c r="Y593" s="11" t="s">
        <v>49</v>
      </c>
    </row>
    <row r="594" customFormat="false" ht="15" hidden="false" customHeight="false" outlineLevel="0" collapsed="false">
      <c r="A594" s="25" t="n">
        <v>45601</v>
      </c>
      <c r="B594" s="13" t="n">
        <v>2</v>
      </c>
      <c r="C594" s="26" t="s">
        <v>62</v>
      </c>
      <c r="D594" s="26"/>
      <c r="E594" s="13" t="s">
        <v>230</v>
      </c>
      <c r="F594" s="13" t="s">
        <v>231</v>
      </c>
      <c r="G594" s="13" t="s">
        <v>202</v>
      </c>
      <c r="H594" s="13" t="s">
        <v>20</v>
      </c>
      <c r="I594" s="13" t="s">
        <v>232</v>
      </c>
      <c r="J594" s="13" t="s">
        <v>97</v>
      </c>
      <c r="K594" s="13" t="s">
        <v>107</v>
      </c>
      <c r="L594" s="13" t="s">
        <v>177</v>
      </c>
      <c r="M594" s="13" t="s">
        <v>100</v>
      </c>
      <c r="N594" s="27" t="n">
        <v>23410</v>
      </c>
      <c r="O594" s="28" t="n">
        <v>1494356.6</v>
      </c>
      <c r="P594" s="27" t="n">
        <v>23410</v>
      </c>
      <c r="Q594" s="29" t="n">
        <v>1</v>
      </c>
      <c r="R594" s="28" t="n">
        <v>56.67</v>
      </c>
      <c r="S594" s="28" t="n">
        <v>190</v>
      </c>
      <c r="T594" s="28" t="n">
        <v>63.83</v>
      </c>
      <c r="U594" s="13" t="n">
        <f aca="false">IFERROR(YEAR(A594),"")</f>
        <v>2024</v>
      </c>
      <c r="V594" s="28" t="n">
        <f aca="false">IFERROR(O594*B594,0)</f>
        <v>2988713.2</v>
      </c>
      <c r="W594" s="27" t="n">
        <f aca="false">IFERROR(N594*B594,0)</f>
        <v>46820</v>
      </c>
      <c r="X594" s="13" t="n">
        <f aca="false">IF(OR(ISNUMBER(SEARCH("live nation",L594)),ISNUMBER(SEARCH("ocesa",L594))),1,0)</f>
        <v>1</v>
      </c>
      <c r="Y594" s="13" t="s">
        <v>49</v>
      </c>
    </row>
    <row r="595" customFormat="false" ht="15" hidden="false" customHeight="false" outlineLevel="0" collapsed="false">
      <c r="A595" s="30" t="n">
        <v>45598</v>
      </c>
      <c r="B595" s="11" t="n">
        <v>1</v>
      </c>
      <c r="C595" s="31" t="s">
        <v>94</v>
      </c>
      <c r="D595" s="31"/>
      <c r="E595" s="11" t="s">
        <v>95</v>
      </c>
      <c r="F595" s="11" t="s">
        <v>96</v>
      </c>
      <c r="G595" s="11"/>
      <c r="H595" s="11" t="s">
        <v>28</v>
      </c>
      <c r="I595" s="11"/>
      <c r="J595" s="11" t="s">
        <v>97</v>
      </c>
      <c r="K595" s="11" t="s">
        <v>98</v>
      </c>
      <c r="L595" s="11" t="s">
        <v>99</v>
      </c>
      <c r="M595" s="11" t="s">
        <v>100</v>
      </c>
      <c r="N595" s="32" t="n">
        <v>10866</v>
      </c>
      <c r="O595" s="33" t="n">
        <v>1617642.29</v>
      </c>
      <c r="P595" s="32" t="n">
        <v>11930</v>
      </c>
      <c r="Q595" s="34" t="n">
        <v>0.91</v>
      </c>
      <c r="R595" s="33" t="n">
        <v>67.12</v>
      </c>
      <c r="S595" s="33" t="n">
        <v>195.2</v>
      </c>
      <c r="T595" s="33" t="n">
        <v>148.87</v>
      </c>
      <c r="U595" s="11" t="n">
        <f aca="false">IFERROR(YEAR(A595),"")</f>
        <v>2024</v>
      </c>
      <c r="V595" s="33" t="n">
        <f aca="false">IFERROR(O595*B595,0)</f>
        <v>1617642.29</v>
      </c>
      <c r="W595" s="32" t="n">
        <f aca="false">IFERROR(N595*B595,0)</f>
        <v>10866</v>
      </c>
      <c r="X595" s="11" t="n">
        <f aca="false">IF(OR(ISNUMBER(SEARCH("live nation",L595)),ISNUMBER(SEARCH("ocesa",L595))),1,0)</f>
        <v>0</v>
      </c>
      <c r="Y595" s="11" t="s">
        <v>49</v>
      </c>
    </row>
    <row r="596" customFormat="false" ht="15" hidden="false" customHeight="false" outlineLevel="0" collapsed="false">
      <c r="A596" s="25" t="n">
        <v>45597</v>
      </c>
      <c r="B596" s="13" t="n">
        <v>1</v>
      </c>
      <c r="C596" s="26" t="s">
        <v>62</v>
      </c>
      <c r="D596" s="26"/>
      <c r="E596" s="13" t="s">
        <v>778</v>
      </c>
      <c r="F596" s="13" t="s">
        <v>779</v>
      </c>
      <c r="G596" s="13" t="s">
        <v>143</v>
      </c>
      <c r="H596" s="13" t="s">
        <v>20</v>
      </c>
      <c r="I596" s="13" t="s">
        <v>779</v>
      </c>
      <c r="J596" s="13" t="s">
        <v>97</v>
      </c>
      <c r="K596" s="13" t="s">
        <v>107</v>
      </c>
      <c r="L596" s="13" t="s">
        <v>177</v>
      </c>
      <c r="M596" s="13" t="s">
        <v>100</v>
      </c>
      <c r="N596" s="27" t="n">
        <v>12366</v>
      </c>
      <c r="O596" s="28" t="n">
        <v>1572153</v>
      </c>
      <c r="P596" s="27" t="n">
        <v>12366</v>
      </c>
      <c r="Q596" s="29" t="n">
        <v>1</v>
      </c>
      <c r="R596" s="28" t="n">
        <v>55.5</v>
      </c>
      <c r="S596" s="28" t="n">
        <v>195.5</v>
      </c>
      <c r="T596" s="28" t="n">
        <v>127.14</v>
      </c>
      <c r="U596" s="13" t="n">
        <f aca="false">IFERROR(YEAR(A596),"")</f>
        <v>2024</v>
      </c>
      <c r="V596" s="28" t="n">
        <f aca="false">IFERROR(O596*B596,0)</f>
        <v>1572153</v>
      </c>
      <c r="W596" s="27" t="n">
        <f aca="false">IFERROR(N596*B596,0)</f>
        <v>12366</v>
      </c>
      <c r="X596" s="13" t="n">
        <f aca="false">IF(OR(ISNUMBER(SEARCH("live nation",L596)),ISNUMBER(SEARCH("ocesa",L596))),1,0)</f>
        <v>1</v>
      </c>
      <c r="Y596" s="13" t="s">
        <v>49</v>
      </c>
    </row>
    <row r="597" customFormat="false" ht="15" hidden="false" customHeight="false" outlineLevel="0" collapsed="false">
      <c r="A597" s="30" t="n">
        <v>45597</v>
      </c>
      <c r="B597" s="11" t="n">
        <v>3</v>
      </c>
      <c r="C597" s="31" t="s">
        <v>63</v>
      </c>
      <c r="D597" s="31"/>
      <c r="E597" s="11" t="s">
        <v>146</v>
      </c>
      <c r="F597" s="11" t="s">
        <v>147</v>
      </c>
      <c r="G597" s="11"/>
      <c r="H597" s="11" t="s">
        <v>24</v>
      </c>
      <c r="I597" s="11"/>
      <c r="J597" s="11" t="s">
        <v>97</v>
      </c>
      <c r="K597" s="11" t="s">
        <v>148</v>
      </c>
      <c r="L597" s="11" t="s">
        <v>145</v>
      </c>
      <c r="M597" s="11" t="s">
        <v>100</v>
      </c>
      <c r="N597" s="32" t="n">
        <v>10527</v>
      </c>
      <c r="O597" s="33" t="n">
        <v>1156336.34</v>
      </c>
      <c r="P597" s="32" t="n">
        <v>10527</v>
      </c>
      <c r="Q597" s="34" t="n">
        <v>1</v>
      </c>
      <c r="R597" s="33" t="n">
        <v>0.08</v>
      </c>
      <c r="S597" s="33" t="n">
        <v>0.1</v>
      </c>
      <c r="T597" s="33" t="n">
        <v>109.84</v>
      </c>
      <c r="U597" s="11" t="n">
        <f aca="false">IFERROR(YEAR(A597),"")</f>
        <v>2024</v>
      </c>
      <c r="V597" s="33" t="n">
        <f aca="false">IFERROR(O597*B597,0)</f>
        <v>3469009.02</v>
      </c>
      <c r="W597" s="32" t="n">
        <f aca="false">IFERROR(N597*B597,0)</f>
        <v>31581</v>
      </c>
      <c r="X597" s="11" t="n">
        <f aca="false">IF(OR(ISNUMBER(SEARCH("live nation",L597)),ISNUMBER(SEARCH("ocesa",L597))),1,0)</f>
        <v>0</v>
      </c>
      <c r="Y597" s="11" t="s">
        <v>50</v>
      </c>
    </row>
    <row r="598" customFormat="false" ht="15" hidden="false" customHeight="false" outlineLevel="0" collapsed="false">
      <c r="A598" s="25" t="n">
        <v>45596</v>
      </c>
      <c r="B598" s="13" t="n">
        <v>1</v>
      </c>
      <c r="C598" s="26" t="s">
        <v>62</v>
      </c>
      <c r="D598" s="26"/>
      <c r="E598" s="13" t="s">
        <v>778</v>
      </c>
      <c r="F598" s="13" t="s">
        <v>779</v>
      </c>
      <c r="G598" s="13" t="s">
        <v>143</v>
      </c>
      <c r="H598" s="13" t="s">
        <v>20</v>
      </c>
      <c r="I598" s="13" t="s">
        <v>779</v>
      </c>
      <c r="J598" s="13" t="s">
        <v>97</v>
      </c>
      <c r="K598" s="13" t="s">
        <v>107</v>
      </c>
      <c r="L598" s="13" t="s">
        <v>177</v>
      </c>
      <c r="M598" s="13" t="s">
        <v>100</v>
      </c>
      <c r="N598" s="27" t="n">
        <v>11559</v>
      </c>
      <c r="O598" s="28" t="n">
        <v>1479185</v>
      </c>
      <c r="P598" s="27" t="n">
        <v>11559</v>
      </c>
      <c r="Q598" s="29" t="n">
        <v>1</v>
      </c>
      <c r="R598" s="28" t="n">
        <v>55.5</v>
      </c>
      <c r="S598" s="28" t="n">
        <v>195.5</v>
      </c>
      <c r="T598" s="28" t="n">
        <v>127.97</v>
      </c>
      <c r="U598" s="13" t="n">
        <f aca="false">IFERROR(YEAR(A598),"")</f>
        <v>2024</v>
      </c>
      <c r="V598" s="28" t="n">
        <f aca="false">IFERROR(O598*B598,0)</f>
        <v>1479185</v>
      </c>
      <c r="W598" s="27" t="n">
        <f aca="false">IFERROR(N598*B598,0)</f>
        <v>11559</v>
      </c>
      <c r="X598" s="13" t="n">
        <f aca="false">IF(OR(ISNUMBER(SEARCH("live nation",L598)),ISNUMBER(SEARCH("ocesa",L598))),1,0)</f>
        <v>1</v>
      </c>
      <c r="Y598" s="13" t="s">
        <v>49</v>
      </c>
    </row>
    <row r="599" customFormat="false" ht="15" hidden="false" customHeight="false" outlineLevel="0" collapsed="false">
      <c r="A599" s="30" t="n">
        <v>45592</v>
      </c>
      <c r="B599" s="11" t="n">
        <v>1</v>
      </c>
      <c r="C599" s="31" t="s">
        <v>897</v>
      </c>
      <c r="D599" s="31"/>
      <c r="E599" s="11" t="s">
        <v>111</v>
      </c>
      <c r="F599" s="11" t="s">
        <v>112</v>
      </c>
      <c r="G599" s="11"/>
      <c r="H599" s="11" t="s">
        <v>21</v>
      </c>
      <c r="I599" s="11"/>
      <c r="J599" s="11" t="s">
        <v>97</v>
      </c>
      <c r="K599" s="11" t="s">
        <v>113</v>
      </c>
      <c r="L599" s="11" t="s">
        <v>898</v>
      </c>
      <c r="M599" s="11" t="s">
        <v>100</v>
      </c>
      <c r="N599" s="32" t="n">
        <v>18767</v>
      </c>
      <c r="O599" s="33" t="n">
        <v>1540450.46</v>
      </c>
      <c r="P599" s="32" t="n">
        <v>18767</v>
      </c>
      <c r="Q599" s="34" t="n">
        <v>1</v>
      </c>
      <c r="R599" s="33" t="n">
        <v>82.08</v>
      </c>
      <c r="S599" s="33" t="n">
        <v>82.08</v>
      </c>
      <c r="T599" s="33" t="n">
        <v>82.08</v>
      </c>
      <c r="U599" s="11" t="n">
        <f aca="false">IFERROR(YEAR(A599),"")</f>
        <v>2024</v>
      </c>
      <c r="V599" s="33" t="n">
        <f aca="false">IFERROR(O599*B599,0)</f>
        <v>1540450.46</v>
      </c>
      <c r="W599" s="32" t="n">
        <f aca="false">IFERROR(N599*B599,0)</f>
        <v>18767</v>
      </c>
      <c r="X599" s="11" t="n">
        <f aca="false">IF(OR(ISNUMBER(SEARCH("live nation",L599)),ISNUMBER(SEARCH("ocesa",L599))),1,0)</f>
        <v>0</v>
      </c>
      <c r="Y599" s="11" t="s">
        <v>50</v>
      </c>
    </row>
    <row r="600" customFormat="false" ht="15" hidden="false" customHeight="false" outlineLevel="0" collapsed="false">
      <c r="A600" s="25" t="n">
        <v>45591</v>
      </c>
      <c r="B600" s="13" t="n">
        <v>1</v>
      </c>
      <c r="C600" s="26" t="s">
        <v>899</v>
      </c>
      <c r="D600" s="26"/>
      <c r="E600" s="13" t="s">
        <v>900</v>
      </c>
      <c r="F600" s="13" t="s">
        <v>203</v>
      </c>
      <c r="G600" s="13" t="s">
        <v>202</v>
      </c>
      <c r="H600" s="13" t="s">
        <v>20</v>
      </c>
      <c r="I600" s="13" t="s">
        <v>203</v>
      </c>
      <c r="J600" s="13" t="s">
        <v>106</v>
      </c>
      <c r="K600" s="13" t="s">
        <v>107</v>
      </c>
      <c r="L600" s="13" t="s">
        <v>122</v>
      </c>
      <c r="M600" s="13" t="s">
        <v>100</v>
      </c>
      <c r="N600" s="27" t="n">
        <v>148</v>
      </c>
      <c r="O600" s="28" t="n">
        <v>2564</v>
      </c>
      <c r="P600" s="27" t="n">
        <v>250</v>
      </c>
      <c r="Q600" s="29" t="n">
        <v>0.59</v>
      </c>
      <c r="R600" s="28" t="n">
        <v>17</v>
      </c>
      <c r="S600" s="28" t="n">
        <v>20</v>
      </c>
      <c r="T600" s="28" t="n">
        <v>17.32</v>
      </c>
      <c r="U600" s="13" t="n">
        <f aca="false">IFERROR(YEAR(A600),"")</f>
        <v>2024</v>
      </c>
      <c r="V600" s="28" t="n">
        <f aca="false">IFERROR(O600*B600,0)</f>
        <v>2564</v>
      </c>
      <c r="W600" s="27" t="n">
        <f aca="false">IFERROR(N600*B600,0)</f>
        <v>148</v>
      </c>
      <c r="X600" s="13" t="n">
        <f aca="false">IF(OR(ISNUMBER(SEARCH("live nation",L600)),ISNUMBER(SEARCH("ocesa",L600))),1,0)</f>
        <v>0</v>
      </c>
      <c r="Y600" s="13" t="s">
        <v>49</v>
      </c>
    </row>
    <row r="601" customFormat="false" ht="15" hidden="false" customHeight="false" outlineLevel="0" collapsed="false">
      <c r="A601" s="30" t="n">
        <v>45591</v>
      </c>
      <c r="B601" s="11" t="n">
        <v>1</v>
      </c>
      <c r="C601" s="31" t="s">
        <v>897</v>
      </c>
      <c r="D601" s="31"/>
      <c r="E601" s="11" t="s">
        <v>111</v>
      </c>
      <c r="F601" s="11" t="s">
        <v>112</v>
      </c>
      <c r="G601" s="11"/>
      <c r="H601" s="11" t="s">
        <v>21</v>
      </c>
      <c r="I601" s="11"/>
      <c r="J601" s="11" t="s">
        <v>97</v>
      </c>
      <c r="K601" s="11" t="s">
        <v>113</v>
      </c>
      <c r="L601" s="11" t="s">
        <v>898</v>
      </c>
      <c r="M601" s="11" t="s">
        <v>100</v>
      </c>
      <c r="N601" s="32" t="n">
        <v>18767</v>
      </c>
      <c r="O601" s="33" t="n">
        <v>1540450.45</v>
      </c>
      <c r="P601" s="32" t="n">
        <v>18767</v>
      </c>
      <c r="Q601" s="34" t="n">
        <v>1</v>
      </c>
      <c r="R601" s="33" t="n">
        <v>82.08</v>
      </c>
      <c r="S601" s="33" t="n">
        <v>82.08</v>
      </c>
      <c r="T601" s="33" t="n">
        <v>82.08</v>
      </c>
      <c r="U601" s="11" t="n">
        <f aca="false">IFERROR(YEAR(A601),"")</f>
        <v>2024</v>
      </c>
      <c r="V601" s="33" t="n">
        <f aca="false">IFERROR(O601*B601,0)</f>
        <v>1540450.45</v>
      </c>
      <c r="W601" s="32" t="n">
        <f aca="false">IFERROR(N601*B601,0)</f>
        <v>18767</v>
      </c>
      <c r="X601" s="11" t="n">
        <f aca="false">IF(OR(ISNUMBER(SEARCH("live nation",L601)),ISNUMBER(SEARCH("ocesa",L601))),1,0)</f>
        <v>0</v>
      </c>
      <c r="Y601" s="11" t="s">
        <v>50</v>
      </c>
    </row>
    <row r="602" customFormat="false" ht="15" hidden="false" customHeight="false" outlineLevel="0" collapsed="false">
      <c r="A602" s="25" t="n">
        <v>45590</v>
      </c>
      <c r="B602" s="13" t="n">
        <v>2</v>
      </c>
      <c r="C602" s="26" t="s">
        <v>62</v>
      </c>
      <c r="D602" s="26"/>
      <c r="E602" s="13" t="s">
        <v>355</v>
      </c>
      <c r="F602" s="13" t="s">
        <v>356</v>
      </c>
      <c r="G602" s="13" t="s">
        <v>139</v>
      </c>
      <c r="H602" s="13" t="s">
        <v>20</v>
      </c>
      <c r="I602" s="13" t="s">
        <v>139</v>
      </c>
      <c r="J602" s="13" t="s">
        <v>97</v>
      </c>
      <c r="K602" s="13" t="s">
        <v>107</v>
      </c>
      <c r="L602" s="13" t="s">
        <v>177</v>
      </c>
      <c r="M602" s="13" t="s">
        <v>100</v>
      </c>
      <c r="N602" s="27" t="n">
        <v>12766</v>
      </c>
      <c r="O602" s="28" t="n">
        <v>2314420.25</v>
      </c>
      <c r="P602" s="27" t="n">
        <v>12766</v>
      </c>
      <c r="Q602" s="29" t="n">
        <v>1</v>
      </c>
      <c r="R602" s="28" t="n">
        <v>59.5</v>
      </c>
      <c r="S602" s="28" t="n">
        <v>199.5</v>
      </c>
      <c r="T602" s="28" t="n">
        <v>181.3</v>
      </c>
      <c r="U602" s="13" t="n">
        <f aca="false">IFERROR(YEAR(A602),"")</f>
        <v>2024</v>
      </c>
      <c r="V602" s="28" t="n">
        <f aca="false">IFERROR(O602*B602,0)</f>
        <v>4628840.5</v>
      </c>
      <c r="W602" s="27" t="n">
        <f aca="false">IFERROR(N602*B602,0)</f>
        <v>25532</v>
      </c>
      <c r="X602" s="13" t="n">
        <f aca="false">IF(OR(ISNUMBER(SEARCH("live nation",L602)),ISNUMBER(SEARCH("ocesa",L602))),1,0)</f>
        <v>1</v>
      </c>
      <c r="Y602" s="13" t="s">
        <v>49</v>
      </c>
    </row>
    <row r="603" customFormat="false" ht="15" hidden="false" customHeight="false" outlineLevel="0" collapsed="false">
      <c r="A603" s="30" t="n">
        <v>45588</v>
      </c>
      <c r="B603" s="11" t="n">
        <v>1</v>
      </c>
      <c r="C603" s="31" t="s">
        <v>62</v>
      </c>
      <c r="D603" s="31"/>
      <c r="E603" s="11" t="s">
        <v>206</v>
      </c>
      <c r="F603" s="11" t="s">
        <v>207</v>
      </c>
      <c r="G603" s="11" t="s">
        <v>208</v>
      </c>
      <c r="H603" s="11" t="s">
        <v>20</v>
      </c>
      <c r="I603" s="11" t="s">
        <v>209</v>
      </c>
      <c r="J603" s="11" t="s">
        <v>97</v>
      </c>
      <c r="K603" s="11" t="s">
        <v>107</v>
      </c>
      <c r="L603" s="11" t="s">
        <v>177</v>
      </c>
      <c r="M603" s="11" t="s">
        <v>100</v>
      </c>
      <c r="N603" s="32" t="n">
        <v>10963</v>
      </c>
      <c r="O603" s="33" t="n">
        <v>1357414</v>
      </c>
      <c r="P603" s="32" t="n">
        <v>10963</v>
      </c>
      <c r="Q603" s="34" t="n">
        <v>1</v>
      </c>
      <c r="R603" s="33" t="n">
        <v>59.5</v>
      </c>
      <c r="S603" s="33" t="n">
        <v>199.5</v>
      </c>
      <c r="T603" s="33" t="n">
        <v>123.82</v>
      </c>
      <c r="U603" s="11" t="n">
        <f aca="false">IFERROR(YEAR(A603),"")</f>
        <v>2024</v>
      </c>
      <c r="V603" s="33" t="n">
        <f aca="false">IFERROR(O603*B603,0)</f>
        <v>1357414</v>
      </c>
      <c r="W603" s="32" t="n">
        <f aca="false">IFERROR(N603*B603,0)</f>
        <v>10963</v>
      </c>
      <c r="X603" s="11" t="n">
        <f aca="false">IF(OR(ISNUMBER(SEARCH("live nation",L603)),ISNUMBER(SEARCH("ocesa",L603))),1,0)</f>
        <v>1</v>
      </c>
      <c r="Y603" s="11" t="s">
        <v>49</v>
      </c>
    </row>
    <row r="604" customFormat="false" ht="15" hidden="false" customHeight="false" outlineLevel="0" collapsed="false">
      <c r="A604" s="25" t="n">
        <v>45587</v>
      </c>
      <c r="B604" s="13" t="n">
        <v>1</v>
      </c>
      <c r="C604" s="26" t="s">
        <v>62</v>
      </c>
      <c r="D604" s="26"/>
      <c r="E604" s="13" t="s">
        <v>206</v>
      </c>
      <c r="F604" s="13" t="s">
        <v>207</v>
      </c>
      <c r="G604" s="13" t="s">
        <v>208</v>
      </c>
      <c r="H604" s="13" t="s">
        <v>20</v>
      </c>
      <c r="I604" s="13" t="s">
        <v>209</v>
      </c>
      <c r="J604" s="13" t="s">
        <v>97</v>
      </c>
      <c r="K604" s="13" t="s">
        <v>107</v>
      </c>
      <c r="L604" s="13" t="s">
        <v>177</v>
      </c>
      <c r="M604" s="13" t="s">
        <v>100</v>
      </c>
      <c r="N604" s="27" t="n">
        <v>10845</v>
      </c>
      <c r="O604" s="28" t="n">
        <v>1333562</v>
      </c>
      <c r="P604" s="27" t="n">
        <v>10845</v>
      </c>
      <c r="Q604" s="29" t="n">
        <v>1</v>
      </c>
      <c r="R604" s="28" t="n">
        <v>59.5</v>
      </c>
      <c r="S604" s="28" t="n">
        <v>199.5</v>
      </c>
      <c r="T604" s="28" t="n">
        <v>122.97</v>
      </c>
      <c r="U604" s="13" t="n">
        <f aca="false">IFERROR(YEAR(A604),"")</f>
        <v>2024</v>
      </c>
      <c r="V604" s="28" t="n">
        <f aca="false">IFERROR(O604*B604,0)</f>
        <v>1333562</v>
      </c>
      <c r="W604" s="27" t="n">
        <f aca="false">IFERROR(N604*B604,0)</f>
        <v>10845</v>
      </c>
      <c r="X604" s="13" t="n">
        <f aca="false">IF(OR(ISNUMBER(SEARCH("live nation",L604)),ISNUMBER(SEARCH("ocesa",L604))),1,0)</f>
        <v>1</v>
      </c>
      <c r="Y604" s="13" t="s">
        <v>49</v>
      </c>
    </row>
    <row r="605" customFormat="false" ht="15" hidden="false" customHeight="false" outlineLevel="0" collapsed="false">
      <c r="A605" s="30" t="n">
        <v>45586</v>
      </c>
      <c r="B605" s="11" t="n">
        <v>1</v>
      </c>
      <c r="C605" s="31" t="s">
        <v>899</v>
      </c>
      <c r="D605" s="31"/>
      <c r="E605" s="11" t="s">
        <v>901</v>
      </c>
      <c r="F605" s="11" t="s">
        <v>209</v>
      </c>
      <c r="G605" s="11" t="s">
        <v>208</v>
      </c>
      <c r="H605" s="11" t="s">
        <v>20</v>
      </c>
      <c r="I605" s="11" t="s">
        <v>209</v>
      </c>
      <c r="J605" s="11" t="s">
        <v>106</v>
      </c>
      <c r="K605" s="11" t="s">
        <v>107</v>
      </c>
      <c r="L605" s="11" t="s">
        <v>122</v>
      </c>
      <c r="M605" s="11" t="s">
        <v>100</v>
      </c>
      <c r="N605" s="32" t="n">
        <v>108</v>
      </c>
      <c r="O605" s="33" t="n">
        <v>1736</v>
      </c>
      <c r="P605" s="32" t="n">
        <v>215</v>
      </c>
      <c r="Q605" s="34" t="n">
        <v>0.5</v>
      </c>
      <c r="R605" s="33" t="n">
        <v>16</v>
      </c>
      <c r="S605" s="33" t="n">
        <v>20</v>
      </c>
      <c r="T605" s="33" t="n">
        <v>16.07</v>
      </c>
      <c r="U605" s="11" t="n">
        <f aca="false">IFERROR(YEAR(A605),"")</f>
        <v>2024</v>
      </c>
      <c r="V605" s="33" t="n">
        <f aca="false">IFERROR(O605*B605,0)</f>
        <v>1736</v>
      </c>
      <c r="W605" s="32" t="n">
        <f aca="false">IFERROR(N605*B605,0)</f>
        <v>108</v>
      </c>
      <c r="X605" s="11" t="n">
        <f aca="false">IF(OR(ISNUMBER(SEARCH("live nation",L605)),ISNUMBER(SEARCH("ocesa",L605))),1,0)</f>
        <v>0</v>
      </c>
      <c r="Y605" s="11" t="s">
        <v>49</v>
      </c>
    </row>
    <row r="606" customFormat="false" ht="15" hidden="false" customHeight="false" outlineLevel="0" collapsed="false">
      <c r="A606" s="25" t="n">
        <v>45586</v>
      </c>
      <c r="B606" s="13" t="n">
        <v>1</v>
      </c>
      <c r="C606" s="26" t="s">
        <v>272</v>
      </c>
      <c r="D606" s="26"/>
      <c r="E606" s="13" t="s">
        <v>902</v>
      </c>
      <c r="F606" s="13" t="s">
        <v>582</v>
      </c>
      <c r="G606" s="13"/>
      <c r="H606" s="13" t="s">
        <v>583</v>
      </c>
      <c r="I606" s="13"/>
      <c r="J606" s="13" t="s">
        <v>106</v>
      </c>
      <c r="K606" s="13" t="s">
        <v>584</v>
      </c>
      <c r="L606" s="13" t="s">
        <v>903</v>
      </c>
      <c r="M606" s="13" t="s">
        <v>277</v>
      </c>
      <c r="N606" s="27" t="n">
        <v>2880</v>
      </c>
      <c r="O606" s="28" t="n">
        <v>166285.48</v>
      </c>
      <c r="P606" s="27" t="n">
        <v>3070</v>
      </c>
      <c r="Q606" s="29" t="n">
        <v>0.93</v>
      </c>
      <c r="R606" s="28" t="n">
        <v>33.38</v>
      </c>
      <c r="S606" s="28" t="n">
        <v>779.93</v>
      </c>
      <c r="T606" s="28" t="n">
        <v>57.74</v>
      </c>
      <c r="U606" s="13" t="n">
        <f aca="false">IFERROR(YEAR(A606),"")</f>
        <v>2024</v>
      </c>
      <c r="V606" s="28" t="n">
        <f aca="false">IFERROR(O606*B606,0)</f>
        <v>166285.48</v>
      </c>
      <c r="W606" s="27" t="n">
        <f aca="false">IFERROR(N606*B606,0)</f>
        <v>2880</v>
      </c>
      <c r="X606" s="13" t="n">
        <f aca="false">IF(OR(ISNUMBER(SEARCH("live nation",L606)),ISNUMBER(SEARCH("ocesa",L606))),1,0)</f>
        <v>0</v>
      </c>
      <c r="Y606" s="13" t="s">
        <v>49</v>
      </c>
    </row>
    <row r="607" customFormat="false" ht="15" hidden="false" customHeight="false" outlineLevel="0" collapsed="false">
      <c r="A607" s="30" t="n">
        <v>45583</v>
      </c>
      <c r="B607" s="11" t="n">
        <v>1</v>
      </c>
      <c r="C607" s="31" t="s">
        <v>904</v>
      </c>
      <c r="D607" s="31" t="s">
        <v>905</v>
      </c>
      <c r="E607" s="11" t="s">
        <v>906</v>
      </c>
      <c r="F607" s="11" t="s">
        <v>647</v>
      </c>
      <c r="G607" s="11"/>
      <c r="H607" s="11" t="s">
        <v>28</v>
      </c>
      <c r="I607" s="11"/>
      <c r="J607" s="11" t="s">
        <v>106</v>
      </c>
      <c r="K607" s="11" t="s">
        <v>98</v>
      </c>
      <c r="L607" s="11" t="s">
        <v>907</v>
      </c>
      <c r="M607" s="11" t="s">
        <v>277</v>
      </c>
      <c r="N607" s="32" t="n">
        <v>315</v>
      </c>
      <c r="O607" s="33" t="n">
        <v>6325.56</v>
      </c>
      <c r="P607" s="32" t="n">
        <v>315</v>
      </c>
      <c r="Q607" s="34" t="n">
        <v>1</v>
      </c>
      <c r="R607" s="33" t="n">
        <v>20.08</v>
      </c>
      <c r="S607" s="33" t="n">
        <v>20.08</v>
      </c>
      <c r="T607" s="33" t="n">
        <v>20.08</v>
      </c>
      <c r="U607" s="11" t="n">
        <f aca="false">IFERROR(YEAR(A607),"")</f>
        <v>2024</v>
      </c>
      <c r="V607" s="33" t="n">
        <f aca="false">IFERROR(O607*B607,0)</f>
        <v>6325.56</v>
      </c>
      <c r="W607" s="32" t="n">
        <f aca="false">IFERROR(N607*B607,0)</f>
        <v>315</v>
      </c>
      <c r="X607" s="11" t="n">
        <f aca="false">IF(OR(ISNUMBER(SEARCH("live nation",L607)),ISNUMBER(SEARCH("ocesa",L607))),1,0)</f>
        <v>0</v>
      </c>
      <c r="Y607" s="11" t="s">
        <v>49</v>
      </c>
    </row>
    <row r="608" customFormat="false" ht="15" hidden="false" customHeight="false" outlineLevel="0" collapsed="false">
      <c r="A608" s="25" t="n">
        <v>45581</v>
      </c>
      <c r="B608" s="13" t="n">
        <v>1</v>
      </c>
      <c r="C608" s="26" t="s">
        <v>899</v>
      </c>
      <c r="D608" s="26"/>
      <c r="E608" s="13" t="s">
        <v>908</v>
      </c>
      <c r="F608" s="13" t="s">
        <v>139</v>
      </c>
      <c r="G608" s="13" t="s">
        <v>139</v>
      </c>
      <c r="H608" s="13" t="s">
        <v>20</v>
      </c>
      <c r="I608" s="13" t="s">
        <v>139</v>
      </c>
      <c r="J608" s="13" t="s">
        <v>106</v>
      </c>
      <c r="K608" s="13" t="s">
        <v>107</v>
      </c>
      <c r="L608" s="13" t="s">
        <v>122</v>
      </c>
      <c r="M608" s="13" t="s">
        <v>100</v>
      </c>
      <c r="N608" s="27" t="n">
        <v>100</v>
      </c>
      <c r="O608" s="28" t="n">
        <v>1624</v>
      </c>
      <c r="P608" s="27" t="n">
        <v>250</v>
      </c>
      <c r="Q608" s="29" t="n">
        <v>0.4</v>
      </c>
      <c r="R608" s="28" t="n">
        <v>16</v>
      </c>
      <c r="S608" s="28" t="n">
        <v>20</v>
      </c>
      <c r="T608" s="28" t="n">
        <v>16.24</v>
      </c>
      <c r="U608" s="13" t="n">
        <f aca="false">IFERROR(YEAR(A608),"")</f>
        <v>2024</v>
      </c>
      <c r="V608" s="28" t="n">
        <f aca="false">IFERROR(O608*B608,0)</f>
        <v>1624</v>
      </c>
      <c r="W608" s="27" t="n">
        <f aca="false">IFERROR(N608*B608,0)</f>
        <v>100</v>
      </c>
      <c r="X608" s="13" t="n">
        <f aca="false">IF(OR(ISNUMBER(SEARCH("live nation",L608)),ISNUMBER(SEARCH("ocesa",L608))),1,0)</f>
        <v>0</v>
      </c>
      <c r="Y608" s="13" t="s">
        <v>49</v>
      </c>
    </row>
    <row r="609" customFormat="false" ht="15" hidden="false" customHeight="false" outlineLevel="0" collapsed="false">
      <c r="A609" s="30" t="n">
        <v>45580</v>
      </c>
      <c r="B609" s="11" t="n">
        <v>1</v>
      </c>
      <c r="C609" s="31" t="s">
        <v>124</v>
      </c>
      <c r="D609" s="31"/>
      <c r="E609" s="11" t="s">
        <v>909</v>
      </c>
      <c r="F609" s="11" t="s">
        <v>156</v>
      </c>
      <c r="G609" s="11"/>
      <c r="H609" s="11" t="s">
        <v>157</v>
      </c>
      <c r="I609" s="11"/>
      <c r="J609" s="11" t="s">
        <v>121</v>
      </c>
      <c r="K609" s="11" t="s">
        <v>158</v>
      </c>
      <c r="L609" s="11" t="s">
        <v>910</v>
      </c>
      <c r="M609" s="11" t="s">
        <v>100</v>
      </c>
      <c r="N609" s="32" t="n">
        <v>718</v>
      </c>
      <c r="O609" s="33" t="n">
        <v>43477.09</v>
      </c>
      <c r="P609" s="32" t="n">
        <v>2302</v>
      </c>
      <c r="Q609" s="34" t="n">
        <v>0.31</v>
      </c>
      <c r="R609" s="33" t="n">
        <v>59.34</v>
      </c>
      <c r="S609" s="33" t="n">
        <v>70.13</v>
      </c>
      <c r="T609" s="33" t="n">
        <v>60.55</v>
      </c>
      <c r="U609" s="11" t="n">
        <f aca="false">IFERROR(YEAR(A609),"")</f>
        <v>2024</v>
      </c>
      <c r="V609" s="33" t="n">
        <f aca="false">IFERROR(O609*B609,0)</f>
        <v>43477.09</v>
      </c>
      <c r="W609" s="32" t="n">
        <f aca="false">IFERROR(N609*B609,0)</f>
        <v>718</v>
      </c>
      <c r="X609" s="11" t="n">
        <f aca="false">IF(OR(ISNUMBER(SEARCH("live nation",L609)),ISNUMBER(SEARCH("ocesa",L609))),1,0)</f>
        <v>0</v>
      </c>
      <c r="Y609" s="11" t="s">
        <v>49</v>
      </c>
    </row>
    <row r="610" customFormat="false" ht="15" hidden="false" customHeight="false" outlineLevel="0" collapsed="false">
      <c r="A610" s="25" t="n">
        <v>45578</v>
      </c>
      <c r="B610" s="13" t="n">
        <v>1</v>
      </c>
      <c r="C610" s="26" t="s">
        <v>574</v>
      </c>
      <c r="D610" s="26"/>
      <c r="E610" s="13" t="s">
        <v>111</v>
      </c>
      <c r="F610" s="13" t="s">
        <v>112</v>
      </c>
      <c r="G610" s="13"/>
      <c r="H610" s="13" t="s">
        <v>21</v>
      </c>
      <c r="I610" s="13"/>
      <c r="J610" s="13" t="s">
        <v>97</v>
      </c>
      <c r="K610" s="13" t="s">
        <v>113</v>
      </c>
      <c r="L610" s="13" t="s">
        <v>321</v>
      </c>
      <c r="M610" s="13" t="s">
        <v>100</v>
      </c>
      <c r="N610" s="27" t="n">
        <v>19000</v>
      </c>
      <c r="O610" s="28" t="n">
        <v>1273842.69</v>
      </c>
      <c r="P610" s="27" t="n">
        <v>19000</v>
      </c>
      <c r="Q610" s="29" t="n">
        <v>1</v>
      </c>
      <c r="R610" s="28" t="n">
        <v>67.04</v>
      </c>
      <c r="S610" s="28" t="n">
        <v>67.04</v>
      </c>
      <c r="T610" s="28" t="n">
        <v>67.04</v>
      </c>
      <c r="U610" s="13" t="n">
        <f aca="false">IFERROR(YEAR(A610),"")</f>
        <v>2024</v>
      </c>
      <c r="V610" s="28" t="n">
        <f aca="false">IFERROR(O610*B610,0)</f>
        <v>1273842.69</v>
      </c>
      <c r="W610" s="27" t="n">
        <f aca="false">IFERROR(N610*B610,0)</f>
        <v>19000</v>
      </c>
      <c r="X610" s="13" t="n">
        <f aca="false">IF(OR(ISNUMBER(SEARCH("live nation",L610)),ISNUMBER(SEARCH("ocesa",L610))),1,0)</f>
        <v>0</v>
      </c>
      <c r="Y610" s="13" t="s">
        <v>50</v>
      </c>
    </row>
    <row r="611" customFormat="false" ht="15" hidden="false" customHeight="false" outlineLevel="0" collapsed="false">
      <c r="A611" s="30" t="n">
        <v>45577</v>
      </c>
      <c r="B611" s="11" t="n">
        <v>1</v>
      </c>
      <c r="C611" s="31" t="s">
        <v>574</v>
      </c>
      <c r="D611" s="31"/>
      <c r="E611" s="11" t="s">
        <v>111</v>
      </c>
      <c r="F611" s="11" t="s">
        <v>112</v>
      </c>
      <c r="G611" s="11"/>
      <c r="H611" s="11" t="s">
        <v>21</v>
      </c>
      <c r="I611" s="11"/>
      <c r="J611" s="11" t="s">
        <v>97</v>
      </c>
      <c r="K611" s="11" t="s">
        <v>113</v>
      </c>
      <c r="L611" s="11" t="s">
        <v>321</v>
      </c>
      <c r="M611" s="11" t="s">
        <v>100</v>
      </c>
      <c r="N611" s="32" t="n">
        <v>19000</v>
      </c>
      <c r="O611" s="33" t="n">
        <v>1274099.18</v>
      </c>
      <c r="P611" s="32" t="n">
        <v>19000</v>
      </c>
      <c r="Q611" s="34" t="n">
        <v>1</v>
      </c>
      <c r="R611" s="33" t="n">
        <v>67.06</v>
      </c>
      <c r="S611" s="33" t="n">
        <v>67.06</v>
      </c>
      <c r="T611" s="33" t="n">
        <v>67.06</v>
      </c>
      <c r="U611" s="11" t="n">
        <f aca="false">IFERROR(YEAR(A611),"")</f>
        <v>2024</v>
      </c>
      <c r="V611" s="33" t="n">
        <f aca="false">IFERROR(O611*B611,0)</f>
        <v>1274099.18</v>
      </c>
      <c r="W611" s="32" t="n">
        <f aca="false">IFERROR(N611*B611,0)</f>
        <v>19000</v>
      </c>
      <c r="X611" s="11" t="n">
        <f aca="false">IF(OR(ISNUMBER(SEARCH("live nation",L611)),ISNUMBER(SEARCH("ocesa",L611))),1,0)</f>
        <v>0</v>
      </c>
      <c r="Y611" s="11" t="s">
        <v>50</v>
      </c>
    </row>
    <row r="612" customFormat="false" ht="15" hidden="false" customHeight="false" outlineLevel="0" collapsed="false">
      <c r="A612" s="25" t="n">
        <v>45577</v>
      </c>
      <c r="B612" s="13" t="n">
        <v>2</v>
      </c>
      <c r="C612" s="26" t="s">
        <v>62</v>
      </c>
      <c r="D612" s="26"/>
      <c r="E612" s="13" t="s">
        <v>204</v>
      </c>
      <c r="F612" s="13" t="s">
        <v>205</v>
      </c>
      <c r="G612" s="13"/>
      <c r="H612" s="13" t="s">
        <v>24</v>
      </c>
      <c r="I612" s="13"/>
      <c r="J612" s="13" t="s">
        <v>133</v>
      </c>
      <c r="K612" s="13" t="s">
        <v>148</v>
      </c>
      <c r="L612" s="13" t="s">
        <v>145</v>
      </c>
      <c r="M612" s="13" t="s">
        <v>100</v>
      </c>
      <c r="N612" s="27" t="n">
        <v>28710</v>
      </c>
      <c r="O612" s="28" t="n">
        <v>3083872.05</v>
      </c>
      <c r="P612" s="27" t="n">
        <v>28710</v>
      </c>
      <c r="Q612" s="29" t="n">
        <v>1</v>
      </c>
      <c r="R612" s="28" t="n">
        <v>97</v>
      </c>
      <c r="S612" s="28" t="n">
        <v>146</v>
      </c>
      <c r="T612" s="28" t="n">
        <v>107.41</v>
      </c>
      <c r="U612" s="13" t="n">
        <f aca="false">IFERROR(YEAR(A612),"")</f>
        <v>2024</v>
      </c>
      <c r="V612" s="28" t="n">
        <f aca="false">IFERROR(O612*B612,0)</f>
        <v>6167744.1</v>
      </c>
      <c r="W612" s="27" t="n">
        <f aca="false">IFERROR(N612*B612,0)</f>
        <v>57420</v>
      </c>
      <c r="X612" s="13" t="n">
        <f aca="false">IF(OR(ISNUMBER(SEARCH("live nation",L612)),ISNUMBER(SEARCH("ocesa",L612))),1,0)</f>
        <v>0</v>
      </c>
      <c r="Y612" s="13" t="s">
        <v>50</v>
      </c>
    </row>
    <row r="613" customFormat="false" ht="15" hidden="false" customHeight="false" outlineLevel="0" collapsed="false">
      <c r="A613" s="30" t="n">
        <v>45576</v>
      </c>
      <c r="B613" s="11" t="n">
        <v>1</v>
      </c>
      <c r="C613" s="31" t="s">
        <v>418</v>
      </c>
      <c r="D613" s="31"/>
      <c r="E613" s="11" t="s">
        <v>891</v>
      </c>
      <c r="F613" s="11" t="s">
        <v>188</v>
      </c>
      <c r="G613" s="11" t="s">
        <v>189</v>
      </c>
      <c r="H613" s="11" t="s">
        <v>20</v>
      </c>
      <c r="I613" s="11" t="s">
        <v>190</v>
      </c>
      <c r="J613" s="11" t="s">
        <v>121</v>
      </c>
      <c r="K613" s="11" t="s">
        <v>107</v>
      </c>
      <c r="L613" s="11" t="s">
        <v>911</v>
      </c>
      <c r="M613" s="11" t="s">
        <v>100</v>
      </c>
      <c r="N613" s="32" t="n">
        <v>4226</v>
      </c>
      <c r="O613" s="33" t="n">
        <v>167750</v>
      </c>
      <c r="P613" s="32" t="n">
        <v>4226</v>
      </c>
      <c r="Q613" s="34" t="n">
        <v>1</v>
      </c>
      <c r="R613" s="33" t="n">
        <v>37.5</v>
      </c>
      <c r="S613" s="33" t="n">
        <v>55</v>
      </c>
      <c r="T613" s="33" t="n">
        <v>39.69</v>
      </c>
      <c r="U613" s="11" t="n">
        <f aca="false">IFERROR(YEAR(A613),"")</f>
        <v>2024</v>
      </c>
      <c r="V613" s="33" t="n">
        <f aca="false">IFERROR(O613*B613,0)</f>
        <v>167750</v>
      </c>
      <c r="W613" s="32" t="n">
        <f aca="false">IFERROR(N613*B613,0)</f>
        <v>4226</v>
      </c>
      <c r="X613" s="11" t="n">
        <f aca="false">IF(OR(ISNUMBER(SEARCH("live nation",L613)),ISNUMBER(SEARCH("ocesa",L613))),1,0)</f>
        <v>0</v>
      </c>
      <c r="Y613" s="11" t="s">
        <v>49</v>
      </c>
    </row>
    <row r="614" customFormat="false" ht="15" hidden="false" customHeight="false" outlineLevel="0" collapsed="false">
      <c r="A614" s="25" t="n">
        <v>45571</v>
      </c>
      <c r="B614" s="13" t="n">
        <v>1</v>
      </c>
      <c r="C614" s="26" t="s">
        <v>124</v>
      </c>
      <c r="D614" s="26"/>
      <c r="E614" s="13" t="s">
        <v>912</v>
      </c>
      <c r="F614" s="13" t="s">
        <v>383</v>
      </c>
      <c r="G614" s="13" t="s">
        <v>119</v>
      </c>
      <c r="H614" s="13" t="s">
        <v>20</v>
      </c>
      <c r="I614" s="13" t="s">
        <v>120</v>
      </c>
      <c r="J614" s="13" t="s">
        <v>106</v>
      </c>
      <c r="K614" s="13" t="s">
        <v>107</v>
      </c>
      <c r="L614" s="13" t="s">
        <v>122</v>
      </c>
      <c r="M614" s="13" t="s">
        <v>100</v>
      </c>
      <c r="N614" s="27" t="n">
        <v>505</v>
      </c>
      <c r="O614" s="28" t="n">
        <v>77720</v>
      </c>
      <c r="P614" s="27" t="n">
        <v>844</v>
      </c>
      <c r="Q614" s="29" t="n">
        <v>0.59</v>
      </c>
      <c r="R614" s="28" t="n">
        <v>70</v>
      </c>
      <c r="S614" s="28" t="n">
        <v>210</v>
      </c>
      <c r="T614" s="28" t="n">
        <v>153.9</v>
      </c>
      <c r="U614" s="13" t="n">
        <f aca="false">IFERROR(YEAR(A614),"")</f>
        <v>2024</v>
      </c>
      <c r="V614" s="28" t="n">
        <f aca="false">IFERROR(O614*B614,0)</f>
        <v>77720</v>
      </c>
      <c r="W614" s="27" t="n">
        <f aca="false">IFERROR(N614*B614,0)</f>
        <v>505</v>
      </c>
      <c r="X614" s="13" t="n">
        <f aca="false">IF(OR(ISNUMBER(SEARCH("live nation",L614)),ISNUMBER(SEARCH("ocesa",L614))),1,0)</f>
        <v>0</v>
      </c>
      <c r="Y614" s="13" t="s">
        <v>49</v>
      </c>
    </row>
    <row r="615" customFormat="false" ht="15" hidden="false" customHeight="false" outlineLevel="0" collapsed="false">
      <c r="A615" s="30" t="n">
        <v>45570</v>
      </c>
      <c r="B615" s="11" t="n">
        <v>2</v>
      </c>
      <c r="C615" s="31" t="s">
        <v>63</v>
      </c>
      <c r="D615" s="31"/>
      <c r="E615" s="11" t="s">
        <v>913</v>
      </c>
      <c r="F615" s="11" t="s">
        <v>377</v>
      </c>
      <c r="G615" s="11"/>
      <c r="H615" s="11" t="s">
        <v>378</v>
      </c>
      <c r="I615" s="11"/>
      <c r="J615" s="11" t="s">
        <v>914</v>
      </c>
      <c r="K615" s="11" t="s">
        <v>379</v>
      </c>
      <c r="L615" s="11" t="s">
        <v>145</v>
      </c>
      <c r="M615" s="11" t="s">
        <v>100</v>
      </c>
      <c r="N615" s="32" t="n">
        <v>9080</v>
      </c>
      <c r="O615" s="33" t="n">
        <v>1589524.88</v>
      </c>
      <c r="P615" s="32" t="n">
        <v>9080</v>
      </c>
      <c r="Q615" s="34" t="n">
        <v>1</v>
      </c>
      <c r="R615" s="33" t="n">
        <v>3.65</v>
      </c>
      <c r="S615" s="33" t="n">
        <v>6.54</v>
      </c>
      <c r="T615" s="33" t="n">
        <v>175.06</v>
      </c>
      <c r="U615" s="11" t="n">
        <f aca="false">IFERROR(YEAR(A615),"")</f>
        <v>2024</v>
      </c>
      <c r="V615" s="33" t="n">
        <f aca="false">IFERROR(O615*B615,0)</f>
        <v>3179049.76</v>
      </c>
      <c r="W615" s="32" t="n">
        <f aca="false">IFERROR(N615*B615,0)</f>
        <v>18160</v>
      </c>
      <c r="X615" s="11" t="n">
        <f aca="false">IF(OR(ISNUMBER(SEARCH("live nation",L615)),ISNUMBER(SEARCH("ocesa",L615))),1,0)</f>
        <v>0</v>
      </c>
      <c r="Y615" s="11" t="s">
        <v>50</v>
      </c>
    </row>
    <row r="616" customFormat="false" ht="15" hidden="false" customHeight="false" outlineLevel="0" collapsed="false">
      <c r="A616" s="25" t="n">
        <v>45570</v>
      </c>
      <c r="B616" s="13" t="n">
        <v>2</v>
      </c>
      <c r="C616" s="26" t="s">
        <v>64</v>
      </c>
      <c r="D616" s="26"/>
      <c r="E616" s="13" t="s">
        <v>204</v>
      </c>
      <c r="F616" s="13" t="s">
        <v>205</v>
      </c>
      <c r="G616" s="13"/>
      <c r="H616" s="13" t="s">
        <v>24</v>
      </c>
      <c r="I616" s="13"/>
      <c r="J616" s="13" t="s">
        <v>133</v>
      </c>
      <c r="K616" s="13" t="s">
        <v>148</v>
      </c>
      <c r="L616" s="13" t="s">
        <v>145</v>
      </c>
      <c r="M616" s="13" t="s">
        <v>100</v>
      </c>
      <c r="N616" s="27" t="n">
        <v>8320</v>
      </c>
      <c r="O616" s="28" t="n">
        <v>1008805.63</v>
      </c>
      <c r="P616" s="27" t="n">
        <v>9851</v>
      </c>
      <c r="Q616" s="29" t="n">
        <v>0.84</v>
      </c>
      <c r="R616" s="28" t="n">
        <v>99</v>
      </c>
      <c r="S616" s="28" t="n">
        <v>419</v>
      </c>
      <c r="T616" s="28" t="n">
        <v>121.25</v>
      </c>
      <c r="U616" s="13" t="n">
        <f aca="false">IFERROR(YEAR(A616),"")</f>
        <v>2024</v>
      </c>
      <c r="V616" s="28" t="n">
        <f aca="false">IFERROR(O616*B616,0)</f>
        <v>2017611.26</v>
      </c>
      <c r="W616" s="27" t="n">
        <f aca="false">IFERROR(N616*B616,0)</f>
        <v>16640</v>
      </c>
      <c r="X616" s="13" t="n">
        <f aca="false">IF(OR(ISNUMBER(SEARCH("live nation",L616)),ISNUMBER(SEARCH("ocesa",L616))),1,0)</f>
        <v>0</v>
      </c>
      <c r="Y616" s="13" t="s">
        <v>50</v>
      </c>
    </row>
    <row r="617" customFormat="false" ht="15" hidden="false" customHeight="false" outlineLevel="0" collapsed="false">
      <c r="A617" s="30" t="n">
        <v>45569</v>
      </c>
      <c r="B617" s="11" t="n">
        <v>1</v>
      </c>
      <c r="C617" s="31" t="s">
        <v>124</v>
      </c>
      <c r="D617" s="31"/>
      <c r="E617" s="11" t="s">
        <v>541</v>
      </c>
      <c r="F617" s="11" t="s">
        <v>374</v>
      </c>
      <c r="G617" s="11" t="s">
        <v>143</v>
      </c>
      <c r="H617" s="11" t="s">
        <v>20</v>
      </c>
      <c r="I617" s="11" t="s">
        <v>375</v>
      </c>
      <c r="J617" s="11" t="s">
        <v>106</v>
      </c>
      <c r="K617" s="11" t="s">
        <v>107</v>
      </c>
      <c r="L617" s="11" t="s">
        <v>122</v>
      </c>
      <c r="M617" s="11" t="s">
        <v>100</v>
      </c>
      <c r="N617" s="32" t="n">
        <v>573</v>
      </c>
      <c r="O617" s="33" t="n">
        <v>73581.77</v>
      </c>
      <c r="P617" s="32" t="n">
        <v>1000</v>
      </c>
      <c r="Q617" s="34" t="n">
        <v>0.57</v>
      </c>
      <c r="R617" s="33" t="n">
        <v>59.5</v>
      </c>
      <c r="S617" s="33" t="n">
        <v>150</v>
      </c>
      <c r="T617" s="33" t="n">
        <v>128.41</v>
      </c>
      <c r="U617" s="11" t="n">
        <f aca="false">IFERROR(YEAR(A617),"")</f>
        <v>2024</v>
      </c>
      <c r="V617" s="33" t="n">
        <f aca="false">IFERROR(O617*B617,0)</f>
        <v>73581.77</v>
      </c>
      <c r="W617" s="32" t="n">
        <f aca="false">IFERROR(N617*B617,0)</f>
        <v>573</v>
      </c>
      <c r="X617" s="11" t="n">
        <f aca="false">IF(OR(ISNUMBER(SEARCH("live nation",L617)),ISNUMBER(SEARCH("ocesa",L617))),1,0)</f>
        <v>0</v>
      </c>
      <c r="Y617" s="11" t="s">
        <v>49</v>
      </c>
    </row>
    <row r="618" customFormat="false" ht="15" hidden="false" customHeight="false" outlineLevel="0" collapsed="false">
      <c r="A618" s="25" t="n">
        <v>45567</v>
      </c>
      <c r="B618" s="13" t="n">
        <v>1</v>
      </c>
      <c r="C618" s="26" t="s">
        <v>63</v>
      </c>
      <c r="D618" s="26"/>
      <c r="E618" s="13" t="s">
        <v>915</v>
      </c>
      <c r="F618" s="13" t="s">
        <v>916</v>
      </c>
      <c r="G618" s="13"/>
      <c r="H618" s="13" t="s">
        <v>674</v>
      </c>
      <c r="I618" s="13"/>
      <c r="J618" s="13" t="s">
        <v>738</v>
      </c>
      <c r="K618" s="13" t="s">
        <v>675</v>
      </c>
      <c r="L618" s="13" t="s">
        <v>145</v>
      </c>
      <c r="M618" s="13" t="s">
        <v>100</v>
      </c>
      <c r="N618" s="27" t="n">
        <v>4593</v>
      </c>
      <c r="O618" s="28" t="n">
        <v>794245.25</v>
      </c>
      <c r="P618" s="27" t="n">
        <v>5226</v>
      </c>
      <c r="Q618" s="29" t="n">
        <v>0.87</v>
      </c>
      <c r="R618" s="28" t="n">
        <v>0.01</v>
      </c>
      <c r="S618" s="28" t="n">
        <v>0.01</v>
      </c>
      <c r="T618" s="28" t="n">
        <v>172.93</v>
      </c>
      <c r="U618" s="13" t="n">
        <f aca="false">IFERROR(YEAR(A618),"")</f>
        <v>2024</v>
      </c>
      <c r="V618" s="28" t="n">
        <f aca="false">IFERROR(O618*B618,0)</f>
        <v>794245.25</v>
      </c>
      <c r="W618" s="27" t="n">
        <f aca="false">IFERROR(N618*B618,0)</f>
        <v>4593</v>
      </c>
      <c r="X618" s="13" t="n">
        <f aca="false">IF(OR(ISNUMBER(SEARCH("live nation",L618)),ISNUMBER(SEARCH("ocesa",L618))),1,0)</f>
        <v>0</v>
      </c>
      <c r="Y618" s="13" t="s">
        <v>50</v>
      </c>
    </row>
    <row r="619" customFormat="false" ht="15" hidden="false" customHeight="false" outlineLevel="0" collapsed="false">
      <c r="A619" s="30" t="n">
        <v>45567</v>
      </c>
      <c r="B619" s="11" t="n">
        <v>1</v>
      </c>
      <c r="C619" s="31" t="s">
        <v>711</v>
      </c>
      <c r="D619" s="31"/>
      <c r="E619" s="11" t="s">
        <v>111</v>
      </c>
      <c r="F619" s="11" t="s">
        <v>112</v>
      </c>
      <c r="G619" s="11"/>
      <c r="H619" s="11" t="s">
        <v>21</v>
      </c>
      <c r="I619" s="11"/>
      <c r="J619" s="11" t="s">
        <v>97</v>
      </c>
      <c r="K619" s="11" t="s">
        <v>113</v>
      </c>
      <c r="L619" s="11" t="s">
        <v>860</v>
      </c>
      <c r="M619" s="11" t="s">
        <v>100</v>
      </c>
      <c r="N619" s="32" t="n">
        <v>19000</v>
      </c>
      <c r="O619" s="33" t="n">
        <v>2372750.68</v>
      </c>
      <c r="P619" s="32" t="n">
        <v>19000</v>
      </c>
      <c r="Q619" s="34" t="n">
        <v>1</v>
      </c>
      <c r="R619" s="33" t="n">
        <v>124.88</v>
      </c>
      <c r="S619" s="33" t="n">
        <v>124.88</v>
      </c>
      <c r="T619" s="33" t="n">
        <v>124.88</v>
      </c>
      <c r="U619" s="11" t="n">
        <f aca="false">IFERROR(YEAR(A619),"")</f>
        <v>2024</v>
      </c>
      <c r="V619" s="33" t="n">
        <f aca="false">IFERROR(O619*B619,0)</f>
        <v>2372750.68</v>
      </c>
      <c r="W619" s="32" t="n">
        <f aca="false">IFERROR(N619*B619,0)</f>
        <v>19000</v>
      </c>
      <c r="X619" s="11" t="n">
        <f aca="false">IF(OR(ISNUMBER(SEARCH("live nation",L619)),ISNUMBER(SEARCH("ocesa",L619))),1,0)</f>
        <v>0</v>
      </c>
      <c r="Y619" s="11" t="s">
        <v>50</v>
      </c>
    </row>
    <row r="620" customFormat="false" ht="15" hidden="false" customHeight="false" outlineLevel="0" collapsed="false">
      <c r="A620" s="25" t="n">
        <v>45566</v>
      </c>
      <c r="B620" s="13" t="n">
        <v>1</v>
      </c>
      <c r="C620" s="26" t="s">
        <v>418</v>
      </c>
      <c r="D620" s="26"/>
      <c r="E620" s="13" t="s">
        <v>588</v>
      </c>
      <c r="F620" s="13" t="s">
        <v>132</v>
      </c>
      <c r="G620" s="13"/>
      <c r="H620" s="13" t="s">
        <v>23</v>
      </c>
      <c r="I620" s="13"/>
      <c r="J620" s="13" t="s">
        <v>151</v>
      </c>
      <c r="K620" s="13" t="s">
        <v>134</v>
      </c>
      <c r="L620" s="13" t="s">
        <v>135</v>
      </c>
      <c r="M620" s="13" t="s">
        <v>100</v>
      </c>
      <c r="N620" s="27" t="n">
        <v>7981</v>
      </c>
      <c r="O620" s="28" t="n">
        <v>311318.31</v>
      </c>
      <c r="P620" s="27" t="n">
        <v>8000</v>
      </c>
      <c r="Q620" s="29" t="n">
        <v>0.99</v>
      </c>
      <c r="R620" s="28" t="n">
        <v>30.5</v>
      </c>
      <c r="S620" s="28" t="n">
        <v>64.04</v>
      </c>
      <c r="T620" s="28" t="n">
        <v>39.01</v>
      </c>
      <c r="U620" s="13" t="n">
        <f aca="false">IFERROR(YEAR(A620),"")</f>
        <v>2024</v>
      </c>
      <c r="V620" s="28" t="n">
        <f aca="false">IFERROR(O620*B620,0)</f>
        <v>311318.31</v>
      </c>
      <c r="W620" s="27" t="n">
        <f aca="false">IFERROR(N620*B620,0)</f>
        <v>7981</v>
      </c>
      <c r="X620" s="13" t="n">
        <f aca="false">IF(OR(ISNUMBER(SEARCH("live nation",L620)),ISNUMBER(SEARCH("ocesa",L620))),1,0)</f>
        <v>1</v>
      </c>
      <c r="Y620" s="13" t="s">
        <v>49</v>
      </c>
    </row>
    <row r="621" customFormat="false" ht="15" hidden="false" customHeight="false" outlineLevel="0" collapsed="false">
      <c r="A621" s="30" t="n">
        <v>45566</v>
      </c>
      <c r="B621" s="11" t="n">
        <v>1</v>
      </c>
      <c r="C621" s="31" t="s">
        <v>418</v>
      </c>
      <c r="D621" s="31"/>
      <c r="E621" s="11" t="s">
        <v>588</v>
      </c>
      <c r="F621" s="11" t="s">
        <v>132</v>
      </c>
      <c r="G621" s="11"/>
      <c r="H621" s="11" t="s">
        <v>23</v>
      </c>
      <c r="I621" s="11"/>
      <c r="J621" s="11" t="s">
        <v>151</v>
      </c>
      <c r="K621" s="11" t="s">
        <v>134</v>
      </c>
      <c r="L621" s="11" t="s">
        <v>135</v>
      </c>
      <c r="M621" s="11" t="s">
        <v>100</v>
      </c>
      <c r="N621" s="32" t="n">
        <v>7978</v>
      </c>
      <c r="O621" s="33" t="n">
        <v>310565.02</v>
      </c>
      <c r="P621" s="32" t="n">
        <v>8000</v>
      </c>
      <c r="Q621" s="34" t="n">
        <v>0.99</v>
      </c>
      <c r="R621" s="33" t="n">
        <v>15.25</v>
      </c>
      <c r="S621" s="33" t="n">
        <v>116.91</v>
      </c>
      <c r="T621" s="33" t="n">
        <v>38.93</v>
      </c>
      <c r="U621" s="11" t="n">
        <f aca="false">IFERROR(YEAR(A621),"")</f>
        <v>2024</v>
      </c>
      <c r="V621" s="33" t="n">
        <f aca="false">IFERROR(O621*B621,0)</f>
        <v>310565.02</v>
      </c>
      <c r="W621" s="32" t="n">
        <f aca="false">IFERROR(N621*B621,0)</f>
        <v>7978</v>
      </c>
      <c r="X621" s="11" t="n">
        <f aca="false">IF(OR(ISNUMBER(SEARCH("live nation",L621)),ISNUMBER(SEARCH("ocesa",L621))),1,0)</f>
        <v>1</v>
      </c>
      <c r="Y621" s="11" t="s">
        <v>49</v>
      </c>
    </row>
    <row r="622" customFormat="false" ht="15" hidden="false" customHeight="false" outlineLevel="0" collapsed="false">
      <c r="A622" s="25" t="n">
        <v>45564</v>
      </c>
      <c r="B622" s="13" t="n">
        <v>1</v>
      </c>
      <c r="C622" s="26" t="s">
        <v>124</v>
      </c>
      <c r="D622" s="26"/>
      <c r="E622" s="13" t="s">
        <v>877</v>
      </c>
      <c r="F622" s="13" t="s">
        <v>139</v>
      </c>
      <c r="G622" s="13" t="s">
        <v>139</v>
      </c>
      <c r="H622" s="13" t="s">
        <v>20</v>
      </c>
      <c r="I622" s="13" t="s">
        <v>139</v>
      </c>
      <c r="J622" s="13" t="s">
        <v>121</v>
      </c>
      <c r="K622" s="13" t="s">
        <v>107</v>
      </c>
      <c r="L622" s="13" t="s">
        <v>390</v>
      </c>
      <c r="M622" s="13" t="s">
        <v>100</v>
      </c>
      <c r="N622" s="27" t="n">
        <v>928</v>
      </c>
      <c r="O622" s="28" t="n">
        <v>101070.5</v>
      </c>
      <c r="P622" s="27" t="n">
        <v>1429</v>
      </c>
      <c r="Q622" s="29" t="n">
        <v>0.64</v>
      </c>
      <c r="R622" s="28" t="n">
        <v>22.5</v>
      </c>
      <c r="S622" s="28" t="n">
        <v>195</v>
      </c>
      <c r="T622" s="28" t="n">
        <v>108.91</v>
      </c>
      <c r="U622" s="13" t="n">
        <f aca="false">IFERROR(YEAR(A622),"")</f>
        <v>2024</v>
      </c>
      <c r="V622" s="28" t="n">
        <f aca="false">IFERROR(O622*B622,0)</f>
        <v>101070.5</v>
      </c>
      <c r="W622" s="27" t="n">
        <f aca="false">IFERROR(N622*B622,0)</f>
        <v>928</v>
      </c>
      <c r="X622" s="13" t="n">
        <f aca="false">IF(OR(ISNUMBER(SEARCH("live nation",L622)),ISNUMBER(SEARCH("ocesa",L622))),1,0)</f>
        <v>0</v>
      </c>
      <c r="Y622" s="13" t="s">
        <v>49</v>
      </c>
    </row>
    <row r="623" customFormat="false" ht="15" hidden="false" customHeight="false" outlineLevel="0" collapsed="false">
      <c r="A623" s="30" t="n">
        <v>45562</v>
      </c>
      <c r="B623" s="11" t="n">
        <v>1</v>
      </c>
      <c r="C623" s="31" t="s">
        <v>124</v>
      </c>
      <c r="D623" s="31"/>
      <c r="E623" s="11" t="s">
        <v>544</v>
      </c>
      <c r="F623" s="11" t="s">
        <v>209</v>
      </c>
      <c r="G623" s="11" t="s">
        <v>208</v>
      </c>
      <c r="H623" s="11" t="s">
        <v>20</v>
      </c>
      <c r="I623" s="11" t="s">
        <v>209</v>
      </c>
      <c r="J623" s="11" t="s">
        <v>106</v>
      </c>
      <c r="K623" s="11" t="s">
        <v>107</v>
      </c>
      <c r="L623" s="11" t="s">
        <v>390</v>
      </c>
      <c r="M623" s="11" t="s">
        <v>100</v>
      </c>
      <c r="N623" s="32" t="n">
        <v>462</v>
      </c>
      <c r="O623" s="33" t="n">
        <v>63188.5</v>
      </c>
      <c r="P623" s="32" t="n">
        <v>936</v>
      </c>
      <c r="Q623" s="34" t="n">
        <v>0.49</v>
      </c>
      <c r="R623" s="33" t="n">
        <v>31.5</v>
      </c>
      <c r="S623" s="33" t="n">
        <v>195</v>
      </c>
      <c r="T623" s="33" t="n">
        <v>136.77</v>
      </c>
      <c r="U623" s="11" t="n">
        <f aca="false">IFERROR(YEAR(A623),"")</f>
        <v>2024</v>
      </c>
      <c r="V623" s="33" t="n">
        <f aca="false">IFERROR(O623*B623,0)</f>
        <v>63188.5</v>
      </c>
      <c r="W623" s="32" t="n">
        <f aca="false">IFERROR(N623*B623,0)</f>
        <v>462</v>
      </c>
      <c r="X623" s="11" t="n">
        <f aca="false">IF(OR(ISNUMBER(SEARCH("live nation",L623)),ISNUMBER(SEARCH("ocesa",L623))),1,0)</f>
        <v>0</v>
      </c>
      <c r="Y623" s="11" t="s">
        <v>49</v>
      </c>
    </row>
    <row r="624" customFormat="false" ht="15" hidden="false" customHeight="false" outlineLevel="0" collapsed="false">
      <c r="A624" s="25" t="n">
        <v>45559</v>
      </c>
      <c r="B624" s="13" t="n">
        <v>1</v>
      </c>
      <c r="C624" s="26" t="s">
        <v>559</v>
      </c>
      <c r="D624" s="26"/>
      <c r="E624" s="13" t="s">
        <v>365</v>
      </c>
      <c r="F624" s="13" t="s">
        <v>188</v>
      </c>
      <c r="G624" s="13" t="s">
        <v>189</v>
      </c>
      <c r="H624" s="13" t="s">
        <v>20</v>
      </c>
      <c r="I624" s="13" t="s">
        <v>190</v>
      </c>
      <c r="J624" s="13" t="s">
        <v>97</v>
      </c>
      <c r="K624" s="13" t="s">
        <v>107</v>
      </c>
      <c r="L624" s="13" t="s">
        <v>177</v>
      </c>
      <c r="M624" s="13" t="s">
        <v>100</v>
      </c>
      <c r="N624" s="27" t="n">
        <v>5879</v>
      </c>
      <c r="O624" s="28" t="n">
        <v>949911</v>
      </c>
      <c r="P624" s="27" t="n">
        <v>5879</v>
      </c>
      <c r="Q624" s="29" t="n">
        <v>1</v>
      </c>
      <c r="R624" s="28" t="n">
        <v>59.5</v>
      </c>
      <c r="S624" s="28" t="n">
        <v>199.5</v>
      </c>
      <c r="T624" s="28" t="n">
        <v>161.58</v>
      </c>
      <c r="U624" s="13" t="n">
        <f aca="false">IFERROR(YEAR(A624),"")</f>
        <v>2024</v>
      </c>
      <c r="V624" s="28" t="n">
        <f aca="false">IFERROR(O624*B624,0)</f>
        <v>949911</v>
      </c>
      <c r="W624" s="27" t="n">
        <f aca="false">IFERROR(N624*B624,0)</f>
        <v>5879</v>
      </c>
      <c r="X624" s="13" t="n">
        <f aca="false">IF(OR(ISNUMBER(SEARCH("live nation",L624)),ISNUMBER(SEARCH("ocesa",L624))),1,0)</f>
        <v>1</v>
      </c>
      <c r="Y624" s="13" t="s">
        <v>49</v>
      </c>
    </row>
    <row r="625" customFormat="false" ht="15" hidden="false" customHeight="false" outlineLevel="0" collapsed="false">
      <c r="A625" s="30" t="n">
        <v>45558</v>
      </c>
      <c r="B625" s="11" t="n">
        <v>2</v>
      </c>
      <c r="C625" s="31" t="s">
        <v>917</v>
      </c>
      <c r="D625" s="31" t="s">
        <v>918</v>
      </c>
      <c r="E625" s="11" t="s">
        <v>111</v>
      </c>
      <c r="F625" s="11" t="s">
        <v>112</v>
      </c>
      <c r="G625" s="11"/>
      <c r="H625" s="11" t="s">
        <v>21</v>
      </c>
      <c r="I625" s="11"/>
      <c r="J625" s="11" t="s">
        <v>97</v>
      </c>
      <c r="K625" s="11" t="s">
        <v>113</v>
      </c>
      <c r="L625" s="11" t="s">
        <v>250</v>
      </c>
      <c r="M625" s="11" t="s">
        <v>100</v>
      </c>
      <c r="N625" s="32" t="n">
        <v>19024</v>
      </c>
      <c r="O625" s="33" t="n">
        <v>1977259.02</v>
      </c>
      <c r="P625" s="32" t="n">
        <v>19024</v>
      </c>
      <c r="Q625" s="34" t="n">
        <v>1</v>
      </c>
      <c r="R625" s="33" t="n">
        <v>103.93</v>
      </c>
      <c r="S625" s="33" t="n">
        <v>103.93</v>
      </c>
      <c r="T625" s="33" t="n">
        <v>103.93</v>
      </c>
      <c r="U625" s="11" t="n">
        <f aca="false">IFERROR(YEAR(A625),"")</f>
        <v>2024</v>
      </c>
      <c r="V625" s="33" t="n">
        <f aca="false">IFERROR(O625*B625,0)</f>
        <v>3954518.04</v>
      </c>
      <c r="W625" s="32" t="n">
        <f aca="false">IFERROR(N625*B625,0)</f>
        <v>38048</v>
      </c>
      <c r="X625" s="11" t="n">
        <f aca="false">IF(OR(ISNUMBER(SEARCH("live nation",L625)),ISNUMBER(SEARCH("ocesa",L625))),1,0)</f>
        <v>0</v>
      </c>
      <c r="Y625" s="11" t="s">
        <v>50</v>
      </c>
    </row>
    <row r="626" customFormat="false" ht="15" hidden="false" customHeight="false" outlineLevel="0" collapsed="false">
      <c r="A626" s="25" t="n">
        <v>45557</v>
      </c>
      <c r="B626" s="13" t="n">
        <v>2</v>
      </c>
      <c r="C626" s="26" t="s">
        <v>917</v>
      </c>
      <c r="D626" s="26" t="s">
        <v>918</v>
      </c>
      <c r="E626" s="13" t="s">
        <v>111</v>
      </c>
      <c r="F626" s="13" t="s">
        <v>112</v>
      </c>
      <c r="G626" s="13"/>
      <c r="H626" s="13" t="s">
        <v>21</v>
      </c>
      <c r="I626" s="13"/>
      <c r="J626" s="13" t="s">
        <v>97</v>
      </c>
      <c r="K626" s="13" t="s">
        <v>113</v>
      </c>
      <c r="L626" s="13" t="s">
        <v>250</v>
      </c>
      <c r="M626" s="13" t="s">
        <v>100</v>
      </c>
      <c r="N626" s="27" t="n">
        <v>19024</v>
      </c>
      <c r="O626" s="28" t="n">
        <v>1984077.94</v>
      </c>
      <c r="P626" s="27" t="n">
        <v>19024</v>
      </c>
      <c r="Q626" s="29" t="n">
        <v>1</v>
      </c>
      <c r="R626" s="28" t="n">
        <v>104.29</v>
      </c>
      <c r="S626" s="28" t="n">
        <v>104.29</v>
      </c>
      <c r="T626" s="28" t="n">
        <v>104.29</v>
      </c>
      <c r="U626" s="13" t="n">
        <f aca="false">IFERROR(YEAR(A626),"")</f>
        <v>2024</v>
      </c>
      <c r="V626" s="28" t="n">
        <f aca="false">IFERROR(O626*B626,0)</f>
        <v>3968155.88</v>
      </c>
      <c r="W626" s="27" t="n">
        <f aca="false">IFERROR(N626*B626,0)</f>
        <v>38048</v>
      </c>
      <c r="X626" s="13" t="n">
        <f aca="false">IF(OR(ISNUMBER(SEARCH("live nation",L626)),ISNUMBER(SEARCH("ocesa",L626))),1,0)</f>
        <v>0</v>
      </c>
      <c r="Y626" s="13" t="s">
        <v>50</v>
      </c>
    </row>
    <row r="627" customFormat="false" ht="15" hidden="false" customHeight="false" outlineLevel="0" collapsed="false">
      <c r="A627" s="30" t="n">
        <v>45556</v>
      </c>
      <c r="B627" s="11" t="n">
        <v>2</v>
      </c>
      <c r="C627" s="31" t="s">
        <v>917</v>
      </c>
      <c r="D627" s="31" t="s">
        <v>918</v>
      </c>
      <c r="E627" s="11" t="s">
        <v>111</v>
      </c>
      <c r="F627" s="11" t="s">
        <v>112</v>
      </c>
      <c r="G627" s="11"/>
      <c r="H627" s="11" t="s">
        <v>21</v>
      </c>
      <c r="I627" s="11"/>
      <c r="J627" s="11" t="s">
        <v>97</v>
      </c>
      <c r="K627" s="11" t="s">
        <v>113</v>
      </c>
      <c r="L627" s="11" t="s">
        <v>250</v>
      </c>
      <c r="M627" s="11" t="s">
        <v>100</v>
      </c>
      <c r="N627" s="32" t="n">
        <v>19024</v>
      </c>
      <c r="O627" s="33" t="n">
        <v>1982561.37</v>
      </c>
      <c r="P627" s="32" t="n">
        <v>19024</v>
      </c>
      <c r="Q627" s="34" t="n">
        <v>1</v>
      </c>
      <c r="R627" s="33" t="n">
        <v>104.21</v>
      </c>
      <c r="S627" s="33" t="n">
        <v>104.21</v>
      </c>
      <c r="T627" s="33" t="n">
        <v>104.21</v>
      </c>
      <c r="U627" s="11" t="n">
        <f aca="false">IFERROR(YEAR(A627),"")</f>
        <v>2024</v>
      </c>
      <c r="V627" s="33" t="n">
        <f aca="false">IFERROR(O627*B627,0)</f>
        <v>3965122.74</v>
      </c>
      <c r="W627" s="32" t="n">
        <f aca="false">IFERROR(N627*B627,0)</f>
        <v>38048</v>
      </c>
      <c r="X627" s="11" t="n">
        <f aca="false">IF(OR(ISNUMBER(SEARCH("live nation",L627)),ISNUMBER(SEARCH("ocesa",L627))),1,0)</f>
        <v>0</v>
      </c>
      <c r="Y627" s="11" t="s">
        <v>50</v>
      </c>
    </row>
    <row r="628" customFormat="false" ht="15" hidden="false" customHeight="false" outlineLevel="0" collapsed="false">
      <c r="A628" s="25" t="n">
        <v>45556</v>
      </c>
      <c r="B628" s="13" t="n">
        <v>1</v>
      </c>
      <c r="C628" s="26" t="s">
        <v>559</v>
      </c>
      <c r="D628" s="26"/>
      <c r="E628" s="13" t="s">
        <v>355</v>
      </c>
      <c r="F628" s="13" t="s">
        <v>356</v>
      </c>
      <c r="G628" s="13" t="s">
        <v>139</v>
      </c>
      <c r="H628" s="13" t="s">
        <v>20</v>
      </c>
      <c r="I628" s="13" t="s">
        <v>139</v>
      </c>
      <c r="J628" s="13" t="s">
        <v>97</v>
      </c>
      <c r="K628" s="13" t="s">
        <v>107</v>
      </c>
      <c r="L628" s="13" t="s">
        <v>177</v>
      </c>
      <c r="M628" s="13" t="s">
        <v>100</v>
      </c>
      <c r="N628" s="27" t="n">
        <v>7988</v>
      </c>
      <c r="O628" s="28" t="n">
        <v>1264256.5</v>
      </c>
      <c r="P628" s="27" t="n">
        <v>7988</v>
      </c>
      <c r="Q628" s="29" t="n">
        <v>1</v>
      </c>
      <c r="R628" s="28" t="n">
        <v>53.5</v>
      </c>
      <c r="S628" s="28" t="n">
        <v>193.5</v>
      </c>
      <c r="T628" s="28" t="n">
        <v>158.27</v>
      </c>
      <c r="U628" s="13" t="n">
        <f aca="false">IFERROR(YEAR(A628),"")</f>
        <v>2024</v>
      </c>
      <c r="V628" s="28" t="n">
        <f aca="false">IFERROR(O628*B628,0)</f>
        <v>1264256.5</v>
      </c>
      <c r="W628" s="27" t="n">
        <f aca="false">IFERROR(N628*B628,0)</f>
        <v>7988</v>
      </c>
      <c r="X628" s="13" t="n">
        <f aca="false">IF(OR(ISNUMBER(SEARCH("live nation",L628)),ISNUMBER(SEARCH("ocesa",L628))),1,0)</f>
        <v>1</v>
      </c>
      <c r="Y628" s="13" t="s">
        <v>49</v>
      </c>
    </row>
    <row r="629" customFormat="false" ht="15" hidden="false" customHeight="false" outlineLevel="0" collapsed="false">
      <c r="A629" s="30" t="n">
        <v>45555</v>
      </c>
      <c r="B629" s="11" t="n">
        <v>1</v>
      </c>
      <c r="C629" s="31" t="s">
        <v>919</v>
      </c>
      <c r="D629" s="31" t="s">
        <v>920</v>
      </c>
      <c r="E629" s="11" t="s">
        <v>797</v>
      </c>
      <c r="F629" s="11" t="s">
        <v>306</v>
      </c>
      <c r="G629" s="11" t="s">
        <v>188</v>
      </c>
      <c r="H629" s="11" t="s">
        <v>20</v>
      </c>
      <c r="I629" s="11" t="s">
        <v>307</v>
      </c>
      <c r="J629" s="11" t="s">
        <v>121</v>
      </c>
      <c r="K629" s="11" t="s">
        <v>107</v>
      </c>
      <c r="L629" s="11" t="s">
        <v>657</v>
      </c>
      <c r="M629" s="11" t="s">
        <v>100</v>
      </c>
      <c r="N629" s="32" t="n">
        <v>1246</v>
      </c>
      <c r="O629" s="33" t="n">
        <v>51629</v>
      </c>
      <c r="P629" s="32" t="n">
        <v>1721</v>
      </c>
      <c r="Q629" s="34" t="n">
        <v>0.72</v>
      </c>
      <c r="R629" s="33" t="n">
        <v>26.5</v>
      </c>
      <c r="S629" s="33" t="n">
        <v>46.5</v>
      </c>
      <c r="T629" s="33" t="n">
        <v>41.44</v>
      </c>
      <c r="U629" s="11" t="n">
        <f aca="false">IFERROR(YEAR(A629),"")</f>
        <v>2024</v>
      </c>
      <c r="V629" s="33" t="n">
        <f aca="false">IFERROR(O629*B629,0)</f>
        <v>51629</v>
      </c>
      <c r="W629" s="32" t="n">
        <f aca="false">IFERROR(N629*B629,0)</f>
        <v>1246</v>
      </c>
      <c r="X629" s="11" t="n">
        <f aca="false">IF(OR(ISNUMBER(SEARCH("live nation",L629)),ISNUMBER(SEARCH("ocesa",L629))),1,0)</f>
        <v>1</v>
      </c>
      <c r="Y629" s="11" t="s">
        <v>49</v>
      </c>
    </row>
    <row r="630" customFormat="false" ht="15" hidden="false" customHeight="false" outlineLevel="0" collapsed="false">
      <c r="A630" s="25" t="n">
        <v>45553</v>
      </c>
      <c r="B630" s="13" t="n">
        <v>1</v>
      </c>
      <c r="C630" s="26" t="s">
        <v>94</v>
      </c>
      <c r="D630" s="26"/>
      <c r="E630" s="13" t="s">
        <v>355</v>
      </c>
      <c r="F630" s="13" t="s">
        <v>356</v>
      </c>
      <c r="G630" s="13" t="s">
        <v>139</v>
      </c>
      <c r="H630" s="13" t="s">
        <v>20</v>
      </c>
      <c r="I630" s="13" t="s">
        <v>139</v>
      </c>
      <c r="J630" s="13" t="s">
        <v>97</v>
      </c>
      <c r="K630" s="13" t="s">
        <v>107</v>
      </c>
      <c r="L630" s="13" t="s">
        <v>531</v>
      </c>
      <c r="M630" s="13" t="s">
        <v>100</v>
      </c>
      <c r="N630" s="27" t="n">
        <v>8258</v>
      </c>
      <c r="O630" s="28" t="n">
        <v>1053484.75</v>
      </c>
      <c r="P630" s="27" t="n">
        <v>8258</v>
      </c>
      <c r="Q630" s="29" t="n">
        <v>1</v>
      </c>
      <c r="R630" s="28" t="n">
        <v>59.5</v>
      </c>
      <c r="S630" s="28" t="n">
        <v>399.5</v>
      </c>
      <c r="T630" s="28" t="n">
        <v>127.57</v>
      </c>
      <c r="U630" s="13" t="n">
        <f aca="false">IFERROR(YEAR(A630),"")</f>
        <v>2024</v>
      </c>
      <c r="V630" s="28" t="n">
        <f aca="false">IFERROR(O630*B630,0)</f>
        <v>1053484.75</v>
      </c>
      <c r="W630" s="27" t="n">
        <f aca="false">IFERROR(N630*B630,0)</f>
        <v>8258</v>
      </c>
      <c r="X630" s="13" t="n">
        <f aca="false">IF(OR(ISNUMBER(SEARCH("live nation",L630)),ISNUMBER(SEARCH("ocesa",L630))),1,0)</f>
        <v>0</v>
      </c>
      <c r="Y630" s="13" t="s">
        <v>49</v>
      </c>
    </row>
    <row r="631" customFormat="false" ht="15" hidden="false" customHeight="false" outlineLevel="0" collapsed="false">
      <c r="A631" s="30" t="n">
        <v>45552</v>
      </c>
      <c r="B631" s="11" t="n">
        <v>1</v>
      </c>
      <c r="C631" s="31" t="s">
        <v>559</v>
      </c>
      <c r="D631" s="31"/>
      <c r="E631" s="11" t="s">
        <v>501</v>
      </c>
      <c r="F631" s="11" t="s">
        <v>502</v>
      </c>
      <c r="G631" s="11" t="s">
        <v>143</v>
      </c>
      <c r="H631" s="11" t="s">
        <v>20</v>
      </c>
      <c r="I631" s="11" t="s">
        <v>375</v>
      </c>
      <c r="J631" s="11" t="s">
        <v>97</v>
      </c>
      <c r="K631" s="11" t="s">
        <v>107</v>
      </c>
      <c r="L631" s="11" t="s">
        <v>177</v>
      </c>
      <c r="M631" s="11" t="s">
        <v>100</v>
      </c>
      <c r="N631" s="32" t="n">
        <v>7555</v>
      </c>
      <c r="O631" s="33" t="n">
        <v>1025836</v>
      </c>
      <c r="P631" s="32" t="n">
        <v>9130</v>
      </c>
      <c r="Q631" s="34" t="n">
        <v>0.82</v>
      </c>
      <c r="R631" s="33" t="n">
        <v>59.5</v>
      </c>
      <c r="S631" s="33" t="n">
        <v>199.5</v>
      </c>
      <c r="T631" s="33" t="n">
        <v>135.78</v>
      </c>
      <c r="U631" s="11" t="n">
        <f aca="false">IFERROR(YEAR(A631),"")</f>
        <v>2024</v>
      </c>
      <c r="V631" s="33" t="n">
        <f aca="false">IFERROR(O631*B631,0)</f>
        <v>1025836</v>
      </c>
      <c r="W631" s="32" t="n">
        <f aca="false">IFERROR(N631*B631,0)</f>
        <v>7555</v>
      </c>
      <c r="X631" s="11" t="n">
        <f aca="false">IF(OR(ISNUMBER(SEARCH("live nation",L631)),ISNUMBER(SEARCH("ocesa",L631))),1,0)</f>
        <v>1</v>
      </c>
      <c r="Y631" s="11" t="s">
        <v>49</v>
      </c>
    </row>
    <row r="632" customFormat="false" ht="15" hidden="false" customHeight="false" outlineLevel="0" collapsed="false">
      <c r="A632" s="25" t="n">
        <v>45550</v>
      </c>
      <c r="B632" s="13" t="n">
        <v>1</v>
      </c>
      <c r="C632" s="26" t="s">
        <v>518</v>
      </c>
      <c r="D632" s="26"/>
      <c r="E632" s="13" t="s">
        <v>312</v>
      </c>
      <c r="F632" s="13" t="s">
        <v>313</v>
      </c>
      <c r="G632" s="13"/>
      <c r="H632" s="13" t="s">
        <v>27</v>
      </c>
      <c r="I632" s="13"/>
      <c r="J632" s="13" t="s">
        <v>97</v>
      </c>
      <c r="K632" s="13" t="s">
        <v>314</v>
      </c>
      <c r="L632" s="13" t="s">
        <v>860</v>
      </c>
      <c r="M632" s="13" t="s">
        <v>100</v>
      </c>
      <c r="N632" s="27" t="n">
        <v>2852</v>
      </c>
      <c r="O632" s="28" t="n">
        <v>515275.77</v>
      </c>
      <c r="P632" s="27" t="n">
        <v>4007</v>
      </c>
      <c r="Q632" s="29" t="n">
        <v>0.71</v>
      </c>
      <c r="R632" s="28" t="n">
        <v>102.36</v>
      </c>
      <c r="S632" s="28" t="n">
        <v>272.97</v>
      </c>
      <c r="T632" s="28" t="n">
        <v>180.67</v>
      </c>
      <c r="U632" s="13" t="n">
        <f aca="false">IFERROR(YEAR(A632),"")</f>
        <v>2024</v>
      </c>
      <c r="V632" s="28" t="n">
        <f aca="false">IFERROR(O632*B632,0)</f>
        <v>515275.77</v>
      </c>
      <c r="W632" s="27" t="n">
        <f aca="false">IFERROR(N632*B632,0)</f>
        <v>2852</v>
      </c>
      <c r="X632" s="13" t="n">
        <f aca="false">IF(OR(ISNUMBER(SEARCH("live nation",L632)),ISNUMBER(SEARCH("ocesa",L632))),1,0)</f>
        <v>0</v>
      </c>
      <c r="Y632" s="13" t="s">
        <v>49</v>
      </c>
    </row>
    <row r="633" customFormat="false" ht="15" hidden="false" customHeight="false" outlineLevel="0" collapsed="false">
      <c r="A633" s="30" t="n">
        <v>45550</v>
      </c>
      <c r="B633" s="11" t="n">
        <v>1</v>
      </c>
      <c r="C633" s="31" t="s">
        <v>921</v>
      </c>
      <c r="D633" s="31" t="s">
        <v>922</v>
      </c>
      <c r="E633" s="11" t="s">
        <v>923</v>
      </c>
      <c r="F633" s="11" t="s">
        <v>924</v>
      </c>
      <c r="G633" s="11" t="s">
        <v>202</v>
      </c>
      <c r="H633" s="11" t="s">
        <v>20</v>
      </c>
      <c r="I633" s="11" t="s">
        <v>203</v>
      </c>
      <c r="J633" s="11" t="s">
        <v>97</v>
      </c>
      <c r="K633" s="11" t="s">
        <v>107</v>
      </c>
      <c r="L633" s="11" t="s">
        <v>859</v>
      </c>
      <c r="M633" s="11" t="s">
        <v>100</v>
      </c>
      <c r="N633" s="32" t="n">
        <v>5149</v>
      </c>
      <c r="O633" s="33" t="n">
        <v>231213</v>
      </c>
      <c r="P633" s="32" t="n">
        <v>11843</v>
      </c>
      <c r="Q633" s="34" t="n">
        <v>0.43</v>
      </c>
      <c r="R633" s="33" t="n">
        <v>32</v>
      </c>
      <c r="S633" s="33" t="n">
        <v>453</v>
      </c>
      <c r="T633" s="33" t="n">
        <v>44.9</v>
      </c>
      <c r="U633" s="11" t="n">
        <f aca="false">IFERROR(YEAR(A633),"")</f>
        <v>2024</v>
      </c>
      <c r="V633" s="33" t="n">
        <f aca="false">IFERROR(O633*B633,0)</f>
        <v>231213</v>
      </c>
      <c r="W633" s="32" t="n">
        <f aca="false">IFERROR(N633*B633,0)</f>
        <v>5149</v>
      </c>
      <c r="X633" s="11" t="n">
        <f aca="false">IF(OR(ISNUMBER(SEARCH("live nation",L633)),ISNUMBER(SEARCH("ocesa",L633))),1,0)</f>
        <v>0</v>
      </c>
      <c r="Y633" s="11" t="s">
        <v>49</v>
      </c>
    </row>
    <row r="634" customFormat="false" ht="15" hidden="false" customHeight="false" outlineLevel="0" collapsed="false">
      <c r="A634" s="25" t="n">
        <v>45550</v>
      </c>
      <c r="B634" s="13" t="n">
        <v>1</v>
      </c>
      <c r="C634" s="26" t="s">
        <v>94</v>
      </c>
      <c r="D634" s="26"/>
      <c r="E634" s="13" t="s">
        <v>206</v>
      </c>
      <c r="F634" s="13" t="s">
        <v>207</v>
      </c>
      <c r="G634" s="13" t="s">
        <v>208</v>
      </c>
      <c r="H634" s="13" t="s">
        <v>20</v>
      </c>
      <c r="I634" s="13" t="s">
        <v>209</v>
      </c>
      <c r="J634" s="13" t="s">
        <v>97</v>
      </c>
      <c r="K634" s="13" t="s">
        <v>107</v>
      </c>
      <c r="L634" s="13" t="s">
        <v>531</v>
      </c>
      <c r="M634" s="13" t="s">
        <v>100</v>
      </c>
      <c r="N634" s="27" t="n">
        <v>7569</v>
      </c>
      <c r="O634" s="28" t="n">
        <v>967114</v>
      </c>
      <c r="P634" s="27" t="n">
        <v>7569</v>
      </c>
      <c r="Q634" s="29" t="n">
        <v>1</v>
      </c>
      <c r="R634" s="28" t="n">
        <v>59.5</v>
      </c>
      <c r="S634" s="28" t="n">
        <v>399.5</v>
      </c>
      <c r="T634" s="28" t="n">
        <v>127.77</v>
      </c>
      <c r="U634" s="13" t="n">
        <f aca="false">IFERROR(YEAR(A634),"")</f>
        <v>2024</v>
      </c>
      <c r="V634" s="28" t="n">
        <f aca="false">IFERROR(O634*B634,0)</f>
        <v>967114</v>
      </c>
      <c r="W634" s="27" t="n">
        <f aca="false">IFERROR(N634*B634,0)</f>
        <v>7569</v>
      </c>
      <c r="X634" s="13" t="n">
        <f aca="false">IF(OR(ISNUMBER(SEARCH("live nation",L634)),ISNUMBER(SEARCH("ocesa",L634))),1,0)</f>
        <v>0</v>
      </c>
      <c r="Y634" s="13" t="s">
        <v>49</v>
      </c>
    </row>
    <row r="635" customFormat="false" ht="15" hidden="false" customHeight="false" outlineLevel="0" collapsed="false">
      <c r="A635" s="30" t="n">
        <v>45549</v>
      </c>
      <c r="B635" s="11" t="n">
        <v>2</v>
      </c>
      <c r="C635" s="31" t="s">
        <v>63</v>
      </c>
      <c r="D635" s="31"/>
      <c r="E635" s="11" t="s">
        <v>407</v>
      </c>
      <c r="F635" s="11" t="s">
        <v>408</v>
      </c>
      <c r="G635" s="11"/>
      <c r="H635" s="11" t="s">
        <v>21</v>
      </c>
      <c r="I635" s="11"/>
      <c r="J635" s="11" t="s">
        <v>133</v>
      </c>
      <c r="K635" s="11" t="s">
        <v>113</v>
      </c>
      <c r="L635" s="11" t="s">
        <v>145</v>
      </c>
      <c r="M635" s="11" t="s">
        <v>100</v>
      </c>
      <c r="N635" s="32" t="n">
        <v>27038</v>
      </c>
      <c r="O635" s="33" t="n">
        <v>2807264.27</v>
      </c>
      <c r="P635" s="32" t="n">
        <v>29285</v>
      </c>
      <c r="Q635" s="34" t="n">
        <v>0.92</v>
      </c>
      <c r="R635" s="33" t="n">
        <v>0.65</v>
      </c>
      <c r="S635" s="33" t="n">
        <v>1.17</v>
      </c>
      <c r="T635" s="33" t="n">
        <v>103.82</v>
      </c>
      <c r="U635" s="11" t="n">
        <f aca="false">IFERROR(YEAR(A635),"")</f>
        <v>2024</v>
      </c>
      <c r="V635" s="33" t="n">
        <f aca="false">IFERROR(O635*B635,0)</f>
        <v>5614528.54</v>
      </c>
      <c r="W635" s="32" t="n">
        <f aca="false">IFERROR(N635*B635,0)</f>
        <v>54076</v>
      </c>
      <c r="X635" s="11" t="n">
        <f aca="false">IF(OR(ISNUMBER(SEARCH("live nation",L635)),ISNUMBER(SEARCH("ocesa",L635))),1,0)</f>
        <v>0</v>
      </c>
      <c r="Y635" s="11" t="s">
        <v>50</v>
      </c>
    </row>
    <row r="636" customFormat="false" ht="15" hidden="false" customHeight="false" outlineLevel="0" collapsed="false">
      <c r="A636" s="25" t="n">
        <v>45549</v>
      </c>
      <c r="B636" s="13" t="n">
        <v>1</v>
      </c>
      <c r="C636" s="26" t="s">
        <v>559</v>
      </c>
      <c r="D636" s="26"/>
      <c r="E636" s="13" t="s">
        <v>230</v>
      </c>
      <c r="F636" s="13" t="s">
        <v>231</v>
      </c>
      <c r="G636" s="13" t="s">
        <v>202</v>
      </c>
      <c r="H636" s="13" t="s">
        <v>20</v>
      </c>
      <c r="I636" s="13" t="s">
        <v>232</v>
      </c>
      <c r="J636" s="13" t="s">
        <v>97</v>
      </c>
      <c r="K636" s="13" t="s">
        <v>107</v>
      </c>
      <c r="L636" s="13" t="s">
        <v>177</v>
      </c>
      <c r="M636" s="13" t="s">
        <v>100</v>
      </c>
      <c r="N636" s="27" t="n">
        <v>7256</v>
      </c>
      <c r="O636" s="28" t="n">
        <v>960340.15</v>
      </c>
      <c r="P636" s="27" t="n">
        <v>7256</v>
      </c>
      <c r="Q636" s="29" t="n">
        <v>1</v>
      </c>
      <c r="R636" s="28" t="n">
        <v>56.67</v>
      </c>
      <c r="S636" s="28" t="n">
        <v>190</v>
      </c>
      <c r="T636" s="28" t="n">
        <v>132.35</v>
      </c>
      <c r="U636" s="13" t="n">
        <f aca="false">IFERROR(YEAR(A636),"")</f>
        <v>2024</v>
      </c>
      <c r="V636" s="28" t="n">
        <f aca="false">IFERROR(O636*B636,0)</f>
        <v>960340.15</v>
      </c>
      <c r="W636" s="27" t="n">
        <f aca="false">IFERROR(N636*B636,0)</f>
        <v>7256</v>
      </c>
      <c r="X636" s="13" t="n">
        <f aca="false">IF(OR(ISNUMBER(SEARCH("live nation",L636)),ISNUMBER(SEARCH("ocesa",L636))),1,0)</f>
        <v>1</v>
      </c>
      <c r="Y636" s="13" t="s">
        <v>49</v>
      </c>
    </row>
    <row r="637" customFormat="false" ht="15" hidden="false" customHeight="false" outlineLevel="0" collapsed="false">
      <c r="A637" s="30" t="n">
        <v>45549</v>
      </c>
      <c r="B637" s="11" t="n">
        <v>1</v>
      </c>
      <c r="C637" s="31" t="s">
        <v>921</v>
      </c>
      <c r="D637" s="31" t="s">
        <v>925</v>
      </c>
      <c r="E637" s="11" t="s">
        <v>923</v>
      </c>
      <c r="F637" s="11" t="s">
        <v>924</v>
      </c>
      <c r="G637" s="11" t="s">
        <v>202</v>
      </c>
      <c r="H637" s="11" t="s">
        <v>20</v>
      </c>
      <c r="I637" s="11" t="s">
        <v>203</v>
      </c>
      <c r="J637" s="11" t="s">
        <v>97</v>
      </c>
      <c r="K637" s="11" t="s">
        <v>107</v>
      </c>
      <c r="L637" s="11" t="s">
        <v>859</v>
      </c>
      <c r="M637" s="11" t="s">
        <v>100</v>
      </c>
      <c r="N637" s="32" t="n">
        <v>6477</v>
      </c>
      <c r="O637" s="33" t="n">
        <v>600058</v>
      </c>
      <c r="P637" s="32" t="n">
        <v>11838</v>
      </c>
      <c r="Q637" s="34" t="n">
        <v>0.54</v>
      </c>
      <c r="R637" s="33" t="n">
        <v>32</v>
      </c>
      <c r="S637" s="33" t="n">
        <v>453</v>
      </c>
      <c r="T637" s="33" t="n">
        <v>92.64</v>
      </c>
      <c r="U637" s="11" t="n">
        <f aca="false">IFERROR(YEAR(A637),"")</f>
        <v>2024</v>
      </c>
      <c r="V637" s="33" t="n">
        <f aca="false">IFERROR(O637*B637,0)</f>
        <v>600058</v>
      </c>
      <c r="W637" s="32" t="n">
        <f aca="false">IFERROR(N637*B637,0)</f>
        <v>6477</v>
      </c>
      <c r="X637" s="11" t="n">
        <f aca="false">IF(OR(ISNUMBER(SEARCH("live nation",L637)),ISNUMBER(SEARCH("ocesa",L637))),1,0)</f>
        <v>0</v>
      </c>
      <c r="Y637" s="11" t="s">
        <v>49</v>
      </c>
    </row>
    <row r="638" customFormat="false" ht="15" hidden="false" customHeight="false" outlineLevel="0" collapsed="false">
      <c r="A638" s="25" t="n">
        <v>45545</v>
      </c>
      <c r="B638" s="13" t="n">
        <v>1</v>
      </c>
      <c r="C638" s="26" t="s">
        <v>94</v>
      </c>
      <c r="D638" s="26"/>
      <c r="E638" s="13" t="s">
        <v>618</v>
      </c>
      <c r="F638" s="13" t="s">
        <v>619</v>
      </c>
      <c r="G638" s="13" t="s">
        <v>202</v>
      </c>
      <c r="H638" s="13" t="s">
        <v>20</v>
      </c>
      <c r="I638" s="13" t="s">
        <v>203</v>
      </c>
      <c r="J638" s="13" t="s">
        <v>97</v>
      </c>
      <c r="K638" s="13" t="s">
        <v>107</v>
      </c>
      <c r="L638" s="13" t="s">
        <v>531</v>
      </c>
      <c r="M638" s="13" t="s">
        <v>100</v>
      </c>
      <c r="N638" s="27" t="n">
        <v>8528</v>
      </c>
      <c r="O638" s="28" t="n">
        <v>1281644.99</v>
      </c>
      <c r="P638" s="27" t="n">
        <v>10878</v>
      </c>
      <c r="Q638" s="29" t="n">
        <v>0.78</v>
      </c>
      <c r="R638" s="28" t="n">
        <v>64.5</v>
      </c>
      <c r="S638" s="28" t="n">
        <v>404.5</v>
      </c>
      <c r="T638" s="28" t="n">
        <v>150.29</v>
      </c>
      <c r="U638" s="13" t="n">
        <f aca="false">IFERROR(YEAR(A638),"")</f>
        <v>2024</v>
      </c>
      <c r="V638" s="28" t="n">
        <f aca="false">IFERROR(O638*B638,0)</f>
        <v>1281644.99</v>
      </c>
      <c r="W638" s="27" t="n">
        <f aca="false">IFERROR(N638*B638,0)</f>
        <v>8528</v>
      </c>
      <c r="X638" s="13" t="n">
        <f aca="false">IF(OR(ISNUMBER(SEARCH("live nation",L638)),ISNUMBER(SEARCH("ocesa",L638))),1,0)</f>
        <v>0</v>
      </c>
      <c r="Y638" s="13" t="s">
        <v>49</v>
      </c>
    </row>
    <row r="639" customFormat="false" ht="15" hidden="false" customHeight="false" outlineLevel="0" collapsed="false">
      <c r="A639" s="30" t="n">
        <v>45544</v>
      </c>
      <c r="B639" s="11" t="n">
        <v>1</v>
      </c>
      <c r="C639" s="31" t="s">
        <v>559</v>
      </c>
      <c r="D639" s="31"/>
      <c r="E639" s="11" t="s">
        <v>926</v>
      </c>
      <c r="F639" s="11" t="s">
        <v>132</v>
      </c>
      <c r="G639" s="11"/>
      <c r="H639" s="11" t="s">
        <v>23</v>
      </c>
      <c r="I639" s="11"/>
      <c r="J639" s="11" t="s">
        <v>97</v>
      </c>
      <c r="K639" s="11" t="s">
        <v>134</v>
      </c>
      <c r="L639" s="11" t="s">
        <v>135</v>
      </c>
      <c r="M639" s="11" t="s">
        <v>100</v>
      </c>
      <c r="N639" s="32" t="n">
        <v>10579</v>
      </c>
      <c r="O639" s="33" t="n">
        <v>1406247.15</v>
      </c>
      <c r="P639" s="32" t="n">
        <v>15806</v>
      </c>
      <c r="Q639" s="34" t="n">
        <v>0.66</v>
      </c>
      <c r="R639" s="33" t="n">
        <v>65.11</v>
      </c>
      <c r="S639" s="33" t="n">
        <v>400.69</v>
      </c>
      <c r="T639" s="33" t="n">
        <v>132.93</v>
      </c>
      <c r="U639" s="11" t="n">
        <f aca="false">IFERROR(YEAR(A639),"")</f>
        <v>2024</v>
      </c>
      <c r="V639" s="33" t="n">
        <f aca="false">IFERROR(O639*B639,0)</f>
        <v>1406247.15</v>
      </c>
      <c r="W639" s="32" t="n">
        <f aca="false">IFERROR(N639*B639,0)</f>
        <v>10579</v>
      </c>
      <c r="X639" s="11" t="n">
        <f aca="false">IF(OR(ISNUMBER(SEARCH("live nation",L639)),ISNUMBER(SEARCH("ocesa",L639))),1,0)</f>
        <v>1</v>
      </c>
      <c r="Y639" s="11" t="s">
        <v>49</v>
      </c>
    </row>
    <row r="640" customFormat="false" ht="15" hidden="false" customHeight="false" outlineLevel="0" collapsed="false">
      <c r="A640" s="25" t="n">
        <v>45543</v>
      </c>
      <c r="B640" s="13" t="n">
        <v>1</v>
      </c>
      <c r="C640" s="26" t="s">
        <v>94</v>
      </c>
      <c r="D640" s="26"/>
      <c r="E640" s="13" t="s">
        <v>230</v>
      </c>
      <c r="F640" s="13" t="s">
        <v>231</v>
      </c>
      <c r="G640" s="13" t="s">
        <v>202</v>
      </c>
      <c r="H640" s="13" t="s">
        <v>20</v>
      </c>
      <c r="I640" s="13" t="s">
        <v>232</v>
      </c>
      <c r="J640" s="13" t="s">
        <v>97</v>
      </c>
      <c r="K640" s="13" t="s">
        <v>107</v>
      </c>
      <c r="L640" s="13" t="s">
        <v>531</v>
      </c>
      <c r="M640" s="13" t="s">
        <v>100</v>
      </c>
      <c r="N640" s="27" t="n">
        <v>9227</v>
      </c>
      <c r="O640" s="28" t="n">
        <v>1227676.5</v>
      </c>
      <c r="P640" s="27" t="n">
        <v>12978</v>
      </c>
      <c r="Q640" s="29" t="n">
        <v>0.71</v>
      </c>
      <c r="R640" s="28" t="n">
        <v>39.5</v>
      </c>
      <c r="S640" s="28" t="n">
        <v>199.5</v>
      </c>
      <c r="T640" s="28" t="n">
        <v>133.05</v>
      </c>
      <c r="U640" s="13" t="n">
        <f aca="false">IFERROR(YEAR(A640),"")</f>
        <v>2024</v>
      </c>
      <c r="V640" s="28" t="n">
        <f aca="false">IFERROR(O640*B640,0)</f>
        <v>1227676.5</v>
      </c>
      <c r="W640" s="27" t="n">
        <f aca="false">IFERROR(N640*B640,0)</f>
        <v>9227</v>
      </c>
      <c r="X640" s="13" t="n">
        <f aca="false">IF(OR(ISNUMBER(SEARCH("live nation",L640)),ISNUMBER(SEARCH("ocesa",L640))),1,0)</f>
        <v>0</v>
      </c>
      <c r="Y640" s="13" t="s">
        <v>49</v>
      </c>
    </row>
    <row r="641" customFormat="false" ht="15" hidden="false" customHeight="false" outlineLevel="0" collapsed="false">
      <c r="A641" s="30" t="n">
        <v>45543</v>
      </c>
      <c r="B641" s="11" t="n">
        <v>1</v>
      </c>
      <c r="C641" s="31" t="s">
        <v>927</v>
      </c>
      <c r="D641" s="31"/>
      <c r="E641" s="11" t="s">
        <v>111</v>
      </c>
      <c r="F641" s="11" t="s">
        <v>112</v>
      </c>
      <c r="G641" s="11"/>
      <c r="H641" s="11" t="s">
        <v>21</v>
      </c>
      <c r="I641" s="11"/>
      <c r="J641" s="11" t="s">
        <v>97</v>
      </c>
      <c r="K641" s="11" t="s">
        <v>113</v>
      </c>
      <c r="L641" s="11" t="s">
        <v>321</v>
      </c>
      <c r="M641" s="11" t="s">
        <v>100</v>
      </c>
      <c r="N641" s="32" t="n">
        <v>18000</v>
      </c>
      <c r="O641" s="33" t="n">
        <v>1251887.97</v>
      </c>
      <c r="P641" s="32" t="n">
        <v>18000</v>
      </c>
      <c r="Q641" s="34" t="n">
        <v>1</v>
      </c>
      <c r="R641" s="33" t="n">
        <v>69.55</v>
      </c>
      <c r="S641" s="33" t="n">
        <v>69.55</v>
      </c>
      <c r="T641" s="33" t="n">
        <v>69.55</v>
      </c>
      <c r="U641" s="11" t="n">
        <f aca="false">IFERROR(YEAR(A641),"")</f>
        <v>2024</v>
      </c>
      <c r="V641" s="33" t="n">
        <f aca="false">IFERROR(O641*B641,0)</f>
        <v>1251887.97</v>
      </c>
      <c r="W641" s="32" t="n">
        <f aca="false">IFERROR(N641*B641,0)</f>
        <v>18000</v>
      </c>
      <c r="X641" s="11" t="n">
        <f aca="false">IF(OR(ISNUMBER(SEARCH("live nation",L641)),ISNUMBER(SEARCH("ocesa",L641))),1,0)</f>
        <v>0</v>
      </c>
      <c r="Y641" s="11" t="s">
        <v>50</v>
      </c>
    </row>
    <row r="642" customFormat="false" ht="15" hidden="false" customHeight="false" outlineLevel="0" collapsed="false">
      <c r="A642" s="25" t="n">
        <v>45542</v>
      </c>
      <c r="B642" s="13" t="n">
        <v>1</v>
      </c>
      <c r="C642" s="26" t="s">
        <v>63</v>
      </c>
      <c r="D642" s="26"/>
      <c r="E642" s="13" t="s">
        <v>391</v>
      </c>
      <c r="F642" s="13" t="s">
        <v>324</v>
      </c>
      <c r="G642" s="13"/>
      <c r="H642" s="13" t="s">
        <v>324</v>
      </c>
      <c r="I642" s="13"/>
      <c r="J642" s="13" t="s">
        <v>97</v>
      </c>
      <c r="K642" s="13" t="s">
        <v>324</v>
      </c>
      <c r="L642" s="13" t="s">
        <v>145</v>
      </c>
      <c r="M642" s="13" t="s">
        <v>100</v>
      </c>
      <c r="N642" s="27" t="n">
        <v>9185</v>
      </c>
      <c r="O642" s="28" t="n">
        <v>2140082.86</v>
      </c>
      <c r="P642" s="27" t="n">
        <v>9185</v>
      </c>
      <c r="Q642" s="29" t="n">
        <v>1</v>
      </c>
      <c r="R642" s="28" t="n">
        <v>116.58</v>
      </c>
      <c r="S642" s="28" t="n">
        <v>204.79</v>
      </c>
      <c r="T642" s="28" t="n">
        <v>233</v>
      </c>
      <c r="U642" s="13" t="n">
        <f aca="false">IFERROR(YEAR(A642),"")</f>
        <v>2024</v>
      </c>
      <c r="V642" s="28" t="n">
        <f aca="false">IFERROR(O642*B642,0)</f>
        <v>2140082.86</v>
      </c>
      <c r="W642" s="27" t="n">
        <f aca="false">IFERROR(N642*B642,0)</f>
        <v>9185</v>
      </c>
      <c r="X642" s="13" t="n">
        <f aca="false">IF(OR(ISNUMBER(SEARCH("live nation",L642)),ISNUMBER(SEARCH("ocesa",L642))),1,0)</f>
        <v>0</v>
      </c>
      <c r="Y642" s="13" t="s">
        <v>50</v>
      </c>
    </row>
    <row r="643" customFormat="false" ht="15" hidden="false" customHeight="false" outlineLevel="0" collapsed="false">
      <c r="A643" s="30" t="n">
        <v>45542</v>
      </c>
      <c r="B643" s="11" t="n">
        <v>1</v>
      </c>
      <c r="C643" s="31" t="s">
        <v>927</v>
      </c>
      <c r="D643" s="31"/>
      <c r="E643" s="11" t="s">
        <v>111</v>
      </c>
      <c r="F643" s="11" t="s">
        <v>112</v>
      </c>
      <c r="G643" s="11"/>
      <c r="H643" s="11" t="s">
        <v>21</v>
      </c>
      <c r="I643" s="11"/>
      <c r="J643" s="11" t="s">
        <v>97</v>
      </c>
      <c r="K643" s="11" t="s">
        <v>113</v>
      </c>
      <c r="L643" s="11" t="s">
        <v>321</v>
      </c>
      <c r="M643" s="11" t="s">
        <v>100</v>
      </c>
      <c r="N643" s="32" t="n">
        <v>18000</v>
      </c>
      <c r="O643" s="33" t="n">
        <v>1252064.39</v>
      </c>
      <c r="P643" s="32" t="n">
        <v>18000</v>
      </c>
      <c r="Q643" s="34" t="n">
        <v>1</v>
      </c>
      <c r="R643" s="33" t="n">
        <v>69.56</v>
      </c>
      <c r="S643" s="33" t="n">
        <v>69.56</v>
      </c>
      <c r="T643" s="33" t="n">
        <v>69.56</v>
      </c>
      <c r="U643" s="11" t="n">
        <f aca="false">IFERROR(YEAR(A643),"")</f>
        <v>2024</v>
      </c>
      <c r="V643" s="33" t="n">
        <f aca="false">IFERROR(O643*B643,0)</f>
        <v>1252064.39</v>
      </c>
      <c r="W643" s="32" t="n">
        <f aca="false">IFERROR(N643*B643,0)</f>
        <v>18000</v>
      </c>
      <c r="X643" s="11" t="n">
        <f aca="false">IF(OR(ISNUMBER(SEARCH("live nation",L643)),ISNUMBER(SEARCH("ocesa",L643))),1,0)</f>
        <v>0</v>
      </c>
      <c r="Y643" s="11" t="s">
        <v>50</v>
      </c>
    </row>
    <row r="644" customFormat="false" ht="15" hidden="false" customHeight="false" outlineLevel="0" collapsed="false">
      <c r="A644" s="25" t="n">
        <v>45540</v>
      </c>
      <c r="B644" s="13" t="n">
        <v>1</v>
      </c>
      <c r="C644" s="26" t="s">
        <v>559</v>
      </c>
      <c r="D644" s="26"/>
      <c r="E644" s="13" t="s">
        <v>155</v>
      </c>
      <c r="F644" s="13" t="s">
        <v>156</v>
      </c>
      <c r="G644" s="13"/>
      <c r="H644" s="13" t="s">
        <v>157</v>
      </c>
      <c r="I644" s="13"/>
      <c r="J644" s="13" t="s">
        <v>97</v>
      </c>
      <c r="K644" s="13" t="s">
        <v>158</v>
      </c>
      <c r="L644" s="13" t="s">
        <v>776</v>
      </c>
      <c r="M644" s="13" t="s">
        <v>100</v>
      </c>
      <c r="N644" s="27" t="n">
        <v>8594</v>
      </c>
      <c r="O644" s="28" t="n">
        <v>800483.4</v>
      </c>
      <c r="P644" s="27" t="n">
        <v>8594</v>
      </c>
      <c r="Q644" s="29" t="n">
        <v>1</v>
      </c>
      <c r="R644" s="28" t="n">
        <v>43.22</v>
      </c>
      <c r="S644" s="28" t="n">
        <v>191.42</v>
      </c>
      <c r="T644" s="28" t="n">
        <v>93.14</v>
      </c>
      <c r="U644" s="13" t="n">
        <f aca="false">IFERROR(YEAR(A644),"")</f>
        <v>2024</v>
      </c>
      <c r="V644" s="28" t="n">
        <f aca="false">IFERROR(O644*B644,0)</f>
        <v>800483.4</v>
      </c>
      <c r="W644" s="27" t="n">
        <f aca="false">IFERROR(N644*B644,0)</f>
        <v>8594</v>
      </c>
      <c r="X644" s="13" t="n">
        <f aca="false">IF(OR(ISNUMBER(SEARCH("live nation",L644)),ISNUMBER(SEARCH("ocesa",L644))),1,0)</f>
        <v>1</v>
      </c>
      <c r="Y644" s="13" t="s">
        <v>49</v>
      </c>
    </row>
    <row r="645" customFormat="false" ht="15" hidden="false" customHeight="false" outlineLevel="0" collapsed="false">
      <c r="A645" s="30" t="n">
        <v>45539</v>
      </c>
      <c r="B645" s="11" t="n">
        <v>1</v>
      </c>
      <c r="C645" s="31" t="s">
        <v>928</v>
      </c>
      <c r="D645" s="31"/>
      <c r="E645" s="11" t="s">
        <v>879</v>
      </c>
      <c r="F645" s="11" t="s">
        <v>929</v>
      </c>
      <c r="G645" s="11"/>
      <c r="H645" s="11" t="s">
        <v>23</v>
      </c>
      <c r="I645" s="11"/>
      <c r="J645" s="11" t="s">
        <v>121</v>
      </c>
      <c r="K645" s="11" t="s">
        <v>134</v>
      </c>
      <c r="L645" s="11" t="s">
        <v>135</v>
      </c>
      <c r="M645" s="11" t="s">
        <v>100</v>
      </c>
      <c r="N645" s="32" t="n">
        <v>308</v>
      </c>
      <c r="O645" s="33" t="n">
        <v>11637.11</v>
      </c>
      <c r="P645" s="32" t="n">
        <v>950</v>
      </c>
      <c r="Q645" s="34" t="n">
        <v>0.32</v>
      </c>
      <c r="R645" s="33" t="n">
        <v>15.15</v>
      </c>
      <c r="S645" s="33" t="n">
        <v>116.12</v>
      </c>
      <c r="T645" s="33" t="n">
        <v>37.78</v>
      </c>
      <c r="U645" s="11" t="n">
        <f aca="false">IFERROR(YEAR(A645),"")</f>
        <v>2024</v>
      </c>
      <c r="V645" s="33" t="n">
        <f aca="false">IFERROR(O645*B645,0)</f>
        <v>11637.11</v>
      </c>
      <c r="W645" s="32" t="n">
        <f aca="false">IFERROR(N645*B645,0)</f>
        <v>308</v>
      </c>
      <c r="X645" s="11" t="n">
        <f aca="false">IF(OR(ISNUMBER(SEARCH("live nation",L645)),ISNUMBER(SEARCH("ocesa",L645))),1,0)</f>
        <v>1</v>
      </c>
      <c r="Y645" s="11" t="s">
        <v>49</v>
      </c>
    </row>
    <row r="646" customFormat="false" ht="15" hidden="false" customHeight="false" outlineLevel="0" collapsed="false">
      <c r="A646" s="25" t="n">
        <v>45535</v>
      </c>
      <c r="B646" s="13" t="n">
        <v>1</v>
      </c>
      <c r="C646" s="26" t="s">
        <v>559</v>
      </c>
      <c r="D646" s="26"/>
      <c r="E646" s="13" t="s">
        <v>155</v>
      </c>
      <c r="F646" s="13" t="s">
        <v>930</v>
      </c>
      <c r="G646" s="13"/>
      <c r="H646" s="13" t="s">
        <v>931</v>
      </c>
      <c r="I646" s="13"/>
      <c r="J646" s="13" t="s">
        <v>97</v>
      </c>
      <c r="K646" s="13" t="s">
        <v>134</v>
      </c>
      <c r="L646" s="13" t="s">
        <v>932</v>
      </c>
      <c r="M646" s="13" t="s">
        <v>100</v>
      </c>
      <c r="N646" s="27" t="n">
        <v>6225</v>
      </c>
      <c r="O646" s="28" t="n">
        <v>484395.01</v>
      </c>
      <c r="P646" s="27" t="n">
        <v>10330</v>
      </c>
      <c r="Q646" s="29" t="n">
        <v>0.6</v>
      </c>
      <c r="R646" s="28" t="n">
        <v>38</v>
      </c>
      <c r="S646" s="28" t="n">
        <v>144</v>
      </c>
      <c r="T646" s="28" t="n">
        <v>77.81</v>
      </c>
      <c r="U646" s="13" t="n">
        <f aca="false">IFERROR(YEAR(A646),"")</f>
        <v>2024</v>
      </c>
      <c r="V646" s="28" t="n">
        <f aca="false">IFERROR(O646*B646,0)</f>
        <v>484395.01</v>
      </c>
      <c r="W646" s="27" t="n">
        <f aca="false">IFERROR(N646*B646,0)</f>
        <v>6225</v>
      </c>
      <c r="X646" s="13" t="n">
        <f aca="false">IF(OR(ISNUMBER(SEARCH("live nation",L646)),ISNUMBER(SEARCH("ocesa",L646))),1,0)</f>
        <v>1</v>
      </c>
      <c r="Y646" s="13" t="s">
        <v>49</v>
      </c>
    </row>
    <row r="647" customFormat="false" ht="15" hidden="false" customHeight="false" outlineLevel="0" collapsed="false">
      <c r="A647" s="30" t="n">
        <v>45535</v>
      </c>
      <c r="B647" s="11" t="n">
        <v>2</v>
      </c>
      <c r="C647" s="31" t="s">
        <v>64</v>
      </c>
      <c r="D647" s="31"/>
      <c r="E647" s="11" t="s">
        <v>933</v>
      </c>
      <c r="F647" s="11" t="s">
        <v>934</v>
      </c>
      <c r="G647" s="11"/>
      <c r="H647" s="11" t="s">
        <v>21</v>
      </c>
      <c r="I647" s="11"/>
      <c r="J647" s="11" t="s">
        <v>914</v>
      </c>
      <c r="K647" s="11" t="s">
        <v>113</v>
      </c>
      <c r="L647" s="11" t="s">
        <v>145</v>
      </c>
      <c r="M647" s="11" t="s">
        <v>100</v>
      </c>
      <c r="N647" s="32" t="n">
        <v>7844</v>
      </c>
      <c r="O647" s="33" t="n">
        <v>907031.63</v>
      </c>
      <c r="P647" s="32" t="n">
        <v>7844</v>
      </c>
      <c r="Q647" s="34" t="n">
        <v>1</v>
      </c>
      <c r="R647" s="33" t="n">
        <v>0.67</v>
      </c>
      <c r="S647" s="33" t="n">
        <v>1.22</v>
      </c>
      <c r="T647" s="33" t="n">
        <v>115.63</v>
      </c>
      <c r="U647" s="11" t="n">
        <f aca="false">IFERROR(YEAR(A647),"")</f>
        <v>2024</v>
      </c>
      <c r="V647" s="33" t="n">
        <f aca="false">IFERROR(O647*B647,0)</f>
        <v>1814063.26</v>
      </c>
      <c r="W647" s="32" t="n">
        <f aca="false">IFERROR(N647*B647,0)</f>
        <v>15688</v>
      </c>
      <c r="X647" s="11" t="n">
        <f aca="false">IF(OR(ISNUMBER(SEARCH("live nation",L647)),ISNUMBER(SEARCH("ocesa",L647))),1,0)</f>
        <v>0</v>
      </c>
      <c r="Y647" s="11" t="s">
        <v>50</v>
      </c>
    </row>
    <row r="648" customFormat="false" ht="15" hidden="false" customHeight="false" outlineLevel="0" collapsed="false">
      <c r="A648" s="25" t="n">
        <v>45534</v>
      </c>
      <c r="B648" s="13" t="n">
        <v>2</v>
      </c>
      <c r="C648" s="26" t="s">
        <v>63</v>
      </c>
      <c r="D648" s="26"/>
      <c r="E648" s="13" t="s">
        <v>718</v>
      </c>
      <c r="F648" s="13" t="s">
        <v>719</v>
      </c>
      <c r="G648" s="13"/>
      <c r="H648" s="13" t="s">
        <v>720</v>
      </c>
      <c r="I648" s="13"/>
      <c r="J648" s="13" t="s">
        <v>97</v>
      </c>
      <c r="K648" s="13" t="s">
        <v>721</v>
      </c>
      <c r="L648" s="13" t="s">
        <v>145</v>
      </c>
      <c r="M648" s="13" t="s">
        <v>100</v>
      </c>
      <c r="N648" s="27" t="n">
        <v>10648</v>
      </c>
      <c r="O648" s="28" t="n">
        <v>2259807.81</v>
      </c>
      <c r="P648" s="27" t="n">
        <v>10648</v>
      </c>
      <c r="Q648" s="29" t="n">
        <v>1</v>
      </c>
      <c r="R648" s="28" t="n">
        <v>12.31</v>
      </c>
      <c r="S648" s="28" t="n">
        <v>30.84</v>
      </c>
      <c r="T648" s="28" t="n">
        <v>212.23</v>
      </c>
      <c r="U648" s="13" t="n">
        <f aca="false">IFERROR(YEAR(A648),"")</f>
        <v>2024</v>
      </c>
      <c r="V648" s="28" t="n">
        <f aca="false">IFERROR(O648*B648,0)</f>
        <v>4519615.62</v>
      </c>
      <c r="W648" s="27" t="n">
        <f aca="false">IFERROR(N648*B648,0)</f>
        <v>21296</v>
      </c>
      <c r="X648" s="13" t="n">
        <f aca="false">IF(OR(ISNUMBER(SEARCH("live nation",L648)),ISNUMBER(SEARCH("ocesa",L648))),1,0)</f>
        <v>0</v>
      </c>
      <c r="Y648" s="13" t="s">
        <v>50</v>
      </c>
    </row>
    <row r="649" customFormat="false" ht="15" hidden="false" customHeight="false" outlineLevel="0" collapsed="false">
      <c r="A649" s="30" t="n">
        <v>45532</v>
      </c>
      <c r="B649" s="11" t="n">
        <v>1</v>
      </c>
      <c r="C649" s="31" t="s">
        <v>746</v>
      </c>
      <c r="D649" s="31"/>
      <c r="E649" s="11" t="s">
        <v>111</v>
      </c>
      <c r="F649" s="11" t="s">
        <v>112</v>
      </c>
      <c r="G649" s="11"/>
      <c r="H649" s="11" t="s">
        <v>21</v>
      </c>
      <c r="I649" s="11"/>
      <c r="J649" s="11" t="s">
        <v>97</v>
      </c>
      <c r="K649" s="11" t="s">
        <v>113</v>
      </c>
      <c r="L649" s="11" t="s">
        <v>935</v>
      </c>
      <c r="M649" s="11" t="s">
        <v>100</v>
      </c>
      <c r="N649" s="32" t="n">
        <v>18200</v>
      </c>
      <c r="O649" s="33" t="n">
        <v>1197277.25</v>
      </c>
      <c r="P649" s="32" t="n">
        <v>18200</v>
      </c>
      <c r="Q649" s="34" t="n">
        <v>1</v>
      </c>
      <c r="R649" s="33" t="n">
        <v>65.78</v>
      </c>
      <c r="S649" s="33" t="n">
        <v>65.78</v>
      </c>
      <c r="T649" s="33" t="n">
        <v>65.78</v>
      </c>
      <c r="U649" s="11" t="n">
        <f aca="false">IFERROR(YEAR(A649),"")</f>
        <v>2024</v>
      </c>
      <c r="V649" s="33" t="n">
        <f aca="false">IFERROR(O649*B649,0)</f>
        <v>1197277.25</v>
      </c>
      <c r="W649" s="32" t="n">
        <f aca="false">IFERROR(N649*B649,0)</f>
        <v>18200</v>
      </c>
      <c r="X649" s="11" t="n">
        <f aca="false">IF(OR(ISNUMBER(SEARCH("live nation",L649)),ISNUMBER(SEARCH("ocesa",L649))),1,0)</f>
        <v>0</v>
      </c>
      <c r="Y649" s="11" t="s">
        <v>50</v>
      </c>
    </row>
    <row r="650" customFormat="false" ht="15" hidden="false" customHeight="false" outlineLevel="0" collapsed="false">
      <c r="A650" s="25" t="n">
        <v>45531</v>
      </c>
      <c r="B650" s="13" t="n">
        <v>1</v>
      </c>
      <c r="C650" s="26" t="s">
        <v>746</v>
      </c>
      <c r="D650" s="26"/>
      <c r="E650" s="13" t="s">
        <v>111</v>
      </c>
      <c r="F650" s="13" t="s">
        <v>112</v>
      </c>
      <c r="G650" s="13"/>
      <c r="H650" s="13" t="s">
        <v>21</v>
      </c>
      <c r="I650" s="13"/>
      <c r="J650" s="13" t="s">
        <v>97</v>
      </c>
      <c r="K650" s="13" t="s">
        <v>113</v>
      </c>
      <c r="L650" s="13" t="s">
        <v>935</v>
      </c>
      <c r="M650" s="13" t="s">
        <v>100</v>
      </c>
      <c r="N650" s="27" t="n">
        <v>18200</v>
      </c>
      <c r="O650" s="28" t="n">
        <v>1193800.46</v>
      </c>
      <c r="P650" s="27" t="n">
        <v>18200</v>
      </c>
      <c r="Q650" s="29" t="n">
        <v>1</v>
      </c>
      <c r="R650" s="28" t="n">
        <v>65.59</v>
      </c>
      <c r="S650" s="28" t="n">
        <v>65.59</v>
      </c>
      <c r="T650" s="28" t="n">
        <v>65.59</v>
      </c>
      <c r="U650" s="13" t="n">
        <f aca="false">IFERROR(YEAR(A650),"")</f>
        <v>2024</v>
      </c>
      <c r="V650" s="28" t="n">
        <f aca="false">IFERROR(O650*B650,0)</f>
        <v>1193800.46</v>
      </c>
      <c r="W650" s="27" t="n">
        <f aca="false">IFERROR(N650*B650,0)</f>
        <v>18200</v>
      </c>
      <c r="X650" s="13" t="n">
        <f aca="false">IF(OR(ISNUMBER(SEARCH("live nation",L650)),ISNUMBER(SEARCH("ocesa",L650))),1,0)</f>
        <v>0</v>
      </c>
      <c r="Y650" s="13" t="s">
        <v>50</v>
      </c>
    </row>
    <row r="651" customFormat="false" ht="15" hidden="false" customHeight="false" outlineLevel="0" collapsed="false">
      <c r="A651" s="30" t="n">
        <v>45528</v>
      </c>
      <c r="B651" s="11" t="n">
        <v>2</v>
      </c>
      <c r="C651" s="31" t="s">
        <v>64</v>
      </c>
      <c r="D651" s="31"/>
      <c r="E651" s="11" t="s">
        <v>739</v>
      </c>
      <c r="F651" s="11" t="s">
        <v>423</v>
      </c>
      <c r="G651" s="11"/>
      <c r="H651" s="11" t="s">
        <v>21</v>
      </c>
      <c r="I651" s="11"/>
      <c r="J651" s="11" t="s">
        <v>738</v>
      </c>
      <c r="K651" s="11" t="s">
        <v>113</v>
      </c>
      <c r="L651" s="11" t="s">
        <v>145</v>
      </c>
      <c r="M651" s="11" t="s">
        <v>100</v>
      </c>
      <c r="N651" s="32" t="n">
        <v>11506</v>
      </c>
      <c r="O651" s="33" t="n">
        <v>1271024.06</v>
      </c>
      <c r="P651" s="32" t="n">
        <v>11506</v>
      </c>
      <c r="Q651" s="34" t="n">
        <v>1</v>
      </c>
      <c r="R651" s="33" t="n">
        <v>0.67</v>
      </c>
      <c r="S651" s="33" t="n">
        <v>1.22</v>
      </c>
      <c r="T651" s="33" t="n">
        <v>110.47</v>
      </c>
      <c r="U651" s="11" t="n">
        <f aca="false">IFERROR(YEAR(A651),"")</f>
        <v>2024</v>
      </c>
      <c r="V651" s="33" t="n">
        <f aca="false">IFERROR(O651*B651,0)</f>
        <v>2542048.12</v>
      </c>
      <c r="W651" s="32" t="n">
        <f aca="false">IFERROR(N651*B651,0)</f>
        <v>23012</v>
      </c>
      <c r="X651" s="11" t="n">
        <f aca="false">IF(OR(ISNUMBER(SEARCH("live nation",L651)),ISNUMBER(SEARCH("ocesa",L651))),1,0)</f>
        <v>0</v>
      </c>
      <c r="Y651" s="11" t="s">
        <v>50</v>
      </c>
    </row>
    <row r="652" customFormat="false" ht="15" hidden="false" customHeight="false" outlineLevel="0" collapsed="false">
      <c r="A652" s="25" t="n">
        <v>45527</v>
      </c>
      <c r="B652" s="13" t="n">
        <v>1</v>
      </c>
      <c r="C652" s="26" t="s">
        <v>919</v>
      </c>
      <c r="D652" s="26" t="s">
        <v>936</v>
      </c>
      <c r="E652" s="13" t="s">
        <v>937</v>
      </c>
      <c r="F652" s="13" t="s">
        <v>223</v>
      </c>
      <c r="G652" s="13" t="s">
        <v>224</v>
      </c>
      <c r="H652" s="13" t="s">
        <v>20</v>
      </c>
      <c r="I652" s="13" t="s">
        <v>225</v>
      </c>
      <c r="J652" s="13" t="s">
        <v>106</v>
      </c>
      <c r="K652" s="13" t="s">
        <v>107</v>
      </c>
      <c r="L652" s="13" t="s">
        <v>177</v>
      </c>
      <c r="M652" s="13" t="s">
        <v>100</v>
      </c>
      <c r="N652" s="27" t="n">
        <v>1022</v>
      </c>
      <c r="O652" s="28" t="n">
        <v>42965</v>
      </c>
      <c r="P652" s="27" t="n">
        <v>2425</v>
      </c>
      <c r="Q652" s="29" t="n">
        <v>0.42</v>
      </c>
      <c r="R652" s="28" t="n">
        <v>15</v>
      </c>
      <c r="S652" s="28" t="n">
        <v>165</v>
      </c>
      <c r="T652" s="28" t="n">
        <v>42.04</v>
      </c>
      <c r="U652" s="13" t="n">
        <f aca="false">IFERROR(YEAR(A652),"")</f>
        <v>2024</v>
      </c>
      <c r="V652" s="28" t="n">
        <f aca="false">IFERROR(O652*B652,0)</f>
        <v>42965</v>
      </c>
      <c r="W652" s="27" t="n">
        <f aca="false">IFERROR(N652*B652,0)</f>
        <v>1022</v>
      </c>
      <c r="X652" s="13" t="n">
        <f aca="false">IF(OR(ISNUMBER(SEARCH("live nation",L652)),ISNUMBER(SEARCH("ocesa",L652))),1,0)</f>
        <v>1</v>
      </c>
      <c r="Y652" s="13" t="s">
        <v>49</v>
      </c>
    </row>
    <row r="653" customFormat="false" ht="15" hidden="false" customHeight="false" outlineLevel="0" collapsed="false">
      <c r="A653" s="30" t="n">
        <v>45525</v>
      </c>
      <c r="B653" s="11" t="n">
        <v>1</v>
      </c>
      <c r="C653" s="31" t="s">
        <v>919</v>
      </c>
      <c r="D653" s="31" t="s">
        <v>938</v>
      </c>
      <c r="E653" s="11" t="s">
        <v>125</v>
      </c>
      <c r="F653" s="11" t="s">
        <v>126</v>
      </c>
      <c r="G653" s="11" t="s">
        <v>127</v>
      </c>
      <c r="H653" s="11" t="s">
        <v>128</v>
      </c>
      <c r="I653" s="11"/>
      <c r="J653" s="11" t="s">
        <v>106</v>
      </c>
      <c r="K653" s="11" t="s">
        <v>129</v>
      </c>
      <c r="L653" s="11" t="s">
        <v>939</v>
      </c>
      <c r="M653" s="11" t="s">
        <v>100</v>
      </c>
      <c r="N653" s="32" t="n">
        <v>858</v>
      </c>
      <c r="O653" s="33" t="n">
        <v>35235.47</v>
      </c>
      <c r="P653" s="32" t="n">
        <v>1071</v>
      </c>
      <c r="Q653" s="34" t="n">
        <v>0.8</v>
      </c>
      <c r="R653" s="33" t="n">
        <v>27.54</v>
      </c>
      <c r="S653" s="33" t="n">
        <v>135.87</v>
      </c>
      <c r="T653" s="33" t="n">
        <v>41.07</v>
      </c>
      <c r="U653" s="11" t="n">
        <f aca="false">IFERROR(YEAR(A653),"")</f>
        <v>2024</v>
      </c>
      <c r="V653" s="33" t="n">
        <f aca="false">IFERROR(O653*B653,0)</f>
        <v>35235.47</v>
      </c>
      <c r="W653" s="32" t="n">
        <f aca="false">IFERROR(N653*B653,0)</f>
        <v>858</v>
      </c>
      <c r="X653" s="11" t="n">
        <f aca="false">IF(OR(ISNUMBER(SEARCH("live nation",L653)),ISNUMBER(SEARCH("ocesa",L653))),1,0)</f>
        <v>0</v>
      </c>
      <c r="Y653" s="11" t="s">
        <v>49</v>
      </c>
    </row>
    <row r="654" customFormat="false" ht="15" hidden="false" customHeight="false" outlineLevel="0" collapsed="false">
      <c r="A654" s="25" t="n">
        <v>45522</v>
      </c>
      <c r="B654" s="13" t="n">
        <v>1</v>
      </c>
      <c r="C654" s="26" t="s">
        <v>928</v>
      </c>
      <c r="D654" s="26"/>
      <c r="E654" s="13" t="s">
        <v>940</v>
      </c>
      <c r="F654" s="13" t="s">
        <v>209</v>
      </c>
      <c r="G654" s="13" t="s">
        <v>208</v>
      </c>
      <c r="H654" s="13" t="s">
        <v>20</v>
      </c>
      <c r="I654" s="13" t="s">
        <v>209</v>
      </c>
      <c r="J654" s="13" t="s">
        <v>106</v>
      </c>
      <c r="K654" s="13" t="s">
        <v>107</v>
      </c>
      <c r="L654" s="13" t="s">
        <v>832</v>
      </c>
      <c r="M654" s="13" t="s">
        <v>100</v>
      </c>
      <c r="N654" s="27" t="n">
        <v>197</v>
      </c>
      <c r="O654" s="28" t="n">
        <v>11250</v>
      </c>
      <c r="P654" s="27" t="n">
        <v>902</v>
      </c>
      <c r="Q654" s="29" t="n">
        <v>0.21</v>
      </c>
      <c r="R654" s="28" t="n">
        <v>40</v>
      </c>
      <c r="S654" s="28" t="n">
        <v>70</v>
      </c>
      <c r="T654" s="28" t="n">
        <v>57.11</v>
      </c>
      <c r="U654" s="13" t="n">
        <f aca="false">IFERROR(YEAR(A654),"")</f>
        <v>2024</v>
      </c>
      <c r="V654" s="28" t="n">
        <f aca="false">IFERROR(O654*B654,0)</f>
        <v>11250</v>
      </c>
      <c r="W654" s="27" t="n">
        <f aca="false">IFERROR(N654*B654,0)</f>
        <v>197</v>
      </c>
      <c r="X654" s="13" t="n">
        <f aca="false">IF(OR(ISNUMBER(SEARCH("live nation",L654)),ISNUMBER(SEARCH("ocesa",L654))),1,0)</f>
        <v>0</v>
      </c>
      <c r="Y654" s="13" t="s">
        <v>49</v>
      </c>
    </row>
    <row r="655" customFormat="false" ht="15" hidden="false" customHeight="false" outlineLevel="0" collapsed="false">
      <c r="A655" s="30" t="n">
        <v>45521</v>
      </c>
      <c r="B655" s="11" t="n">
        <v>1</v>
      </c>
      <c r="C655" s="31" t="s">
        <v>941</v>
      </c>
      <c r="D655" s="31"/>
      <c r="E655" s="11" t="s">
        <v>942</v>
      </c>
      <c r="F655" s="11" t="s">
        <v>209</v>
      </c>
      <c r="G655" s="11" t="s">
        <v>208</v>
      </c>
      <c r="H655" s="11" t="s">
        <v>20</v>
      </c>
      <c r="I655" s="11" t="s">
        <v>209</v>
      </c>
      <c r="J655" s="11" t="s">
        <v>106</v>
      </c>
      <c r="K655" s="11" t="s">
        <v>107</v>
      </c>
      <c r="L655" s="11" t="s">
        <v>545</v>
      </c>
      <c r="M655" s="11" t="s">
        <v>100</v>
      </c>
      <c r="N655" s="32" t="n">
        <v>1150</v>
      </c>
      <c r="O655" s="33" t="n">
        <v>69766</v>
      </c>
      <c r="P655" s="32" t="n">
        <v>1150</v>
      </c>
      <c r="Q655" s="34" t="n">
        <v>1</v>
      </c>
      <c r="R655" s="33" t="n">
        <v>48.5</v>
      </c>
      <c r="S655" s="33" t="n">
        <v>99</v>
      </c>
      <c r="T655" s="33" t="n">
        <v>60.67</v>
      </c>
      <c r="U655" s="11" t="n">
        <f aca="false">IFERROR(YEAR(A655),"")</f>
        <v>2024</v>
      </c>
      <c r="V655" s="33" t="n">
        <f aca="false">IFERROR(O655*B655,0)</f>
        <v>69766</v>
      </c>
      <c r="W655" s="32" t="n">
        <f aca="false">IFERROR(N655*B655,0)</f>
        <v>1150</v>
      </c>
      <c r="X655" s="11" t="n">
        <f aca="false">IF(OR(ISNUMBER(SEARCH("live nation",L655)),ISNUMBER(SEARCH("ocesa",L655))),1,0)</f>
        <v>0</v>
      </c>
      <c r="Y655" s="11" t="s">
        <v>49</v>
      </c>
    </row>
    <row r="656" customFormat="false" ht="15" hidden="false" customHeight="false" outlineLevel="0" collapsed="false">
      <c r="A656" s="25" t="n">
        <v>45521</v>
      </c>
      <c r="B656" s="13" t="n">
        <v>2</v>
      </c>
      <c r="C656" s="26" t="s">
        <v>64</v>
      </c>
      <c r="D656" s="26"/>
      <c r="E656" s="13" t="s">
        <v>672</v>
      </c>
      <c r="F656" s="13" t="s">
        <v>673</v>
      </c>
      <c r="G656" s="13"/>
      <c r="H656" s="13" t="s">
        <v>674</v>
      </c>
      <c r="I656" s="13"/>
      <c r="J656" s="13" t="s">
        <v>97</v>
      </c>
      <c r="K656" s="13" t="s">
        <v>675</v>
      </c>
      <c r="L656" s="13" t="s">
        <v>145</v>
      </c>
      <c r="M656" s="13" t="s">
        <v>100</v>
      </c>
      <c r="N656" s="27" t="n">
        <v>10535</v>
      </c>
      <c r="O656" s="28" t="n">
        <v>1736165.15</v>
      </c>
      <c r="P656" s="27" t="n">
        <v>10535</v>
      </c>
      <c r="Q656" s="29" t="n">
        <v>1</v>
      </c>
      <c r="R656" s="28" t="n">
        <v>0.01</v>
      </c>
      <c r="S656" s="28" t="n">
        <v>0.01</v>
      </c>
      <c r="T656" s="28" t="n">
        <v>164.8</v>
      </c>
      <c r="U656" s="13" t="n">
        <f aca="false">IFERROR(YEAR(A656),"")</f>
        <v>2024</v>
      </c>
      <c r="V656" s="28" t="n">
        <f aca="false">IFERROR(O656*B656,0)</f>
        <v>3472330.3</v>
      </c>
      <c r="W656" s="27" t="n">
        <f aca="false">IFERROR(N656*B656,0)</f>
        <v>21070</v>
      </c>
      <c r="X656" s="13" t="n">
        <f aca="false">IF(OR(ISNUMBER(SEARCH("live nation",L656)),ISNUMBER(SEARCH("ocesa",L656))),1,0)</f>
        <v>0</v>
      </c>
      <c r="Y656" s="13" t="s">
        <v>50</v>
      </c>
    </row>
    <row r="657" customFormat="false" ht="15" hidden="false" customHeight="false" outlineLevel="0" collapsed="false">
      <c r="A657" s="30" t="n">
        <v>45516</v>
      </c>
      <c r="B657" s="11" t="n">
        <v>1</v>
      </c>
      <c r="C657" s="31" t="s">
        <v>943</v>
      </c>
      <c r="D657" s="31"/>
      <c r="E657" s="11" t="s">
        <v>111</v>
      </c>
      <c r="F657" s="11" t="s">
        <v>112</v>
      </c>
      <c r="G657" s="11"/>
      <c r="H657" s="11" t="s">
        <v>21</v>
      </c>
      <c r="I657" s="11"/>
      <c r="J657" s="11" t="s">
        <v>97</v>
      </c>
      <c r="K657" s="11" t="s">
        <v>113</v>
      </c>
      <c r="L657" s="11" t="s">
        <v>321</v>
      </c>
      <c r="M657" s="11" t="s">
        <v>100</v>
      </c>
      <c r="N657" s="32" t="n">
        <v>19000</v>
      </c>
      <c r="O657" s="33" t="n">
        <v>1419765.77</v>
      </c>
      <c r="P657" s="32" t="n">
        <v>19000</v>
      </c>
      <c r="Q657" s="34" t="n">
        <v>1</v>
      </c>
      <c r="R657" s="33" t="n">
        <v>74.72</v>
      </c>
      <c r="S657" s="33" t="n">
        <v>74.72</v>
      </c>
      <c r="T657" s="33" t="n">
        <v>74.72</v>
      </c>
      <c r="U657" s="11" t="n">
        <f aca="false">IFERROR(YEAR(A657),"")</f>
        <v>2024</v>
      </c>
      <c r="V657" s="33" t="n">
        <f aca="false">IFERROR(O657*B657,0)</f>
        <v>1419765.77</v>
      </c>
      <c r="W657" s="32" t="n">
        <f aca="false">IFERROR(N657*B657,0)</f>
        <v>19000</v>
      </c>
      <c r="X657" s="11" t="n">
        <f aca="false">IF(OR(ISNUMBER(SEARCH("live nation",L657)),ISNUMBER(SEARCH("ocesa",L657))),1,0)</f>
        <v>0</v>
      </c>
      <c r="Y657" s="11" t="s">
        <v>50</v>
      </c>
    </row>
    <row r="658" customFormat="false" ht="15" hidden="false" customHeight="false" outlineLevel="0" collapsed="false">
      <c r="A658" s="25" t="n">
        <v>45515</v>
      </c>
      <c r="B658" s="13" t="n">
        <v>1</v>
      </c>
      <c r="C658" s="26" t="s">
        <v>943</v>
      </c>
      <c r="D658" s="26"/>
      <c r="E658" s="13" t="s">
        <v>111</v>
      </c>
      <c r="F658" s="13" t="s">
        <v>112</v>
      </c>
      <c r="G658" s="13"/>
      <c r="H658" s="13" t="s">
        <v>21</v>
      </c>
      <c r="I658" s="13"/>
      <c r="J658" s="13" t="s">
        <v>97</v>
      </c>
      <c r="K658" s="13" t="s">
        <v>113</v>
      </c>
      <c r="L658" s="13" t="s">
        <v>321</v>
      </c>
      <c r="M658" s="13" t="s">
        <v>100</v>
      </c>
      <c r="N658" s="27" t="n">
        <v>19000</v>
      </c>
      <c r="O658" s="28" t="n">
        <v>1425025.89</v>
      </c>
      <c r="P658" s="27" t="n">
        <v>19000</v>
      </c>
      <c r="Q658" s="29" t="n">
        <v>1</v>
      </c>
      <c r="R658" s="28" t="n">
        <v>75</v>
      </c>
      <c r="S658" s="28" t="n">
        <v>75</v>
      </c>
      <c r="T658" s="28" t="n">
        <v>75</v>
      </c>
      <c r="U658" s="13" t="n">
        <f aca="false">IFERROR(YEAR(A658),"")</f>
        <v>2024</v>
      </c>
      <c r="V658" s="28" t="n">
        <f aca="false">IFERROR(O658*B658,0)</f>
        <v>1425025.89</v>
      </c>
      <c r="W658" s="27" t="n">
        <f aca="false">IFERROR(N658*B658,0)</f>
        <v>19000</v>
      </c>
      <c r="X658" s="13" t="n">
        <f aca="false">IF(OR(ISNUMBER(SEARCH("live nation",L658)),ISNUMBER(SEARCH("ocesa",L658))),1,0)</f>
        <v>0</v>
      </c>
      <c r="Y658" s="13" t="s">
        <v>50</v>
      </c>
    </row>
    <row r="659" customFormat="false" ht="15" hidden="false" customHeight="false" outlineLevel="0" collapsed="false">
      <c r="A659" s="30" t="n">
        <v>45514</v>
      </c>
      <c r="B659" s="11" t="n">
        <v>1</v>
      </c>
      <c r="C659" s="31" t="s">
        <v>943</v>
      </c>
      <c r="D659" s="31"/>
      <c r="E659" s="11" t="s">
        <v>111</v>
      </c>
      <c r="F659" s="11" t="s">
        <v>112</v>
      </c>
      <c r="G659" s="11"/>
      <c r="H659" s="11" t="s">
        <v>21</v>
      </c>
      <c r="I659" s="11"/>
      <c r="J659" s="11" t="s">
        <v>97</v>
      </c>
      <c r="K659" s="11" t="s">
        <v>113</v>
      </c>
      <c r="L659" s="11" t="s">
        <v>321</v>
      </c>
      <c r="M659" s="11" t="s">
        <v>100</v>
      </c>
      <c r="N659" s="32" t="n">
        <v>19000</v>
      </c>
      <c r="O659" s="33" t="n">
        <v>1424928.76</v>
      </c>
      <c r="P659" s="32" t="n">
        <v>19000</v>
      </c>
      <c r="Q659" s="34" t="n">
        <v>1</v>
      </c>
      <c r="R659" s="33" t="n">
        <v>75</v>
      </c>
      <c r="S659" s="33" t="n">
        <v>75</v>
      </c>
      <c r="T659" s="33" t="n">
        <v>75</v>
      </c>
      <c r="U659" s="11" t="n">
        <f aca="false">IFERROR(YEAR(A659),"")</f>
        <v>2024</v>
      </c>
      <c r="V659" s="33" t="n">
        <f aca="false">IFERROR(O659*B659,0)</f>
        <v>1424928.76</v>
      </c>
      <c r="W659" s="32" t="n">
        <f aca="false">IFERROR(N659*B659,0)</f>
        <v>19000</v>
      </c>
      <c r="X659" s="11" t="n">
        <f aca="false">IF(OR(ISNUMBER(SEARCH("live nation",L659)),ISNUMBER(SEARCH("ocesa",L659))),1,0)</f>
        <v>0</v>
      </c>
      <c r="Y659" s="11" t="s">
        <v>50</v>
      </c>
    </row>
    <row r="660" customFormat="false" ht="15" hidden="false" customHeight="false" outlineLevel="0" collapsed="false">
      <c r="A660" s="25" t="n">
        <v>45513</v>
      </c>
      <c r="B660" s="13" t="n">
        <v>1</v>
      </c>
      <c r="C660" s="26" t="s">
        <v>944</v>
      </c>
      <c r="D660" s="26"/>
      <c r="E660" s="13" t="s">
        <v>945</v>
      </c>
      <c r="F660" s="13" t="s">
        <v>209</v>
      </c>
      <c r="G660" s="13" t="s">
        <v>208</v>
      </c>
      <c r="H660" s="13" t="s">
        <v>20</v>
      </c>
      <c r="I660" s="13" t="s">
        <v>209</v>
      </c>
      <c r="J660" s="13" t="s">
        <v>106</v>
      </c>
      <c r="K660" s="13" t="s">
        <v>107</v>
      </c>
      <c r="L660" s="13" t="s">
        <v>946</v>
      </c>
      <c r="M660" s="13" t="s">
        <v>100</v>
      </c>
      <c r="N660" s="27" t="n">
        <v>283</v>
      </c>
      <c r="O660" s="28" t="n">
        <v>11998</v>
      </c>
      <c r="P660" s="27" t="n">
        <v>700</v>
      </c>
      <c r="Q660" s="29" t="n">
        <v>0.4</v>
      </c>
      <c r="R660" s="28" t="n">
        <v>42</v>
      </c>
      <c r="S660" s="28" t="n">
        <v>42</v>
      </c>
      <c r="T660" s="28" t="n">
        <v>42.4</v>
      </c>
      <c r="U660" s="13" t="n">
        <f aca="false">IFERROR(YEAR(A660),"")</f>
        <v>2024</v>
      </c>
      <c r="V660" s="28" t="n">
        <f aca="false">IFERROR(O660*B660,0)</f>
        <v>11998</v>
      </c>
      <c r="W660" s="27" t="n">
        <f aca="false">IFERROR(N660*B660,0)</f>
        <v>283</v>
      </c>
      <c r="X660" s="13" t="n">
        <f aca="false">IF(OR(ISNUMBER(SEARCH("live nation",L660)),ISNUMBER(SEARCH("ocesa",L660))),1,0)</f>
        <v>0</v>
      </c>
      <c r="Y660" s="13" t="s">
        <v>49</v>
      </c>
    </row>
    <row r="661" customFormat="false" ht="15" hidden="false" customHeight="false" outlineLevel="0" collapsed="false">
      <c r="A661" s="30" t="n">
        <v>45512</v>
      </c>
      <c r="B661" s="11" t="n">
        <v>1</v>
      </c>
      <c r="C661" s="31" t="s">
        <v>690</v>
      </c>
      <c r="D661" s="31"/>
      <c r="E661" s="11" t="s">
        <v>482</v>
      </c>
      <c r="F661" s="11" t="s">
        <v>223</v>
      </c>
      <c r="G661" s="11" t="s">
        <v>224</v>
      </c>
      <c r="H661" s="11" t="s">
        <v>20</v>
      </c>
      <c r="I661" s="11" t="s">
        <v>225</v>
      </c>
      <c r="J661" s="11" t="s">
        <v>106</v>
      </c>
      <c r="K661" s="11" t="s">
        <v>107</v>
      </c>
      <c r="L661" s="11" t="s">
        <v>483</v>
      </c>
      <c r="M661" s="11" t="s">
        <v>100</v>
      </c>
      <c r="N661" s="32" t="n">
        <v>4025</v>
      </c>
      <c r="O661" s="33" t="n">
        <v>324474</v>
      </c>
      <c r="P661" s="32" t="n">
        <v>4025</v>
      </c>
      <c r="Q661" s="34" t="n">
        <v>1</v>
      </c>
      <c r="R661" s="33" t="n">
        <v>32</v>
      </c>
      <c r="S661" s="33" t="n">
        <v>122</v>
      </c>
      <c r="T661" s="33" t="n">
        <v>80.61</v>
      </c>
      <c r="U661" s="11" t="n">
        <f aca="false">IFERROR(YEAR(A661),"")</f>
        <v>2024</v>
      </c>
      <c r="V661" s="33" t="n">
        <f aca="false">IFERROR(O661*B661,0)</f>
        <v>324474</v>
      </c>
      <c r="W661" s="32" t="n">
        <f aca="false">IFERROR(N661*B661,0)</f>
        <v>4025</v>
      </c>
      <c r="X661" s="11" t="n">
        <f aca="false">IF(OR(ISNUMBER(SEARCH("live nation",L661)),ISNUMBER(SEARCH("ocesa",L661))),1,0)</f>
        <v>1</v>
      </c>
      <c r="Y661" s="11" t="s">
        <v>49</v>
      </c>
    </row>
    <row r="662" customFormat="false" ht="15" hidden="false" customHeight="false" outlineLevel="0" collapsed="false">
      <c r="A662" s="25" t="n">
        <v>45512</v>
      </c>
      <c r="B662" s="13" t="n">
        <v>1</v>
      </c>
      <c r="C662" s="26" t="s">
        <v>726</v>
      </c>
      <c r="D662" s="26"/>
      <c r="E662" s="13" t="s">
        <v>940</v>
      </c>
      <c r="F662" s="13" t="s">
        <v>209</v>
      </c>
      <c r="G662" s="13" t="s">
        <v>208</v>
      </c>
      <c r="H662" s="13" t="s">
        <v>20</v>
      </c>
      <c r="I662" s="13" t="s">
        <v>209</v>
      </c>
      <c r="J662" s="13" t="s">
        <v>106</v>
      </c>
      <c r="K662" s="13" t="s">
        <v>107</v>
      </c>
      <c r="L662" s="13" t="s">
        <v>832</v>
      </c>
      <c r="M662" s="13" t="s">
        <v>100</v>
      </c>
      <c r="N662" s="27" t="n">
        <v>490</v>
      </c>
      <c r="O662" s="28" t="n">
        <v>26560</v>
      </c>
      <c r="P662" s="27" t="n">
        <v>716</v>
      </c>
      <c r="Q662" s="29" t="n">
        <v>0.68</v>
      </c>
      <c r="R662" s="28" t="n">
        <v>40</v>
      </c>
      <c r="S662" s="28" t="n">
        <v>60</v>
      </c>
      <c r="T662" s="28" t="n">
        <v>54.2</v>
      </c>
      <c r="U662" s="13" t="n">
        <f aca="false">IFERROR(YEAR(A662),"")</f>
        <v>2024</v>
      </c>
      <c r="V662" s="28" t="n">
        <f aca="false">IFERROR(O662*B662,0)</f>
        <v>26560</v>
      </c>
      <c r="W662" s="27" t="n">
        <f aca="false">IFERROR(N662*B662,0)</f>
        <v>490</v>
      </c>
      <c r="X662" s="13" t="n">
        <f aca="false">IF(OR(ISNUMBER(SEARCH("live nation",L662)),ISNUMBER(SEARCH("ocesa",L662))),1,0)</f>
        <v>0</v>
      </c>
      <c r="Y662" s="13" t="s">
        <v>49</v>
      </c>
    </row>
    <row r="663" customFormat="false" ht="15" hidden="false" customHeight="false" outlineLevel="0" collapsed="false">
      <c r="A663" s="30" t="n">
        <v>45511</v>
      </c>
      <c r="B663" s="11" t="n">
        <v>1</v>
      </c>
      <c r="C663" s="31" t="s">
        <v>944</v>
      </c>
      <c r="D663" s="31"/>
      <c r="E663" s="11" t="s">
        <v>947</v>
      </c>
      <c r="F663" s="11" t="s">
        <v>948</v>
      </c>
      <c r="G663" s="11" t="s">
        <v>162</v>
      </c>
      <c r="H663" s="11" t="s">
        <v>20</v>
      </c>
      <c r="I663" s="11" t="s">
        <v>163</v>
      </c>
      <c r="J663" s="11" t="s">
        <v>106</v>
      </c>
      <c r="K663" s="11" t="s">
        <v>107</v>
      </c>
      <c r="L663" s="11" t="s">
        <v>122</v>
      </c>
      <c r="M663" s="11" t="s">
        <v>100</v>
      </c>
      <c r="N663" s="32" t="n">
        <v>168</v>
      </c>
      <c r="O663" s="33" t="n">
        <v>5070.5</v>
      </c>
      <c r="P663" s="32" t="n">
        <v>600</v>
      </c>
      <c r="Q663" s="34" t="n">
        <v>0.28</v>
      </c>
      <c r="R663" s="33" t="n">
        <v>20</v>
      </c>
      <c r="S663" s="33" t="n">
        <v>55.5</v>
      </c>
      <c r="T663" s="33" t="n">
        <v>30.18</v>
      </c>
      <c r="U663" s="11" t="n">
        <f aca="false">IFERROR(YEAR(A663),"")</f>
        <v>2024</v>
      </c>
      <c r="V663" s="33" t="n">
        <f aca="false">IFERROR(O663*B663,0)</f>
        <v>5070.5</v>
      </c>
      <c r="W663" s="32" t="n">
        <f aca="false">IFERROR(N663*B663,0)</f>
        <v>168</v>
      </c>
      <c r="X663" s="11" t="n">
        <f aca="false">IF(OR(ISNUMBER(SEARCH("live nation",L663)),ISNUMBER(SEARCH("ocesa",L663))),1,0)</f>
        <v>0</v>
      </c>
      <c r="Y663" s="11" t="s">
        <v>49</v>
      </c>
    </row>
    <row r="664" customFormat="false" ht="15" hidden="false" customHeight="false" outlineLevel="0" collapsed="false">
      <c r="A664" s="25" t="n">
        <v>45510</v>
      </c>
      <c r="B664" s="13" t="n">
        <v>1</v>
      </c>
      <c r="C664" s="26" t="s">
        <v>71</v>
      </c>
      <c r="D664" s="26"/>
      <c r="E664" s="13" t="s">
        <v>365</v>
      </c>
      <c r="F664" s="13" t="s">
        <v>188</v>
      </c>
      <c r="G664" s="13" t="s">
        <v>189</v>
      </c>
      <c r="H664" s="13" t="s">
        <v>20</v>
      </c>
      <c r="I664" s="13" t="s">
        <v>190</v>
      </c>
      <c r="J664" s="13" t="s">
        <v>97</v>
      </c>
      <c r="K664" s="13" t="s">
        <v>107</v>
      </c>
      <c r="L664" s="13" t="s">
        <v>531</v>
      </c>
      <c r="M664" s="13" t="s">
        <v>100</v>
      </c>
      <c r="N664" s="27" t="n">
        <v>12766</v>
      </c>
      <c r="O664" s="28" t="n">
        <v>2662071.08</v>
      </c>
      <c r="P664" s="27" t="n">
        <v>13055</v>
      </c>
      <c r="Q664" s="29" t="n">
        <v>0.97</v>
      </c>
      <c r="R664" s="28" t="n">
        <v>64.5</v>
      </c>
      <c r="S664" s="28" t="n">
        <v>214.5</v>
      </c>
      <c r="T664" s="28" t="n">
        <v>208.53</v>
      </c>
      <c r="U664" s="13" t="n">
        <f aca="false">IFERROR(YEAR(A664),"")</f>
        <v>2024</v>
      </c>
      <c r="V664" s="28" t="n">
        <f aca="false">IFERROR(O664*B664,0)</f>
        <v>2662071.08</v>
      </c>
      <c r="W664" s="27" t="n">
        <f aca="false">IFERROR(N664*B664,0)</f>
        <v>12766</v>
      </c>
      <c r="X664" s="13" t="n">
        <f aca="false">IF(OR(ISNUMBER(SEARCH("live nation",L664)),ISNUMBER(SEARCH("ocesa",L664))),1,0)</f>
        <v>0</v>
      </c>
      <c r="Y664" s="13" t="s">
        <v>49</v>
      </c>
    </row>
    <row r="665" customFormat="false" ht="15" hidden="false" customHeight="false" outlineLevel="0" collapsed="false">
      <c r="A665" s="30" t="n">
        <v>45510</v>
      </c>
      <c r="B665" s="11" t="n">
        <v>1</v>
      </c>
      <c r="C665" s="31" t="s">
        <v>690</v>
      </c>
      <c r="D665" s="31"/>
      <c r="E665" s="11" t="s">
        <v>689</v>
      </c>
      <c r="F665" s="11" t="s">
        <v>139</v>
      </c>
      <c r="G665" s="11" t="s">
        <v>139</v>
      </c>
      <c r="H665" s="11" t="s">
        <v>20</v>
      </c>
      <c r="I665" s="11" t="s">
        <v>139</v>
      </c>
      <c r="J665" s="11" t="s">
        <v>121</v>
      </c>
      <c r="K665" s="11" t="s">
        <v>107</v>
      </c>
      <c r="L665" s="11" t="s">
        <v>177</v>
      </c>
      <c r="M665" s="11" t="s">
        <v>100</v>
      </c>
      <c r="N665" s="32" t="n">
        <v>5918</v>
      </c>
      <c r="O665" s="33" t="n">
        <v>595106.88</v>
      </c>
      <c r="P665" s="32" t="n">
        <v>5918</v>
      </c>
      <c r="Q665" s="34" t="n">
        <v>1</v>
      </c>
      <c r="R665" s="33" t="n">
        <v>49.5</v>
      </c>
      <c r="S665" s="33" t="n">
        <v>149.5</v>
      </c>
      <c r="T665" s="33" t="n">
        <v>100.56</v>
      </c>
      <c r="U665" s="11" t="n">
        <f aca="false">IFERROR(YEAR(A665),"")</f>
        <v>2024</v>
      </c>
      <c r="V665" s="33" t="n">
        <f aca="false">IFERROR(O665*B665,0)</f>
        <v>595106.88</v>
      </c>
      <c r="W665" s="32" t="n">
        <f aca="false">IFERROR(N665*B665,0)</f>
        <v>5918</v>
      </c>
      <c r="X665" s="11" t="n">
        <f aca="false">IF(OR(ISNUMBER(SEARCH("live nation",L665)),ISNUMBER(SEARCH("ocesa",L665))),1,0)</f>
        <v>1</v>
      </c>
      <c r="Y665" s="11" t="s">
        <v>49</v>
      </c>
    </row>
    <row r="666" customFormat="false" ht="15" hidden="false" customHeight="false" outlineLevel="0" collapsed="false">
      <c r="A666" s="25" t="n">
        <v>45510</v>
      </c>
      <c r="B666" s="13" t="n">
        <v>1</v>
      </c>
      <c r="C666" s="26" t="s">
        <v>944</v>
      </c>
      <c r="D666" s="26"/>
      <c r="E666" s="13" t="s">
        <v>949</v>
      </c>
      <c r="F666" s="13" t="s">
        <v>886</v>
      </c>
      <c r="G666" s="13" t="s">
        <v>238</v>
      </c>
      <c r="H666" s="13" t="s">
        <v>20</v>
      </c>
      <c r="I666" s="13" t="s">
        <v>886</v>
      </c>
      <c r="J666" s="13" t="s">
        <v>106</v>
      </c>
      <c r="K666" s="13" t="s">
        <v>107</v>
      </c>
      <c r="L666" s="13" t="s">
        <v>500</v>
      </c>
      <c r="M666" s="13" t="s">
        <v>100</v>
      </c>
      <c r="N666" s="27" t="n">
        <v>151</v>
      </c>
      <c r="O666" s="28" t="n">
        <v>5586</v>
      </c>
      <c r="P666" s="27" t="n">
        <v>600</v>
      </c>
      <c r="Q666" s="29" t="n">
        <v>0.25</v>
      </c>
      <c r="R666" s="28" t="n">
        <v>20</v>
      </c>
      <c r="S666" s="28" t="n">
        <v>69.5</v>
      </c>
      <c r="T666" s="28" t="n">
        <v>36.99</v>
      </c>
      <c r="U666" s="13" t="n">
        <f aca="false">IFERROR(YEAR(A666),"")</f>
        <v>2024</v>
      </c>
      <c r="V666" s="28" t="n">
        <f aca="false">IFERROR(O666*B666,0)</f>
        <v>5586</v>
      </c>
      <c r="W666" s="27" t="n">
        <f aca="false">IFERROR(N666*B666,0)</f>
        <v>151</v>
      </c>
      <c r="X666" s="13" t="n">
        <f aca="false">IF(OR(ISNUMBER(SEARCH("live nation",L666)),ISNUMBER(SEARCH("ocesa",L666))),1,0)</f>
        <v>0</v>
      </c>
      <c r="Y666" s="13" t="s">
        <v>49</v>
      </c>
    </row>
    <row r="667" customFormat="false" ht="15" hidden="false" customHeight="false" outlineLevel="0" collapsed="false">
      <c r="A667" s="30" t="n">
        <v>45509</v>
      </c>
      <c r="B667" s="11" t="n">
        <v>1</v>
      </c>
      <c r="C667" s="31" t="s">
        <v>950</v>
      </c>
      <c r="D667" s="31"/>
      <c r="E667" s="11" t="s">
        <v>877</v>
      </c>
      <c r="F667" s="11" t="s">
        <v>139</v>
      </c>
      <c r="G667" s="11" t="s">
        <v>139</v>
      </c>
      <c r="H667" s="11" t="s">
        <v>20</v>
      </c>
      <c r="I667" s="11" t="s">
        <v>139</v>
      </c>
      <c r="J667" s="11" t="s">
        <v>121</v>
      </c>
      <c r="K667" s="11" t="s">
        <v>107</v>
      </c>
      <c r="L667" s="11" t="s">
        <v>122</v>
      </c>
      <c r="M667" s="11" t="s">
        <v>100</v>
      </c>
      <c r="N667" s="32" t="n">
        <v>680</v>
      </c>
      <c r="O667" s="33" t="n">
        <v>69766.7</v>
      </c>
      <c r="P667" s="32" t="n">
        <v>1429</v>
      </c>
      <c r="Q667" s="34" t="n">
        <v>0.47</v>
      </c>
      <c r="R667" s="33" t="n">
        <v>30</v>
      </c>
      <c r="S667" s="33" t="n">
        <v>30</v>
      </c>
      <c r="T667" s="33" t="n">
        <v>102.6</v>
      </c>
      <c r="U667" s="11" t="n">
        <f aca="false">IFERROR(YEAR(A667),"")</f>
        <v>2024</v>
      </c>
      <c r="V667" s="33" t="n">
        <f aca="false">IFERROR(O667*B667,0)</f>
        <v>69766.7</v>
      </c>
      <c r="W667" s="32" t="n">
        <f aca="false">IFERROR(N667*B667,0)</f>
        <v>680</v>
      </c>
      <c r="X667" s="11" t="n">
        <f aca="false">IF(OR(ISNUMBER(SEARCH("live nation",L667)),ISNUMBER(SEARCH("ocesa",L667))),1,0)</f>
        <v>0</v>
      </c>
      <c r="Y667" s="11" t="s">
        <v>49</v>
      </c>
    </row>
    <row r="668" customFormat="false" ht="15" hidden="false" customHeight="false" outlineLevel="0" collapsed="false">
      <c r="A668" s="25" t="n">
        <v>45509</v>
      </c>
      <c r="B668" s="13" t="n">
        <v>1</v>
      </c>
      <c r="C668" s="26" t="s">
        <v>944</v>
      </c>
      <c r="D668" s="26"/>
      <c r="E668" s="13" t="s">
        <v>951</v>
      </c>
      <c r="F668" s="13" t="s">
        <v>547</v>
      </c>
      <c r="G668" s="13" t="s">
        <v>180</v>
      </c>
      <c r="H668" s="13" t="s">
        <v>20</v>
      </c>
      <c r="I668" s="13" t="s">
        <v>547</v>
      </c>
      <c r="J668" s="13" t="s">
        <v>239</v>
      </c>
      <c r="K668" s="13" t="s">
        <v>107</v>
      </c>
      <c r="L668" s="13" t="s">
        <v>122</v>
      </c>
      <c r="M668" s="13" t="s">
        <v>100</v>
      </c>
      <c r="N668" s="27" t="n">
        <v>187</v>
      </c>
      <c r="O668" s="28" t="n">
        <v>5565</v>
      </c>
      <c r="P668" s="27" t="n">
        <v>1150</v>
      </c>
      <c r="Q668" s="29" t="n">
        <v>0.16</v>
      </c>
      <c r="R668" s="28" t="n">
        <v>15</v>
      </c>
      <c r="S668" s="28" t="n">
        <v>143.5</v>
      </c>
      <c r="T668" s="28" t="n">
        <v>29.76</v>
      </c>
      <c r="U668" s="13" t="n">
        <f aca="false">IFERROR(YEAR(A668),"")</f>
        <v>2024</v>
      </c>
      <c r="V668" s="28" t="n">
        <f aca="false">IFERROR(O668*B668,0)</f>
        <v>5565</v>
      </c>
      <c r="W668" s="27" t="n">
        <f aca="false">IFERROR(N668*B668,0)</f>
        <v>187</v>
      </c>
      <c r="X668" s="13" t="n">
        <f aca="false">IF(OR(ISNUMBER(SEARCH("live nation",L668)),ISNUMBER(SEARCH("ocesa",L668))),1,0)</f>
        <v>0</v>
      </c>
      <c r="Y668" s="13" t="s">
        <v>49</v>
      </c>
    </row>
    <row r="669" customFormat="false" ht="15" hidden="false" customHeight="false" outlineLevel="0" collapsed="false">
      <c r="A669" s="30" t="n">
        <v>45508</v>
      </c>
      <c r="B669" s="11" t="n">
        <v>2</v>
      </c>
      <c r="C669" s="31" t="s">
        <v>63</v>
      </c>
      <c r="D669" s="31"/>
      <c r="E669" s="11" t="s">
        <v>422</v>
      </c>
      <c r="F669" s="11" t="s">
        <v>423</v>
      </c>
      <c r="G669" s="11"/>
      <c r="H669" s="11" t="s">
        <v>21</v>
      </c>
      <c r="I669" s="11"/>
      <c r="J669" s="11" t="s">
        <v>133</v>
      </c>
      <c r="K669" s="11" t="s">
        <v>113</v>
      </c>
      <c r="L669" s="11" t="s">
        <v>145</v>
      </c>
      <c r="M669" s="11" t="s">
        <v>100</v>
      </c>
      <c r="N669" s="32" t="n">
        <v>23027</v>
      </c>
      <c r="O669" s="33" t="n">
        <v>2316261.09</v>
      </c>
      <c r="P669" s="32" t="n">
        <v>24685</v>
      </c>
      <c r="Q669" s="34" t="n">
        <v>0.93</v>
      </c>
      <c r="R669" s="33" t="n">
        <v>88.37</v>
      </c>
      <c r="S669" s="33" t="n">
        <v>160</v>
      </c>
      <c r="T669" s="33" t="n">
        <v>100.59</v>
      </c>
      <c r="U669" s="11" t="n">
        <f aca="false">IFERROR(YEAR(A669),"")</f>
        <v>2024</v>
      </c>
      <c r="V669" s="33" t="n">
        <f aca="false">IFERROR(O669*B669,0)</f>
        <v>4632522.18</v>
      </c>
      <c r="W669" s="32" t="n">
        <f aca="false">IFERROR(N669*B669,0)</f>
        <v>46054</v>
      </c>
      <c r="X669" s="11" t="n">
        <f aca="false">IF(OR(ISNUMBER(SEARCH("live nation",L669)),ISNUMBER(SEARCH("ocesa",L669))),1,0)</f>
        <v>0</v>
      </c>
      <c r="Y669" s="11" t="s">
        <v>50</v>
      </c>
    </row>
    <row r="670" customFormat="false" ht="15" hidden="false" customHeight="false" outlineLevel="0" collapsed="false">
      <c r="A670" s="25" t="n">
        <v>45508</v>
      </c>
      <c r="B670" s="13" t="n">
        <v>1</v>
      </c>
      <c r="C670" s="26" t="s">
        <v>944</v>
      </c>
      <c r="D670" s="26"/>
      <c r="E670" s="13" t="s">
        <v>952</v>
      </c>
      <c r="F670" s="13" t="s">
        <v>953</v>
      </c>
      <c r="G670" s="13" t="s">
        <v>954</v>
      </c>
      <c r="H670" s="13" t="s">
        <v>20</v>
      </c>
      <c r="I670" s="13" t="s">
        <v>953</v>
      </c>
      <c r="J670" s="13" t="s">
        <v>106</v>
      </c>
      <c r="K670" s="13" t="s">
        <v>107</v>
      </c>
      <c r="L670" s="13" t="s">
        <v>122</v>
      </c>
      <c r="M670" s="13" t="s">
        <v>100</v>
      </c>
      <c r="N670" s="27" t="n">
        <v>187</v>
      </c>
      <c r="O670" s="28" t="n">
        <v>5565</v>
      </c>
      <c r="P670" s="27" t="n">
        <v>1150</v>
      </c>
      <c r="Q670" s="29" t="n">
        <v>0.16</v>
      </c>
      <c r="R670" s="28" t="n">
        <v>15</v>
      </c>
      <c r="S670" s="28" t="n">
        <v>80</v>
      </c>
      <c r="T670" s="28" t="n">
        <v>29.76</v>
      </c>
      <c r="U670" s="13" t="n">
        <f aca="false">IFERROR(YEAR(A670),"")</f>
        <v>2024</v>
      </c>
      <c r="V670" s="28" t="n">
        <f aca="false">IFERROR(O670*B670,0)</f>
        <v>5565</v>
      </c>
      <c r="W670" s="27" t="n">
        <f aca="false">IFERROR(N670*B670,0)</f>
        <v>187</v>
      </c>
      <c r="X670" s="13" t="n">
        <f aca="false">IF(OR(ISNUMBER(SEARCH("live nation",L670)),ISNUMBER(SEARCH("ocesa",L670))),1,0)</f>
        <v>0</v>
      </c>
      <c r="Y670" s="13" t="s">
        <v>49</v>
      </c>
    </row>
    <row r="671" customFormat="false" ht="15" hidden="false" customHeight="false" outlineLevel="0" collapsed="false">
      <c r="A671" s="30" t="n">
        <v>45507</v>
      </c>
      <c r="B671" s="11" t="n">
        <v>1</v>
      </c>
      <c r="C671" s="31" t="s">
        <v>950</v>
      </c>
      <c r="D671" s="31"/>
      <c r="E671" s="11" t="s">
        <v>546</v>
      </c>
      <c r="F671" s="11" t="s">
        <v>547</v>
      </c>
      <c r="G671" s="11" t="s">
        <v>180</v>
      </c>
      <c r="H671" s="11" t="s">
        <v>20</v>
      </c>
      <c r="I671" s="11" t="s">
        <v>547</v>
      </c>
      <c r="J671" s="11" t="s">
        <v>121</v>
      </c>
      <c r="K671" s="11" t="s">
        <v>107</v>
      </c>
      <c r="L671" s="11" t="s">
        <v>122</v>
      </c>
      <c r="M671" s="11" t="s">
        <v>100</v>
      </c>
      <c r="N671" s="32" t="n">
        <v>623</v>
      </c>
      <c r="O671" s="33" t="n">
        <v>50957.5</v>
      </c>
      <c r="P671" s="32" t="n">
        <v>1292</v>
      </c>
      <c r="Q671" s="34" t="n">
        <v>0.48</v>
      </c>
      <c r="R671" s="33" t="n">
        <v>45</v>
      </c>
      <c r="S671" s="33" t="n">
        <v>149</v>
      </c>
      <c r="T671" s="33" t="n">
        <v>81.79</v>
      </c>
      <c r="U671" s="11" t="n">
        <f aca="false">IFERROR(YEAR(A671),"")</f>
        <v>2024</v>
      </c>
      <c r="V671" s="33" t="n">
        <f aca="false">IFERROR(O671*B671,0)</f>
        <v>50957.5</v>
      </c>
      <c r="W671" s="32" t="n">
        <f aca="false">IFERROR(N671*B671,0)</f>
        <v>623</v>
      </c>
      <c r="X671" s="11" t="n">
        <f aca="false">IF(OR(ISNUMBER(SEARCH("live nation",L671)),ISNUMBER(SEARCH("ocesa",L671))),1,0)</f>
        <v>0</v>
      </c>
      <c r="Y671" s="11" t="s">
        <v>49</v>
      </c>
    </row>
    <row r="672" customFormat="false" ht="15" hidden="false" customHeight="false" outlineLevel="0" collapsed="false">
      <c r="A672" s="25" t="n">
        <v>45507</v>
      </c>
      <c r="B672" s="13" t="n">
        <v>1</v>
      </c>
      <c r="C672" s="26" t="s">
        <v>941</v>
      </c>
      <c r="D672" s="26"/>
      <c r="E672" s="13" t="s">
        <v>658</v>
      </c>
      <c r="F672" s="13" t="s">
        <v>349</v>
      </c>
      <c r="G672" s="13"/>
      <c r="H672" s="13" t="s">
        <v>350</v>
      </c>
      <c r="I672" s="13"/>
      <c r="J672" s="13" t="s">
        <v>121</v>
      </c>
      <c r="K672" s="13" t="s">
        <v>173</v>
      </c>
      <c r="L672" s="13" t="s">
        <v>955</v>
      </c>
      <c r="M672" s="13" t="s">
        <v>100</v>
      </c>
      <c r="N672" s="27" t="n">
        <v>3000</v>
      </c>
      <c r="O672" s="28" t="n">
        <v>221059.01</v>
      </c>
      <c r="P672" s="27" t="n">
        <v>4036</v>
      </c>
      <c r="Q672" s="29" t="n">
        <v>0.74</v>
      </c>
      <c r="R672" s="28" t="n">
        <v>53.49</v>
      </c>
      <c r="S672" s="28" t="n">
        <v>64.41</v>
      </c>
      <c r="T672" s="28" t="n">
        <v>73.69</v>
      </c>
      <c r="U672" s="13" t="n">
        <f aca="false">IFERROR(YEAR(A672),"")</f>
        <v>2024</v>
      </c>
      <c r="V672" s="28" t="n">
        <f aca="false">IFERROR(O672*B672,0)</f>
        <v>221059.01</v>
      </c>
      <c r="W672" s="27" t="n">
        <f aca="false">IFERROR(N672*B672,0)</f>
        <v>3000</v>
      </c>
      <c r="X672" s="13" t="n">
        <f aca="false">IF(OR(ISNUMBER(SEARCH("live nation",L672)),ISNUMBER(SEARCH("ocesa",L672))),1,0)</f>
        <v>0</v>
      </c>
      <c r="Y672" s="13" t="s">
        <v>49</v>
      </c>
    </row>
    <row r="673" customFormat="false" ht="15" hidden="false" customHeight="false" outlineLevel="0" collapsed="false">
      <c r="A673" s="30" t="n">
        <v>45506</v>
      </c>
      <c r="B673" s="11" t="n">
        <v>1</v>
      </c>
      <c r="C673" s="31" t="s">
        <v>944</v>
      </c>
      <c r="D673" s="31"/>
      <c r="E673" s="11" t="s">
        <v>956</v>
      </c>
      <c r="F673" s="11" t="s">
        <v>346</v>
      </c>
      <c r="G673" s="11" t="s">
        <v>347</v>
      </c>
      <c r="H673" s="11" t="s">
        <v>20</v>
      </c>
      <c r="I673" s="11" t="s">
        <v>346</v>
      </c>
      <c r="J673" s="11" t="s">
        <v>121</v>
      </c>
      <c r="K673" s="11" t="s">
        <v>107</v>
      </c>
      <c r="L673" s="11" t="s">
        <v>122</v>
      </c>
      <c r="M673" s="11" t="s">
        <v>100</v>
      </c>
      <c r="N673" s="32" t="n">
        <v>208</v>
      </c>
      <c r="O673" s="33" t="n">
        <v>8078</v>
      </c>
      <c r="P673" s="32" t="n">
        <v>1320</v>
      </c>
      <c r="Q673" s="34" t="n">
        <v>0.15</v>
      </c>
      <c r="R673" s="33" t="n">
        <v>38.5</v>
      </c>
      <c r="S673" s="33" t="n">
        <v>38.5</v>
      </c>
      <c r="T673" s="33" t="n">
        <v>38.84</v>
      </c>
      <c r="U673" s="11" t="n">
        <f aca="false">IFERROR(YEAR(A673),"")</f>
        <v>2024</v>
      </c>
      <c r="V673" s="33" t="n">
        <f aca="false">IFERROR(O673*B673,0)</f>
        <v>8078</v>
      </c>
      <c r="W673" s="32" t="n">
        <f aca="false">IFERROR(N673*B673,0)</f>
        <v>208</v>
      </c>
      <c r="X673" s="11" t="n">
        <f aca="false">IF(OR(ISNUMBER(SEARCH("live nation",L673)),ISNUMBER(SEARCH("ocesa",L673))),1,0)</f>
        <v>0</v>
      </c>
      <c r="Y673" s="11" t="s">
        <v>49</v>
      </c>
    </row>
    <row r="674" customFormat="false" ht="15" hidden="false" customHeight="false" outlineLevel="0" collapsed="false">
      <c r="A674" s="25" t="n">
        <v>45506</v>
      </c>
      <c r="B674" s="13" t="n">
        <v>1</v>
      </c>
      <c r="C674" s="26" t="s">
        <v>957</v>
      </c>
      <c r="D674" s="26"/>
      <c r="E674" s="13" t="s">
        <v>822</v>
      </c>
      <c r="F674" s="13" t="s">
        <v>201</v>
      </c>
      <c r="G674" s="13" t="s">
        <v>202</v>
      </c>
      <c r="H674" s="13" t="s">
        <v>20</v>
      </c>
      <c r="I674" s="13" t="s">
        <v>203</v>
      </c>
      <c r="J674" s="13" t="s">
        <v>97</v>
      </c>
      <c r="K674" s="13" t="s">
        <v>107</v>
      </c>
      <c r="L674" s="13" t="s">
        <v>958</v>
      </c>
      <c r="M674" s="13" t="s">
        <v>100</v>
      </c>
      <c r="N674" s="27" t="n">
        <v>13815</v>
      </c>
      <c r="O674" s="28" t="n">
        <v>2889448</v>
      </c>
      <c r="P674" s="27" t="n">
        <v>13815</v>
      </c>
      <c r="Q674" s="29" t="n">
        <v>1</v>
      </c>
      <c r="R674" s="28" t="n">
        <v>59.5</v>
      </c>
      <c r="S674" s="28" t="n">
        <v>199.5</v>
      </c>
      <c r="T674" s="28" t="n">
        <v>209.15</v>
      </c>
      <c r="U674" s="13" t="n">
        <f aca="false">IFERROR(YEAR(A674),"")</f>
        <v>2024</v>
      </c>
      <c r="V674" s="28" t="n">
        <f aca="false">IFERROR(O674*B674,0)</f>
        <v>2889448</v>
      </c>
      <c r="W674" s="27" t="n">
        <f aca="false">IFERROR(N674*B674,0)</f>
        <v>13815</v>
      </c>
      <c r="X674" s="13" t="n">
        <f aca="false">IF(OR(ISNUMBER(SEARCH("live nation",L674)),ISNUMBER(SEARCH("ocesa",L674))),1,0)</f>
        <v>1</v>
      </c>
      <c r="Y674" s="13" t="s">
        <v>49</v>
      </c>
    </row>
    <row r="675" customFormat="false" ht="15" hidden="false" customHeight="false" outlineLevel="0" collapsed="false">
      <c r="A675" s="30" t="n">
        <v>45505</v>
      </c>
      <c r="B675" s="11" t="n">
        <v>1</v>
      </c>
      <c r="C675" s="31" t="s">
        <v>941</v>
      </c>
      <c r="D675" s="31"/>
      <c r="E675" s="11" t="s">
        <v>959</v>
      </c>
      <c r="F675" s="11" t="s">
        <v>455</v>
      </c>
      <c r="G675" s="11"/>
      <c r="H675" s="11" t="s">
        <v>350</v>
      </c>
      <c r="I675" s="11"/>
      <c r="J675" s="11" t="s">
        <v>121</v>
      </c>
      <c r="K675" s="11" t="s">
        <v>173</v>
      </c>
      <c r="L675" s="11" t="s">
        <v>818</v>
      </c>
      <c r="M675" s="11" t="s">
        <v>100</v>
      </c>
      <c r="N675" s="32" t="n">
        <v>1400</v>
      </c>
      <c r="O675" s="33" t="n">
        <v>74313.36</v>
      </c>
      <c r="P675" s="32" t="n">
        <v>1400</v>
      </c>
      <c r="Q675" s="34" t="n">
        <v>1</v>
      </c>
      <c r="R675" s="33" t="n">
        <v>53.08</v>
      </c>
      <c r="S675" s="33" t="n">
        <v>63.91</v>
      </c>
      <c r="T675" s="33" t="n">
        <v>53.08</v>
      </c>
      <c r="U675" s="11" t="n">
        <f aca="false">IFERROR(YEAR(A675),"")</f>
        <v>2024</v>
      </c>
      <c r="V675" s="33" t="n">
        <f aca="false">IFERROR(O675*B675,0)</f>
        <v>74313.36</v>
      </c>
      <c r="W675" s="32" t="n">
        <f aca="false">IFERROR(N675*B675,0)</f>
        <v>1400</v>
      </c>
      <c r="X675" s="11" t="n">
        <f aca="false">IF(OR(ISNUMBER(SEARCH("live nation",L675)),ISNUMBER(SEARCH("ocesa",L675))),1,0)</f>
        <v>0</v>
      </c>
      <c r="Y675" s="11" t="s">
        <v>49</v>
      </c>
    </row>
    <row r="676" customFormat="false" ht="15" hidden="false" customHeight="false" outlineLevel="0" collapsed="false">
      <c r="A676" s="25" t="n">
        <v>45504</v>
      </c>
      <c r="B676" s="13" t="n">
        <v>1</v>
      </c>
      <c r="C676" s="26" t="s">
        <v>950</v>
      </c>
      <c r="D676" s="26"/>
      <c r="E676" s="13" t="s">
        <v>960</v>
      </c>
      <c r="F676" s="13" t="s">
        <v>637</v>
      </c>
      <c r="G676" s="13" t="s">
        <v>242</v>
      </c>
      <c r="H676" s="13" t="s">
        <v>20</v>
      </c>
      <c r="I676" s="13" t="s">
        <v>637</v>
      </c>
      <c r="J676" s="13" t="s">
        <v>106</v>
      </c>
      <c r="K676" s="13" t="s">
        <v>107</v>
      </c>
      <c r="L676" s="13" t="s">
        <v>122</v>
      </c>
      <c r="M676" s="13" t="s">
        <v>100</v>
      </c>
      <c r="N676" s="27" t="n">
        <v>562</v>
      </c>
      <c r="O676" s="28" t="n">
        <v>46483.8</v>
      </c>
      <c r="P676" s="27" t="n">
        <v>1743</v>
      </c>
      <c r="Q676" s="29" t="n">
        <v>0.32</v>
      </c>
      <c r="R676" s="28" t="n">
        <v>45</v>
      </c>
      <c r="S676" s="28" t="n">
        <v>199</v>
      </c>
      <c r="T676" s="28" t="n">
        <v>82.71</v>
      </c>
      <c r="U676" s="13" t="n">
        <f aca="false">IFERROR(YEAR(A676),"")</f>
        <v>2024</v>
      </c>
      <c r="V676" s="28" t="n">
        <f aca="false">IFERROR(O676*B676,0)</f>
        <v>46483.8</v>
      </c>
      <c r="W676" s="27" t="n">
        <f aca="false">IFERROR(N676*B676,0)</f>
        <v>562</v>
      </c>
      <c r="X676" s="13" t="n">
        <f aca="false">IF(OR(ISNUMBER(SEARCH("live nation",L676)),ISNUMBER(SEARCH("ocesa",L676))),1,0)</f>
        <v>0</v>
      </c>
      <c r="Y676" s="13" t="s">
        <v>49</v>
      </c>
    </row>
    <row r="677" customFormat="false" ht="15" hidden="false" customHeight="false" outlineLevel="0" collapsed="false">
      <c r="A677" s="30" t="n">
        <v>45504</v>
      </c>
      <c r="B677" s="11" t="n">
        <v>1</v>
      </c>
      <c r="C677" s="31" t="s">
        <v>944</v>
      </c>
      <c r="D677" s="31"/>
      <c r="E677" s="11" t="s">
        <v>961</v>
      </c>
      <c r="F677" s="11" t="s">
        <v>682</v>
      </c>
      <c r="G677" s="11" t="s">
        <v>167</v>
      </c>
      <c r="H677" s="11" t="s">
        <v>20</v>
      </c>
      <c r="I677" s="11" t="s">
        <v>683</v>
      </c>
      <c r="J677" s="11" t="s">
        <v>121</v>
      </c>
      <c r="K677" s="11" t="s">
        <v>107</v>
      </c>
      <c r="L677" s="11" t="s">
        <v>531</v>
      </c>
      <c r="M677" s="11" t="s">
        <v>100</v>
      </c>
      <c r="N677" s="32" t="n">
        <v>231</v>
      </c>
      <c r="O677" s="33" t="n">
        <v>9442</v>
      </c>
      <c r="P677" s="32" t="n">
        <v>1330</v>
      </c>
      <c r="Q677" s="34" t="n">
        <v>0.17</v>
      </c>
      <c r="R677" s="33" t="n">
        <v>28</v>
      </c>
      <c r="S677" s="33" t="n">
        <v>76.5</v>
      </c>
      <c r="T677" s="33" t="n">
        <v>40.87</v>
      </c>
      <c r="U677" s="11" t="n">
        <f aca="false">IFERROR(YEAR(A677),"")</f>
        <v>2024</v>
      </c>
      <c r="V677" s="33" t="n">
        <f aca="false">IFERROR(O677*B677,0)</f>
        <v>9442</v>
      </c>
      <c r="W677" s="32" t="n">
        <f aca="false">IFERROR(N677*B677,0)</f>
        <v>231</v>
      </c>
      <c r="X677" s="11" t="n">
        <f aca="false">IF(OR(ISNUMBER(SEARCH("live nation",L677)),ISNUMBER(SEARCH("ocesa",L677))),1,0)</f>
        <v>0</v>
      </c>
      <c r="Y677" s="11" t="s">
        <v>49</v>
      </c>
    </row>
    <row r="678" customFormat="false" ht="15" hidden="false" customHeight="false" outlineLevel="0" collapsed="false">
      <c r="A678" s="25" t="n">
        <v>45503</v>
      </c>
      <c r="B678" s="13" t="n">
        <v>2</v>
      </c>
      <c r="C678" s="26" t="s">
        <v>71</v>
      </c>
      <c r="D678" s="26"/>
      <c r="E678" s="13" t="s">
        <v>962</v>
      </c>
      <c r="F678" s="13" t="s">
        <v>963</v>
      </c>
      <c r="G678" s="13" t="s">
        <v>347</v>
      </c>
      <c r="H678" s="13" t="s">
        <v>20</v>
      </c>
      <c r="I678" s="13" t="s">
        <v>346</v>
      </c>
      <c r="J678" s="13" t="s">
        <v>97</v>
      </c>
      <c r="K678" s="13" t="s">
        <v>107</v>
      </c>
      <c r="L678" s="13" t="s">
        <v>531</v>
      </c>
      <c r="M678" s="13" t="s">
        <v>100</v>
      </c>
      <c r="N678" s="27" t="n">
        <v>9189</v>
      </c>
      <c r="O678" s="28" t="n">
        <v>2200117.5</v>
      </c>
      <c r="P678" s="27" t="n">
        <v>9190</v>
      </c>
      <c r="Q678" s="29" t="n">
        <v>0.99</v>
      </c>
      <c r="R678" s="28" t="n">
        <v>64.5</v>
      </c>
      <c r="S678" s="28" t="n">
        <v>215.5</v>
      </c>
      <c r="T678" s="28" t="n">
        <v>239.42</v>
      </c>
      <c r="U678" s="13" t="n">
        <f aca="false">IFERROR(YEAR(A678),"")</f>
        <v>2024</v>
      </c>
      <c r="V678" s="28" t="n">
        <f aca="false">IFERROR(O678*B678,0)</f>
        <v>4400235</v>
      </c>
      <c r="W678" s="27" t="n">
        <f aca="false">IFERROR(N678*B678,0)</f>
        <v>18378</v>
      </c>
      <c r="X678" s="13" t="n">
        <f aca="false">IF(OR(ISNUMBER(SEARCH("live nation",L678)),ISNUMBER(SEARCH("ocesa",L678))),1,0)</f>
        <v>0</v>
      </c>
      <c r="Y678" s="13" t="s">
        <v>49</v>
      </c>
    </row>
    <row r="679" customFormat="false" ht="15" hidden="false" customHeight="false" outlineLevel="0" collapsed="false">
      <c r="A679" s="30" t="n">
        <v>45503</v>
      </c>
      <c r="B679" s="11" t="n">
        <v>1</v>
      </c>
      <c r="C679" s="31" t="s">
        <v>944</v>
      </c>
      <c r="D679" s="31"/>
      <c r="E679" s="11" t="s">
        <v>102</v>
      </c>
      <c r="F679" s="11" t="s">
        <v>103</v>
      </c>
      <c r="G679" s="11" t="s">
        <v>104</v>
      </c>
      <c r="H679" s="11" t="s">
        <v>20</v>
      </c>
      <c r="I679" s="11" t="s">
        <v>105</v>
      </c>
      <c r="J679" s="11" t="s">
        <v>106</v>
      </c>
      <c r="K679" s="11" t="s">
        <v>107</v>
      </c>
      <c r="L679" s="11" t="s">
        <v>964</v>
      </c>
      <c r="M679" s="11" t="s">
        <v>100</v>
      </c>
      <c r="N679" s="32" t="n">
        <v>70</v>
      </c>
      <c r="O679" s="33" t="n">
        <v>2385</v>
      </c>
      <c r="P679" s="32" t="n">
        <v>675</v>
      </c>
      <c r="Q679" s="34" t="n">
        <v>0.1</v>
      </c>
      <c r="R679" s="33" t="n">
        <v>40</v>
      </c>
      <c r="S679" s="33" t="n">
        <v>45</v>
      </c>
      <c r="T679" s="33" t="n">
        <v>34.07</v>
      </c>
      <c r="U679" s="11" t="n">
        <f aca="false">IFERROR(YEAR(A679),"")</f>
        <v>2024</v>
      </c>
      <c r="V679" s="33" t="n">
        <f aca="false">IFERROR(O679*B679,0)</f>
        <v>2385</v>
      </c>
      <c r="W679" s="32" t="n">
        <f aca="false">IFERROR(N679*B679,0)</f>
        <v>70</v>
      </c>
      <c r="X679" s="11" t="n">
        <f aca="false">IF(OR(ISNUMBER(SEARCH("live nation",L679)),ISNUMBER(SEARCH("ocesa",L679))),1,0)</f>
        <v>1</v>
      </c>
      <c r="Y679" s="11" t="s">
        <v>49</v>
      </c>
    </row>
    <row r="680" customFormat="false" ht="15" hidden="false" customHeight="false" outlineLevel="0" collapsed="false">
      <c r="A680" s="25" t="n">
        <v>45503</v>
      </c>
      <c r="B680" s="13" t="n">
        <v>1</v>
      </c>
      <c r="C680" s="26" t="s">
        <v>957</v>
      </c>
      <c r="D680" s="26"/>
      <c r="E680" s="13" t="s">
        <v>230</v>
      </c>
      <c r="F680" s="13" t="s">
        <v>231</v>
      </c>
      <c r="G680" s="13" t="s">
        <v>202</v>
      </c>
      <c r="H680" s="13" t="s">
        <v>20</v>
      </c>
      <c r="I680" s="13" t="s">
        <v>232</v>
      </c>
      <c r="J680" s="13" t="s">
        <v>97</v>
      </c>
      <c r="K680" s="13" t="s">
        <v>107</v>
      </c>
      <c r="L680" s="13" t="s">
        <v>958</v>
      </c>
      <c r="M680" s="13" t="s">
        <v>100</v>
      </c>
      <c r="N680" s="27" t="n">
        <v>13321</v>
      </c>
      <c r="O680" s="28" t="n">
        <v>2250399.3</v>
      </c>
      <c r="P680" s="27" t="n">
        <v>13321</v>
      </c>
      <c r="Q680" s="29" t="n">
        <v>1</v>
      </c>
      <c r="R680" s="28" t="n">
        <v>56.67</v>
      </c>
      <c r="S680" s="28" t="n">
        <v>190</v>
      </c>
      <c r="T680" s="28" t="n">
        <v>168.94</v>
      </c>
      <c r="U680" s="13" t="n">
        <f aca="false">IFERROR(YEAR(A680),"")</f>
        <v>2024</v>
      </c>
      <c r="V680" s="28" t="n">
        <f aca="false">IFERROR(O680*B680,0)</f>
        <v>2250399.3</v>
      </c>
      <c r="W680" s="27" t="n">
        <f aca="false">IFERROR(N680*B680,0)</f>
        <v>13321</v>
      </c>
      <c r="X680" s="13" t="n">
        <f aca="false">IF(OR(ISNUMBER(SEARCH("live nation",L680)),ISNUMBER(SEARCH("ocesa",L680))),1,0)</f>
        <v>1</v>
      </c>
      <c r="Y680" s="13" t="s">
        <v>49</v>
      </c>
    </row>
    <row r="681" customFormat="false" ht="15" hidden="false" customHeight="false" outlineLevel="0" collapsed="false">
      <c r="A681" s="30" t="n">
        <v>45501</v>
      </c>
      <c r="B681" s="11" t="n">
        <v>1</v>
      </c>
      <c r="C681" s="31" t="s">
        <v>743</v>
      </c>
      <c r="D681" s="31"/>
      <c r="E681" s="11" t="s">
        <v>95</v>
      </c>
      <c r="F681" s="11" t="s">
        <v>96</v>
      </c>
      <c r="G681" s="11"/>
      <c r="H681" s="11" t="s">
        <v>28</v>
      </c>
      <c r="I681" s="11"/>
      <c r="J681" s="11" t="s">
        <v>97</v>
      </c>
      <c r="K681" s="11" t="s">
        <v>98</v>
      </c>
      <c r="L681" s="11" t="s">
        <v>177</v>
      </c>
      <c r="M681" s="11" t="s">
        <v>277</v>
      </c>
      <c r="N681" s="32" t="n">
        <v>12181</v>
      </c>
      <c r="O681" s="33" t="n">
        <v>1330502.88</v>
      </c>
      <c r="P681" s="32" t="n">
        <v>12472</v>
      </c>
      <c r="Q681" s="34" t="n">
        <v>0.97</v>
      </c>
      <c r="R681" s="33" t="n">
        <v>73.29</v>
      </c>
      <c r="S681" s="33" t="n">
        <v>139.97</v>
      </c>
      <c r="T681" s="33" t="n">
        <v>109.23</v>
      </c>
      <c r="U681" s="11" t="n">
        <f aca="false">IFERROR(YEAR(A681),"")</f>
        <v>2024</v>
      </c>
      <c r="V681" s="33" t="n">
        <f aca="false">IFERROR(O681*B681,0)</f>
        <v>1330502.88</v>
      </c>
      <c r="W681" s="32" t="n">
        <f aca="false">IFERROR(N681*B681,0)</f>
        <v>12181</v>
      </c>
      <c r="X681" s="11" t="n">
        <f aca="false">IF(OR(ISNUMBER(SEARCH("live nation",L681)),ISNUMBER(SEARCH("ocesa",L681))),1,0)</f>
        <v>1</v>
      </c>
      <c r="Y681" s="11" t="s">
        <v>49</v>
      </c>
    </row>
    <row r="682" customFormat="false" ht="15" hidden="false" customHeight="false" outlineLevel="0" collapsed="false">
      <c r="A682" s="25" t="n">
        <v>45501</v>
      </c>
      <c r="B682" s="13" t="n">
        <v>1</v>
      </c>
      <c r="C682" s="26" t="s">
        <v>950</v>
      </c>
      <c r="D682" s="26"/>
      <c r="E682" s="13" t="s">
        <v>965</v>
      </c>
      <c r="F682" s="13" t="s">
        <v>966</v>
      </c>
      <c r="G682" s="13" t="s">
        <v>967</v>
      </c>
      <c r="H682" s="13" t="s">
        <v>20</v>
      </c>
      <c r="I682" s="13" t="s">
        <v>966</v>
      </c>
      <c r="J682" s="13" t="s">
        <v>106</v>
      </c>
      <c r="K682" s="13" t="s">
        <v>107</v>
      </c>
      <c r="L682" s="13" t="s">
        <v>122</v>
      </c>
      <c r="M682" s="13" t="s">
        <v>100</v>
      </c>
      <c r="N682" s="27" t="n">
        <v>436</v>
      </c>
      <c r="O682" s="28" t="n">
        <v>34112</v>
      </c>
      <c r="P682" s="27" t="n">
        <v>893</v>
      </c>
      <c r="Q682" s="29" t="n">
        <v>0.48</v>
      </c>
      <c r="R682" s="28" t="n">
        <v>38.5</v>
      </c>
      <c r="S682" s="28" t="n">
        <v>179</v>
      </c>
      <c r="T682" s="28" t="n">
        <v>78.24</v>
      </c>
      <c r="U682" s="13" t="n">
        <f aca="false">IFERROR(YEAR(A682),"")</f>
        <v>2024</v>
      </c>
      <c r="V682" s="28" t="n">
        <f aca="false">IFERROR(O682*B682,0)</f>
        <v>34112</v>
      </c>
      <c r="W682" s="27" t="n">
        <f aca="false">IFERROR(N682*B682,0)</f>
        <v>436</v>
      </c>
      <c r="X682" s="13" t="n">
        <f aca="false">IF(OR(ISNUMBER(SEARCH("live nation",L682)),ISNUMBER(SEARCH("ocesa",L682))),1,0)</f>
        <v>0</v>
      </c>
      <c r="Y682" s="13" t="s">
        <v>49</v>
      </c>
    </row>
    <row r="683" customFormat="false" ht="15" hidden="false" customHeight="false" outlineLevel="0" collapsed="false">
      <c r="A683" s="30" t="n">
        <v>45501</v>
      </c>
      <c r="B683" s="11" t="n">
        <v>1</v>
      </c>
      <c r="C683" s="31" t="s">
        <v>944</v>
      </c>
      <c r="D683" s="31"/>
      <c r="E683" s="11" t="s">
        <v>372</v>
      </c>
      <c r="F683" s="11" t="s">
        <v>188</v>
      </c>
      <c r="G683" s="11" t="s">
        <v>189</v>
      </c>
      <c r="H683" s="11" t="s">
        <v>20</v>
      </c>
      <c r="I683" s="11" t="s">
        <v>190</v>
      </c>
      <c r="J683" s="11" t="s">
        <v>106</v>
      </c>
      <c r="K683" s="11" t="s">
        <v>107</v>
      </c>
      <c r="L683" s="11" t="s">
        <v>122</v>
      </c>
      <c r="M683" s="11" t="s">
        <v>100</v>
      </c>
      <c r="N683" s="32" t="n">
        <v>357</v>
      </c>
      <c r="O683" s="33" t="n">
        <v>14840</v>
      </c>
      <c r="P683" s="32" t="n">
        <v>700</v>
      </c>
      <c r="Q683" s="34" t="n">
        <v>0.51</v>
      </c>
      <c r="R683" s="33" t="n">
        <v>40</v>
      </c>
      <c r="S683" s="33" t="n">
        <v>50</v>
      </c>
      <c r="T683" s="33" t="n">
        <v>41.57</v>
      </c>
      <c r="U683" s="11" t="n">
        <f aca="false">IFERROR(YEAR(A683),"")</f>
        <v>2024</v>
      </c>
      <c r="V683" s="33" t="n">
        <f aca="false">IFERROR(O683*B683,0)</f>
        <v>14840</v>
      </c>
      <c r="W683" s="32" t="n">
        <f aca="false">IFERROR(N683*B683,0)</f>
        <v>357</v>
      </c>
      <c r="X683" s="11" t="n">
        <f aca="false">IF(OR(ISNUMBER(SEARCH("live nation",L683)),ISNUMBER(SEARCH("ocesa",L683))),1,0)</f>
        <v>0</v>
      </c>
      <c r="Y683" s="11" t="s">
        <v>49</v>
      </c>
    </row>
    <row r="684" customFormat="false" ht="15" hidden="false" customHeight="false" outlineLevel="0" collapsed="false">
      <c r="A684" s="25" t="n">
        <v>45501</v>
      </c>
      <c r="B684" s="13" t="n">
        <v>1</v>
      </c>
      <c r="C684" s="26" t="s">
        <v>887</v>
      </c>
      <c r="D684" s="26"/>
      <c r="E684" s="13" t="s">
        <v>111</v>
      </c>
      <c r="F684" s="13" t="s">
        <v>112</v>
      </c>
      <c r="G684" s="13"/>
      <c r="H684" s="13" t="s">
        <v>21</v>
      </c>
      <c r="I684" s="13"/>
      <c r="J684" s="13" t="s">
        <v>97</v>
      </c>
      <c r="K684" s="13" t="s">
        <v>113</v>
      </c>
      <c r="L684" s="13" t="s">
        <v>321</v>
      </c>
      <c r="M684" s="13" t="s">
        <v>100</v>
      </c>
      <c r="N684" s="27" t="n">
        <v>19085</v>
      </c>
      <c r="O684" s="28" t="n">
        <v>910334.69</v>
      </c>
      <c r="P684" s="27" t="n">
        <v>19085</v>
      </c>
      <c r="Q684" s="29" t="n">
        <v>1</v>
      </c>
      <c r="R684" s="28" t="n">
        <v>47.7</v>
      </c>
      <c r="S684" s="28" t="n">
        <v>47.7</v>
      </c>
      <c r="T684" s="28" t="n">
        <v>47.7</v>
      </c>
      <c r="U684" s="13" t="n">
        <f aca="false">IFERROR(YEAR(A684),"")</f>
        <v>2024</v>
      </c>
      <c r="V684" s="28" t="n">
        <f aca="false">IFERROR(O684*B684,0)</f>
        <v>910334.69</v>
      </c>
      <c r="W684" s="27" t="n">
        <f aca="false">IFERROR(N684*B684,0)</f>
        <v>19085</v>
      </c>
      <c r="X684" s="13" t="n">
        <f aca="false">IF(OR(ISNUMBER(SEARCH("live nation",L684)),ISNUMBER(SEARCH("ocesa",L684))),1,0)</f>
        <v>0</v>
      </c>
      <c r="Y684" s="13" t="s">
        <v>50</v>
      </c>
    </row>
    <row r="685" customFormat="false" ht="15" hidden="false" customHeight="false" outlineLevel="0" collapsed="false">
      <c r="A685" s="30" t="n">
        <v>45500</v>
      </c>
      <c r="B685" s="11" t="n">
        <v>2</v>
      </c>
      <c r="C685" s="31" t="s">
        <v>63</v>
      </c>
      <c r="D685" s="31"/>
      <c r="E685" s="11" t="s">
        <v>369</v>
      </c>
      <c r="F685" s="11" t="s">
        <v>370</v>
      </c>
      <c r="G685" s="11"/>
      <c r="H685" s="11" t="s">
        <v>21</v>
      </c>
      <c r="I685" s="11"/>
      <c r="J685" s="11" t="s">
        <v>133</v>
      </c>
      <c r="K685" s="11" t="s">
        <v>113</v>
      </c>
      <c r="L685" s="11" t="s">
        <v>145</v>
      </c>
      <c r="M685" s="11" t="s">
        <v>100</v>
      </c>
      <c r="N685" s="32" t="n">
        <v>26822</v>
      </c>
      <c r="O685" s="33" t="n">
        <v>2546851.75</v>
      </c>
      <c r="P685" s="32" t="n">
        <v>27772</v>
      </c>
      <c r="Q685" s="34" t="n">
        <v>0.96</v>
      </c>
      <c r="R685" s="33" t="n">
        <v>84.26</v>
      </c>
      <c r="S685" s="33" t="n">
        <v>152.56</v>
      </c>
      <c r="T685" s="33" t="n">
        <v>94.95</v>
      </c>
      <c r="U685" s="11" t="n">
        <f aca="false">IFERROR(YEAR(A685),"")</f>
        <v>2024</v>
      </c>
      <c r="V685" s="33" t="n">
        <f aca="false">IFERROR(O685*B685,0)</f>
        <v>5093703.5</v>
      </c>
      <c r="W685" s="32" t="n">
        <f aca="false">IFERROR(N685*B685,0)</f>
        <v>53644</v>
      </c>
      <c r="X685" s="11" t="n">
        <f aca="false">IF(OR(ISNUMBER(SEARCH("live nation",L685)),ISNUMBER(SEARCH("ocesa",L685))),1,0)</f>
        <v>0</v>
      </c>
      <c r="Y685" s="11" t="s">
        <v>50</v>
      </c>
    </row>
    <row r="686" customFormat="false" ht="15" hidden="false" customHeight="false" outlineLevel="0" collapsed="false">
      <c r="A686" s="25" t="n">
        <v>45500</v>
      </c>
      <c r="B686" s="13" t="n">
        <v>1</v>
      </c>
      <c r="C686" s="26" t="s">
        <v>887</v>
      </c>
      <c r="D686" s="26"/>
      <c r="E686" s="13" t="s">
        <v>111</v>
      </c>
      <c r="F686" s="13" t="s">
        <v>112</v>
      </c>
      <c r="G686" s="13"/>
      <c r="H686" s="13" t="s">
        <v>21</v>
      </c>
      <c r="I686" s="13"/>
      <c r="J686" s="13" t="s">
        <v>97</v>
      </c>
      <c r="K686" s="13" t="s">
        <v>113</v>
      </c>
      <c r="L686" s="13" t="s">
        <v>321</v>
      </c>
      <c r="M686" s="13" t="s">
        <v>100</v>
      </c>
      <c r="N686" s="27" t="n">
        <v>19085</v>
      </c>
      <c r="O686" s="28" t="n">
        <v>910275.52</v>
      </c>
      <c r="P686" s="27" t="n">
        <v>19085</v>
      </c>
      <c r="Q686" s="29" t="n">
        <v>1</v>
      </c>
      <c r="R686" s="28" t="n">
        <v>47.7</v>
      </c>
      <c r="S686" s="28" t="n">
        <v>47.7</v>
      </c>
      <c r="T686" s="28" t="n">
        <v>47.7</v>
      </c>
      <c r="U686" s="13" t="n">
        <f aca="false">IFERROR(YEAR(A686),"")</f>
        <v>2024</v>
      </c>
      <c r="V686" s="28" t="n">
        <f aca="false">IFERROR(O686*B686,0)</f>
        <v>910275.52</v>
      </c>
      <c r="W686" s="27" t="n">
        <f aca="false">IFERROR(N686*B686,0)</f>
        <v>19085</v>
      </c>
      <c r="X686" s="13" t="n">
        <f aca="false">IF(OR(ISNUMBER(SEARCH("live nation",L686)),ISNUMBER(SEARCH("ocesa",L686))),1,0)</f>
        <v>0</v>
      </c>
      <c r="Y686" s="13" t="s">
        <v>50</v>
      </c>
    </row>
    <row r="687" customFormat="false" ht="15" hidden="false" customHeight="false" outlineLevel="0" collapsed="false">
      <c r="A687" s="30" t="n">
        <v>45499</v>
      </c>
      <c r="B687" s="11" t="n">
        <v>3</v>
      </c>
      <c r="C687" s="31" t="s">
        <v>968</v>
      </c>
      <c r="D687" s="31" t="s">
        <v>969</v>
      </c>
      <c r="E687" s="11" t="s">
        <v>970</v>
      </c>
      <c r="F687" s="11" t="s">
        <v>203</v>
      </c>
      <c r="G687" s="11" t="s">
        <v>202</v>
      </c>
      <c r="H687" s="11" t="s">
        <v>20</v>
      </c>
      <c r="I687" s="11" t="s">
        <v>203</v>
      </c>
      <c r="J687" s="11" t="s">
        <v>97</v>
      </c>
      <c r="K687" s="11" t="s">
        <v>107</v>
      </c>
      <c r="L687" s="11" t="s">
        <v>531</v>
      </c>
      <c r="M687" s="11" t="s">
        <v>100</v>
      </c>
      <c r="N687" s="32" t="n">
        <v>11383</v>
      </c>
      <c r="O687" s="33" t="n">
        <v>1896851.63</v>
      </c>
      <c r="P687" s="32" t="n">
        <v>16594</v>
      </c>
      <c r="Q687" s="34" t="n">
        <v>0.68</v>
      </c>
      <c r="R687" s="33" t="n">
        <v>95</v>
      </c>
      <c r="S687" s="33" t="n">
        <v>260</v>
      </c>
      <c r="T687" s="33" t="n">
        <v>166.63</v>
      </c>
      <c r="U687" s="11" t="n">
        <f aca="false">IFERROR(YEAR(A687),"")</f>
        <v>2024</v>
      </c>
      <c r="V687" s="33" t="n">
        <f aca="false">IFERROR(O687*B687,0)</f>
        <v>5690554.89</v>
      </c>
      <c r="W687" s="32" t="n">
        <f aca="false">IFERROR(N687*B687,0)</f>
        <v>34149</v>
      </c>
      <c r="X687" s="11" t="n">
        <f aca="false">IF(OR(ISNUMBER(SEARCH("live nation",L687)),ISNUMBER(SEARCH("ocesa",L687))),1,0)</f>
        <v>0</v>
      </c>
      <c r="Y687" s="11" t="s">
        <v>49</v>
      </c>
    </row>
    <row r="688" customFormat="false" ht="15" hidden="false" customHeight="false" outlineLevel="0" collapsed="false">
      <c r="A688" s="25" t="n">
        <v>45499</v>
      </c>
      <c r="B688" s="13" t="n">
        <v>1</v>
      </c>
      <c r="C688" s="26" t="s">
        <v>950</v>
      </c>
      <c r="D688" s="26"/>
      <c r="E688" s="13" t="s">
        <v>541</v>
      </c>
      <c r="F688" s="13" t="s">
        <v>374</v>
      </c>
      <c r="G688" s="13" t="s">
        <v>143</v>
      </c>
      <c r="H688" s="13" t="s">
        <v>20</v>
      </c>
      <c r="I688" s="13" t="s">
        <v>375</v>
      </c>
      <c r="J688" s="13" t="s">
        <v>106</v>
      </c>
      <c r="K688" s="13" t="s">
        <v>107</v>
      </c>
      <c r="L688" s="13" t="s">
        <v>122</v>
      </c>
      <c r="M688" s="13" t="s">
        <v>100</v>
      </c>
      <c r="N688" s="27" t="n">
        <v>546</v>
      </c>
      <c r="O688" s="28" t="n">
        <v>49647.5</v>
      </c>
      <c r="P688" s="27" t="n">
        <v>1000</v>
      </c>
      <c r="Q688" s="29" t="n">
        <v>0.54</v>
      </c>
      <c r="R688" s="28" t="n">
        <v>45</v>
      </c>
      <c r="S688" s="28" t="n">
        <v>199</v>
      </c>
      <c r="T688" s="28" t="n">
        <v>90.93</v>
      </c>
      <c r="U688" s="13" t="n">
        <f aca="false">IFERROR(YEAR(A688),"")</f>
        <v>2024</v>
      </c>
      <c r="V688" s="28" t="n">
        <f aca="false">IFERROR(O688*B688,0)</f>
        <v>49647.5</v>
      </c>
      <c r="W688" s="27" t="n">
        <f aca="false">IFERROR(N688*B688,0)</f>
        <v>546</v>
      </c>
      <c r="X688" s="13" t="n">
        <f aca="false">IF(OR(ISNUMBER(SEARCH("live nation",L688)),ISNUMBER(SEARCH("ocesa",L688))),1,0)</f>
        <v>0</v>
      </c>
      <c r="Y688" s="13" t="s">
        <v>49</v>
      </c>
    </row>
    <row r="689" customFormat="false" ht="15" hidden="false" customHeight="false" outlineLevel="0" collapsed="false">
      <c r="A689" s="30" t="n">
        <v>45499</v>
      </c>
      <c r="B689" s="11" t="n">
        <v>1</v>
      </c>
      <c r="C689" s="31" t="s">
        <v>944</v>
      </c>
      <c r="D689" s="31"/>
      <c r="E689" s="11" t="s">
        <v>971</v>
      </c>
      <c r="F689" s="11" t="s">
        <v>550</v>
      </c>
      <c r="G689" s="11" t="s">
        <v>328</v>
      </c>
      <c r="H689" s="11" t="s">
        <v>128</v>
      </c>
      <c r="I689" s="11"/>
      <c r="J689" s="11" t="s">
        <v>106</v>
      </c>
      <c r="K689" s="11" t="s">
        <v>129</v>
      </c>
      <c r="L689" s="11" t="s">
        <v>972</v>
      </c>
      <c r="M689" s="11" t="s">
        <v>100</v>
      </c>
      <c r="N689" s="32" t="n">
        <v>835</v>
      </c>
      <c r="O689" s="33" t="n">
        <v>31073.65</v>
      </c>
      <c r="P689" s="32" t="n">
        <v>1212</v>
      </c>
      <c r="Q689" s="34" t="n">
        <v>0.68</v>
      </c>
      <c r="R689" s="33" t="n">
        <v>28.95</v>
      </c>
      <c r="S689" s="33" t="n">
        <v>50.66</v>
      </c>
      <c r="T689" s="33" t="n">
        <v>37.21</v>
      </c>
      <c r="U689" s="11" t="n">
        <f aca="false">IFERROR(YEAR(A689),"")</f>
        <v>2024</v>
      </c>
      <c r="V689" s="33" t="n">
        <f aca="false">IFERROR(O689*B689,0)</f>
        <v>31073.65</v>
      </c>
      <c r="W689" s="32" t="n">
        <f aca="false">IFERROR(N689*B689,0)</f>
        <v>835</v>
      </c>
      <c r="X689" s="11" t="n">
        <f aca="false">IF(OR(ISNUMBER(SEARCH("live nation",L689)),ISNUMBER(SEARCH("ocesa",L689))),1,0)</f>
        <v>0</v>
      </c>
      <c r="Y689" s="11" t="s">
        <v>49</v>
      </c>
    </row>
    <row r="690" customFormat="false" ht="15" hidden="false" customHeight="false" outlineLevel="0" collapsed="false">
      <c r="A690" s="25" t="n">
        <v>45498</v>
      </c>
      <c r="B690" s="13" t="n">
        <v>1</v>
      </c>
      <c r="C690" s="26" t="s">
        <v>518</v>
      </c>
      <c r="D690" s="26"/>
      <c r="E690" s="13" t="s">
        <v>790</v>
      </c>
      <c r="F690" s="13" t="s">
        <v>203</v>
      </c>
      <c r="G690" s="13" t="s">
        <v>202</v>
      </c>
      <c r="H690" s="13" t="s">
        <v>20</v>
      </c>
      <c r="I690" s="13" t="s">
        <v>203</v>
      </c>
      <c r="J690" s="13" t="s">
        <v>121</v>
      </c>
      <c r="K690" s="13" t="s">
        <v>107</v>
      </c>
      <c r="L690" s="13" t="s">
        <v>973</v>
      </c>
      <c r="M690" s="13" t="s">
        <v>100</v>
      </c>
      <c r="N690" s="27" t="n">
        <v>3618</v>
      </c>
      <c r="O690" s="28" t="n">
        <v>468003</v>
      </c>
      <c r="P690" s="27" t="n">
        <v>6781</v>
      </c>
      <c r="Q690" s="29" t="n">
        <v>0.53</v>
      </c>
      <c r="R690" s="28" t="n">
        <v>79</v>
      </c>
      <c r="S690" s="28" t="n">
        <v>229</v>
      </c>
      <c r="T690" s="28" t="n">
        <v>129.35</v>
      </c>
      <c r="U690" s="13" t="n">
        <f aca="false">IFERROR(YEAR(A690),"")</f>
        <v>2024</v>
      </c>
      <c r="V690" s="28" t="n">
        <f aca="false">IFERROR(O690*B690,0)</f>
        <v>468003</v>
      </c>
      <c r="W690" s="27" t="n">
        <f aca="false">IFERROR(N690*B690,0)</f>
        <v>3618</v>
      </c>
      <c r="X690" s="13" t="n">
        <f aca="false">IF(OR(ISNUMBER(SEARCH("live nation",L690)),ISNUMBER(SEARCH("ocesa",L690))),1,0)</f>
        <v>0</v>
      </c>
      <c r="Y690" s="13" t="s">
        <v>49</v>
      </c>
    </row>
    <row r="691" customFormat="false" ht="15" hidden="false" customHeight="false" outlineLevel="0" collapsed="false">
      <c r="A691" s="30" t="n">
        <v>45498</v>
      </c>
      <c r="B691" s="11" t="n">
        <v>1</v>
      </c>
      <c r="C691" s="31" t="s">
        <v>71</v>
      </c>
      <c r="D691" s="31"/>
      <c r="E691" s="11" t="s">
        <v>974</v>
      </c>
      <c r="F691" s="11" t="s">
        <v>383</v>
      </c>
      <c r="G691" s="11" t="s">
        <v>119</v>
      </c>
      <c r="H691" s="11" t="s">
        <v>20</v>
      </c>
      <c r="I691" s="11" t="s">
        <v>120</v>
      </c>
      <c r="J691" s="11" t="s">
        <v>97</v>
      </c>
      <c r="K691" s="11" t="s">
        <v>107</v>
      </c>
      <c r="L691" s="11" t="s">
        <v>531</v>
      </c>
      <c r="M691" s="11" t="s">
        <v>100</v>
      </c>
      <c r="N691" s="32" t="n">
        <v>10763</v>
      </c>
      <c r="O691" s="33" t="n">
        <v>2237730.25</v>
      </c>
      <c r="P691" s="32" t="n">
        <v>10763</v>
      </c>
      <c r="Q691" s="34" t="n">
        <v>1</v>
      </c>
      <c r="R691" s="33" t="n">
        <v>59.5</v>
      </c>
      <c r="S691" s="33" t="n">
        <v>999</v>
      </c>
      <c r="T691" s="33" t="n">
        <v>207.91</v>
      </c>
      <c r="U691" s="11" t="n">
        <f aca="false">IFERROR(YEAR(A691),"")</f>
        <v>2024</v>
      </c>
      <c r="V691" s="33" t="n">
        <f aca="false">IFERROR(O691*B691,0)</f>
        <v>2237730.25</v>
      </c>
      <c r="W691" s="32" t="n">
        <f aca="false">IFERROR(N691*B691,0)</f>
        <v>10763</v>
      </c>
      <c r="X691" s="11" t="n">
        <f aca="false">IF(OR(ISNUMBER(SEARCH("live nation",L691)),ISNUMBER(SEARCH("ocesa",L691))),1,0)</f>
        <v>0</v>
      </c>
      <c r="Y691" s="11" t="s">
        <v>49</v>
      </c>
    </row>
    <row r="692" customFormat="false" ht="15" hidden="false" customHeight="false" outlineLevel="0" collapsed="false">
      <c r="A692" s="25" t="n">
        <v>45498</v>
      </c>
      <c r="B692" s="13" t="n">
        <v>1</v>
      </c>
      <c r="C692" s="26" t="s">
        <v>957</v>
      </c>
      <c r="D692" s="26"/>
      <c r="E692" s="13" t="s">
        <v>206</v>
      </c>
      <c r="F692" s="13" t="s">
        <v>207</v>
      </c>
      <c r="G692" s="13" t="s">
        <v>208</v>
      </c>
      <c r="H692" s="13" t="s">
        <v>20</v>
      </c>
      <c r="I692" s="13" t="s">
        <v>209</v>
      </c>
      <c r="J692" s="13" t="s">
        <v>97</v>
      </c>
      <c r="K692" s="13" t="s">
        <v>107</v>
      </c>
      <c r="L692" s="13" t="s">
        <v>975</v>
      </c>
      <c r="M692" s="13" t="s">
        <v>100</v>
      </c>
      <c r="N692" s="27" t="n">
        <v>12887</v>
      </c>
      <c r="O692" s="28" t="n">
        <v>1613337</v>
      </c>
      <c r="P692" s="27" t="n">
        <v>12887</v>
      </c>
      <c r="Q692" s="29" t="n">
        <v>1</v>
      </c>
      <c r="R692" s="28" t="n">
        <v>59.5</v>
      </c>
      <c r="S692" s="28" t="n">
        <v>199.5</v>
      </c>
      <c r="T692" s="28" t="n">
        <v>125.19</v>
      </c>
      <c r="U692" s="13" t="n">
        <f aca="false">IFERROR(YEAR(A692),"")</f>
        <v>2024</v>
      </c>
      <c r="V692" s="28" t="n">
        <f aca="false">IFERROR(O692*B692,0)</f>
        <v>1613337</v>
      </c>
      <c r="W692" s="27" t="n">
        <f aca="false">IFERROR(N692*B692,0)</f>
        <v>12887</v>
      </c>
      <c r="X692" s="13" t="n">
        <f aca="false">IF(OR(ISNUMBER(SEARCH("live nation",L692)),ISNUMBER(SEARCH("ocesa",L692))),1,0)</f>
        <v>1</v>
      </c>
      <c r="Y692" s="13" t="s">
        <v>49</v>
      </c>
    </row>
    <row r="693" customFormat="false" ht="15" hidden="false" customHeight="false" outlineLevel="0" collapsed="false">
      <c r="A693" s="30" t="n">
        <v>45498</v>
      </c>
      <c r="B693" s="11" t="n">
        <v>1</v>
      </c>
      <c r="C693" s="31" t="s">
        <v>944</v>
      </c>
      <c r="D693" s="31"/>
      <c r="E693" s="11" t="s">
        <v>976</v>
      </c>
      <c r="F693" s="11" t="s">
        <v>126</v>
      </c>
      <c r="G693" s="11" t="s">
        <v>127</v>
      </c>
      <c r="H693" s="11" t="s">
        <v>128</v>
      </c>
      <c r="I693" s="11"/>
      <c r="J693" s="11" t="s">
        <v>121</v>
      </c>
      <c r="K693" s="11" t="s">
        <v>129</v>
      </c>
      <c r="L693" s="11" t="s">
        <v>972</v>
      </c>
      <c r="M693" s="11" t="s">
        <v>100</v>
      </c>
      <c r="N693" s="32" t="n">
        <v>273</v>
      </c>
      <c r="O693" s="33" t="n">
        <v>9932.13</v>
      </c>
      <c r="P693" s="32" t="n">
        <v>630</v>
      </c>
      <c r="Q693" s="34" t="n">
        <v>0.43</v>
      </c>
      <c r="R693" s="33" t="n">
        <v>28.96</v>
      </c>
      <c r="S693" s="33" t="n">
        <v>47.05</v>
      </c>
      <c r="T693" s="33" t="n">
        <v>36.38</v>
      </c>
      <c r="U693" s="11" t="n">
        <f aca="false">IFERROR(YEAR(A693),"")</f>
        <v>2024</v>
      </c>
      <c r="V693" s="33" t="n">
        <f aca="false">IFERROR(O693*B693,0)</f>
        <v>9932.13</v>
      </c>
      <c r="W693" s="32" t="n">
        <f aca="false">IFERROR(N693*B693,0)</f>
        <v>273</v>
      </c>
      <c r="X693" s="11" t="n">
        <f aca="false">IF(OR(ISNUMBER(SEARCH("live nation",L693)),ISNUMBER(SEARCH("ocesa",L693))),1,0)</f>
        <v>0</v>
      </c>
      <c r="Y693" s="11" t="s">
        <v>49</v>
      </c>
    </row>
    <row r="694" customFormat="false" ht="15" hidden="false" customHeight="false" outlineLevel="0" collapsed="false">
      <c r="A694" s="25" t="n">
        <v>45497</v>
      </c>
      <c r="B694" s="13" t="n">
        <v>1</v>
      </c>
      <c r="C694" s="26" t="s">
        <v>950</v>
      </c>
      <c r="D694" s="26"/>
      <c r="E694" s="13" t="s">
        <v>912</v>
      </c>
      <c r="F694" s="13" t="s">
        <v>383</v>
      </c>
      <c r="G694" s="13" t="s">
        <v>119</v>
      </c>
      <c r="H694" s="13" t="s">
        <v>20</v>
      </c>
      <c r="I694" s="13" t="s">
        <v>120</v>
      </c>
      <c r="J694" s="13" t="s">
        <v>106</v>
      </c>
      <c r="K694" s="13" t="s">
        <v>107</v>
      </c>
      <c r="L694" s="13" t="s">
        <v>122</v>
      </c>
      <c r="M694" s="13" t="s">
        <v>100</v>
      </c>
      <c r="N694" s="27" t="n">
        <v>438</v>
      </c>
      <c r="O694" s="28" t="n">
        <v>42792</v>
      </c>
      <c r="P694" s="27" t="n">
        <v>844</v>
      </c>
      <c r="Q694" s="29" t="n">
        <v>0.51</v>
      </c>
      <c r="R694" s="28" t="n">
        <v>45</v>
      </c>
      <c r="S694" s="28" t="n">
        <v>189</v>
      </c>
      <c r="T694" s="28" t="n">
        <v>97.7</v>
      </c>
      <c r="U694" s="13" t="n">
        <f aca="false">IFERROR(YEAR(A694),"")</f>
        <v>2024</v>
      </c>
      <c r="V694" s="28" t="n">
        <f aca="false">IFERROR(O694*B694,0)</f>
        <v>42792</v>
      </c>
      <c r="W694" s="27" t="n">
        <f aca="false">IFERROR(N694*B694,0)</f>
        <v>438</v>
      </c>
      <c r="X694" s="13" t="n">
        <f aca="false">IF(OR(ISNUMBER(SEARCH("live nation",L694)),ISNUMBER(SEARCH("ocesa",L694))),1,0)</f>
        <v>0</v>
      </c>
      <c r="Y694" s="13" t="s">
        <v>49</v>
      </c>
    </row>
    <row r="695" customFormat="false" ht="15" hidden="false" customHeight="false" outlineLevel="0" collapsed="false">
      <c r="A695" s="30" t="n">
        <v>45497</v>
      </c>
      <c r="B695" s="11" t="n">
        <v>1</v>
      </c>
      <c r="C695" s="31" t="s">
        <v>944</v>
      </c>
      <c r="D695" s="31"/>
      <c r="E695" s="11" t="s">
        <v>977</v>
      </c>
      <c r="F695" s="11" t="s">
        <v>978</v>
      </c>
      <c r="G695" s="11" t="s">
        <v>224</v>
      </c>
      <c r="H695" s="11" t="s">
        <v>20</v>
      </c>
      <c r="I695" s="11" t="s">
        <v>225</v>
      </c>
      <c r="J695" s="11" t="s">
        <v>121</v>
      </c>
      <c r="K695" s="11" t="s">
        <v>107</v>
      </c>
      <c r="L695" s="11" t="s">
        <v>122</v>
      </c>
      <c r="M695" s="11" t="s">
        <v>100</v>
      </c>
      <c r="N695" s="32" t="n">
        <v>176</v>
      </c>
      <c r="O695" s="33" t="n">
        <v>7090</v>
      </c>
      <c r="P695" s="32" t="n">
        <v>500</v>
      </c>
      <c r="Q695" s="34" t="n">
        <v>0.35</v>
      </c>
      <c r="R695" s="33" t="n">
        <v>40</v>
      </c>
      <c r="S695" s="33" t="n">
        <v>100</v>
      </c>
      <c r="T695" s="33" t="n">
        <v>40.28</v>
      </c>
      <c r="U695" s="11" t="n">
        <f aca="false">IFERROR(YEAR(A695),"")</f>
        <v>2024</v>
      </c>
      <c r="V695" s="33" t="n">
        <f aca="false">IFERROR(O695*B695,0)</f>
        <v>7090</v>
      </c>
      <c r="W695" s="32" t="n">
        <f aca="false">IFERROR(N695*B695,0)</f>
        <v>176</v>
      </c>
      <c r="X695" s="11" t="n">
        <f aca="false">IF(OR(ISNUMBER(SEARCH("live nation",L695)),ISNUMBER(SEARCH("ocesa",L695))),1,0)</f>
        <v>0</v>
      </c>
      <c r="Y695" s="11" t="s">
        <v>49</v>
      </c>
    </row>
    <row r="696" customFormat="false" ht="15" hidden="false" customHeight="false" outlineLevel="0" collapsed="false">
      <c r="A696" s="25" t="n">
        <v>45495</v>
      </c>
      <c r="B696" s="13" t="n">
        <v>1</v>
      </c>
      <c r="C696" s="26" t="s">
        <v>944</v>
      </c>
      <c r="D696" s="26"/>
      <c r="E696" s="13" t="s">
        <v>979</v>
      </c>
      <c r="F696" s="13" t="s">
        <v>197</v>
      </c>
      <c r="G696" s="13" t="s">
        <v>139</v>
      </c>
      <c r="H696" s="13" t="s">
        <v>20</v>
      </c>
      <c r="I696" s="13" t="s">
        <v>139</v>
      </c>
      <c r="J696" s="13" t="s">
        <v>106</v>
      </c>
      <c r="K696" s="13" t="s">
        <v>107</v>
      </c>
      <c r="L696" s="13" t="s">
        <v>122</v>
      </c>
      <c r="M696" s="13" t="s">
        <v>100</v>
      </c>
      <c r="N696" s="27" t="n">
        <v>730</v>
      </c>
      <c r="O696" s="28" t="n">
        <v>27435</v>
      </c>
      <c r="P696" s="27" t="n">
        <v>1000</v>
      </c>
      <c r="Q696" s="29" t="n">
        <v>0.73</v>
      </c>
      <c r="R696" s="28" t="n">
        <v>15</v>
      </c>
      <c r="S696" s="28" t="n">
        <v>15</v>
      </c>
      <c r="T696" s="28" t="n">
        <v>37.58</v>
      </c>
      <c r="U696" s="13" t="n">
        <f aca="false">IFERROR(YEAR(A696),"")</f>
        <v>2024</v>
      </c>
      <c r="V696" s="28" t="n">
        <f aca="false">IFERROR(O696*B696,0)</f>
        <v>27435</v>
      </c>
      <c r="W696" s="27" t="n">
        <f aca="false">IFERROR(N696*B696,0)</f>
        <v>730</v>
      </c>
      <c r="X696" s="13" t="n">
        <f aca="false">IF(OR(ISNUMBER(SEARCH("live nation",L696)),ISNUMBER(SEARCH("ocesa",L696))),1,0)</f>
        <v>0</v>
      </c>
      <c r="Y696" s="13" t="s">
        <v>49</v>
      </c>
    </row>
    <row r="697" customFormat="false" ht="15" hidden="false" customHeight="false" outlineLevel="0" collapsed="false">
      <c r="A697" s="30" t="n">
        <v>45495</v>
      </c>
      <c r="B697" s="11" t="n">
        <v>1</v>
      </c>
      <c r="C697" s="31" t="s">
        <v>957</v>
      </c>
      <c r="D697" s="31"/>
      <c r="E697" s="11" t="s">
        <v>365</v>
      </c>
      <c r="F697" s="11" t="s">
        <v>188</v>
      </c>
      <c r="G697" s="11" t="s">
        <v>189</v>
      </c>
      <c r="H697" s="11" t="s">
        <v>20</v>
      </c>
      <c r="I697" s="11" t="s">
        <v>190</v>
      </c>
      <c r="J697" s="11" t="s">
        <v>97</v>
      </c>
      <c r="K697" s="11" t="s">
        <v>107</v>
      </c>
      <c r="L697" s="11" t="s">
        <v>958</v>
      </c>
      <c r="M697" s="11" t="s">
        <v>100</v>
      </c>
      <c r="N697" s="32" t="n">
        <v>13806</v>
      </c>
      <c r="O697" s="33" t="n">
        <v>2059896</v>
      </c>
      <c r="P697" s="32" t="n">
        <v>13806</v>
      </c>
      <c r="Q697" s="34" t="n">
        <v>1</v>
      </c>
      <c r="R697" s="33" t="n">
        <v>59.5</v>
      </c>
      <c r="S697" s="33" t="n">
        <v>199.5</v>
      </c>
      <c r="T697" s="33" t="n">
        <v>149.2</v>
      </c>
      <c r="U697" s="11" t="n">
        <f aca="false">IFERROR(YEAR(A697),"")</f>
        <v>2024</v>
      </c>
      <c r="V697" s="33" t="n">
        <f aca="false">IFERROR(O697*B697,0)</f>
        <v>2059896</v>
      </c>
      <c r="W697" s="32" t="n">
        <f aca="false">IFERROR(N697*B697,0)</f>
        <v>13806</v>
      </c>
      <c r="X697" s="11" t="n">
        <f aca="false">IF(OR(ISNUMBER(SEARCH("live nation",L697)),ISNUMBER(SEARCH("ocesa",L697))),1,0)</f>
        <v>1</v>
      </c>
      <c r="Y697" s="11" t="s">
        <v>49</v>
      </c>
    </row>
    <row r="698" customFormat="false" ht="15" hidden="false" customHeight="false" outlineLevel="0" collapsed="false">
      <c r="A698" s="25" t="n">
        <v>45494</v>
      </c>
      <c r="B698" s="13" t="n">
        <v>1</v>
      </c>
      <c r="C698" s="26" t="s">
        <v>518</v>
      </c>
      <c r="D698" s="26"/>
      <c r="E698" s="13" t="s">
        <v>731</v>
      </c>
      <c r="F698" s="13" t="s">
        <v>346</v>
      </c>
      <c r="G698" s="13" t="s">
        <v>347</v>
      </c>
      <c r="H698" s="13" t="s">
        <v>20</v>
      </c>
      <c r="I698" s="13" t="s">
        <v>346</v>
      </c>
      <c r="J698" s="13" t="s">
        <v>121</v>
      </c>
      <c r="K698" s="13" t="s">
        <v>107</v>
      </c>
      <c r="L698" s="13" t="s">
        <v>973</v>
      </c>
      <c r="M698" s="13" t="s">
        <v>100</v>
      </c>
      <c r="N698" s="27" t="n">
        <v>1503</v>
      </c>
      <c r="O698" s="28" t="n">
        <v>365127.25</v>
      </c>
      <c r="P698" s="27" t="n">
        <v>4331</v>
      </c>
      <c r="Q698" s="29" t="n">
        <v>0.34</v>
      </c>
      <c r="R698" s="28" t="n">
        <v>75</v>
      </c>
      <c r="S698" s="28" t="n">
        <v>1575</v>
      </c>
      <c r="T698" s="28" t="n">
        <v>242.93</v>
      </c>
      <c r="U698" s="13" t="n">
        <f aca="false">IFERROR(YEAR(A698),"")</f>
        <v>2024</v>
      </c>
      <c r="V698" s="28" t="n">
        <f aca="false">IFERROR(O698*B698,0)</f>
        <v>365127.25</v>
      </c>
      <c r="W698" s="27" t="n">
        <f aca="false">IFERROR(N698*B698,0)</f>
        <v>1503</v>
      </c>
      <c r="X698" s="13" t="n">
        <f aca="false">IF(OR(ISNUMBER(SEARCH("live nation",L698)),ISNUMBER(SEARCH("ocesa",L698))),1,0)</f>
        <v>0</v>
      </c>
      <c r="Y698" s="13" t="s">
        <v>49</v>
      </c>
    </row>
    <row r="699" customFormat="false" ht="15" hidden="false" customHeight="false" outlineLevel="0" collapsed="false">
      <c r="A699" s="30" t="n">
        <v>45494</v>
      </c>
      <c r="B699" s="11" t="n">
        <v>1</v>
      </c>
      <c r="C699" s="31" t="s">
        <v>950</v>
      </c>
      <c r="D699" s="31"/>
      <c r="E699" s="11" t="s">
        <v>980</v>
      </c>
      <c r="F699" s="11" t="s">
        <v>494</v>
      </c>
      <c r="G699" s="11" t="s">
        <v>188</v>
      </c>
      <c r="H699" s="11" t="s">
        <v>20</v>
      </c>
      <c r="I699" s="11" t="s">
        <v>307</v>
      </c>
      <c r="J699" s="11" t="s">
        <v>121</v>
      </c>
      <c r="K699" s="11" t="s">
        <v>107</v>
      </c>
      <c r="L699" s="11" t="s">
        <v>390</v>
      </c>
      <c r="M699" s="11" t="s">
        <v>100</v>
      </c>
      <c r="N699" s="32" t="n">
        <v>463</v>
      </c>
      <c r="O699" s="33" t="n">
        <v>42959</v>
      </c>
      <c r="P699" s="32" t="n">
        <v>1196</v>
      </c>
      <c r="Q699" s="34" t="n">
        <v>0.38</v>
      </c>
      <c r="R699" s="33" t="n">
        <v>40</v>
      </c>
      <c r="S699" s="33" t="n">
        <v>175</v>
      </c>
      <c r="T699" s="33" t="n">
        <v>92.78</v>
      </c>
      <c r="U699" s="11" t="n">
        <f aca="false">IFERROR(YEAR(A699),"")</f>
        <v>2024</v>
      </c>
      <c r="V699" s="33" t="n">
        <f aca="false">IFERROR(O699*B699,0)</f>
        <v>42959</v>
      </c>
      <c r="W699" s="32" t="n">
        <f aca="false">IFERROR(N699*B699,0)</f>
        <v>463</v>
      </c>
      <c r="X699" s="11" t="n">
        <f aca="false">IF(OR(ISNUMBER(SEARCH("live nation",L699)),ISNUMBER(SEARCH("ocesa",L699))),1,0)</f>
        <v>0</v>
      </c>
      <c r="Y699" s="11" t="s">
        <v>49</v>
      </c>
    </row>
    <row r="700" customFormat="false" ht="15" hidden="false" customHeight="false" outlineLevel="0" collapsed="false">
      <c r="A700" s="25" t="n">
        <v>45494</v>
      </c>
      <c r="B700" s="13" t="n">
        <v>1</v>
      </c>
      <c r="C700" s="26" t="s">
        <v>981</v>
      </c>
      <c r="D700" s="26"/>
      <c r="E700" s="13" t="s">
        <v>111</v>
      </c>
      <c r="F700" s="13" t="s">
        <v>112</v>
      </c>
      <c r="G700" s="13"/>
      <c r="H700" s="13" t="s">
        <v>21</v>
      </c>
      <c r="I700" s="13"/>
      <c r="J700" s="13" t="s">
        <v>97</v>
      </c>
      <c r="K700" s="13" t="s">
        <v>113</v>
      </c>
      <c r="L700" s="13" t="s">
        <v>399</v>
      </c>
      <c r="M700" s="13" t="s">
        <v>100</v>
      </c>
      <c r="N700" s="27" t="n">
        <v>20000</v>
      </c>
      <c r="O700" s="28" t="n">
        <v>1523665.15</v>
      </c>
      <c r="P700" s="27" t="n">
        <v>20000</v>
      </c>
      <c r="Q700" s="29" t="n">
        <v>1</v>
      </c>
      <c r="R700" s="28" t="n">
        <v>76.18</v>
      </c>
      <c r="S700" s="28" t="n">
        <v>76.18</v>
      </c>
      <c r="T700" s="28" t="n">
        <v>76.18</v>
      </c>
      <c r="U700" s="13" t="n">
        <f aca="false">IFERROR(YEAR(A700),"")</f>
        <v>2024</v>
      </c>
      <c r="V700" s="28" t="n">
        <f aca="false">IFERROR(O700*B700,0)</f>
        <v>1523665.15</v>
      </c>
      <c r="W700" s="27" t="n">
        <f aca="false">IFERROR(N700*B700,0)</f>
        <v>20000</v>
      </c>
      <c r="X700" s="13" t="n">
        <f aca="false">IF(OR(ISNUMBER(SEARCH("live nation",L700)),ISNUMBER(SEARCH("ocesa",L700))),1,0)</f>
        <v>0</v>
      </c>
      <c r="Y700" s="13" t="s">
        <v>50</v>
      </c>
    </row>
    <row r="701" customFormat="false" ht="15" hidden="false" customHeight="false" outlineLevel="0" collapsed="false">
      <c r="A701" s="30" t="n">
        <v>45493</v>
      </c>
      <c r="B701" s="11" t="n">
        <v>2</v>
      </c>
      <c r="C701" s="31" t="s">
        <v>71</v>
      </c>
      <c r="D701" s="31"/>
      <c r="E701" s="11" t="s">
        <v>486</v>
      </c>
      <c r="F701" s="11" t="s">
        <v>203</v>
      </c>
      <c r="G701" s="11" t="s">
        <v>202</v>
      </c>
      <c r="H701" s="11" t="s">
        <v>20</v>
      </c>
      <c r="I701" s="11" t="s">
        <v>203</v>
      </c>
      <c r="J701" s="11" t="s">
        <v>133</v>
      </c>
      <c r="K701" s="11" t="s">
        <v>107</v>
      </c>
      <c r="L701" s="11" t="s">
        <v>531</v>
      </c>
      <c r="M701" s="11" t="s">
        <v>100</v>
      </c>
      <c r="N701" s="32" t="n">
        <v>19071</v>
      </c>
      <c r="O701" s="33" t="n">
        <v>3615267.5</v>
      </c>
      <c r="P701" s="32" t="n">
        <v>20230</v>
      </c>
      <c r="Q701" s="34" t="n">
        <v>0.94</v>
      </c>
      <c r="R701" s="33" t="n">
        <v>49.5</v>
      </c>
      <c r="S701" s="33" t="n">
        <v>209.5</v>
      </c>
      <c r="T701" s="33" t="n">
        <v>189.56</v>
      </c>
      <c r="U701" s="11" t="n">
        <f aca="false">IFERROR(YEAR(A701),"")</f>
        <v>2024</v>
      </c>
      <c r="V701" s="33" t="n">
        <f aca="false">IFERROR(O701*B701,0)</f>
        <v>7230535</v>
      </c>
      <c r="W701" s="32" t="n">
        <f aca="false">IFERROR(N701*B701,0)</f>
        <v>38142</v>
      </c>
      <c r="X701" s="11" t="n">
        <f aca="false">IF(OR(ISNUMBER(SEARCH("live nation",L701)),ISNUMBER(SEARCH("ocesa",L701))),1,0)</f>
        <v>0</v>
      </c>
      <c r="Y701" s="11" t="s">
        <v>49</v>
      </c>
    </row>
    <row r="702" customFormat="false" ht="15" hidden="false" customHeight="false" outlineLevel="0" collapsed="false">
      <c r="A702" s="25" t="n">
        <v>45493</v>
      </c>
      <c r="B702" s="13" t="n">
        <v>1</v>
      </c>
      <c r="C702" s="26" t="s">
        <v>981</v>
      </c>
      <c r="D702" s="26"/>
      <c r="E702" s="13" t="s">
        <v>111</v>
      </c>
      <c r="F702" s="13" t="s">
        <v>112</v>
      </c>
      <c r="G702" s="13"/>
      <c r="H702" s="13" t="s">
        <v>21</v>
      </c>
      <c r="I702" s="13"/>
      <c r="J702" s="13" t="s">
        <v>97</v>
      </c>
      <c r="K702" s="13" t="s">
        <v>113</v>
      </c>
      <c r="L702" s="13" t="s">
        <v>399</v>
      </c>
      <c r="M702" s="13" t="s">
        <v>100</v>
      </c>
      <c r="N702" s="27" t="n">
        <v>20000</v>
      </c>
      <c r="O702" s="28" t="n">
        <v>1523857.94</v>
      </c>
      <c r="P702" s="27" t="n">
        <v>20000</v>
      </c>
      <c r="Q702" s="29" t="n">
        <v>1</v>
      </c>
      <c r="R702" s="28" t="n">
        <v>76.19</v>
      </c>
      <c r="S702" s="28" t="n">
        <v>76.19</v>
      </c>
      <c r="T702" s="28" t="n">
        <v>76.19</v>
      </c>
      <c r="U702" s="13" t="n">
        <f aca="false">IFERROR(YEAR(A702),"")</f>
        <v>2024</v>
      </c>
      <c r="V702" s="28" t="n">
        <f aca="false">IFERROR(O702*B702,0)</f>
        <v>1523857.94</v>
      </c>
      <c r="W702" s="27" t="n">
        <f aca="false">IFERROR(N702*B702,0)</f>
        <v>20000</v>
      </c>
      <c r="X702" s="13" t="n">
        <f aca="false">IF(OR(ISNUMBER(SEARCH("live nation",L702)),ISNUMBER(SEARCH("ocesa",L702))),1,0)</f>
        <v>0</v>
      </c>
      <c r="Y702" s="13" t="s">
        <v>50</v>
      </c>
    </row>
    <row r="703" customFormat="false" ht="15" hidden="false" customHeight="false" outlineLevel="0" collapsed="false">
      <c r="A703" s="30" t="n">
        <v>45492</v>
      </c>
      <c r="B703" s="11" t="n">
        <v>1</v>
      </c>
      <c r="C703" s="31" t="s">
        <v>518</v>
      </c>
      <c r="D703" s="31"/>
      <c r="E703" s="11" t="s">
        <v>689</v>
      </c>
      <c r="F703" s="11" t="s">
        <v>139</v>
      </c>
      <c r="G703" s="11" t="s">
        <v>139</v>
      </c>
      <c r="H703" s="11" t="s">
        <v>20</v>
      </c>
      <c r="I703" s="11" t="s">
        <v>139</v>
      </c>
      <c r="J703" s="11" t="s">
        <v>121</v>
      </c>
      <c r="K703" s="11" t="s">
        <v>107</v>
      </c>
      <c r="L703" s="11" t="s">
        <v>982</v>
      </c>
      <c r="M703" s="11" t="s">
        <v>100</v>
      </c>
      <c r="N703" s="32" t="n">
        <v>2701</v>
      </c>
      <c r="O703" s="33" t="n">
        <v>554263.35</v>
      </c>
      <c r="P703" s="32" t="n">
        <v>5813</v>
      </c>
      <c r="Q703" s="34" t="n">
        <v>0.46</v>
      </c>
      <c r="R703" s="33" t="n">
        <v>79</v>
      </c>
      <c r="S703" s="33" t="n">
        <v>229</v>
      </c>
      <c r="T703" s="33" t="n">
        <v>205.21</v>
      </c>
      <c r="U703" s="11" t="n">
        <f aca="false">IFERROR(YEAR(A703),"")</f>
        <v>2024</v>
      </c>
      <c r="V703" s="33" t="n">
        <f aca="false">IFERROR(O703*B703,0)</f>
        <v>554263.35</v>
      </c>
      <c r="W703" s="32" t="n">
        <f aca="false">IFERROR(N703*B703,0)</f>
        <v>2701</v>
      </c>
      <c r="X703" s="11" t="n">
        <f aca="false">IF(OR(ISNUMBER(SEARCH("live nation",L703)),ISNUMBER(SEARCH("ocesa",L703))),1,0)</f>
        <v>0</v>
      </c>
      <c r="Y703" s="11" t="s">
        <v>49</v>
      </c>
    </row>
    <row r="704" customFormat="false" ht="15" hidden="false" customHeight="false" outlineLevel="0" collapsed="false">
      <c r="A704" s="25" t="n">
        <v>45492</v>
      </c>
      <c r="B704" s="13" t="n">
        <v>1</v>
      </c>
      <c r="C704" s="26" t="s">
        <v>950</v>
      </c>
      <c r="D704" s="26"/>
      <c r="E704" s="13" t="s">
        <v>534</v>
      </c>
      <c r="F704" s="13" t="s">
        <v>535</v>
      </c>
      <c r="G704" s="13" t="s">
        <v>202</v>
      </c>
      <c r="H704" s="13" t="s">
        <v>20</v>
      </c>
      <c r="I704" s="13" t="s">
        <v>232</v>
      </c>
      <c r="J704" s="13" t="s">
        <v>121</v>
      </c>
      <c r="K704" s="13" t="s">
        <v>107</v>
      </c>
      <c r="L704" s="13" t="s">
        <v>390</v>
      </c>
      <c r="M704" s="13" t="s">
        <v>100</v>
      </c>
      <c r="N704" s="27" t="n">
        <v>426</v>
      </c>
      <c r="O704" s="28" t="n">
        <v>44450</v>
      </c>
      <c r="P704" s="27" t="n">
        <v>912</v>
      </c>
      <c r="Q704" s="29" t="n">
        <v>0.46</v>
      </c>
      <c r="R704" s="28" t="n">
        <v>40</v>
      </c>
      <c r="S704" s="28" t="n">
        <v>195</v>
      </c>
      <c r="T704" s="28" t="n">
        <v>104.34</v>
      </c>
      <c r="U704" s="13" t="n">
        <f aca="false">IFERROR(YEAR(A704),"")</f>
        <v>2024</v>
      </c>
      <c r="V704" s="28" t="n">
        <f aca="false">IFERROR(O704*B704,0)</f>
        <v>44450</v>
      </c>
      <c r="W704" s="27" t="n">
        <f aca="false">IFERROR(N704*B704,0)</f>
        <v>426</v>
      </c>
      <c r="X704" s="13" t="n">
        <f aca="false">IF(OR(ISNUMBER(SEARCH("live nation",L704)),ISNUMBER(SEARCH("ocesa",L704))),1,0)</f>
        <v>0</v>
      </c>
      <c r="Y704" s="13" t="s">
        <v>49</v>
      </c>
    </row>
    <row r="705" customFormat="false" ht="15" hidden="false" customHeight="false" outlineLevel="0" collapsed="false">
      <c r="A705" s="30" t="n">
        <v>45492</v>
      </c>
      <c r="B705" s="11" t="n">
        <v>1</v>
      </c>
      <c r="C705" s="31" t="s">
        <v>957</v>
      </c>
      <c r="D705" s="31"/>
      <c r="E705" s="11" t="s">
        <v>345</v>
      </c>
      <c r="F705" s="11" t="s">
        <v>346</v>
      </c>
      <c r="G705" s="11" t="s">
        <v>347</v>
      </c>
      <c r="H705" s="11" t="s">
        <v>20</v>
      </c>
      <c r="I705" s="11" t="s">
        <v>346</v>
      </c>
      <c r="J705" s="11" t="s">
        <v>97</v>
      </c>
      <c r="K705" s="11" t="s">
        <v>107</v>
      </c>
      <c r="L705" s="11" t="s">
        <v>975</v>
      </c>
      <c r="M705" s="11" t="s">
        <v>100</v>
      </c>
      <c r="N705" s="32" t="n">
        <v>11832</v>
      </c>
      <c r="O705" s="33" t="n">
        <v>1623524.22</v>
      </c>
      <c r="P705" s="32" t="n">
        <v>11832</v>
      </c>
      <c r="Q705" s="34" t="n">
        <v>1</v>
      </c>
      <c r="R705" s="33" t="n">
        <v>59.5</v>
      </c>
      <c r="S705" s="33" t="n">
        <v>199.5</v>
      </c>
      <c r="T705" s="33" t="n">
        <v>137.21</v>
      </c>
      <c r="U705" s="11" t="n">
        <f aca="false">IFERROR(YEAR(A705),"")</f>
        <v>2024</v>
      </c>
      <c r="V705" s="33" t="n">
        <f aca="false">IFERROR(O705*B705,0)</f>
        <v>1623524.22</v>
      </c>
      <c r="W705" s="32" t="n">
        <f aca="false">IFERROR(N705*B705,0)</f>
        <v>11832</v>
      </c>
      <c r="X705" s="11" t="n">
        <f aca="false">IF(OR(ISNUMBER(SEARCH("live nation",L705)),ISNUMBER(SEARCH("ocesa",L705))),1,0)</f>
        <v>1</v>
      </c>
      <c r="Y705" s="11" t="s">
        <v>49</v>
      </c>
    </row>
    <row r="706" customFormat="false" ht="15" hidden="false" customHeight="false" outlineLevel="0" collapsed="false">
      <c r="A706" s="25" t="n">
        <v>45491</v>
      </c>
      <c r="B706" s="13" t="n">
        <v>1</v>
      </c>
      <c r="C706" s="26" t="s">
        <v>944</v>
      </c>
      <c r="D706" s="26"/>
      <c r="E706" s="13" t="s">
        <v>983</v>
      </c>
      <c r="F706" s="13" t="s">
        <v>984</v>
      </c>
      <c r="G706" s="13" t="s">
        <v>281</v>
      </c>
      <c r="H706" s="13" t="s">
        <v>20</v>
      </c>
      <c r="I706" s="13" t="s">
        <v>985</v>
      </c>
      <c r="J706" s="13" t="s">
        <v>986</v>
      </c>
      <c r="K706" s="13" t="s">
        <v>107</v>
      </c>
      <c r="L706" s="13" t="s">
        <v>122</v>
      </c>
      <c r="M706" s="13" t="s">
        <v>100</v>
      </c>
      <c r="N706" s="27" t="n">
        <v>264</v>
      </c>
      <c r="O706" s="28" t="n">
        <v>7945</v>
      </c>
      <c r="P706" s="27" t="n">
        <v>1100</v>
      </c>
      <c r="Q706" s="29" t="n">
        <v>0.24</v>
      </c>
      <c r="R706" s="28" t="n">
        <v>30</v>
      </c>
      <c r="S706" s="28" t="n">
        <v>30</v>
      </c>
      <c r="T706" s="28" t="n">
        <v>30.09</v>
      </c>
      <c r="U706" s="13" t="n">
        <f aca="false">IFERROR(YEAR(A706),"")</f>
        <v>2024</v>
      </c>
      <c r="V706" s="28" t="n">
        <f aca="false">IFERROR(O706*B706,0)</f>
        <v>7945</v>
      </c>
      <c r="W706" s="27" t="n">
        <f aca="false">IFERROR(N706*B706,0)</f>
        <v>264</v>
      </c>
      <c r="X706" s="13" t="n">
        <f aca="false">IF(OR(ISNUMBER(SEARCH("live nation",L706)),ISNUMBER(SEARCH("ocesa",L706))),1,0)</f>
        <v>0</v>
      </c>
      <c r="Y706" s="13" t="s">
        <v>49</v>
      </c>
    </row>
    <row r="707" customFormat="false" ht="15" hidden="false" customHeight="false" outlineLevel="0" collapsed="false">
      <c r="A707" s="30" t="n">
        <v>45490</v>
      </c>
      <c r="B707" s="11" t="n">
        <v>1</v>
      </c>
      <c r="C707" s="31" t="s">
        <v>71</v>
      </c>
      <c r="D707" s="31"/>
      <c r="E707" s="11" t="s">
        <v>230</v>
      </c>
      <c r="F707" s="11" t="s">
        <v>231</v>
      </c>
      <c r="G707" s="11" t="s">
        <v>202</v>
      </c>
      <c r="H707" s="11" t="s">
        <v>20</v>
      </c>
      <c r="I707" s="11" t="s">
        <v>232</v>
      </c>
      <c r="J707" s="11" t="s">
        <v>97</v>
      </c>
      <c r="K707" s="11" t="s">
        <v>107</v>
      </c>
      <c r="L707" s="11" t="s">
        <v>531</v>
      </c>
      <c r="M707" s="11" t="s">
        <v>100</v>
      </c>
      <c r="N707" s="32" t="n">
        <v>10765</v>
      </c>
      <c r="O707" s="33" t="n">
        <v>1860857.5</v>
      </c>
      <c r="P707" s="32" t="n">
        <v>10765</v>
      </c>
      <c r="Q707" s="34" t="n">
        <v>1</v>
      </c>
      <c r="R707" s="33" t="n">
        <v>49.5</v>
      </c>
      <c r="S707" s="33" t="n">
        <v>209.5</v>
      </c>
      <c r="T707" s="33" t="n">
        <v>172.86</v>
      </c>
      <c r="U707" s="11" t="n">
        <f aca="false">IFERROR(YEAR(A707),"")</f>
        <v>2024</v>
      </c>
      <c r="V707" s="33" t="n">
        <f aca="false">IFERROR(O707*B707,0)</f>
        <v>1860857.5</v>
      </c>
      <c r="W707" s="32" t="n">
        <f aca="false">IFERROR(N707*B707,0)</f>
        <v>10765</v>
      </c>
      <c r="X707" s="11" t="n">
        <f aca="false">IF(OR(ISNUMBER(SEARCH("live nation",L707)),ISNUMBER(SEARCH("ocesa",L707))),1,0)</f>
        <v>0</v>
      </c>
      <c r="Y707" s="11" t="s">
        <v>49</v>
      </c>
    </row>
    <row r="708" customFormat="false" ht="15" hidden="false" customHeight="false" outlineLevel="0" collapsed="false">
      <c r="A708" s="25" t="n">
        <v>45490</v>
      </c>
      <c r="B708" s="13" t="n">
        <v>1</v>
      </c>
      <c r="C708" s="26" t="s">
        <v>950</v>
      </c>
      <c r="D708" s="26"/>
      <c r="E708" s="13" t="s">
        <v>400</v>
      </c>
      <c r="F708" s="13" t="s">
        <v>203</v>
      </c>
      <c r="G708" s="13" t="s">
        <v>202</v>
      </c>
      <c r="H708" s="13" t="s">
        <v>20</v>
      </c>
      <c r="I708" s="13" t="s">
        <v>203</v>
      </c>
      <c r="J708" s="13" t="s">
        <v>121</v>
      </c>
      <c r="K708" s="13" t="s">
        <v>107</v>
      </c>
      <c r="L708" s="13" t="s">
        <v>390</v>
      </c>
      <c r="M708" s="13" t="s">
        <v>100</v>
      </c>
      <c r="N708" s="27" t="n">
        <v>575</v>
      </c>
      <c r="O708" s="28" t="n">
        <v>51760</v>
      </c>
      <c r="P708" s="27" t="n">
        <v>1926</v>
      </c>
      <c r="Q708" s="29" t="n">
        <v>0.29</v>
      </c>
      <c r="R708" s="28" t="n">
        <v>40</v>
      </c>
      <c r="S708" s="28" t="n">
        <v>175</v>
      </c>
      <c r="T708" s="28" t="n">
        <v>90.02</v>
      </c>
      <c r="U708" s="13" t="n">
        <f aca="false">IFERROR(YEAR(A708),"")</f>
        <v>2024</v>
      </c>
      <c r="V708" s="28" t="n">
        <f aca="false">IFERROR(O708*B708,0)</f>
        <v>51760</v>
      </c>
      <c r="W708" s="27" t="n">
        <f aca="false">IFERROR(N708*B708,0)</f>
        <v>575</v>
      </c>
      <c r="X708" s="13" t="n">
        <f aca="false">IF(OR(ISNUMBER(SEARCH("live nation",L708)),ISNUMBER(SEARCH("ocesa",L708))),1,0)</f>
        <v>0</v>
      </c>
      <c r="Y708" s="13" t="s">
        <v>49</v>
      </c>
    </row>
    <row r="709" customFormat="false" ht="15" hidden="false" customHeight="false" outlineLevel="0" collapsed="false">
      <c r="A709" s="30" t="n">
        <v>45490</v>
      </c>
      <c r="B709" s="11" t="n">
        <v>1</v>
      </c>
      <c r="C709" s="31" t="s">
        <v>944</v>
      </c>
      <c r="D709" s="31"/>
      <c r="E709" s="11" t="s">
        <v>987</v>
      </c>
      <c r="F709" s="11" t="s">
        <v>280</v>
      </c>
      <c r="G709" s="11" t="s">
        <v>281</v>
      </c>
      <c r="H709" s="11" t="s">
        <v>20</v>
      </c>
      <c r="I709" s="11" t="s">
        <v>280</v>
      </c>
      <c r="J709" s="11" t="s">
        <v>121</v>
      </c>
      <c r="K709" s="11" t="s">
        <v>107</v>
      </c>
      <c r="L709" s="11" t="s">
        <v>122</v>
      </c>
      <c r="M709" s="11" t="s">
        <v>100</v>
      </c>
      <c r="N709" s="32" t="n">
        <v>117</v>
      </c>
      <c r="O709" s="33" t="n">
        <v>3504</v>
      </c>
      <c r="P709" s="32" t="n">
        <v>500</v>
      </c>
      <c r="Q709" s="34" t="n">
        <v>0.23</v>
      </c>
      <c r="R709" s="33" t="n">
        <v>20</v>
      </c>
      <c r="S709" s="33" t="n">
        <v>45</v>
      </c>
      <c r="T709" s="33" t="n">
        <v>29.95</v>
      </c>
      <c r="U709" s="11" t="n">
        <f aca="false">IFERROR(YEAR(A709),"")</f>
        <v>2024</v>
      </c>
      <c r="V709" s="33" t="n">
        <f aca="false">IFERROR(O709*B709,0)</f>
        <v>3504</v>
      </c>
      <c r="W709" s="32" t="n">
        <f aca="false">IFERROR(N709*B709,0)</f>
        <v>117</v>
      </c>
      <c r="X709" s="11" t="n">
        <f aca="false">IF(OR(ISNUMBER(SEARCH("live nation",L709)),ISNUMBER(SEARCH("ocesa",L709))),1,0)</f>
        <v>0</v>
      </c>
      <c r="Y709" s="11" t="s">
        <v>49</v>
      </c>
    </row>
    <row r="710" customFormat="false" ht="15" hidden="false" customHeight="false" outlineLevel="0" collapsed="false">
      <c r="A710" s="25" t="n">
        <v>45488</v>
      </c>
      <c r="B710" s="13" t="n">
        <v>1</v>
      </c>
      <c r="C710" s="26" t="s">
        <v>957</v>
      </c>
      <c r="D710" s="26"/>
      <c r="E710" s="13" t="s">
        <v>506</v>
      </c>
      <c r="F710" s="13" t="s">
        <v>507</v>
      </c>
      <c r="G710" s="13" t="s">
        <v>221</v>
      </c>
      <c r="H710" s="13" t="s">
        <v>20</v>
      </c>
      <c r="I710" s="13" t="s">
        <v>139</v>
      </c>
      <c r="J710" s="13" t="s">
        <v>97</v>
      </c>
      <c r="K710" s="13" t="s">
        <v>107</v>
      </c>
      <c r="L710" s="13" t="s">
        <v>975</v>
      </c>
      <c r="M710" s="13" t="s">
        <v>100</v>
      </c>
      <c r="N710" s="27" t="n">
        <v>12419</v>
      </c>
      <c r="O710" s="28" t="n">
        <v>1865698</v>
      </c>
      <c r="P710" s="27" t="n">
        <v>12419</v>
      </c>
      <c r="Q710" s="29" t="n">
        <v>1</v>
      </c>
      <c r="R710" s="28" t="n">
        <v>59.5</v>
      </c>
      <c r="S710" s="28" t="n">
        <v>229.5</v>
      </c>
      <c r="T710" s="28" t="n">
        <v>150.23</v>
      </c>
      <c r="U710" s="13" t="n">
        <f aca="false">IFERROR(YEAR(A710),"")</f>
        <v>2024</v>
      </c>
      <c r="V710" s="28" t="n">
        <f aca="false">IFERROR(O710*B710,0)</f>
        <v>1865698</v>
      </c>
      <c r="W710" s="27" t="n">
        <f aca="false">IFERROR(N710*B710,0)</f>
        <v>12419</v>
      </c>
      <c r="X710" s="13" t="n">
        <f aca="false">IF(OR(ISNUMBER(SEARCH("live nation",L710)),ISNUMBER(SEARCH("ocesa",L710))),1,0)</f>
        <v>1</v>
      </c>
      <c r="Y710" s="13" t="s">
        <v>49</v>
      </c>
    </row>
    <row r="711" customFormat="false" ht="15" hidden="false" customHeight="false" outlineLevel="0" collapsed="false">
      <c r="A711" s="30" t="n">
        <v>45488</v>
      </c>
      <c r="B711" s="11" t="n">
        <v>1</v>
      </c>
      <c r="C711" s="31" t="s">
        <v>944</v>
      </c>
      <c r="D711" s="31"/>
      <c r="E711" s="11" t="s">
        <v>988</v>
      </c>
      <c r="F711" s="11" t="s">
        <v>989</v>
      </c>
      <c r="G711" s="11" t="s">
        <v>498</v>
      </c>
      <c r="H711" s="11" t="s">
        <v>20</v>
      </c>
      <c r="I711" s="11" t="s">
        <v>989</v>
      </c>
      <c r="J711" s="11" t="s">
        <v>106</v>
      </c>
      <c r="K711" s="11" t="s">
        <v>107</v>
      </c>
      <c r="L711" s="11" t="s">
        <v>990</v>
      </c>
      <c r="M711" s="11" t="s">
        <v>100</v>
      </c>
      <c r="N711" s="32" t="n">
        <v>72</v>
      </c>
      <c r="O711" s="33" t="n">
        <v>3275</v>
      </c>
      <c r="P711" s="32" t="n">
        <v>500</v>
      </c>
      <c r="Q711" s="34" t="n">
        <v>0.14</v>
      </c>
      <c r="R711" s="33" t="n">
        <v>40</v>
      </c>
      <c r="S711" s="33" t="n">
        <v>75</v>
      </c>
      <c r="T711" s="33" t="n">
        <v>45.49</v>
      </c>
      <c r="U711" s="11" t="n">
        <f aca="false">IFERROR(YEAR(A711),"")</f>
        <v>2024</v>
      </c>
      <c r="V711" s="33" t="n">
        <f aca="false">IFERROR(O711*B711,0)</f>
        <v>3275</v>
      </c>
      <c r="W711" s="32" t="n">
        <f aca="false">IFERROR(N711*B711,0)</f>
        <v>72</v>
      </c>
      <c r="X711" s="11" t="n">
        <f aca="false">IF(OR(ISNUMBER(SEARCH("live nation",L711)),ISNUMBER(SEARCH("ocesa",L711))),1,0)</f>
        <v>0</v>
      </c>
      <c r="Y711" s="11" t="s">
        <v>49</v>
      </c>
    </row>
    <row r="712" customFormat="false" ht="15" hidden="false" customHeight="false" outlineLevel="0" collapsed="false">
      <c r="A712" s="25" t="n">
        <v>45488</v>
      </c>
      <c r="B712" s="13" t="n">
        <v>1</v>
      </c>
      <c r="C712" s="26" t="s">
        <v>991</v>
      </c>
      <c r="D712" s="26"/>
      <c r="E712" s="13" t="s">
        <v>111</v>
      </c>
      <c r="F712" s="13" t="s">
        <v>112</v>
      </c>
      <c r="G712" s="13"/>
      <c r="H712" s="13" t="s">
        <v>21</v>
      </c>
      <c r="I712" s="13"/>
      <c r="J712" s="13" t="s">
        <v>97</v>
      </c>
      <c r="K712" s="13" t="s">
        <v>113</v>
      </c>
      <c r="L712" s="13" t="s">
        <v>321</v>
      </c>
      <c r="M712" s="13" t="s">
        <v>100</v>
      </c>
      <c r="N712" s="27" t="n">
        <v>17000</v>
      </c>
      <c r="O712" s="28" t="n">
        <v>1398973.68</v>
      </c>
      <c r="P712" s="27" t="n">
        <v>17000</v>
      </c>
      <c r="Q712" s="29" t="n">
        <v>1</v>
      </c>
      <c r="R712" s="28" t="n">
        <v>82.29</v>
      </c>
      <c r="S712" s="28" t="n">
        <v>82.29</v>
      </c>
      <c r="T712" s="28" t="n">
        <v>82.29</v>
      </c>
      <c r="U712" s="13" t="n">
        <f aca="false">IFERROR(YEAR(A712),"")</f>
        <v>2024</v>
      </c>
      <c r="V712" s="28" t="n">
        <f aca="false">IFERROR(O712*B712,0)</f>
        <v>1398973.68</v>
      </c>
      <c r="W712" s="27" t="n">
        <f aca="false">IFERROR(N712*B712,0)</f>
        <v>17000</v>
      </c>
      <c r="X712" s="13" t="n">
        <f aca="false">IF(OR(ISNUMBER(SEARCH("live nation",L712)),ISNUMBER(SEARCH("ocesa",L712))),1,0)</f>
        <v>0</v>
      </c>
      <c r="Y712" s="13" t="s">
        <v>50</v>
      </c>
    </row>
    <row r="713" customFormat="false" ht="15" hidden="false" customHeight="false" outlineLevel="0" collapsed="false">
      <c r="A713" s="30" t="n">
        <v>45487</v>
      </c>
      <c r="B713" s="11" t="n">
        <v>1</v>
      </c>
      <c r="C713" s="31" t="s">
        <v>991</v>
      </c>
      <c r="D713" s="31"/>
      <c r="E713" s="11" t="s">
        <v>111</v>
      </c>
      <c r="F713" s="11" t="s">
        <v>112</v>
      </c>
      <c r="G713" s="11"/>
      <c r="H713" s="11" t="s">
        <v>21</v>
      </c>
      <c r="I713" s="11"/>
      <c r="J713" s="11" t="s">
        <v>97</v>
      </c>
      <c r="K713" s="11" t="s">
        <v>113</v>
      </c>
      <c r="L713" s="11" t="s">
        <v>321</v>
      </c>
      <c r="M713" s="11" t="s">
        <v>100</v>
      </c>
      <c r="N713" s="32" t="n">
        <v>17000</v>
      </c>
      <c r="O713" s="33" t="n">
        <v>1400019.57</v>
      </c>
      <c r="P713" s="32" t="n">
        <v>17000</v>
      </c>
      <c r="Q713" s="34" t="n">
        <v>1</v>
      </c>
      <c r="R713" s="33" t="n">
        <v>82.35</v>
      </c>
      <c r="S713" s="33" t="n">
        <v>82.35</v>
      </c>
      <c r="T713" s="33" t="n">
        <v>82.35</v>
      </c>
      <c r="U713" s="11" t="n">
        <f aca="false">IFERROR(YEAR(A713),"")</f>
        <v>2024</v>
      </c>
      <c r="V713" s="33" t="n">
        <f aca="false">IFERROR(O713*B713,0)</f>
        <v>1400019.57</v>
      </c>
      <c r="W713" s="32" t="n">
        <f aca="false">IFERROR(N713*B713,0)</f>
        <v>17000</v>
      </c>
      <c r="X713" s="11" t="n">
        <f aca="false">IF(OR(ISNUMBER(SEARCH("live nation",L713)),ISNUMBER(SEARCH("ocesa",L713))),1,0)</f>
        <v>0</v>
      </c>
      <c r="Y713" s="11" t="s">
        <v>50</v>
      </c>
    </row>
    <row r="714" customFormat="false" ht="15" hidden="false" customHeight="false" outlineLevel="0" collapsed="false">
      <c r="A714" s="25" t="n">
        <v>45486</v>
      </c>
      <c r="B714" s="13" t="n">
        <v>1</v>
      </c>
      <c r="C714" s="26" t="s">
        <v>991</v>
      </c>
      <c r="D714" s="26"/>
      <c r="E714" s="13" t="s">
        <v>111</v>
      </c>
      <c r="F714" s="13" t="s">
        <v>112</v>
      </c>
      <c r="G714" s="13"/>
      <c r="H714" s="13" t="s">
        <v>21</v>
      </c>
      <c r="I714" s="13"/>
      <c r="J714" s="13" t="s">
        <v>97</v>
      </c>
      <c r="K714" s="13" t="s">
        <v>113</v>
      </c>
      <c r="L714" s="13" t="s">
        <v>321</v>
      </c>
      <c r="M714" s="13" t="s">
        <v>100</v>
      </c>
      <c r="N714" s="27" t="n">
        <v>17000</v>
      </c>
      <c r="O714" s="28" t="n">
        <v>1400107.66</v>
      </c>
      <c r="P714" s="27" t="n">
        <v>17000</v>
      </c>
      <c r="Q714" s="29" t="n">
        <v>1</v>
      </c>
      <c r="R714" s="28" t="n">
        <v>82.36</v>
      </c>
      <c r="S714" s="28" t="n">
        <v>82.36</v>
      </c>
      <c r="T714" s="28" t="n">
        <v>82.36</v>
      </c>
      <c r="U714" s="13" t="n">
        <f aca="false">IFERROR(YEAR(A714),"")</f>
        <v>2024</v>
      </c>
      <c r="V714" s="28" t="n">
        <f aca="false">IFERROR(O714*B714,0)</f>
        <v>1400107.66</v>
      </c>
      <c r="W714" s="27" t="n">
        <f aca="false">IFERROR(N714*B714,0)</f>
        <v>17000</v>
      </c>
      <c r="X714" s="13" t="n">
        <f aca="false">IF(OR(ISNUMBER(SEARCH("live nation",L714)),ISNUMBER(SEARCH("ocesa",L714))),1,0)</f>
        <v>0</v>
      </c>
      <c r="Y714" s="13" t="s">
        <v>50</v>
      </c>
    </row>
    <row r="715" customFormat="false" ht="15" hidden="false" customHeight="false" outlineLevel="0" collapsed="false">
      <c r="A715" s="30" t="n">
        <v>45485</v>
      </c>
      <c r="B715" s="11" t="n">
        <v>1</v>
      </c>
      <c r="C715" s="31" t="s">
        <v>944</v>
      </c>
      <c r="D715" s="31"/>
      <c r="E715" s="11" t="s">
        <v>541</v>
      </c>
      <c r="F715" s="11" t="s">
        <v>374</v>
      </c>
      <c r="G715" s="11" t="s">
        <v>143</v>
      </c>
      <c r="H715" s="11" t="s">
        <v>20</v>
      </c>
      <c r="I715" s="11" t="s">
        <v>375</v>
      </c>
      <c r="J715" s="11" t="s">
        <v>106</v>
      </c>
      <c r="K715" s="11" t="s">
        <v>107</v>
      </c>
      <c r="L715" s="11" t="s">
        <v>122</v>
      </c>
      <c r="M715" s="11" t="s">
        <v>100</v>
      </c>
      <c r="N715" s="32" t="n">
        <v>225</v>
      </c>
      <c r="O715" s="33" t="n">
        <v>6736</v>
      </c>
      <c r="P715" s="32" t="n">
        <v>1922</v>
      </c>
      <c r="Q715" s="34" t="n">
        <v>0.11</v>
      </c>
      <c r="R715" s="33" t="n">
        <v>27</v>
      </c>
      <c r="S715" s="33" t="n">
        <v>47</v>
      </c>
      <c r="T715" s="33" t="n">
        <v>29.94</v>
      </c>
      <c r="U715" s="11" t="n">
        <f aca="false">IFERROR(YEAR(A715),"")</f>
        <v>2024</v>
      </c>
      <c r="V715" s="33" t="n">
        <f aca="false">IFERROR(O715*B715,0)</f>
        <v>6736</v>
      </c>
      <c r="W715" s="32" t="n">
        <f aca="false">IFERROR(N715*B715,0)</f>
        <v>225</v>
      </c>
      <c r="X715" s="11" t="n">
        <f aca="false">IF(OR(ISNUMBER(SEARCH("live nation",L715)),ISNUMBER(SEARCH("ocesa",L715))),1,0)</f>
        <v>0</v>
      </c>
      <c r="Y715" s="11" t="s">
        <v>49</v>
      </c>
    </row>
    <row r="716" customFormat="false" ht="15" hidden="false" customHeight="false" outlineLevel="0" collapsed="false">
      <c r="A716" s="25" t="n">
        <v>45483</v>
      </c>
      <c r="B716" s="13" t="n">
        <v>2</v>
      </c>
      <c r="C716" s="26" t="s">
        <v>63</v>
      </c>
      <c r="D716" s="26"/>
      <c r="E716" s="13" t="s">
        <v>184</v>
      </c>
      <c r="F716" s="13" t="s">
        <v>185</v>
      </c>
      <c r="G716" s="13"/>
      <c r="H716" s="13" t="s">
        <v>21</v>
      </c>
      <c r="I716" s="13"/>
      <c r="J716" s="13" t="s">
        <v>133</v>
      </c>
      <c r="K716" s="13" t="s">
        <v>113</v>
      </c>
      <c r="L716" s="13" t="s">
        <v>145</v>
      </c>
      <c r="M716" s="13" t="s">
        <v>100</v>
      </c>
      <c r="N716" s="27" t="n">
        <v>35805</v>
      </c>
      <c r="O716" s="28" t="n">
        <v>3199995.34</v>
      </c>
      <c r="P716" s="27" t="n">
        <v>38381</v>
      </c>
      <c r="Q716" s="29" t="n">
        <v>0.93</v>
      </c>
      <c r="R716" s="28" t="n">
        <v>80.25</v>
      </c>
      <c r="S716" s="28" t="n">
        <v>145.29</v>
      </c>
      <c r="T716" s="28" t="n">
        <v>89.37</v>
      </c>
      <c r="U716" s="13" t="n">
        <f aca="false">IFERROR(YEAR(A716),"")</f>
        <v>2024</v>
      </c>
      <c r="V716" s="28" t="n">
        <f aca="false">IFERROR(O716*B716,0)</f>
        <v>6399990.68</v>
      </c>
      <c r="W716" s="27" t="n">
        <f aca="false">IFERROR(N716*B716,0)</f>
        <v>71610</v>
      </c>
      <c r="X716" s="13" t="n">
        <f aca="false">IF(OR(ISNUMBER(SEARCH("live nation",L716)),ISNUMBER(SEARCH("ocesa",L716))),1,0)</f>
        <v>0</v>
      </c>
      <c r="Y716" s="13" t="s">
        <v>50</v>
      </c>
    </row>
    <row r="717" customFormat="false" ht="15" hidden="false" customHeight="false" outlineLevel="0" collapsed="false">
      <c r="A717" s="30" t="n">
        <v>45483</v>
      </c>
      <c r="B717" s="11" t="n">
        <v>1</v>
      </c>
      <c r="C717" s="31" t="s">
        <v>944</v>
      </c>
      <c r="D717" s="31"/>
      <c r="E717" s="11" t="s">
        <v>992</v>
      </c>
      <c r="F717" s="11" t="s">
        <v>538</v>
      </c>
      <c r="G717" s="11" t="s">
        <v>539</v>
      </c>
      <c r="H717" s="11" t="s">
        <v>20</v>
      </c>
      <c r="I717" s="11" t="s">
        <v>538</v>
      </c>
      <c r="J717" s="11" t="s">
        <v>106</v>
      </c>
      <c r="K717" s="11" t="s">
        <v>107</v>
      </c>
      <c r="L717" s="11" t="s">
        <v>122</v>
      </c>
      <c r="M717" s="11" t="s">
        <v>100</v>
      </c>
      <c r="N717" s="32" t="n">
        <v>78</v>
      </c>
      <c r="O717" s="33" t="n">
        <v>3199.5</v>
      </c>
      <c r="P717" s="32" t="n">
        <v>300</v>
      </c>
      <c r="Q717" s="34" t="n">
        <v>0.26</v>
      </c>
      <c r="R717" s="33" t="n">
        <v>19.5</v>
      </c>
      <c r="S717" s="33" t="n">
        <v>40</v>
      </c>
      <c r="T717" s="33" t="n">
        <v>41.02</v>
      </c>
      <c r="U717" s="11" t="n">
        <f aca="false">IFERROR(YEAR(A717),"")</f>
        <v>2024</v>
      </c>
      <c r="V717" s="33" t="n">
        <f aca="false">IFERROR(O717*B717,0)</f>
        <v>3199.5</v>
      </c>
      <c r="W717" s="32" t="n">
        <f aca="false">IFERROR(N717*B717,0)</f>
        <v>78</v>
      </c>
      <c r="X717" s="11" t="n">
        <f aca="false">IF(OR(ISNUMBER(SEARCH("live nation",L717)),ISNUMBER(SEARCH("ocesa",L717))),1,0)</f>
        <v>0</v>
      </c>
      <c r="Y717" s="11" t="s">
        <v>49</v>
      </c>
    </row>
    <row r="718" customFormat="false" ht="15" hidden="false" customHeight="false" outlineLevel="0" collapsed="false">
      <c r="A718" s="25" t="n">
        <v>45480</v>
      </c>
      <c r="B718" s="13" t="n">
        <v>1</v>
      </c>
      <c r="C718" s="26" t="s">
        <v>944</v>
      </c>
      <c r="D718" s="26"/>
      <c r="E718" s="13" t="s">
        <v>993</v>
      </c>
      <c r="F718" s="13" t="s">
        <v>619</v>
      </c>
      <c r="G718" s="13" t="s">
        <v>202</v>
      </c>
      <c r="H718" s="13" t="s">
        <v>20</v>
      </c>
      <c r="I718" s="13" t="s">
        <v>203</v>
      </c>
      <c r="J718" s="13" t="s">
        <v>106</v>
      </c>
      <c r="K718" s="13" t="s">
        <v>107</v>
      </c>
      <c r="L718" s="13" t="s">
        <v>122</v>
      </c>
      <c r="M718" s="13" t="s">
        <v>100</v>
      </c>
      <c r="N718" s="27" t="n">
        <v>413</v>
      </c>
      <c r="O718" s="28" t="n">
        <v>14472.5</v>
      </c>
      <c r="P718" s="27" t="n">
        <v>1200</v>
      </c>
      <c r="Q718" s="29" t="n">
        <v>0.34</v>
      </c>
      <c r="R718" s="28" t="n">
        <v>20</v>
      </c>
      <c r="S718" s="28" t="n">
        <v>40</v>
      </c>
      <c r="T718" s="28" t="n">
        <v>35.04</v>
      </c>
      <c r="U718" s="13" t="n">
        <f aca="false">IFERROR(YEAR(A718),"")</f>
        <v>2024</v>
      </c>
      <c r="V718" s="28" t="n">
        <f aca="false">IFERROR(O718*B718,0)</f>
        <v>14472.5</v>
      </c>
      <c r="W718" s="27" t="n">
        <f aca="false">IFERROR(N718*B718,0)</f>
        <v>413</v>
      </c>
      <c r="X718" s="13" t="n">
        <f aca="false">IF(OR(ISNUMBER(SEARCH("live nation",L718)),ISNUMBER(SEARCH("ocesa",L718))),1,0)</f>
        <v>0</v>
      </c>
      <c r="Y718" s="13" t="s">
        <v>49</v>
      </c>
    </row>
    <row r="719" customFormat="false" ht="15" hidden="false" customHeight="false" outlineLevel="0" collapsed="false">
      <c r="A719" s="30" t="n">
        <v>45480</v>
      </c>
      <c r="B719" s="11" t="n">
        <v>1</v>
      </c>
      <c r="C719" s="31" t="s">
        <v>994</v>
      </c>
      <c r="D719" s="31"/>
      <c r="E719" s="11" t="s">
        <v>111</v>
      </c>
      <c r="F719" s="11" t="s">
        <v>112</v>
      </c>
      <c r="G719" s="11"/>
      <c r="H719" s="11" t="s">
        <v>21</v>
      </c>
      <c r="I719" s="11"/>
      <c r="J719" s="11" t="s">
        <v>97</v>
      </c>
      <c r="K719" s="11" t="s">
        <v>113</v>
      </c>
      <c r="L719" s="11" t="s">
        <v>399</v>
      </c>
      <c r="M719" s="11" t="s">
        <v>100</v>
      </c>
      <c r="N719" s="32" t="n">
        <v>17500</v>
      </c>
      <c r="O719" s="33" t="n">
        <v>1317385.71</v>
      </c>
      <c r="P719" s="32" t="n">
        <v>17500</v>
      </c>
      <c r="Q719" s="34" t="n">
        <v>1</v>
      </c>
      <c r="R719" s="33" t="n">
        <v>75.28</v>
      </c>
      <c r="S719" s="33" t="n">
        <v>75.28</v>
      </c>
      <c r="T719" s="33" t="n">
        <v>75.28</v>
      </c>
      <c r="U719" s="11" t="n">
        <f aca="false">IFERROR(YEAR(A719),"")</f>
        <v>2024</v>
      </c>
      <c r="V719" s="33" t="n">
        <f aca="false">IFERROR(O719*B719,0)</f>
        <v>1317385.71</v>
      </c>
      <c r="W719" s="32" t="n">
        <f aca="false">IFERROR(N719*B719,0)</f>
        <v>17500</v>
      </c>
      <c r="X719" s="11" t="n">
        <f aca="false">IF(OR(ISNUMBER(SEARCH("live nation",L719)),ISNUMBER(SEARCH("ocesa",L719))),1,0)</f>
        <v>0</v>
      </c>
      <c r="Y719" s="11" t="s">
        <v>50</v>
      </c>
    </row>
    <row r="720" customFormat="false" ht="15" hidden="false" customHeight="false" outlineLevel="0" collapsed="false">
      <c r="A720" s="25" t="n">
        <v>45479</v>
      </c>
      <c r="B720" s="13" t="n">
        <v>1</v>
      </c>
      <c r="C720" s="26" t="s">
        <v>944</v>
      </c>
      <c r="D720" s="26"/>
      <c r="E720" s="13" t="s">
        <v>995</v>
      </c>
      <c r="F720" s="13" t="s">
        <v>203</v>
      </c>
      <c r="G720" s="13" t="s">
        <v>202</v>
      </c>
      <c r="H720" s="13" t="s">
        <v>20</v>
      </c>
      <c r="I720" s="13" t="s">
        <v>203</v>
      </c>
      <c r="J720" s="13" t="s">
        <v>106</v>
      </c>
      <c r="K720" s="13" t="s">
        <v>107</v>
      </c>
      <c r="L720" s="13" t="s">
        <v>122</v>
      </c>
      <c r="M720" s="13" t="s">
        <v>100</v>
      </c>
      <c r="N720" s="27" t="n">
        <v>586</v>
      </c>
      <c r="O720" s="28" t="n">
        <v>20565</v>
      </c>
      <c r="P720" s="27" t="n">
        <v>871</v>
      </c>
      <c r="Q720" s="29" t="n">
        <v>0.67</v>
      </c>
      <c r="R720" s="28" t="n">
        <v>20</v>
      </c>
      <c r="S720" s="28" t="n">
        <v>40</v>
      </c>
      <c r="T720" s="28" t="n">
        <v>35.09</v>
      </c>
      <c r="U720" s="13" t="n">
        <f aca="false">IFERROR(YEAR(A720),"")</f>
        <v>2024</v>
      </c>
      <c r="V720" s="28" t="n">
        <f aca="false">IFERROR(O720*B720,0)</f>
        <v>20565</v>
      </c>
      <c r="W720" s="27" t="n">
        <f aca="false">IFERROR(N720*B720,0)</f>
        <v>586</v>
      </c>
      <c r="X720" s="13" t="n">
        <f aca="false">IF(OR(ISNUMBER(SEARCH("live nation",L720)),ISNUMBER(SEARCH("ocesa",L720))),1,0)</f>
        <v>0</v>
      </c>
      <c r="Y720" s="13" t="s">
        <v>49</v>
      </c>
    </row>
    <row r="721" customFormat="false" ht="15" hidden="false" customHeight="false" outlineLevel="0" collapsed="false">
      <c r="A721" s="30" t="n">
        <v>45479</v>
      </c>
      <c r="B721" s="11" t="n">
        <v>1</v>
      </c>
      <c r="C721" s="31" t="s">
        <v>994</v>
      </c>
      <c r="D721" s="31"/>
      <c r="E721" s="11" t="s">
        <v>111</v>
      </c>
      <c r="F721" s="11" t="s">
        <v>112</v>
      </c>
      <c r="G721" s="11"/>
      <c r="H721" s="11" t="s">
        <v>21</v>
      </c>
      <c r="I721" s="11"/>
      <c r="J721" s="11" t="s">
        <v>97</v>
      </c>
      <c r="K721" s="11" t="s">
        <v>113</v>
      </c>
      <c r="L721" s="11" t="s">
        <v>399</v>
      </c>
      <c r="M721" s="11" t="s">
        <v>100</v>
      </c>
      <c r="N721" s="32" t="n">
        <v>17500</v>
      </c>
      <c r="O721" s="33" t="n">
        <v>1317303.08</v>
      </c>
      <c r="P721" s="32" t="n">
        <v>17500</v>
      </c>
      <c r="Q721" s="34" t="n">
        <v>1</v>
      </c>
      <c r="R721" s="33" t="n">
        <v>75.27</v>
      </c>
      <c r="S721" s="33" t="n">
        <v>75.27</v>
      </c>
      <c r="T721" s="33" t="n">
        <v>75.27</v>
      </c>
      <c r="U721" s="11" t="n">
        <f aca="false">IFERROR(YEAR(A721),"")</f>
        <v>2024</v>
      </c>
      <c r="V721" s="33" t="n">
        <f aca="false">IFERROR(O721*B721,0)</f>
        <v>1317303.08</v>
      </c>
      <c r="W721" s="32" t="n">
        <f aca="false">IFERROR(N721*B721,0)</f>
        <v>17500</v>
      </c>
      <c r="X721" s="11" t="n">
        <f aca="false">IF(OR(ISNUMBER(SEARCH("live nation",L721)),ISNUMBER(SEARCH("ocesa",L721))),1,0)</f>
        <v>0</v>
      </c>
      <c r="Y721" s="11" t="s">
        <v>50</v>
      </c>
    </row>
    <row r="722" customFormat="false" ht="15" hidden="false" customHeight="false" outlineLevel="0" collapsed="false">
      <c r="A722" s="25" t="n">
        <v>45478</v>
      </c>
      <c r="B722" s="13" t="n">
        <v>1</v>
      </c>
      <c r="C722" s="26" t="s">
        <v>475</v>
      </c>
      <c r="D722" s="26"/>
      <c r="E722" s="13" t="s">
        <v>996</v>
      </c>
      <c r="F722" s="13" t="s">
        <v>132</v>
      </c>
      <c r="G722" s="13"/>
      <c r="H722" s="13" t="s">
        <v>23</v>
      </c>
      <c r="I722" s="13"/>
      <c r="J722" s="13" t="s">
        <v>97</v>
      </c>
      <c r="K722" s="13" t="s">
        <v>134</v>
      </c>
      <c r="L722" s="13" t="s">
        <v>135</v>
      </c>
      <c r="M722" s="13" t="s">
        <v>100</v>
      </c>
      <c r="N722" s="27" t="n">
        <v>2252</v>
      </c>
      <c r="O722" s="28" t="n">
        <v>90350.17</v>
      </c>
      <c r="P722" s="27" t="n">
        <v>4882</v>
      </c>
      <c r="Q722" s="29" t="n">
        <v>0.46</v>
      </c>
      <c r="R722" s="28" t="n">
        <v>13.39</v>
      </c>
      <c r="S722" s="28" t="n">
        <v>120.37</v>
      </c>
      <c r="T722" s="28" t="n">
        <v>40.12</v>
      </c>
      <c r="U722" s="13" t="n">
        <f aca="false">IFERROR(YEAR(A722),"")</f>
        <v>2024</v>
      </c>
      <c r="V722" s="28" t="n">
        <f aca="false">IFERROR(O722*B722,0)</f>
        <v>90350.17</v>
      </c>
      <c r="W722" s="27" t="n">
        <f aca="false">IFERROR(N722*B722,0)</f>
        <v>2252</v>
      </c>
      <c r="X722" s="13" t="n">
        <f aca="false">IF(OR(ISNUMBER(SEARCH("live nation",L722)),ISNUMBER(SEARCH("ocesa",L722))),1,0)</f>
        <v>1</v>
      </c>
      <c r="Y722" s="13" t="s">
        <v>49</v>
      </c>
    </row>
    <row r="723" customFormat="false" ht="15" hidden="false" customHeight="false" outlineLevel="0" collapsed="false">
      <c r="A723" s="30" t="n">
        <v>45478</v>
      </c>
      <c r="B723" s="11" t="n">
        <v>1</v>
      </c>
      <c r="C723" s="31" t="s">
        <v>944</v>
      </c>
      <c r="D723" s="31"/>
      <c r="E723" s="11" t="s">
        <v>997</v>
      </c>
      <c r="F723" s="11" t="s">
        <v>998</v>
      </c>
      <c r="G723" s="11" t="s">
        <v>202</v>
      </c>
      <c r="H723" s="11" t="s">
        <v>20</v>
      </c>
      <c r="I723" s="11" t="s">
        <v>427</v>
      </c>
      <c r="J723" s="11" t="s">
        <v>106</v>
      </c>
      <c r="K723" s="11" t="s">
        <v>107</v>
      </c>
      <c r="L723" s="11" t="s">
        <v>122</v>
      </c>
      <c r="M723" s="11" t="s">
        <v>100</v>
      </c>
      <c r="N723" s="32" t="n">
        <v>170</v>
      </c>
      <c r="O723" s="33" t="n">
        <v>7145</v>
      </c>
      <c r="P723" s="32" t="n">
        <v>600</v>
      </c>
      <c r="Q723" s="34" t="n">
        <v>0.28</v>
      </c>
      <c r="R723" s="33" t="n">
        <v>40</v>
      </c>
      <c r="S723" s="33" t="n">
        <v>45</v>
      </c>
      <c r="T723" s="33" t="n">
        <v>42.03</v>
      </c>
      <c r="U723" s="11" t="n">
        <f aca="false">IFERROR(YEAR(A723),"")</f>
        <v>2024</v>
      </c>
      <c r="V723" s="33" t="n">
        <f aca="false">IFERROR(O723*B723,0)</f>
        <v>7145</v>
      </c>
      <c r="W723" s="32" t="n">
        <f aca="false">IFERROR(N723*B723,0)</f>
        <v>170</v>
      </c>
      <c r="X723" s="11" t="n">
        <f aca="false">IF(OR(ISNUMBER(SEARCH("live nation",L723)),ISNUMBER(SEARCH("ocesa",L723))),1,0)</f>
        <v>0</v>
      </c>
      <c r="Y723" s="11" t="s">
        <v>49</v>
      </c>
    </row>
    <row r="724" customFormat="false" ht="15" hidden="false" customHeight="false" outlineLevel="0" collapsed="false">
      <c r="A724" s="25" t="n">
        <v>45476</v>
      </c>
      <c r="B724" s="13" t="n">
        <v>1</v>
      </c>
      <c r="C724" s="26" t="s">
        <v>944</v>
      </c>
      <c r="D724" s="26"/>
      <c r="E724" s="13" t="s">
        <v>999</v>
      </c>
      <c r="F724" s="13" t="s">
        <v>1000</v>
      </c>
      <c r="G724" s="13" t="s">
        <v>202</v>
      </c>
      <c r="H724" s="13" t="s">
        <v>20</v>
      </c>
      <c r="I724" s="13" t="s">
        <v>232</v>
      </c>
      <c r="J724" s="13" t="s">
        <v>106</v>
      </c>
      <c r="K724" s="13" t="s">
        <v>107</v>
      </c>
      <c r="L724" s="13" t="s">
        <v>122</v>
      </c>
      <c r="M724" s="13" t="s">
        <v>100</v>
      </c>
      <c r="N724" s="27" t="n">
        <v>331</v>
      </c>
      <c r="O724" s="28" t="n">
        <v>13395</v>
      </c>
      <c r="P724" s="27" t="n">
        <v>500</v>
      </c>
      <c r="Q724" s="29" t="n">
        <v>0.66</v>
      </c>
      <c r="R724" s="28" t="n">
        <v>40</v>
      </c>
      <c r="S724" s="28" t="n">
        <v>40</v>
      </c>
      <c r="T724" s="28" t="n">
        <v>40.47</v>
      </c>
      <c r="U724" s="13" t="n">
        <f aca="false">IFERROR(YEAR(A724),"")</f>
        <v>2024</v>
      </c>
      <c r="V724" s="28" t="n">
        <f aca="false">IFERROR(O724*B724,0)</f>
        <v>13395</v>
      </c>
      <c r="W724" s="27" t="n">
        <f aca="false">IFERROR(N724*B724,0)</f>
        <v>331</v>
      </c>
      <c r="X724" s="13" t="n">
        <f aca="false">IF(OR(ISNUMBER(SEARCH("live nation",L724)),ISNUMBER(SEARCH("ocesa",L724))),1,0)</f>
        <v>0</v>
      </c>
      <c r="Y724" s="13" t="s">
        <v>49</v>
      </c>
    </row>
    <row r="725" customFormat="false" ht="15" hidden="false" customHeight="false" outlineLevel="0" collapsed="false">
      <c r="A725" s="30" t="n">
        <v>45475</v>
      </c>
      <c r="B725" s="11" t="n">
        <v>1</v>
      </c>
      <c r="C725" s="31" t="s">
        <v>944</v>
      </c>
      <c r="D725" s="31"/>
      <c r="E725" s="11" t="s">
        <v>1001</v>
      </c>
      <c r="F725" s="11" t="s">
        <v>1002</v>
      </c>
      <c r="G725" s="11" t="s">
        <v>1003</v>
      </c>
      <c r="H725" s="11" t="s">
        <v>20</v>
      </c>
      <c r="I725" s="11" t="s">
        <v>1004</v>
      </c>
      <c r="J725" s="11" t="s">
        <v>106</v>
      </c>
      <c r="K725" s="11" t="s">
        <v>107</v>
      </c>
      <c r="L725" s="11" t="s">
        <v>1005</v>
      </c>
      <c r="M725" s="11" t="s">
        <v>100</v>
      </c>
      <c r="N725" s="32" t="n">
        <v>121</v>
      </c>
      <c r="O725" s="33" t="n">
        <v>4865</v>
      </c>
      <c r="P725" s="32" t="n">
        <v>500</v>
      </c>
      <c r="Q725" s="34" t="n">
        <v>0.24</v>
      </c>
      <c r="R725" s="33" t="n">
        <v>40</v>
      </c>
      <c r="S725" s="33" t="n">
        <v>40</v>
      </c>
      <c r="T725" s="33" t="n">
        <v>40.21</v>
      </c>
      <c r="U725" s="11" t="n">
        <f aca="false">IFERROR(YEAR(A725),"")</f>
        <v>2024</v>
      </c>
      <c r="V725" s="33" t="n">
        <f aca="false">IFERROR(O725*B725,0)</f>
        <v>4865</v>
      </c>
      <c r="W725" s="32" t="n">
        <f aca="false">IFERROR(N725*B725,0)</f>
        <v>121</v>
      </c>
      <c r="X725" s="11" t="n">
        <f aca="false">IF(OR(ISNUMBER(SEARCH("live nation",L725)),ISNUMBER(SEARCH("ocesa",L725))),1,0)</f>
        <v>0</v>
      </c>
      <c r="Y725" s="11" t="s">
        <v>49</v>
      </c>
    </row>
    <row r="726" customFormat="false" ht="15" hidden="false" customHeight="false" outlineLevel="0" collapsed="false">
      <c r="A726" s="25" t="n">
        <v>45474</v>
      </c>
      <c r="B726" s="13" t="n">
        <v>1</v>
      </c>
      <c r="C726" s="26" t="s">
        <v>944</v>
      </c>
      <c r="D726" s="26"/>
      <c r="E726" s="13" t="s">
        <v>844</v>
      </c>
      <c r="F726" s="13" t="s">
        <v>306</v>
      </c>
      <c r="G726" s="13" t="s">
        <v>188</v>
      </c>
      <c r="H726" s="13" t="s">
        <v>20</v>
      </c>
      <c r="I726" s="13" t="s">
        <v>307</v>
      </c>
      <c r="J726" s="13" t="s">
        <v>106</v>
      </c>
      <c r="K726" s="13" t="s">
        <v>107</v>
      </c>
      <c r="L726" s="13" t="s">
        <v>1006</v>
      </c>
      <c r="M726" s="13" t="s">
        <v>100</v>
      </c>
      <c r="N726" s="27" t="n">
        <v>400</v>
      </c>
      <c r="O726" s="28" t="n">
        <v>16065</v>
      </c>
      <c r="P726" s="27" t="n">
        <v>1000</v>
      </c>
      <c r="Q726" s="29" t="n">
        <v>0.4</v>
      </c>
      <c r="R726" s="28" t="n">
        <v>40</v>
      </c>
      <c r="S726" s="28" t="n">
        <v>40</v>
      </c>
      <c r="T726" s="28" t="n">
        <v>40.16</v>
      </c>
      <c r="U726" s="13" t="n">
        <f aca="false">IFERROR(YEAR(A726),"")</f>
        <v>2024</v>
      </c>
      <c r="V726" s="28" t="n">
        <f aca="false">IFERROR(O726*B726,0)</f>
        <v>16065</v>
      </c>
      <c r="W726" s="27" t="n">
        <f aca="false">IFERROR(N726*B726,0)</f>
        <v>400</v>
      </c>
      <c r="X726" s="13" t="n">
        <f aca="false">IF(OR(ISNUMBER(SEARCH("live nation",L726)),ISNUMBER(SEARCH("ocesa",L726))),1,0)</f>
        <v>0</v>
      </c>
      <c r="Y726" s="13" t="s">
        <v>49</v>
      </c>
    </row>
    <row r="727" customFormat="false" ht="15" hidden="false" customHeight="false" outlineLevel="0" collapsed="false">
      <c r="A727" s="30" t="n">
        <v>45473</v>
      </c>
      <c r="B727" s="11" t="n">
        <v>1</v>
      </c>
      <c r="C727" s="31" t="s">
        <v>743</v>
      </c>
      <c r="D727" s="31" t="s">
        <v>1007</v>
      </c>
      <c r="E727" s="11" t="s">
        <v>155</v>
      </c>
      <c r="F727" s="11" t="s">
        <v>156</v>
      </c>
      <c r="G727" s="11"/>
      <c r="H727" s="11" t="s">
        <v>157</v>
      </c>
      <c r="I727" s="11"/>
      <c r="J727" s="11" t="s">
        <v>97</v>
      </c>
      <c r="K727" s="11" t="s">
        <v>158</v>
      </c>
      <c r="L727" s="11" t="s">
        <v>776</v>
      </c>
      <c r="M727" s="11" t="s">
        <v>277</v>
      </c>
      <c r="N727" s="32" t="n">
        <v>6414</v>
      </c>
      <c r="O727" s="33" t="n">
        <v>468956.03</v>
      </c>
      <c r="P727" s="32" t="n">
        <v>6414</v>
      </c>
      <c r="Q727" s="34" t="n">
        <v>1</v>
      </c>
      <c r="R727" s="33" t="n">
        <v>48.57</v>
      </c>
      <c r="S727" s="33" t="n">
        <v>95.03</v>
      </c>
      <c r="T727" s="33" t="n">
        <v>73.11</v>
      </c>
      <c r="U727" s="11" t="n">
        <f aca="false">IFERROR(YEAR(A727),"")</f>
        <v>2024</v>
      </c>
      <c r="V727" s="33" t="n">
        <f aca="false">IFERROR(O727*B727,0)</f>
        <v>468956.03</v>
      </c>
      <c r="W727" s="32" t="n">
        <f aca="false">IFERROR(N727*B727,0)</f>
        <v>6414</v>
      </c>
      <c r="X727" s="11" t="n">
        <f aca="false">IF(OR(ISNUMBER(SEARCH("live nation",L727)),ISNUMBER(SEARCH("ocesa",L727))),1,0)</f>
        <v>1</v>
      </c>
      <c r="Y727" s="11" t="s">
        <v>49</v>
      </c>
    </row>
    <row r="728" customFormat="false" ht="15" hidden="false" customHeight="false" outlineLevel="0" collapsed="false">
      <c r="A728" s="25" t="n">
        <v>45473</v>
      </c>
      <c r="B728" s="13" t="n">
        <v>1</v>
      </c>
      <c r="C728" s="26" t="s">
        <v>1008</v>
      </c>
      <c r="D728" s="26"/>
      <c r="E728" s="13" t="s">
        <v>111</v>
      </c>
      <c r="F728" s="13" t="s">
        <v>112</v>
      </c>
      <c r="G728" s="13"/>
      <c r="H728" s="13" t="s">
        <v>21</v>
      </c>
      <c r="I728" s="13"/>
      <c r="J728" s="13" t="s">
        <v>97</v>
      </c>
      <c r="K728" s="13" t="s">
        <v>113</v>
      </c>
      <c r="L728" s="13" t="s">
        <v>402</v>
      </c>
      <c r="M728" s="13" t="s">
        <v>100</v>
      </c>
      <c r="N728" s="27" t="n">
        <v>11000</v>
      </c>
      <c r="O728" s="28" t="n">
        <v>902396.16</v>
      </c>
      <c r="P728" s="27" t="n">
        <v>11000</v>
      </c>
      <c r="Q728" s="29" t="n">
        <v>1</v>
      </c>
      <c r="R728" s="28" t="n">
        <v>82.04</v>
      </c>
      <c r="S728" s="28" t="n">
        <v>82.04</v>
      </c>
      <c r="T728" s="28" t="n">
        <v>82.04</v>
      </c>
      <c r="U728" s="13" t="n">
        <f aca="false">IFERROR(YEAR(A728),"")</f>
        <v>2024</v>
      </c>
      <c r="V728" s="28" t="n">
        <f aca="false">IFERROR(O728*B728,0)</f>
        <v>902396.16</v>
      </c>
      <c r="W728" s="27" t="n">
        <f aca="false">IFERROR(N728*B728,0)</f>
        <v>11000</v>
      </c>
      <c r="X728" s="13" t="n">
        <f aca="false">IF(OR(ISNUMBER(SEARCH("live nation",L728)),ISNUMBER(SEARCH("ocesa",L728))),1,0)</f>
        <v>0</v>
      </c>
      <c r="Y728" s="13" t="s">
        <v>50</v>
      </c>
    </row>
    <row r="729" customFormat="false" ht="15" hidden="false" customHeight="false" outlineLevel="0" collapsed="false">
      <c r="A729" s="30" t="n">
        <v>45472</v>
      </c>
      <c r="B729" s="11" t="n">
        <v>1</v>
      </c>
      <c r="C729" s="31" t="s">
        <v>1008</v>
      </c>
      <c r="D729" s="31"/>
      <c r="E729" s="11" t="s">
        <v>111</v>
      </c>
      <c r="F729" s="11" t="s">
        <v>112</v>
      </c>
      <c r="G729" s="11"/>
      <c r="H729" s="11" t="s">
        <v>21</v>
      </c>
      <c r="I729" s="11"/>
      <c r="J729" s="11" t="s">
        <v>97</v>
      </c>
      <c r="K729" s="11" t="s">
        <v>113</v>
      </c>
      <c r="L729" s="11" t="s">
        <v>402</v>
      </c>
      <c r="M729" s="11" t="s">
        <v>100</v>
      </c>
      <c r="N729" s="32" t="n">
        <v>11000</v>
      </c>
      <c r="O729" s="33" t="n">
        <v>902396.16</v>
      </c>
      <c r="P729" s="32" t="n">
        <v>11000</v>
      </c>
      <c r="Q729" s="34" t="n">
        <v>1</v>
      </c>
      <c r="R729" s="33" t="n">
        <v>82.04</v>
      </c>
      <c r="S729" s="33" t="n">
        <v>82.04</v>
      </c>
      <c r="T729" s="33" t="n">
        <v>82.04</v>
      </c>
      <c r="U729" s="11" t="n">
        <f aca="false">IFERROR(YEAR(A729),"")</f>
        <v>2024</v>
      </c>
      <c r="V729" s="33" t="n">
        <f aca="false">IFERROR(O729*B729,0)</f>
        <v>902396.16</v>
      </c>
      <c r="W729" s="32" t="n">
        <f aca="false">IFERROR(N729*B729,0)</f>
        <v>11000</v>
      </c>
      <c r="X729" s="11" t="n">
        <f aca="false">IF(OR(ISNUMBER(SEARCH("live nation",L729)),ISNUMBER(SEARCH("ocesa",L729))),1,0)</f>
        <v>0</v>
      </c>
      <c r="Y729" s="11" t="s">
        <v>50</v>
      </c>
    </row>
    <row r="730" customFormat="false" ht="15" hidden="false" customHeight="false" outlineLevel="0" collapsed="false">
      <c r="A730" s="25" t="n">
        <v>45469</v>
      </c>
      <c r="B730" s="13" t="n">
        <v>1</v>
      </c>
      <c r="C730" s="26" t="s">
        <v>1009</v>
      </c>
      <c r="D730" s="26"/>
      <c r="E730" s="13" t="s">
        <v>487</v>
      </c>
      <c r="F730" s="13" t="s">
        <v>207</v>
      </c>
      <c r="G730" s="13" t="s">
        <v>208</v>
      </c>
      <c r="H730" s="13" t="s">
        <v>20</v>
      </c>
      <c r="I730" s="13" t="s">
        <v>209</v>
      </c>
      <c r="J730" s="13" t="s">
        <v>121</v>
      </c>
      <c r="K730" s="13" t="s">
        <v>107</v>
      </c>
      <c r="L730" s="13" t="s">
        <v>177</v>
      </c>
      <c r="M730" s="13" t="s">
        <v>100</v>
      </c>
      <c r="N730" s="27" t="n">
        <v>4290</v>
      </c>
      <c r="O730" s="28" t="n">
        <v>442480</v>
      </c>
      <c r="P730" s="27" t="n">
        <v>4290</v>
      </c>
      <c r="Q730" s="29" t="n">
        <v>1</v>
      </c>
      <c r="R730" s="28" t="n">
        <v>57.5</v>
      </c>
      <c r="S730" s="28" t="n">
        <v>157.5</v>
      </c>
      <c r="T730" s="28" t="n">
        <v>103.14</v>
      </c>
      <c r="U730" s="13" t="n">
        <f aca="false">IFERROR(YEAR(A730),"")</f>
        <v>2024</v>
      </c>
      <c r="V730" s="28" t="n">
        <f aca="false">IFERROR(O730*B730,0)</f>
        <v>442480</v>
      </c>
      <c r="W730" s="27" t="n">
        <f aca="false">IFERROR(N730*B730,0)</f>
        <v>4290</v>
      </c>
      <c r="X730" s="13" t="n">
        <f aca="false">IF(OR(ISNUMBER(SEARCH("live nation",L730)),ISNUMBER(SEARCH("ocesa",L730))),1,0)</f>
        <v>1</v>
      </c>
      <c r="Y730" s="13" t="s">
        <v>49</v>
      </c>
    </row>
    <row r="731" customFormat="false" ht="15" hidden="false" customHeight="false" outlineLevel="0" collapsed="false">
      <c r="A731" s="30" t="n">
        <v>45469</v>
      </c>
      <c r="B731" s="11" t="n">
        <v>2</v>
      </c>
      <c r="C731" s="31" t="s">
        <v>64</v>
      </c>
      <c r="D731" s="31"/>
      <c r="E731" s="11" t="s">
        <v>1010</v>
      </c>
      <c r="F731" s="11" t="s">
        <v>1011</v>
      </c>
      <c r="G731" s="11"/>
      <c r="H731" s="11" t="s">
        <v>21</v>
      </c>
      <c r="I731" s="11"/>
      <c r="J731" s="11" t="s">
        <v>97</v>
      </c>
      <c r="K731" s="11" t="s">
        <v>113</v>
      </c>
      <c r="L731" s="11" t="s">
        <v>145</v>
      </c>
      <c r="M731" s="11" t="s">
        <v>100</v>
      </c>
      <c r="N731" s="32" t="n">
        <v>6819</v>
      </c>
      <c r="O731" s="33" t="n">
        <v>569980.13</v>
      </c>
      <c r="P731" s="32" t="n">
        <v>6820</v>
      </c>
      <c r="Q731" s="34" t="n">
        <v>0.99</v>
      </c>
      <c r="R731" s="33" t="n">
        <v>89.15</v>
      </c>
      <c r="S731" s="33" t="n">
        <v>161.41</v>
      </c>
      <c r="T731" s="33" t="n">
        <v>83.58</v>
      </c>
      <c r="U731" s="11" t="n">
        <f aca="false">IFERROR(YEAR(A731),"")</f>
        <v>2024</v>
      </c>
      <c r="V731" s="33" t="n">
        <f aca="false">IFERROR(O731*B731,0)</f>
        <v>1139960.26</v>
      </c>
      <c r="W731" s="32" t="n">
        <f aca="false">IFERROR(N731*B731,0)</f>
        <v>13638</v>
      </c>
      <c r="X731" s="11" t="n">
        <f aca="false">IF(OR(ISNUMBER(SEARCH("live nation",L731)),ISNUMBER(SEARCH("ocesa",L731))),1,0)</f>
        <v>0</v>
      </c>
      <c r="Y731" s="11" t="s">
        <v>50</v>
      </c>
    </row>
    <row r="732" customFormat="false" ht="15" hidden="false" customHeight="false" outlineLevel="0" collapsed="false">
      <c r="A732" s="25" t="n">
        <v>45466</v>
      </c>
      <c r="B732" s="13" t="n">
        <v>1</v>
      </c>
      <c r="C732" s="26" t="s">
        <v>743</v>
      </c>
      <c r="D732" s="26"/>
      <c r="E732" s="13" t="s">
        <v>926</v>
      </c>
      <c r="F732" s="13" t="s">
        <v>132</v>
      </c>
      <c r="G732" s="13"/>
      <c r="H732" s="13" t="s">
        <v>23</v>
      </c>
      <c r="I732" s="13"/>
      <c r="J732" s="13" t="s">
        <v>97</v>
      </c>
      <c r="K732" s="13" t="s">
        <v>134</v>
      </c>
      <c r="L732" s="13" t="s">
        <v>135</v>
      </c>
      <c r="M732" s="13" t="s">
        <v>277</v>
      </c>
      <c r="N732" s="27" t="n">
        <v>8777</v>
      </c>
      <c r="O732" s="28" t="n">
        <v>838118.07</v>
      </c>
      <c r="P732" s="27" t="n">
        <v>11652</v>
      </c>
      <c r="Q732" s="29" t="n">
        <v>0.75</v>
      </c>
      <c r="R732" s="28" t="n">
        <v>31.86</v>
      </c>
      <c r="S732" s="28" t="n">
        <v>286.51</v>
      </c>
      <c r="T732" s="28" t="n">
        <v>95.49</v>
      </c>
      <c r="U732" s="13" t="n">
        <f aca="false">IFERROR(YEAR(A732),"")</f>
        <v>2024</v>
      </c>
      <c r="V732" s="28" t="n">
        <f aca="false">IFERROR(O732*B732,0)</f>
        <v>838118.07</v>
      </c>
      <c r="W732" s="27" t="n">
        <f aca="false">IFERROR(N732*B732,0)</f>
        <v>8777</v>
      </c>
      <c r="X732" s="13" t="n">
        <f aca="false">IF(OR(ISNUMBER(SEARCH("live nation",L732)),ISNUMBER(SEARCH("ocesa",L732))),1,0)</f>
        <v>1</v>
      </c>
      <c r="Y732" s="13" t="s">
        <v>49</v>
      </c>
    </row>
    <row r="733" customFormat="false" ht="15" hidden="false" customHeight="false" outlineLevel="0" collapsed="false">
      <c r="A733" s="30" t="n">
        <v>45466</v>
      </c>
      <c r="B733" s="11" t="n">
        <v>1</v>
      </c>
      <c r="C733" s="31" t="s">
        <v>1009</v>
      </c>
      <c r="D733" s="31"/>
      <c r="E733" s="11" t="s">
        <v>506</v>
      </c>
      <c r="F733" s="11" t="s">
        <v>507</v>
      </c>
      <c r="G733" s="11" t="s">
        <v>221</v>
      </c>
      <c r="H733" s="11" t="s">
        <v>20</v>
      </c>
      <c r="I733" s="11" t="s">
        <v>139</v>
      </c>
      <c r="J733" s="11" t="s">
        <v>97</v>
      </c>
      <c r="K733" s="11" t="s">
        <v>107</v>
      </c>
      <c r="L733" s="11" t="s">
        <v>177</v>
      </c>
      <c r="M733" s="11" t="s">
        <v>100</v>
      </c>
      <c r="N733" s="32" t="n">
        <v>8040</v>
      </c>
      <c r="O733" s="33" t="n">
        <v>1091587.5</v>
      </c>
      <c r="P733" s="32" t="n">
        <v>8040</v>
      </c>
      <c r="Q733" s="34" t="n">
        <v>1</v>
      </c>
      <c r="R733" s="33" t="n">
        <v>65.5</v>
      </c>
      <c r="S733" s="33" t="n">
        <v>185.5</v>
      </c>
      <c r="T733" s="33" t="n">
        <v>135.77</v>
      </c>
      <c r="U733" s="11" t="n">
        <f aca="false">IFERROR(YEAR(A733),"")</f>
        <v>2024</v>
      </c>
      <c r="V733" s="33" t="n">
        <f aca="false">IFERROR(O733*B733,0)</f>
        <v>1091587.5</v>
      </c>
      <c r="W733" s="32" t="n">
        <f aca="false">IFERROR(N733*B733,0)</f>
        <v>8040</v>
      </c>
      <c r="X733" s="11" t="n">
        <f aca="false">IF(OR(ISNUMBER(SEARCH("live nation",L733)),ISNUMBER(SEARCH("ocesa",L733))),1,0)</f>
        <v>1</v>
      </c>
      <c r="Y733" s="11" t="s">
        <v>49</v>
      </c>
    </row>
    <row r="734" customFormat="false" ht="15" hidden="false" customHeight="false" outlineLevel="0" collapsed="false">
      <c r="A734" s="25" t="n">
        <v>45463</v>
      </c>
      <c r="B734" s="13" t="n">
        <v>1</v>
      </c>
      <c r="C734" s="26" t="s">
        <v>1009</v>
      </c>
      <c r="D734" s="26"/>
      <c r="E734" s="13" t="s">
        <v>509</v>
      </c>
      <c r="F734" s="13" t="s">
        <v>510</v>
      </c>
      <c r="G734" s="13" t="s">
        <v>340</v>
      </c>
      <c r="H734" s="13" t="s">
        <v>20</v>
      </c>
      <c r="I734" s="13" t="s">
        <v>190</v>
      </c>
      <c r="J734" s="13" t="s">
        <v>97</v>
      </c>
      <c r="K734" s="13" t="s">
        <v>107</v>
      </c>
      <c r="L734" s="13" t="s">
        <v>177</v>
      </c>
      <c r="M734" s="13" t="s">
        <v>100</v>
      </c>
      <c r="N734" s="27" t="n">
        <v>6688</v>
      </c>
      <c r="O734" s="28" t="n">
        <v>677528</v>
      </c>
      <c r="P734" s="27" t="n">
        <v>6688</v>
      </c>
      <c r="Q734" s="29" t="n">
        <v>1</v>
      </c>
      <c r="R734" s="28" t="n">
        <v>59.5</v>
      </c>
      <c r="S734" s="28" t="n">
        <v>159.5</v>
      </c>
      <c r="T734" s="28" t="n">
        <v>101.31</v>
      </c>
      <c r="U734" s="13" t="n">
        <f aca="false">IFERROR(YEAR(A734),"")</f>
        <v>2024</v>
      </c>
      <c r="V734" s="28" t="n">
        <f aca="false">IFERROR(O734*B734,0)</f>
        <v>677528</v>
      </c>
      <c r="W734" s="27" t="n">
        <f aca="false">IFERROR(N734*B734,0)</f>
        <v>6688</v>
      </c>
      <c r="X734" s="13" t="n">
        <f aca="false">IF(OR(ISNUMBER(SEARCH("live nation",L734)),ISNUMBER(SEARCH("ocesa",L734))),1,0)</f>
        <v>1</v>
      </c>
      <c r="Y734" s="13" t="s">
        <v>49</v>
      </c>
    </row>
    <row r="735" customFormat="false" ht="15" hidden="false" customHeight="false" outlineLevel="0" collapsed="false">
      <c r="A735" s="30" t="n">
        <v>45462</v>
      </c>
      <c r="B735" s="11" t="n">
        <v>2</v>
      </c>
      <c r="C735" s="31" t="s">
        <v>64</v>
      </c>
      <c r="D735" s="31"/>
      <c r="E735" s="11" t="s">
        <v>1012</v>
      </c>
      <c r="F735" s="11" t="s">
        <v>408</v>
      </c>
      <c r="G735" s="11"/>
      <c r="H735" s="11" t="s">
        <v>21</v>
      </c>
      <c r="I735" s="11"/>
      <c r="J735" s="11" t="s">
        <v>97</v>
      </c>
      <c r="K735" s="11" t="s">
        <v>113</v>
      </c>
      <c r="L735" s="11" t="s">
        <v>145</v>
      </c>
      <c r="M735" s="11" t="s">
        <v>100</v>
      </c>
      <c r="N735" s="32" t="n">
        <v>10162</v>
      </c>
      <c r="O735" s="33" t="n">
        <v>859998.01</v>
      </c>
      <c r="P735" s="32" t="n">
        <v>10684</v>
      </c>
      <c r="Q735" s="34" t="n">
        <v>0.95</v>
      </c>
      <c r="R735" s="33" t="n">
        <v>90.27</v>
      </c>
      <c r="S735" s="33" t="n">
        <v>163.44</v>
      </c>
      <c r="T735" s="33" t="n">
        <v>84.63</v>
      </c>
      <c r="U735" s="11" t="n">
        <f aca="false">IFERROR(YEAR(A735),"")</f>
        <v>2024</v>
      </c>
      <c r="V735" s="33" t="n">
        <f aca="false">IFERROR(O735*B735,0)</f>
        <v>1719996.02</v>
      </c>
      <c r="W735" s="32" t="n">
        <f aca="false">IFERROR(N735*B735,0)</f>
        <v>20324</v>
      </c>
      <c r="X735" s="11" t="n">
        <f aca="false">IF(OR(ISNUMBER(SEARCH("live nation",L735)),ISNUMBER(SEARCH("ocesa",L735))),1,0)</f>
        <v>0</v>
      </c>
      <c r="Y735" s="11" t="s">
        <v>50</v>
      </c>
    </row>
    <row r="736" customFormat="false" ht="15" hidden="false" customHeight="false" outlineLevel="0" collapsed="false">
      <c r="A736" s="25" t="n">
        <v>45461</v>
      </c>
      <c r="B736" s="13" t="n">
        <v>1</v>
      </c>
      <c r="C736" s="26" t="s">
        <v>1009</v>
      </c>
      <c r="D736" s="26"/>
      <c r="E736" s="13" t="s">
        <v>731</v>
      </c>
      <c r="F736" s="13" t="s">
        <v>346</v>
      </c>
      <c r="G736" s="13" t="s">
        <v>347</v>
      </c>
      <c r="H736" s="13" t="s">
        <v>20</v>
      </c>
      <c r="I736" s="13" t="s">
        <v>346</v>
      </c>
      <c r="J736" s="13" t="s">
        <v>121</v>
      </c>
      <c r="K736" s="13" t="s">
        <v>107</v>
      </c>
      <c r="L736" s="13" t="s">
        <v>122</v>
      </c>
      <c r="M736" s="13" t="s">
        <v>100</v>
      </c>
      <c r="N736" s="27" t="n">
        <v>4098</v>
      </c>
      <c r="O736" s="28" t="n">
        <v>423654</v>
      </c>
      <c r="P736" s="27" t="n">
        <v>4465</v>
      </c>
      <c r="Q736" s="29" t="n">
        <v>0.91</v>
      </c>
      <c r="R736" s="28" t="n">
        <v>55.5</v>
      </c>
      <c r="S736" s="28" t="n">
        <v>285.5</v>
      </c>
      <c r="T736" s="28" t="n">
        <v>103.38</v>
      </c>
      <c r="U736" s="13" t="n">
        <f aca="false">IFERROR(YEAR(A736),"")</f>
        <v>2024</v>
      </c>
      <c r="V736" s="28" t="n">
        <f aca="false">IFERROR(O736*B736,0)</f>
        <v>423654</v>
      </c>
      <c r="W736" s="27" t="n">
        <f aca="false">IFERROR(N736*B736,0)</f>
        <v>4098</v>
      </c>
      <c r="X736" s="13" t="n">
        <f aca="false">IF(OR(ISNUMBER(SEARCH("live nation",L736)),ISNUMBER(SEARCH("ocesa",L736))),1,0)</f>
        <v>0</v>
      </c>
      <c r="Y736" s="13" t="s">
        <v>49</v>
      </c>
    </row>
    <row r="737" customFormat="false" ht="15" hidden="false" customHeight="false" outlineLevel="0" collapsed="false">
      <c r="A737" s="30" t="n">
        <v>45459</v>
      </c>
      <c r="B737" s="11" t="n">
        <v>1</v>
      </c>
      <c r="C737" s="31" t="s">
        <v>380</v>
      </c>
      <c r="D737" s="31"/>
      <c r="E737" s="11" t="s">
        <v>822</v>
      </c>
      <c r="F737" s="11" t="s">
        <v>201</v>
      </c>
      <c r="G737" s="11" t="s">
        <v>202</v>
      </c>
      <c r="H737" s="11" t="s">
        <v>20</v>
      </c>
      <c r="I737" s="11" t="s">
        <v>203</v>
      </c>
      <c r="J737" s="11" t="s">
        <v>97</v>
      </c>
      <c r="K737" s="11" t="s">
        <v>107</v>
      </c>
      <c r="L737" s="11" t="s">
        <v>140</v>
      </c>
      <c r="M737" s="11" t="s">
        <v>100</v>
      </c>
      <c r="N737" s="32" t="n">
        <v>7728</v>
      </c>
      <c r="O737" s="33" t="n">
        <v>933982</v>
      </c>
      <c r="P737" s="32" t="n">
        <v>7728</v>
      </c>
      <c r="Q737" s="34" t="n">
        <v>1</v>
      </c>
      <c r="R737" s="33" t="n">
        <v>54.5</v>
      </c>
      <c r="S737" s="33" t="n">
        <v>274.5</v>
      </c>
      <c r="T737" s="33" t="n">
        <v>120.86</v>
      </c>
      <c r="U737" s="11" t="n">
        <f aca="false">IFERROR(YEAR(A737),"")</f>
        <v>2024</v>
      </c>
      <c r="V737" s="33" t="n">
        <f aca="false">IFERROR(O737*B737,0)</f>
        <v>933982</v>
      </c>
      <c r="W737" s="32" t="n">
        <f aca="false">IFERROR(N737*B737,0)</f>
        <v>7728</v>
      </c>
      <c r="X737" s="11" t="n">
        <f aca="false">IF(OR(ISNUMBER(SEARCH("live nation",L737)),ISNUMBER(SEARCH("ocesa",L737))),1,0)</f>
        <v>0</v>
      </c>
      <c r="Y737" s="11" t="s">
        <v>49</v>
      </c>
    </row>
    <row r="738" customFormat="false" ht="15" hidden="false" customHeight="false" outlineLevel="0" collapsed="false">
      <c r="A738" s="25" t="n">
        <v>45457</v>
      </c>
      <c r="B738" s="13" t="n">
        <v>1</v>
      </c>
      <c r="C738" s="26" t="s">
        <v>1009</v>
      </c>
      <c r="D738" s="26"/>
      <c r="E738" s="13" t="s">
        <v>833</v>
      </c>
      <c r="F738" s="13" t="s">
        <v>834</v>
      </c>
      <c r="G738" s="13" t="s">
        <v>143</v>
      </c>
      <c r="H738" s="13" t="s">
        <v>20</v>
      </c>
      <c r="I738" s="13" t="s">
        <v>586</v>
      </c>
      <c r="J738" s="13" t="s">
        <v>121</v>
      </c>
      <c r="K738" s="13" t="s">
        <v>107</v>
      </c>
      <c r="L738" s="13" t="s">
        <v>177</v>
      </c>
      <c r="M738" s="13" t="s">
        <v>100</v>
      </c>
      <c r="N738" s="27" t="n">
        <v>4005</v>
      </c>
      <c r="O738" s="28" t="n">
        <v>426057</v>
      </c>
      <c r="P738" s="27" t="n">
        <v>4352</v>
      </c>
      <c r="Q738" s="29" t="n">
        <v>0.92</v>
      </c>
      <c r="R738" s="28" t="n">
        <v>52.5</v>
      </c>
      <c r="S738" s="28" t="n">
        <v>152.5</v>
      </c>
      <c r="T738" s="28" t="n">
        <v>106.38</v>
      </c>
      <c r="U738" s="13" t="n">
        <f aca="false">IFERROR(YEAR(A738),"")</f>
        <v>2024</v>
      </c>
      <c r="V738" s="28" t="n">
        <f aca="false">IFERROR(O738*B738,0)</f>
        <v>426057</v>
      </c>
      <c r="W738" s="27" t="n">
        <f aca="false">IFERROR(N738*B738,0)</f>
        <v>4005</v>
      </c>
      <c r="X738" s="13" t="n">
        <f aca="false">IF(OR(ISNUMBER(SEARCH("live nation",L738)),ISNUMBER(SEARCH("ocesa",L738))),1,0)</f>
        <v>1</v>
      </c>
      <c r="Y738" s="13" t="s">
        <v>49</v>
      </c>
    </row>
    <row r="739" customFormat="false" ht="15" hidden="false" customHeight="false" outlineLevel="0" collapsed="false">
      <c r="A739" s="30" t="n">
        <v>45457</v>
      </c>
      <c r="B739" s="11" t="n">
        <v>1</v>
      </c>
      <c r="C739" s="31" t="s">
        <v>380</v>
      </c>
      <c r="D739" s="31"/>
      <c r="E739" s="11" t="s">
        <v>230</v>
      </c>
      <c r="F739" s="11" t="s">
        <v>231</v>
      </c>
      <c r="G739" s="11" t="s">
        <v>202</v>
      </c>
      <c r="H739" s="11" t="s">
        <v>20</v>
      </c>
      <c r="I739" s="11" t="s">
        <v>232</v>
      </c>
      <c r="J739" s="11" t="s">
        <v>97</v>
      </c>
      <c r="K739" s="11" t="s">
        <v>107</v>
      </c>
      <c r="L739" s="11" t="s">
        <v>140</v>
      </c>
      <c r="M739" s="11" t="s">
        <v>100</v>
      </c>
      <c r="N739" s="32" t="n">
        <v>5602</v>
      </c>
      <c r="O739" s="33" t="n">
        <v>555902.71</v>
      </c>
      <c r="P739" s="32" t="n">
        <v>6861</v>
      </c>
      <c r="Q739" s="34" t="n">
        <v>0.81</v>
      </c>
      <c r="R739" s="33" t="n">
        <v>26.43</v>
      </c>
      <c r="S739" s="33" t="n">
        <v>51.9</v>
      </c>
      <c r="T739" s="33" t="n">
        <v>99.23</v>
      </c>
      <c r="U739" s="11" t="n">
        <f aca="false">IFERROR(YEAR(A739),"")</f>
        <v>2024</v>
      </c>
      <c r="V739" s="33" t="n">
        <f aca="false">IFERROR(O739*B739,0)</f>
        <v>555902.71</v>
      </c>
      <c r="W739" s="32" t="n">
        <f aca="false">IFERROR(N739*B739,0)</f>
        <v>5602</v>
      </c>
      <c r="X739" s="11" t="n">
        <f aca="false">IF(OR(ISNUMBER(SEARCH("live nation",L739)),ISNUMBER(SEARCH("ocesa",L739))),1,0)</f>
        <v>0</v>
      </c>
      <c r="Y739" s="11" t="s">
        <v>49</v>
      </c>
    </row>
    <row r="740" customFormat="false" ht="15" hidden="false" customHeight="false" outlineLevel="0" collapsed="false">
      <c r="A740" s="25" t="n">
        <v>45456</v>
      </c>
      <c r="B740" s="13" t="n">
        <v>1</v>
      </c>
      <c r="C740" s="26" t="s">
        <v>418</v>
      </c>
      <c r="D740" s="26"/>
      <c r="E740" s="13" t="s">
        <v>1013</v>
      </c>
      <c r="F740" s="13" t="s">
        <v>361</v>
      </c>
      <c r="G740" s="13"/>
      <c r="H740" s="13" t="s">
        <v>362</v>
      </c>
      <c r="I740" s="13"/>
      <c r="J740" s="13" t="s">
        <v>121</v>
      </c>
      <c r="K740" s="13" t="s">
        <v>363</v>
      </c>
      <c r="L740" s="13" t="s">
        <v>1014</v>
      </c>
      <c r="M740" s="13" t="s">
        <v>100</v>
      </c>
      <c r="N740" s="27" t="n">
        <v>1045</v>
      </c>
      <c r="O740" s="28" t="n">
        <v>75763</v>
      </c>
      <c r="P740" s="27" t="n">
        <v>2420</v>
      </c>
      <c r="Q740" s="29" t="n">
        <v>0.43</v>
      </c>
      <c r="R740" s="28" t="n">
        <v>61.6</v>
      </c>
      <c r="S740" s="28" t="n">
        <v>95.58</v>
      </c>
      <c r="T740" s="28" t="n">
        <v>72.5</v>
      </c>
      <c r="U740" s="13" t="n">
        <f aca="false">IFERROR(YEAR(A740),"")</f>
        <v>2024</v>
      </c>
      <c r="V740" s="28" t="n">
        <f aca="false">IFERROR(O740*B740,0)</f>
        <v>75763</v>
      </c>
      <c r="W740" s="27" t="n">
        <f aca="false">IFERROR(N740*B740,0)</f>
        <v>1045</v>
      </c>
      <c r="X740" s="13" t="n">
        <f aca="false">IF(OR(ISNUMBER(SEARCH("live nation",L740)),ISNUMBER(SEARCH("ocesa",L740))),1,0)</f>
        <v>0</v>
      </c>
      <c r="Y740" s="13" t="s">
        <v>50</v>
      </c>
    </row>
    <row r="741" customFormat="false" ht="15" hidden="false" customHeight="false" outlineLevel="0" collapsed="false">
      <c r="A741" s="30" t="n">
        <v>45455</v>
      </c>
      <c r="B741" s="11" t="n">
        <v>1</v>
      </c>
      <c r="C741" s="31" t="s">
        <v>272</v>
      </c>
      <c r="D741" s="31"/>
      <c r="E741" s="11" t="s">
        <v>1015</v>
      </c>
      <c r="F741" s="11" t="s">
        <v>561</v>
      </c>
      <c r="G741" s="11"/>
      <c r="H741" s="11" t="s">
        <v>449</v>
      </c>
      <c r="I741" s="11"/>
      <c r="J741" s="11" t="s">
        <v>121</v>
      </c>
      <c r="K741" s="11" t="s">
        <v>173</v>
      </c>
      <c r="L741" s="11" t="s">
        <v>1016</v>
      </c>
      <c r="M741" s="11" t="s">
        <v>277</v>
      </c>
      <c r="N741" s="32" t="n">
        <v>5174</v>
      </c>
      <c r="O741" s="33" t="n">
        <v>275302.5</v>
      </c>
      <c r="P741" s="32" t="n">
        <v>6000</v>
      </c>
      <c r="Q741" s="34" t="n">
        <v>0.86</v>
      </c>
      <c r="R741" s="33" t="n">
        <v>58</v>
      </c>
      <c r="S741" s="33" t="n">
        <v>58</v>
      </c>
      <c r="T741" s="33" t="n">
        <v>53.21</v>
      </c>
      <c r="U741" s="11" t="n">
        <f aca="false">IFERROR(YEAR(A741),"")</f>
        <v>2024</v>
      </c>
      <c r="V741" s="33" t="n">
        <f aca="false">IFERROR(O741*B741,0)</f>
        <v>275302.5</v>
      </c>
      <c r="W741" s="32" t="n">
        <f aca="false">IFERROR(N741*B741,0)</f>
        <v>5174</v>
      </c>
      <c r="X741" s="11" t="n">
        <f aca="false">IF(OR(ISNUMBER(SEARCH("live nation",L741)),ISNUMBER(SEARCH("ocesa",L741))),1,0)</f>
        <v>0</v>
      </c>
      <c r="Y741" s="11" t="s">
        <v>49</v>
      </c>
    </row>
    <row r="742" customFormat="false" ht="15" hidden="false" customHeight="false" outlineLevel="0" collapsed="false">
      <c r="A742" s="25" t="n">
        <v>45454</v>
      </c>
      <c r="B742" s="13" t="n">
        <v>3</v>
      </c>
      <c r="C742" s="26" t="s">
        <v>64</v>
      </c>
      <c r="D742" s="26"/>
      <c r="E742" s="13" t="s">
        <v>473</v>
      </c>
      <c r="F742" s="13" t="s">
        <v>474</v>
      </c>
      <c r="G742" s="13"/>
      <c r="H742" s="13" t="s">
        <v>21</v>
      </c>
      <c r="I742" s="13"/>
      <c r="J742" s="13" t="s">
        <v>97</v>
      </c>
      <c r="K742" s="13" t="s">
        <v>113</v>
      </c>
      <c r="L742" s="13" t="s">
        <v>145</v>
      </c>
      <c r="M742" s="13" t="s">
        <v>100</v>
      </c>
      <c r="N742" s="27" t="n">
        <v>17215</v>
      </c>
      <c r="O742" s="28" t="n">
        <v>1405217.03</v>
      </c>
      <c r="P742" s="27" t="n">
        <v>17756</v>
      </c>
      <c r="Q742" s="29" t="n">
        <v>0.96</v>
      </c>
      <c r="R742" s="28" t="n">
        <v>90.64</v>
      </c>
      <c r="S742" s="28" t="n">
        <v>164.1</v>
      </c>
      <c r="T742" s="28" t="n">
        <v>81.63</v>
      </c>
      <c r="U742" s="13" t="n">
        <f aca="false">IFERROR(YEAR(A742),"")</f>
        <v>2024</v>
      </c>
      <c r="V742" s="28" t="n">
        <f aca="false">IFERROR(O742*B742,0)</f>
        <v>4215651.09</v>
      </c>
      <c r="W742" s="27" t="n">
        <f aca="false">IFERROR(N742*B742,0)</f>
        <v>51645</v>
      </c>
      <c r="X742" s="13" t="n">
        <f aca="false">IF(OR(ISNUMBER(SEARCH("live nation",L742)),ISNUMBER(SEARCH("ocesa",L742))),1,0)</f>
        <v>0</v>
      </c>
      <c r="Y742" s="13" t="s">
        <v>50</v>
      </c>
    </row>
    <row r="743" customFormat="false" ht="15" hidden="false" customHeight="false" outlineLevel="0" collapsed="false">
      <c r="A743" s="30" t="n">
        <v>45454</v>
      </c>
      <c r="B743" s="11" t="n">
        <v>1</v>
      </c>
      <c r="C743" s="31" t="s">
        <v>1017</v>
      </c>
      <c r="D743" s="31"/>
      <c r="E743" s="11" t="s">
        <v>187</v>
      </c>
      <c r="F743" s="11" t="s">
        <v>188</v>
      </c>
      <c r="G743" s="11" t="s">
        <v>189</v>
      </c>
      <c r="H743" s="11" t="s">
        <v>20</v>
      </c>
      <c r="I743" s="11" t="s">
        <v>190</v>
      </c>
      <c r="J743" s="11" t="s">
        <v>106</v>
      </c>
      <c r="K743" s="11" t="s">
        <v>107</v>
      </c>
      <c r="L743" s="11" t="s">
        <v>187</v>
      </c>
      <c r="M743" s="11" t="s">
        <v>100</v>
      </c>
      <c r="N743" s="32" t="n">
        <v>252</v>
      </c>
      <c r="O743" s="33" t="n">
        <v>14740</v>
      </c>
      <c r="P743" s="32" t="n">
        <v>500</v>
      </c>
      <c r="Q743" s="34" t="n">
        <v>0.5</v>
      </c>
      <c r="R743" s="33" t="n">
        <v>40</v>
      </c>
      <c r="S743" s="33" t="n">
        <v>160</v>
      </c>
      <c r="T743" s="33" t="n">
        <v>58.49</v>
      </c>
      <c r="U743" s="11" t="n">
        <f aca="false">IFERROR(YEAR(A743),"")</f>
        <v>2024</v>
      </c>
      <c r="V743" s="33" t="n">
        <f aca="false">IFERROR(O743*B743,0)</f>
        <v>14740</v>
      </c>
      <c r="W743" s="32" t="n">
        <f aca="false">IFERROR(N743*B743,0)</f>
        <v>252</v>
      </c>
      <c r="X743" s="11" t="n">
        <f aca="false">IF(OR(ISNUMBER(SEARCH("live nation",L743)),ISNUMBER(SEARCH("ocesa",L743))),1,0)</f>
        <v>0</v>
      </c>
      <c r="Y743" s="11" t="s">
        <v>49</v>
      </c>
    </row>
    <row r="744" customFormat="false" ht="15" hidden="false" customHeight="false" outlineLevel="0" collapsed="false">
      <c r="A744" s="25" t="n">
        <v>45452</v>
      </c>
      <c r="B744" s="13" t="n">
        <v>1</v>
      </c>
      <c r="C744" s="26" t="s">
        <v>475</v>
      </c>
      <c r="D744" s="26"/>
      <c r="E744" s="13" t="s">
        <v>1018</v>
      </c>
      <c r="F744" s="13" t="s">
        <v>185</v>
      </c>
      <c r="G744" s="13"/>
      <c r="H744" s="13" t="s">
        <v>21</v>
      </c>
      <c r="I744" s="13"/>
      <c r="J744" s="13" t="s">
        <v>97</v>
      </c>
      <c r="K744" s="13" t="s">
        <v>113</v>
      </c>
      <c r="L744" s="13" t="s">
        <v>250</v>
      </c>
      <c r="M744" s="13" t="s">
        <v>100</v>
      </c>
      <c r="N744" s="27" t="n">
        <v>9000</v>
      </c>
      <c r="O744" s="28" t="n">
        <v>568502.69</v>
      </c>
      <c r="P744" s="27" t="n">
        <v>9000</v>
      </c>
      <c r="Q744" s="29" t="n">
        <v>1</v>
      </c>
      <c r="R744" s="28" t="n">
        <v>63.17</v>
      </c>
      <c r="S744" s="28" t="n">
        <v>63.17</v>
      </c>
      <c r="T744" s="28" t="n">
        <v>63.17</v>
      </c>
      <c r="U744" s="13" t="n">
        <f aca="false">IFERROR(YEAR(A744),"")</f>
        <v>2024</v>
      </c>
      <c r="V744" s="28" t="n">
        <f aca="false">IFERROR(O744*B744,0)</f>
        <v>568502.69</v>
      </c>
      <c r="W744" s="27" t="n">
        <f aca="false">IFERROR(N744*B744,0)</f>
        <v>9000</v>
      </c>
      <c r="X744" s="13" t="n">
        <f aca="false">IF(OR(ISNUMBER(SEARCH("live nation",L744)),ISNUMBER(SEARCH("ocesa",L744))),1,0)</f>
        <v>0</v>
      </c>
      <c r="Y744" s="13" t="s">
        <v>50</v>
      </c>
    </row>
    <row r="745" customFormat="false" ht="15" hidden="false" customHeight="false" outlineLevel="0" collapsed="false">
      <c r="A745" s="30" t="n">
        <v>45451</v>
      </c>
      <c r="B745" s="11" t="n">
        <v>1</v>
      </c>
      <c r="C745" s="31" t="s">
        <v>1009</v>
      </c>
      <c r="D745" s="31"/>
      <c r="E745" s="11" t="s">
        <v>230</v>
      </c>
      <c r="F745" s="11" t="s">
        <v>231</v>
      </c>
      <c r="G745" s="11" t="s">
        <v>202</v>
      </c>
      <c r="H745" s="11" t="s">
        <v>20</v>
      </c>
      <c r="I745" s="11" t="s">
        <v>232</v>
      </c>
      <c r="J745" s="11" t="s">
        <v>97</v>
      </c>
      <c r="K745" s="11" t="s">
        <v>107</v>
      </c>
      <c r="L745" s="11" t="s">
        <v>177</v>
      </c>
      <c r="M745" s="11" t="s">
        <v>100</v>
      </c>
      <c r="N745" s="32" t="n">
        <v>8186</v>
      </c>
      <c r="O745" s="33" t="n">
        <v>917790.05</v>
      </c>
      <c r="P745" s="32" t="n">
        <v>8186</v>
      </c>
      <c r="Q745" s="34" t="n">
        <v>1</v>
      </c>
      <c r="R745" s="33" t="n">
        <v>56.67</v>
      </c>
      <c r="S745" s="33" t="n">
        <v>170.95</v>
      </c>
      <c r="T745" s="33" t="n">
        <v>112.12</v>
      </c>
      <c r="U745" s="11" t="n">
        <f aca="false">IFERROR(YEAR(A745),"")</f>
        <v>2024</v>
      </c>
      <c r="V745" s="33" t="n">
        <f aca="false">IFERROR(O745*B745,0)</f>
        <v>917790.05</v>
      </c>
      <c r="W745" s="32" t="n">
        <f aca="false">IFERROR(N745*B745,0)</f>
        <v>8186</v>
      </c>
      <c r="X745" s="11" t="n">
        <f aca="false">IF(OR(ISNUMBER(SEARCH("live nation",L745)),ISNUMBER(SEARCH("ocesa",L745))),1,0)</f>
        <v>1</v>
      </c>
      <c r="Y745" s="11" t="s">
        <v>49</v>
      </c>
    </row>
    <row r="746" customFormat="false" ht="15" hidden="false" customHeight="false" outlineLevel="0" collapsed="false">
      <c r="A746" s="25" t="n">
        <v>45451</v>
      </c>
      <c r="B746" s="13" t="n">
        <v>1</v>
      </c>
      <c r="C746" s="26" t="s">
        <v>63</v>
      </c>
      <c r="D746" s="26"/>
      <c r="E746" s="13" t="s">
        <v>365</v>
      </c>
      <c r="F746" s="13" t="s">
        <v>188</v>
      </c>
      <c r="G746" s="13" t="s">
        <v>189</v>
      </c>
      <c r="H746" s="13" t="s">
        <v>20</v>
      </c>
      <c r="I746" s="13" t="s">
        <v>190</v>
      </c>
      <c r="J746" s="13" t="s">
        <v>97</v>
      </c>
      <c r="K746" s="13" t="s">
        <v>107</v>
      </c>
      <c r="L746" s="13" t="s">
        <v>508</v>
      </c>
      <c r="M746" s="13" t="s">
        <v>100</v>
      </c>
      <c r="N746" s="27" t="n">
        <v>13169</v>
      </c>
      <c r="O746" s="28" t="n">
        <v>2187415.5</v>
      </c>
      <c r="P746" s="27" t="n">
        <v>13169</v>
      </c>
      <c r="Q746" s="29" t="n">
        <v>1</v>
      </c>
      <c r="R746" s="28" t="n">
        <v>59.5</v>
      </c>
      <c r="S746" s="28" t="n">
        <v>599.5</v>
      </c>
      <c r="T746" s="28" t="n">
        <v>166.1</v>
      </c>
      <c r="U746" s="13" t="n">
        <f aca="false">IFERROR(YEAR(A746),"")</f>
        <v>2024</v>
      </c>
      <c r="V746" s="28" t="n">
        <f aca="false">IFERROR(O746*B746,0)</f>
        <v>2187415.5</v>
      </c>
      <c r="W746" s="27" t="n">
        <f aca="false">IFERROR(N746*B746,0)</f>
        <v>13169</v>
      </c>
      <c r="X746" s="13" t="n">
        <f aca="false">IF(OR(ISNUMBER(SEARCH("live nation",L746)),ISNUMBER(SEARCH("ocesa",L746))),1,0)</f>
        <v>0</v>
      </c>
      <c r="Y746" s="13" t="s">
        <v>49</v>
      </c>
    </row>
    <row r="747" customFormat="false" ht="15" hidden="false" customHeight="false" outlineLevel="0" collapsed="false">
      <c r="A747" s="30" t="n">
        <v>45451</v>
      </c>
      <c r="B747" s="11" t="n">
        <v>1</v>
      </c>
      <c r="C747" s="31" t="s">
        <v>418</v>
      </c>
      <c r="D747" s="31"/>
      <c r="E747" s="11" t="s">
        <v>837</v>
      </c>
      <c r="F747" s="11" t="s">
        <v>349</v>
      </c>
      <c r="G747" s="11"/>
      <c r="H747" s="11" t="s">
        <v>350</v>
      </c>
      <c r="I747" s="11"/>
      <c r="J747" s="11" t="s">
        <v>121</v>
      </c>
      <c r="K747" s="11" t="s">
        <v>173</v>
      </c>
      <c r="L747" s="11" t="s">
        <v>818</v>
      </c>
      <c r="M747" s="11" t="s">
        <v>100</v>
      </c>
      <c r="N747" s="32" t="n">
        <v>1100</v>
      </c>
      <c r="O747" s="33" t="n">
        <v>41608.13</v>
      </c>
      <c r="P747" s="32" t="n">
        <v>1100</v>
      </c>
      <c r="Q747" s="34" t="n">
        <v>1</v>
      </c>
      <c r="R747" s="33" t="n">
        <v>37.83</v>
      </c>
      <c r="S747" s="33" t="n">
        <v>37.83</v>
      </c>
      <c r="T747" s="33" t="n">
        <v>37.83</v>
      </c>
      <c r="U747" s="11" t="n">
        <f aca="false">IFERROR(YEAR(A747),"")</f>
        <v>2024</v>
      </c>
      <c r="V747" s="33" t="n">
        <f aca="false">IFERROR(O747*B747,0)</f>
        <v>41608.13</v>
      </c>
      <c r="W747" s="32" t="n">
        <f aca="false">IFERROR(N747*B747,0)</f>
        <v>1100</v>
      </c>
      <c r="X747" s="11" t="n">
        <f aca="false">IF(OR(ISNUMBER(SEARCH("live nation",L747)),ISNUMBER(SEARCH("ocesa",L747))),1,0)</f>
        <v>0</v>
      </c>
      <c r="Y747" s="11" t="s">
        <v>49</v>
      </c>
    </row>
    <row r="748" customFormat="false" ht="15" hidden="false" customHeight="false" outlineLevel="0" collapsed="false">
      <c r="A748" s="25" t="n">
        <v>45451</v>
      </c>
      <c r="B748" s="13" t="n">
        <v>1</v>
      </c>
      <c r="C748" s="26" t="s">
        <v>475</v>
      </c>
      <c r="D748" s="26"/>
      <c r="E748" s="13" t="s">
        <v>1018</v>
      </c>
      <c r="F748" s="13" t="s">
        <v>185</v>
      </c>
      <c r="G748" s="13"/>
      <c r="H748" s="13" t="s">
        <v>21</v>
      </c>
      <c r="I748" s="13"/>
      <c r="J748" s="13" t="s">
        <v>97</v>
      </c>
      <c r="K748" s="13" t="s">
        <v>113</v>
      </c>
      <c r="L748" s="13" t="s">
        <v>250</v>
      </c>
      <c r="M748" s="13" t="s">
        <v>100</v>
      </c>
      <c r="N748" s="27" t="n">
        <v>9000</v>
      </c>
      <c r="O748" s="28" t="n">
        <v>568638.41</v>
      </c>
      <c r="P748" s="27" t="n">
        <v>9000</v>
      </c>
      <c r="Q748" s="29" t="n">
        <v>1</v>
      </c>
      <c r="R748" s="28" t="n">
        <v>63.18</v>
      </c>
      <c r="S748" s="28" t="n">
        <v>63.18</v>
      </c>
      <c r="T748" s="28" t="n">
        <v>63.18</v>
      </c>
      <c r="U748" s="13" t="n">
        <f aca="false">IFERROR(YEAR(A748),"")</f>
        <v>2024</v>
      </c>
      <c r="V748" s="28" t="n">
        <f aca="false">IFERROR(O748*B748,0)</f>
        <v>568638.41</v>
      </c>
      <c r="W748" s="27" t="n">
        <f aca="false">IFERROR(N748*B748,0)</f>
        <v>9000</v>
      </c>
      <c r="X748" s="13" t="n">
        <f aca="false">IF(OR(ISNUMBER(SEARCH("live nation",L748)),ISNUMBER(SEARCH("ocesa",L748))),1,0)</f>
        <v>0</v>
      </c>
      <c r="Y748" s="13" t="s">
        <v>50</v>
      </c>
    </row>
    <row r="749" customFormat="false" ht="15" hidden="false" customHeight="false" outlineLevel="0" collapsed="false">
      <c r="A749" s="30" t="n">
        <v>45450</v>
      </c>
      <c r="B749" s="11" t="n">
        <v>1</v>
      </c>
      <c r="C749" s="31" t="s">
        <v>418</v>
      </c>
      <c r="D749" s="31"/>
      <c r="E749" s="11" t="s">
        <v>959</v>
      </c>
      <c r="F749" s="11" t="s">
        <v>455</v>
      </c>
      <c r="G749" s="11"/>
      <c r="H749" s="11" t="s">
        <v>350</v>
      </c>
      <c r="I749" s="11"/>
      <c r="J749" s="11" t="s">
        <v>121</v>
      </c>
      <c r="K749" s="11" t="s">
        <v>173</v>
      </c>
      <c r="L749" s="11" t="s">
        <v>818</v>
      </c>
      <c r="M749" s="11" t="s">
        <v>100</v>
      </c>
      <c r="N749" s="32" t="n">
        <v>1400</v>
      </c>
      <c r="O749" s="33" t="n">
        <v>53383.83</v>
      </c>
      <c r="P749" s="32" t="n">
        <v>1400</v>
      </c>
      <c r="Q749" s="34" t="n">
        <v>1</v>
      </c>
      <c r="R749" s="33" t="n">
        <v>38.13</v>
      </c>
      <c r="S749" s="33" t="n">
        <v>38.13</v>
      </c>
      <c r="T749" s="33" t="n">
        <v>38.13</v>
      </c>
      <c r="U749" s="11" t="n">
        <f aca="false">IFERROR(YEAR(A749),"")</f>
        <v>2024</v>
      </c>
      <c r="V749" s="33" t="n">
        <f aca="false">IFERROR(O749*B749,0)</f>
        <v>53383.83</v>
      </c>
      <c r="W749" s="32" t="n">
        <f aca="false">IFERROR(N749*B749,0)</f>
        <v>1400</v>
      </c>
      <c r="X749" s="11" t="n">
        <f aca="false">IF(OR(ISNUMBER(SEARCH("live nation",L749)),ISNUMBER(SEARCH("ocesa",L749))),1,0)</f>
        <v>0</v>
      </c>
      <c r="Y749" s="11" t="s">
        <v>49</v>
      </c>
    </row>
    <row r="750" customFormat="false" ht="15" hidden="false" customHeight="false" outlineLevel="0" collapsed="false">
      <c r="A750" s="25" t="n">
        <v>45449</v>
      </c>
      <c r="B750" s="13" t="n">
        <v>1</v>
      </c>
      <c r="C750" s="26" t="s">
        <v>63</v>
      </c>
      <c r="D750" s="26"/>
      <c r="E750" s="13" t="s">
        <v>206</v>
      </c>
      <c r="F750" s="13" t="s">
        <v>207</v>
      </c>
      <c r="G750" s="13" t="s">
        <v>208</v>
      </c>
      <c r="H750" s="13" t="s">
        <v>20</v>
      </c>
      <c r="I750" s="13" t="s">
        <v>209</v>
      </c>
      <c r="J750" s="13" t="s">
        <v>97</v>
      </c>
      <c r="K750" s="13" t="s">
        <v>107</v>
      </c>
      <c r="L750" s="13" t="s">
        <v>508</v>
      </c>
      <c r="M750" s="13" t="s">
        <v>100</v>
      </c>
      <c r="N750" s="27" t="n">
        <v>11213</v>
      </c>
      <c r="O750" s="28" t="n">
        <v>1811102</v>
      </c>
      <c r="P750" s="27" t="n">
        <v>11213</v>
      </c>
      <c r="Q750" s="29" t="n">
        <v>1</v>
      </c>
      <c r="R750" s="28" t="n">
        <v>59.5</v>
      </c>
      <c r="S750" s="28" t="n">
        <v>599.5</v>
      </c>
      <c r="T750" s="28" t="n">
        <v>161.52</v>
      </c>
      <c r="U750" s="13" t="n">
        <f aca="false">IFERROR(YEAR(A750),"")</f>
        <v>2024</v>
      </c>
      <c r="V750" s="28" t="n">
        <f aca="false">IFERROR(O750*B750,0)</f>
        <v>1811102</v>
      </c>
      <c r="W750" s="27" t="n">
        <f aca="false">IFERROR(N750*B750,0)</f>
        <v>11213</v>
      </c>
      <c r="X750" s="13" t="n">
        <f aca="false">IF(OR(ISNUMBER(SEARCH("live nation",L750)),ISNUMBER(SEARCH("ocesa",L750))),1,0)</f>
        <v>0</v>
      </c>
      <c r="Y750" s="13" t="s">
        <v>49</v>
      </c>
    </row>
    <row r="751" customFormat="false" ht="15" hidden="false" customHeight="false" outlineLevel="0" collapsed="false">
      <c r="A751" s="30" t="n">
        <v>45448</v>
      </c>
      <c r="B751" s="11" t="n">
        <v>1</v>
      </c>
      <c r="C751" s="31" t="s">
        <v>380</v>
      </c>
      <c r="D751" s="31"/>
      <c r="E751" s="11" t="s">
        <v>1019</v>
      </c>
      <c r="F751" s="11" t="s">
        <v>1020</v>
      </c>
      <c r="G751" s="11" t="s">
        <v>167</v>
      </c>
      <c r="H751" s="11" t="s">
        <v>20</v>
      </c>
      <c r="I751" s="11" t="s">
        <v>471</v>
      </c>
      <c r="J751" s="11" t="s">
        <v>121</v>
      </c>
      <c r="K751" s="11" t="s">
        <v>107</v>
      </c>
      <c r="L751" s="11" t="s">
        <v>140</v>
      </c>
      <c r="M751" s="11" t="s">
        <v>100</v>
      </c>
      <c r="N751" s="32" t="n">
        <v>4500</v>
      </c>
      <c r="O751" s="33" t="n">
        <v>489308</v>
      </c>
      <c r="P751" s="32" t="n">
        <v>4500</v>
      </c>
      <c r="Q751" s="34" t="n">
        <v>1</v>
      </c>
      <c r="R751" s="33" t="n">
        <v>52.5</v>
      </c>
      <c r="S751" s="33" t="n">
        <v>269.5</v>
      </c>
      <c r="T751" s="33" t="n">
        <v>108.74</v>
      </c>
      <c r="U751" s="11" t="n">
        <f aca="false">IFERROR(YEAR(A751),"")</f>
        <v>2024</v>
      </c>
      <c r="V751" s="33" t="n">
        <f aca="false">IFERROR(O751*B751,0)</f>
        <v>489308</v>
      </c>
      <c r="W751" s="32" t="n">
        <f aca="false">IFERROR(N751*B751,0)</f>
        <v>4500</v>
      </c>
      <c r="X751" s="11" t="n">
        <f aca="false">IF(OR(ISNUMBER(SEARCH("live nation",L751)),ISNUMBER(SEARCH("ocesa",L751))),1,0)</f>
        <v>0</v>
      </c>
      <c r="Y751" s="11" t="s">
        <v>49</v>
      </c>
    </row>
    <row r="752" customFormat="false" ht="15" hidden="false" customHeight="false" outlineLevel="0" collapsed="false">
      <c r="A752" s="25" t="n">
        <v>45448</v>
      </c>
      <c r="B752" s="13" t="n">
        <v>1</v>
      </c>
      <c r="C752" s="26" t="s">
        <v>1008</v>
      </c>
      <c r="D752" s="26"/>
      <c r="E752" s="13" t="s">
        <v>460</v>
      </c>
      <c r="F752" s="13" t="s">
        <v>132</v>
      </c>
      <c r="G752" s="13"/>
      <c r="H752" s="13" t="s">
        <v>23</v>
      </c>
      <c r="I752" s="13"/>
      <c r="J752" s="13" t="s">
        <v>97</v>
      </c>
      <c r="K752" s="13" t="s">
        <v>134</v>
      </c>
      <c r="L752" s="13" t="s">
        <v>461</v>
      </c>
      <c r="M752" s="13" t="s">
        <v>100</v>
      </c>
      <c r="N752" s="27" t="n">
        <v>16836</v>
      </c>
      <c r="O752" s="28" t="n">
        <v>2266808.69</v>
      </c>
      <c r="P752" s="27" t="n">
        <v>17073</v>
      </c>
      <c r="Q752" s="29" t="n">
        <v>0.98</v>
      </c>
      <c r="R752" s="28" t="n">
        <v>56.18</v>
      </c>
      <c r="S752" s="28" t="n">
        <v>280.88</v>
      </c>
      <c r="T752" s="28" t="n">
        <v>134.64</v>
      </c>
      <c r="U752" s="13" t="n">
        <f aca="false">IFERROR(YEAR(A752),"")</f>
        <v>2024</v>
      </c>
      <c r="V752" s="28" t="n">
        <f aca="false">IFERROR(O752*B752,0)</f>
        <v>2266808.69</v>
      </c>
      <c r="W752" s="27" t="n">
        <f aca="false">IFERROR(N752*B752,0)</f>
        <v>16836</v>
      </c>
      <c r="X752" s="13" t="n">
        <f aca="false">IF(OR(ISNUMBER(SEARCH("live nation",L752)),ISNUMBER(SEARCH("ocesa",L752))),1,0)</f>
        <v>0</v>
      </c>
      <c r="Y752" s="13" t="s">
        <v>49</v>
      </c>
    </row>
    <row r="753" customFormat="false" ht="15" hidden="false" customHeight="false" outlineLevel="0" collapsed="false">
      <c r="A753" s="30" t="n">
        <v>45448</v>
      </c>
      <c r="B753" s="11" t="n">
        <v>1</v>
      </c>
      <c r="C753" s="31" t="s">
        <v>63</v>
      </c>
      <c r="D753" s="31"/>
      <c r="E753" s="11" t="s">
        <v>206</v>
      </c>
      <c r="F753" s="11" t="s">
        <v>207</v>
      </c>
      <c r="G753" s="11" t="s">
        <v>208</v>
      </c>
      <c r="H753" s="11" t="s">
        <v>20</v>
      </c>
      <c r="I753" s="11" t="s">
        <v>209</v>
      </c>
      <c r="J753" s="11" t="s">
        <v>97</v>
      </c>
      <c r="K753" s="11" t="s">
        <v>107</v>
      </c>
      <c r="L753" s="11" t="s">
        <v>508</v>
      </c>
      <c r="M753" s="11" t="s">
        <v>100</v>
      </c>
      <c r="N753" s="32" t="n">
        <v>10232</v>
      </c>
      <c r="O753" s="33" t="n">
        <v>1671858.5</v>
      </c>
      <c r="P753" s="32" t="n">
        <v>11295</v>
      </c>
      <c r="Q753" s="34" t="n">
        <v>0.9</v>
      </c>
      <c r="R753" s="33" t="n">
        <v>59.5</v>
      </c>
      <c r="S753" s="33" t="n">
        <v>599.5</v>
      </c>
      <c r="T753" s="33" t="n">
        <v>163.4</v>
      </c>
      <c r="U753" s="11" t="n">
        <f aca="false">IFERROR(YEAR(A753),"")</f>
        <v>2024</v>
      </c>
      <c r="V753" s="33" t="n">
        <f aca="false">IFERROR(O753*B753,0)</f>
        <v>1671858.5</v>
      </c>
      <c r="W753" s="32" t="n">
        <f aca="false">IFERROR(N753*B753,0)</f>
        <v>10232</v>
      </c>
      <c r="X753" s="11" t="n">
        <f aca="false">IF(OR(ISNUMBER(SEARCH("live nation",L753)),ISNUMBER(SEARCH("ocesa",L753))),1,0)</f>
        <v>0</v>
      </c>
      <c r="Y753" s="11" t="s">
        <v>49</v>
      </c>
    </row>
    <row r="754" customFormat="false" ht="15" hidden="false" customHeight="false" outlineLevel="0" collapsed="false">
      <c r="A754" s="25" t="n">
        <v>45447</v>
      </c>
      <c r="B754" s="13" t="n">
        <v>1</v>
      </c>
      <c r="C754" s="26" t="s">
        <v>743</v>
      </c>
      <c r="D754" s="26"/>
      <c r="E754" s="13" t="s">
        <v>551</v>
      </c>
      <c r="F754" s="13" t="s">
        <v>552</v>
      </c>
      <c r="G754" s="13"/>
      <c r="H754" s="13" t="s">
        <v>26</v>
      </c>
      <c r="I754" s="13"/>
      <c r="J754" s="13" t="s">
        <v>97</v>
      </c>
      <c r="K754" s="13" t="s">
        <v>173</v>
      </c>
      <c r="L754" s="13" t="s">
        <v>177</v>
      </c>
      <c r="M754" s="13" t="s">
        <v>277</v>
      </c>
      <c r="N754" s="27" t="n">
        <v>9326</v>
      </c>
      <c r="O754" s="28" t="n">
        <v>1053168.05</v>
      </c>
      <c r="P754" s="27" t="n">
        <v>11288</v>
      </c>
      <c r="Q754" s="29" t="n">
        <v>0.82</v>
      </c>
      <c r="R754" s="28" t="n">
        <v>73.62</v>
      </c>
      <c r="S754" s="28" t="n">
        <v>241.6</v>
      </c>
      <c r="T754" s="28" t="n">
        <v>112.93</v>
      </c>
      <c r="U754" s="13" t="n">
        <f aca="false">IFERROR(YEAR(A754),"")</f>
        <v>2024</v>
      </c>
      <c r="V754" s="28" t="n">
        <f aca="false">IFERROR(O754*B754,0)</f>
        <v>1053168.05</v>
      </c>
      <c r="W754" s="27" t="n">
        <f aca="false">IFERROR(N754*B754,0)</f>
        <v>9326</v>
      </c>
      <c r="X754" s="13" t="n">
        <f aca="false">IF(OR(ISNUMBER(SEARCH("live nation",L754)),ISNUMBER(SEARCH("ocesa",L754))),1,0)</f>
        <v>1</v>
      </c>
      <c r="Y754" s="13" t="s">
        <v>49</v>
      </c>
    </row>
    <row r="755" customFormat="false" ht="15" hidden="false" customHeight="false" outlineLevel="0" collapsed="false">
      <c r="A755" s="30" t="n">
        <v>45447</v>
      </c>
      <c r="B755" s="11" t="n">
        <v>1</v>
      </c>
      <c r="C755" s="31" t="s">
        <v>1021</v>
      </c>
      <c r="D755" s="31"/>
      <c r="E755" s="11" t="s">
        <v>1022</v>
      </c>
      <c r="F755" s="11" t="s">
        <v>197</v>
      </c>
      <c r="G755" s="11" t="s">
        <v>139</v>
      </c>
      <c r="H755" s="11" t="s">
        <v>20</v>
      </c>
      <c r="I755" s="11" t="s">
        <v>139</v>
      </c>
      <c r="J755" s="11" t="s">
        <v>121</v>
      </c>
      <c r="K755" s="11" t="s">
        <v>107</v>
      </c>
      <c r="L755" s="11" t="s">
        <v>1023</v>
      </c>
      <c r="M755" s="11" t="s">
        <v>100</v>
      </c>
      <c r="N755" s="32" t="n">
        <v>1836</v>
      </c>
      <c r="O755" s="33" t="n">
        <v>94966</v>
      </c>
      <c r="P755" s="32" t="n">
        <v>2890</v>
      </c>
      <c r="Q755" s="34" t="n">
        <v>0.63</v>
      </c>
      <c r="R755" s="33" t="n">
        <v>20</v>
      </c>
      <c r="S755" s="33" t="n">
        <v>297.5</v>
      </c>
      <c r="T755" s="33" t="n">
        <v>51.72</v>
      </c>
      <c r="U755" s="11" t="n">
        <f aca="false">IFERROR(YEAR(A755),"")</f>
        <v>2024</v>
      </c>
      <c r="V755" s="33" t="n">
        <f aca="false">IFERROR(O755*B755,0)</f>
        <v>94966</v>
      </c>
      <c r="W755" s="32" t="n">
        <f aca="false">IFERROR(N755*B755,0)</f>
        <v>1836</v>
      </c>
      <c r="X755" s="11" t="n">
        <f aca="false">IF(OR(ISNUMBER(SEARCH("live nation",L755)),ISNUMBER(SEARCH("ocesa",L755))),1,0)</f>
        <v>1</v>
      </c>
      <c r="Y755" s="11" t="s">
        <v>49</v>
      </c>
    </row>
    <row r="756" customFormat="false" ht="15" hidden="false" customHeight="false" outlineLevel="0" collapsed="false">
      <c r="A756" s="25" t="n">
        <v>45447</v>
      </c>
      <c r="B756" s="13" t="n">
        <v>1</v>
      </c>
      <c r="C756" s="26" t="s">
        <v>1008</v>
      </c>
      <c r="D756" s="26"/>
      <c r="E756" s="13" t="s">
        <v>460</v>
      </c>
      <c r="F756" s="13" t="s">
        <v>132</v>
      </c>
      <c r="G756" s="13"/>
      <c r="H756" s="13" t="s">
        <v>23</v>
      </c>
      <c r="I756" s="13"/>
      <c r="J756" s="13" t="s">
        <v>97</v>
      </c>
      <c r="K756" s="13" t="s">
        <v>134</v>
      </c>
      <c r="L756" s="13" t="s">
        <v>461</v>
      </c>
      <c r="M756" s="13" t="s">
        <v>100</v>
      </c>
      <c r="N756" s="27" t="n">
        <v>16346</v>
      </c>
      <c r="O756" s="28" t="n">
        <v>2226293.98</v>
      </c>
      <c r="P756" s="27" t="n">
        <v>16346</v>
      </c>
      <c r="Q756" s="29" t="n">
        <v>1</v>
      </c>
      <c r="R756" s="28" t="n">
        <v>56.91</v>
      </c>
      <c r="S756" s="28" t="n">
        <v>284.57</v>
      </c>
      <c r="T756" s="28" t="n">
        <v>136.2</v>
      </c>
      <c r="U756" s="13" t="n">
        <f aca="false">IFERROR(YEAR(A756),"")</f>
        <v>2024</v>
      </c>
      <c r="V756" s="28" t="n">
        <f aca="false">IFERROR(O756*B756,0)</f>
        <v>2226293.98</v>
      </c>
      <c r="W756" s="27" t="n">
        <f aca="false">IFERROR(N756*B756,0)</f>
        <v>16346</v>
      </c>
      <c r="X756" s="13" t="n">
        <f aca="false">IF(OR(ISNUMBER(SEARCH("live nation",L756)),ISNUMBER(SEARCH("ocesa",L756))),1,0)</f>
        <v>0</v>
      </c>
      <c r="Y756" s="13" t="s">
        <v>49</v>
      </c>
    </row>
    <row r="757" customFormat="false" ht="15" hidden="false" customHeight="false" outlineLevel="0" collapsed="false">
      <c r="A757" s="30" t="n">
        <v>45446</v>
      </c>
      <c r="B757" s="11" t="n">
        <v>1</v>
      </c>
      <c r="C757" s="31" t="s">
        <v>418</v>
      </c>
      <c r="D757" s="31"/>
      <c r="E757" s="11" t="s">
        <v>1024</v>
      </c>
      <c r="F757" s="11" t="s">
        <v>557</v>
      </c>
      <c r="G757" s="11"/>
      <c r="H757" s="11" t="s">
        <v>558</v>
      </c>
      <c r="I757" s="11"/>
      <c r="J757" s="11" t="s">
        <v>121</v>
      </c>
      <c r="K757" s="11" t="s">
        <v>173</v>
      </c>
      <c r="L757" s="11" t="s">
        <v>453</v>
      </c>
      <c r="M757" s="11" t="s">
        <v>100</v>
      </c>
      <c r="N757" s="32" t="n">
        <v>1213</v>
      </c>
      <c r="O757" s="33" t="n">
        <v>40140.63</v>
      </c>
      <c r="P757" s="32" t="n">
        <v>1458</v>
      </c>
      <c r="Q757" s="34" t="n">
        <v>0.83</v>
      </c>
      <c r="R757" s="33" t="n">
        <v>33.09</v>
      </c>
      <c r="S757" s="33" t="n">
        <v>33.09</v>
      </c>
      <c r="T757" s="33" t="n">
        <v>33.09</v>
      </c>
      <c r="U757" s="11" t="n">
        <f aca="false">IFERROR(YEAR(A757),"")</f>
        <v>2024</v>
      </c>
      <c r="V757" s="33" t="n">
        <f aca="false">IFERROR(O757*B757,0)</f>
        <v>40140.63</v>
      </c>
      <c r="W757" s="32" t="n">
        <f aca="false">IFERROR(N757*B757,0)</f>
        <v>1213</v>
      </c>
      <c r="X757" s="11" t="n">
        <f aca="false">IF(OR(ISNUMBER(SEARCH("live nation",L757)),ISNUMBER(SEARCH("ocesa",L757))),1,0)</f>
        <v>0</v>
      </c>
      <c r="Y757" s="11" t="s">
        <v>49</v>
      </c>
    </row>
    <row r="758" customFormat="false" ht="15" hidden="false" customHeight="false" outlineLevel="0" collapsed="false">
      <c r="A758" s="25" t="n">
        <v>45445</v>
      </c>
      <c r="B758" s="13" t="n">
        <v>1</v>
      </c>
      <c r="C758" s="26" t="s">
        <v>1021</v>
      </c>
      <c r="D758" s="26"/>
      <c r="E758" s="13" t="s">
        <v>1025</v>
      </c>
      <c r="F758" s="13" t="s">
        <v>188</v>
      </c>
      <c r="G758" s="13" t="s">
        <v>189</v>
      </c>
      <c r="H758" s="13" t="s">
        <v>20</v>
      </c>
      <c r="I758" s="13" t="s">
        <v>190</v>
      </c>
      <c r="J758" s="13" t="s">
        <v>121</v>
      </c>
      <c r="K758" s="13" t="s">
        <v>107</v>
      </c>
      <c r="L758" s="13" t="s">
        <v>1023</v>
      </c>
      <c r="M758" s="13" t="s">
        <v>100</v>
      </c>
      <c r="N758" s="27" t="n">
        <v>1184</v>
      </c>
      <c r="O758" s="28" t="n">
        <v>106308.5</v>
      </c>
      <c r="P758" s="27" t="n">
        <v>1826</v>
      </c>
      <c r="Q758" s="29" t="n">
        <v>0.64</v>
      </c>
      <c r="R758" s="28" t="n">
        <v>20</v>
      </c>
      <c r="S758" s="28" t="n">
        <v>95</v>
      </c>
      <c r="T758" s="28" t="n">
        <v>89.79</v>
      </c>
      <c r="U758" s="13" t="n">
        <f aca="false">IFERROR(YEAR(A758),"")</f>
        <v>2024</v>
      </c>
      <c r="V758" s="28" t="n">
        <f aca="false">IFERROR(O758*B758,0)</f>
        <v>106308.5</v>
      </c>
      <c r="W758" s="27" t="n">
        <f aca="false">IFERROR(N758*B758,0)</f>
        <v>1184</v>
      </c>
      <c r="X758" s="13" t="n">
        <f aca="false">IF(OR(ISNUMBER(SEARCH("live nation",L758)),ISNUMBER(SEARCH("ocesa",L758))),1,0)</f>
        <v>1</v>
      </c>
      <c r="Y758" s="13" t="s">
        <v>49</v>
      </c>
    </row>
    <row r="759" customFormat="false" ht="15" hidden="false" customHeight="false" outlineLevel="0" collapsed="false">
      <c r="A759" s="30" t="n">
        <v>45444</v>
      </c>
      <c r="B759" s="11" t="n">
        <v>2</v>
      </c>
      <c r="C759" s="31" t="s">
        <v>63</v>
      </c>
      <c r="D759" s="31"/>
      <c r="E759" s="11" t="s">
        <v>1026</v>
      </c>
      <c r="F759" s="11" t="s">
        <v>139</v>
      </c>
      <c r="G759" s="11" t="s">
        <v>139</v>
      </c>
      <c r="H759" s="11" t="s">
        <v>20</v>
      </c>
      <c r="I759" s="11" t="s">
        <v>139</v>
      </c>
      <c r="J759" s="11" t="s">
        <v>97</v>
      </c>
      <c r="K759" s="11" t="s">
        <v>107</v>
      </c>
      <c r="L759" s="11" t="s">
        <v>508</v>
      </c>
      <c r="M759" s="11" t="s">
        <v>100</v>
      </c>
      <c r="N759" s="32" t="n">
        <v>12387</v>
      </c>
      <c r="O759" s="33" t="n">
        <v>1970271.25</v>
      </c>
      <c r="P759" s="32" t="n">
        <v>12388</v>
      </c>
      <c r="Q759" s="34" t="n">
        <v>0.99</v>
      </c>
      <c r="R759" s="33" t="n">
        <v>59.5</v>
      </c>
      <c r="S759" s="33" t="n">
        <v>599.5</v>
      </c>
      <c r="T759" s="33" t="n">
        <v>159.05</v>
      </c>
      <c r="U759" s="11" t="n">
        <f aca="false">IFERROR(YEAR(A759),"")</f>
        <v>2024</v>
      </c>
      <c r="V759" s="33" t="n">
        <f aca="false">IFERROR(O759*B759,0)</f>
        <v>3940542.5</v>
      </c>
      <c r="W759" s="32" t="n">
        <f aca="false">IFERROR(N759*B759,0)</f>
        <v>24774</v>
      </c>
      <c r="X759" s="11" t="n">
        <f aca="false">IF(OR(ISNUMBER(SEARCH("live nation",L759)),ISNUMBER(SEARCH("ocesa",L759))),1,0)</f>
        <v>0</v>
      </c>
      <c r="Y759" s="11" t="s">
        <v>49</v>
      </c>
    </row>
    <row r="760" customFormat="false" ht="15" hidden="false" customHeight="false" outlineLevel="0" collapsed="false">
      <c r="A760" s="25" t="n">
        <v>45442</v>
      </c>
      <c r="B760" s="13" t="n">
        <v>1</v>
      </c>
      <c r="C760" s="26" t="s">
        <v>380</v>
      </c>
      <c r="D760" s="26"/>
      <c r="E760" s="13" t="s">
        <v>891</v>
      </c>
      <c r="F760" s="13" t="s">
        <v>188</v>
      </c>
      <c r="G760" s="13" t="s">
        <v>189</v>
      </c>
      <c r="H760" s="13" t="s">
        <v>20</v>
      </c>
      <c r="I760" s="13" t="s">
        <v>190</v>
      </c>
      <c r="J760" s="13" t="s">
        <v>121</v>
      </c>
      <c r="K760" s="13" t="s">
        <v>107</v>
      </c>
      <c r="L760" s="13" t="s">
        <v>140</v>
      </c>
      <c r="M760" s="13" t="s">
        <v>100</v>
      </c>
      <c r="N760" s="27" t="n">
        <v>3172</v>
      </c>
      <c r="O760" s="28" t="n">
        <v>397209</v>
      </c>
      <c r="P760" s="27" t="n">
        <v>3172</v>
      </c>
      <c r="Q760" s="29" t="n">
        <v>1</v>
      </c>
      <c r="R760" s="28" t="n">
        <v>54.5</v>
      </c>
      <c r="S760" s="28" t="n">
        <v>274.5</v>
      </c>
      <c r="T760" s="28" t="n">
        <v>125.22</v>
      </c>
      <c r="U760" s="13" t="n">
        <f aca="false">IFERROR(YEAR(A760),"")</f>
        <v>2024</v>
      </c>
      <c r="V760" s="28" t="n">
        <f aca="false">IFERROR(O760*B760,0)</f>
        <v>397209</v>
      </c>
      <c r="W760" s="27" t="n">
        <f aca="false">IFERROR(N760*B760,0)</f>
        <v>3172</v>
      </c>
      <c r="X760" s="13" t="n">
        <f aca="false">IF(OR(ISNUMBER(SEARCH("live nation",L760)),ISNUMBER(SEARCH("ocesa",L760))),1,0)</f>
        <v>0</v>
      </c>
      <c r="Y760" s="13" t="s">
        <v>49</v>
      </c>
    </row>
    <row r="761" customFormat="false" ht="15" hidden="false" customHeight="false" outlineLevel="0" collapsed="false">
      <c r="A761" s="30" t="n">
        <v>45441</v>
      </c>
      <c r="B761" s="11" t="n">
        <v>1</v>
      </c>
      <c r="C761" s="31" t="s">
        <v>1021</v>
      </c>
      <c r="D761" s="31"/>
      <c r="E761" s="11" t="s">
        <v>1027</v>
      </c>
      <c r="F761" s="11" t="s">
        <v>1028</v>
      </c>
      <c r="G761" s="11" t="s">
        <v>167</v>
      </c>
      <c r="H761" s="11" t="s">
        <v>20</v>
      </c>
      <c r="I761" s="11" t="s">
        <v>471</v>
      </c>
      <c r="J761" s="11" t="s">
        <v>121</v>
      </c>
      <c r="K761" s="11" t="s">
        <v>107</v>
      </c>
      <c r="L761" s="11" t="s">
        <v>1029</v>
      </c>
      <c r="M761" s="11" t="s">
        <v>100</v>
      </c>
      <c r="N761" s="32" t="n">
        <v>482</v>
      </c>
      <c r="O761" s="33" t="n">
        <v>45328.25</v>
      </c>
      <c r="P761" s="32" t="n">
        <v>1645</v>
      </c>
      <c r="Q761" s="34" t="n">
        <v>0.29</v>
      </c>
      <c r="R761" s="33" t="n">
        <v>44.5</v>
      </c>
      <c r="S761" s="33" t="n">
        <v>124.5</v>
      </c>
      <c r="T761" s="33" t="n">
        <v>94.04</v>
      </c>
      <c r="U761" s="11" t="n">
        <f aca="false">IFERROR(YEAR(A761),"")</f>
        <v>2024</v>
      </c>
      <c r="V761" s="33" t="n">
        <f aca="false">IFERROR(O761*B761,0)</f>
        <v>45328.25</v>
      </c>
      <c r="W761" s="32" t="n">
        <f aca="false">IFERROR(N761*B761,0)</f>
        <v>482</v>
      </c>
      <c r="X761" s="11" t="n">
        <f aca="false">IF(OR(ISNUMBER(SEARCH("live nation",L761)),ISNUMBER(SEARCH("ocesa",L761))),1,0)</f>
        <v>0</v>
      </c>
      <c r="Y761" s="11" t="s">
        <v>49</v>
      </c>
    </row>
    <row r="762" customFormat="false" ht="15" hidden="false" customHeight="false" outlineLevel="0" collapsed="false">
      <c r="A762" s="25" t="n">
        <v>45441</v>
      </c>
      <c r="B762" s="13" t="n">
        <v>1</v>
      </c>
      <c r="C762" s="26" t="s">
        <v>63</v>
      </c>
      <c r="D762" s="26"/>
      <c r="E762" s="13" t="s">
        <v>345</v>
      </c>
      <c r="F762" s="13" t="s">
        <v>346</v>
      </c>
      <c r="G762" s="13" t="s">
        <v>347</v>
      </c>
      <c r="H762" s="13" t="s">
        <v>20</v>
      </c>
      <c r="I762" s="13" t="s">
        <v>346</v>
      </c>
      <c r="J762" s="13" t="s">
        <v>97</v>
      </c>
      <c r="K762" s="13" t="s">
        <v>107</v>
      </c>
      <c r="L762" s="13" t="s">
        <v>508</v>
      </c>
      <c r="M762" s="13" t="s">
        <v>100</v>
      </c>
      <c r="N762" s="27" t="n">
        <v>10072</v>
      </c>
      <c r="O762" s="28" t="n">
        <v>1777934</v>
      </c>
      <c r="P762" s="27" t="n">
        <v>10072</v>
      </c>
      <c r="Q762" s="29" t="n">
        <v>1</v>
      </c>
      <c r="R762" s="28" t="n">
        <v>59.5</v>
      </c>
      <c r="S762" s="28" t="n">
        <v>599.5</v>
      </c>
      <c r="T762" s="28" t="n">
        <v>176.52</v>
      </c>
      <c r="U762" s="13" t="n">
        <f aca="false">IFERROR(YEAR(A762),"")</f>
        <v>2024</v>
      </c>
      <c r="V762" s="28" t="n">
        <f aca="false">IFERROR(O762*B762,0)</f>
        <v>1777934</v>
      </c>
      <c r="W762" s="27" t="n">
        <f aca="false">IFERROR(N762*B762,0)</f>
        <v>10072</v>
      </c>
      <c r="X762" s="13" t="n">
        <f aca="false">IF(OR(ISNUMBER(SEARCH("live nation",L762)),ISNUMBER(SEARCH("ocesa",L762))),1,0)</f>
        <v>0</v>
      </c>
      <c r="Y762" s="13" t="s">
        <v>49</v>
      </c>
    </row>
    <row r="763" customFormat="false" ht="15" hidden="false" customHeight="false" outlineLevel="0" collapsed="false">
      <c r="A763" s="30" t="n">
        <v>45439</v>
      </c>
      <c r="B763" s="11" t="n">
        <v>1</v>
      </c>
      <c r="C763" s="31" t="s">
        <v>1021</v>
      </c>
      <c r="D763" s="31"/>
      <c r="E763" s="11" t="s">
        <v>1030</v>
      </c>
      <c r="F763" s="11" t="s">
        <v>682</v>
      </c>
      <c r="G763" s="11" t="s">
        <v>167</v>
      </c>
      <c r="H763" s="11" t="s">
        <v>20</v>
      </c>
      <c r="I763" s="11" t="s">
        <v>683</v>
      </c>
      <c r="J763" s="11" t="s">
        <v>106</v>
      </c>
      <c r="K763" s="11" t="s">
        <v>107</v>
      </c>
      <c r="L763" s="11" t="s">
        <v>1029</v>
      </c>
      <c r="M763" s="11" t="s">
        <v>100</v>
      </c>
      <c r="N763" s="32" t="n">
        <v>759</v>
      </c>
      <c r="O763" s="33" t="n">
        <v>72244.91</v>
      </c>
      <c r="P763" s="32" t="n">
        <v>2343</v>
      </c>
      <c r="Q763" s="34" t="n">
        <v>0.32</v>
      </c>
      <c r="R763" s="33" t="n">
        <v>44.5</v>
      </c>
      <c r="S763" s="33" t="n">
        <v>99.5</v>
      </c>
      <c r="T763" s="33" t="n">
        <v>95.18</v>
      </c>
      <c r="U763" s="11" t="n">
        <f aca="false">IFERROR(YEAR(A763),"")</f>
        <v>2024</v>
      </c>
      <c r="V763" s="33" t="n">
        <f aca="false">IFERROR(O763*B763,0)</f>
        <v>72244.91</v>
      </c>
      <c r="W763" s="32" t="n">
        <f aca="false">IFERROR(N763*B763,0)</f>
        <v>759</v>
      </c>
      <c r="X763" s="11" t="n">
        <f aca="false">IF(OR(ISNUMBER(SEARCH("live nation",L763)),ISNUMBER(SEARCH("ocesa",L763))),1,0)</f>
        <v>0</v>
      </c>
      <c r="Y763" s="11" t="s">
        <v>49</v>
      </c>
    </row>
    <row r="764" customFormat="false" ht="15" hidden="false" customHeight="false" outlineLevel="0" collapsed="false">
      <c r="A764" s="25" t="n">
        <v>45438</v>
      </c>
      <c r="B764" s="13" t="n">
        <v>1</v>
      </c>
      <c r="C764" s="26" t="s">
        <v>63</v>
      </c>
      <c r="D764" s="26"/>
      <c r="E764" s="13" t="s">
        <v>1031</v>
      </c>
      <c r="F764" s="13" t="s">
        <v>586</v>
      </c>
      <c r="G764" s="13" t="s">
        <v>143</v>
      </c>
      <c r="H764" s="13" t="s">
        <v>20</v>
      </c>
      <c r="I764" s="13" t="s">
        <v>586</v>
      </c>
      <c r="J764" s="13" t="s">
        <v>133</v>
      </c>
      <c r="K764" s="13" t="s">
        <v>107</v>
      </c>
      <c r="L764" s="13" t="s">
        <v>508</v>
      </c>
      <c r="M764" s="13" t="s">
        <v>100</v>
      </c>
      <c r="N764" s="27" t="n">
        <v>21734</v>
      </c>
      <c r="O764" s="28" t="n">
        <v>3614273</v>
      </c>
      <c r="P764" s="27" t="n">
        <v>28178</v>
      </c>
      <c r="Q764" s="29" t="n">
        <v>0.77</v>
      </c>
      <c r="R764" s="28" t="n">
        <v>49.5</v>
      </c>
      <c r="S764" s="28" t="n">
        <v>599.5</v>
      </c>
      <c r="T764" s="28" t="n">
        <v>166.3</v>
      </c>
      <c r="U764" s="13" t="n">
        <f aca="false">IFERROR(YEAR(A764),"")</f>
        <v>2024</v>
      </c>
      <c r="V764" s="28" t="n">
        <f aca="false">IFERROR(O764*B764,0)</f>
        <v>3614273</v>
      </c>
      <c r="W764" s="27" t="n">
        <f aca="false">IFERROR(N764*B764,0)</f>
        <v>21734</v>
      </c>
      <c r="X764" s="13" t="n">
        <f aca="false">IF(OR(ISNUMBER(SEARCH("live nation",L764)),ISNUMBER(SEARCH("ocesa",L764))),1,0)</f>
        <v>0</v>
      </c>
      <c r="Y764" s="13" t="s">
        <v>49</v>
      </c>
    </row>
    <row r="765" customFormat="false" ht="15" hidden="false" customHeight="false" outlineLevel="0" collapsed="false">
      <c r="A765" s="30" t="n">
        <v>45437</v>
      </c>
      <c r="B765" s="11" t="n">
        <v>2</v>
      </c>
      <c r="C765" s="31" t="s">
        <v>62</v>
      </c>
      <c r="D765" s="31"/>
      <c r="E765" s="11" t="s">
        <v>1032</v>
      </c>
      <c r="F765" s="11" t="s">
        <v>112</v>
      </c>
      <c r="G765" s="11"/>
      <c r="H765" s="11" t="s">
        <v>21</v>
      </c>
      <c r="I765" s="11"/>
      <c r="J765" s="11" t="s">
        <v>133</v>
      </c>
      <c r="K765" s="11" t="s">
        <v>113</v>
      </c>
      <c r="L765" s="11" t="s">
        <v>145</v>
      </c>
      <c r="M765" s="11" t="s">
        <v>100</v>
      </c>
      <c r="N765" s="32" t="n">
        <v>70164</v>
      </c>
      <c r="O765" s="33" t="n">
        <v>6857272.87</v>
      </c>
      <c r="P765" s="32" t="n">
        <v>70752</v>
      </c>
      <c r="Q765" s="34" t="n">
        <v>0.99</v>
      </c>
      <c r="R765" s="33" t="n">
        <v>89.19</v>
      </c>
      <c r="S765" s="33" t="n">
        <v>172.01</v>
      </c>
      <c r="T765" s="33" t="n">
        <v>97.73</v>
      </c>
      <c r="U765" s="11" t="n">
        <f aca="false">IFERROR(YEAR(A765),"")</f>
        <v>2024</v>
      </c>
      <c r="V765" s="33" t="n">
        <f aca="false">IFERROR(O765*B765,0)</f>
        <v>13714545.74</v>
      </c>
      <c r="W765" s="32" t="n">
        <f aca="false">IFERROR(N765*B765,0)</f>
        <v>140328</v>
      </c>
      <c r="X765" s="11" t="n">
        <f aca="false">IF(OR(ISNUMBER(SEARCH("live nation",L765)),ISNUMBER(SEARCH("ocesa",L765))),1,0)</f>
        <v>0</v>
      </c>
      <c r="Y765" s="11" t="s">
        <v>50</v>
      </c>
    </row>
    <row r="766" customFormat="false" ht="15" hidden="false" customHeight="false" outlineLevel="0" collapsed="false">
      <c r="A766" s="25" t="n">
        <v>45436</v>
      </c>
      <c r="B766" s="13" t="n">
        <v>1</v>
      </c>
      <c r="C766" s="26" t="s">
        <v>1021</v>
      </c>
      <c r="D766" s="26"/>
      <c r="E766" s="13" t="s">
        <v>1033</v>
      </c>
      <c r="F766" s="13" t="s">
        <v>586</v>
      </c>
      <c r="G766" s="13" t="s">
        <v>143</v>
      </c>
      <c r="H766" s="13" t="s">
        <v>20</v>
      </c>
      <c r="I766" s="13" t="s">
        <v>586</v>
      </c>
      <c r="J766" s="13" t="s">
        <v>106</v>
      </c>
      <c r="K766" s="13" t="s">
        <v>107</v>
      </c>
      <c r="L766" s="13" t="s">
        <v>1023</v>
      </c>
      <c r="M766" s="13" t="s">
        <v>100</v>
      </c>
      <c r="N766" s="27" t="n">
        <v>1094</v>
      </c>
      <c r="O766" s="28" t="n">
        <v>84176.81</v>
      </c>
      <c r="P766" s="27" t="n">
        <v>2110</v>
      </c>
      <c r="Q766" s="29" t="n">
        <v>0.51</v>
      </c>
      <c r="R766" s="28" t="n">
        <v>20</v>
      </c>
      <c r="S766" s="28" t="n">
        <v>125.5</v>
      </c>
      <c r="T766" s="28" t="n">
        <v>76.94</v>
      </c>
      <c r="U766" s="13" t="n">
        <f aca="false">IFERROR(YEAR(A766),"")</f>
        <v>2024</v>
      </c>
      <c r="V766" s="28" t="n">
        <f aca="false">IFERROR(O766*B766,0)</f>
        <v>84176.81</v>
      </c>
      <c r="W766" s="27" t="n">
        <f aca="false">IFERROR(N766*B766,0)</f>
        <v>1094</v>
      </c>
      <c r="X766" s="13" t="n">
        <f aca="false">IF(OR(ISNUMBER(SEARCH("live nation",L766)),ISNUMBER(SEARCH("ocesa",L766))),1,0)</f>
        <v>1</v>
      </c>
      <c r="Y766" s="13" t="s">
        <v>49</v>
      </c>
    </row>
    <row r="767" customFormat="false" ht="15" hidden="false" customHeight="false" outlineLevel="0" collapsed="false">
      <c r="A767" s="30" t="n">
        <v>45434</v>
      </c>
      <c r="B767" s="11" t="n">
        <v>1</v>
      </c>
      <c r="C767" s="31" t="s">
        <v>1021</v>
      </c>
      <c r="D767" s="31"/>
      <c r="E767" s="11" t="s">
        <v>949</v>
      </c>
      <c r="F767" s="11" t="s">
        <v>374</v>
      </c>
      <c r="G767" s="11" t="s">
        <v>143</v>
      </c>
      <c r="H767" s="11" t="s">
        <v>20</v>
      </c>
      <c r="I767" s="11" t="s">
        <v>375</v>
      </c>
      <c r="J767" s="11" t="s">
        <v>121</v>
      </c>
      <c r="K767" s="11" t="s">
        <v>107</v>
      </c>
      <c r="L767" s="11" t="s">
        <v>1023</v>
      </c>
      <c r="M767" s="11" t="s">
        <v>100</v>
      </c>
      <c r="N767" s="32" t="n">
        <v>844</v>
      </c>
      <c r="O767" s="33" t="n">
        <v>84117.43</v>
      </c>
      <c r="P767" s="32" t="n">
        <v>1671</v>
      </c>
      <c r="Q767" s="34" t="n">
        <v>0.5</v>
      </c>
      <c r="R767" s="33" t="n">
        <v>20</v>
      </c>
      <c r="S767" s="33" t="n">
        <v>140</v>
      </c>
      <c r="T767" s="33" t="n">
        <v>99.67</v>
      </c>
      <c r="U767" s="11" t="n">
        <f aca="false">IFERROR(YEAR(A767),"")</f>
        <v>2024</v>
      </c>
      <c r="V767" s="33" t="n">
        <f aca="false">IFERROR(O767*B767,0)</f>
        <v>84117.43</v>
      </c>
      <c r="W767" s="32" t="n">
        <f aca="false">IFERROR(N767*B767,0)</f>
        <v>844</v>
      </c>
      <c r="X767" s="11" t="n">
        <f aca="false">IF(OR(ISNUMBER(SEARCH("live nation",L767)),ISNUMBER(SEARCH("ocesa",L767))),1,0)</f>
        <v>1</v>
      </c>
      <c r="Y767" s="11" t="s">
        <v>49</v>
      </c>
    </row>
    <row r="768" customFormat="false" ht="15" hidden="false" customHeight="false" outlineLevel="0" collapsed="false">
      <c r="A768" s="25" t="n">
        <v>45433</v>
      </c>
      <c r="B768" s="13" t="n">
        <v>2</v>
      </c>
      <c r="C768" s="26" t="s">
        <v>63</v>
      </c>
      <c r="D768" s="26"/>
      <c r="E768" s="13" t="s">
        <v>970</v>
      </c>
      <c r="F768" s="13" t="s">
        <v>203</v>
      </c>
      <c r="G768" s="13" t="s">
        <v>202</v>
      </c>
      <c r="H768" s="13" t="s">
        <v>20</v>
      </c>
      <c r="I768" s="13" t="s">
        <v>203</v>
      </c>
      <c r="J768" s="13" t="s">
        <v>97</v>
      </c>
      <c r="K768" s="13" t="s">
        <v>107</v>
      </c>
      <c r="L768" s="13" t="s">
        <v>508</v>
      </c>
      <c r="M768" s="13" t="s">
        <v>100</v>
      </c>
      <c r="N768" s="27" t="n">
        <v>11395</v>
      </c>
      <c r="O768" s="28" t="n">
        <v>1832772.5</v>
      </c>
      <c r="P768" s="27" t="n">
        <v>11395</v>
      </c>
      <c r="Q768" s="29" t="n">
        <v>1</v>
      </c>
      <c r="R768" s="28" t="n">
        <v>59.5</v>
      </c>
      <c r="S768" s="28" t="n">
        <v>599.5</v>
      </c>
      <c r="T768" s="28" t="n">
        <v>160.84</v>
      </c>
      <c r="U768" s="13" t="n">
        <f aca="false">IFERROR(YEAR(A768),"")</f>
        <v>2024</v>
      </c>
      <c r="V768" s="28" t="n">
        <f aca="false">IFERROR(O768*B768,0)</f>
        <v>3665545</v>
      </c>
      <c r="W768" s="27" t="n">
        <f aca="false">IFERROR(N768*B768,0)</f>
        <v>22790</v>
      </c>
      <c r="X768" s="13" t="n">
        <f aca="false">IF(OR(ISNUMBER(SEARCH("live nation",L768)),ISNUMBER(SEARCH("ocesa",L768))),1,0)</f>
        <v>0</v>
      </c>
      <c r="Y768" s="13" t="s">
        <v>49</v>
      </c>
    </row>
    <row r="769" customFormat="false" ht="15" hidden="false" customHeight="false" outlineLevel="0" collapsed="false">
      <c r="A769" s="30" t="n">
        <v>45431</v>
      </c>
      <c r="B769" s="11" t="n">
        <v>1</v>
      </c>
      <c r="C769" s="31" t="s">
        <v>1021</v>
      </c>
      <c r="D769" s="31"/>
      <c r="E769" s="11" t="s">
        <v>400</v>
      </c>
      <c r="F769" s="11" t="s">
        <v>203</v>
      </c>
      <c r="G769" s="11" t="s">
        <v>202</v>
      </c>
      <c r="H769" s="11" t="s">
        <v>20</v>
      </c>
      <c r="I769" s="11" t="s">
        <v>203</v>
      </c>
      <c r="J769" s="11" t="s">
        <v>121</v>
      </c>
      <c r="K769" s="11" t="s">
        <v>107</v>
      </c>
      <c r="L769" s="11" t="s">
        <v>177</v>
      </c>
      <c r="M769" s="11" t="s">
        <v>100</v>
      </c>
      <c r="N769" s="32" t="n">
        <v>1857</v>
      </c>
      <c r="O769" s="33" t="n">
        <v>156077.5</v>
      </c>
      <c r="P769" s="32" t="n">
        <v>2007</v>
      </c>
      <c r="Q769" s="34" t="n">
        <v>0.92</v>
      </c>
      <c r="R769" s="33" t="n">
        <v>55</v>
      </c>
      <c r="S769" s="33" t="n">
        <v>165</v>
      </c>
      <c r="T769" s="33" t="n">
        <v>84.05</v>
      </c>
      <c r="U769" s="11" t="n">
        <f aca="false">IFERROR(YEAR(A769),"")</f>
        <v>2024</v>
      </c>
      <c r="V769" s="33" t="n">
        <f aca="false">IFERROR(O769*B769,0)</f>
        <v>156077.5</v>
      </c>
      <c r="W769" s="32" t="n">
        <f aca="false">IFERROR(N769*B769,0)</f>
        <v>1857</v>
      </c>
      <c r="X769" s="11" t="n">
        <f aca="false">IF(OR(ISNUMBER(SEARCH("live nation",L769)),ISNUMBER(SEARCH("ocesa",L769))),1,0)</f>
        <v>1</v>
      </c>
      <c r="Y769" s="11" t="s">
        <v>49</v>
      </c>
    </row>
    <row r="770" customFormat="false" ht="15" hidden="false" customHeight="false" outlineLevel="0" collapsed="false">
      <c r="A770" s="25" t="n">
        <v>45431</v>
      </c>
      <c r="B770" s="13" t="n">
        <v>1</v>
      </c>
      <c r="C770" s="26" t="s">
        <v>1034</v>
      </c>
      <c r="D770" s="26"/>
      <c r="E770" s="13" t="s">
        <v>111</v>
      </c>
      <c r="F770" s="13" t="s">
        <v>112</v>
      </c>
      <c r="G770" s="13"/>
      <c r="H770" s="13" t="s">
        <v>21</v>
      </c>
      <c r="I770" s="13"/>
      <c r="J770" s="13" t="s">
        <v>97</v>
      </c>
      <c r="K770" s="13" t="s">
        <v>113</v>
      </c>
      <c r="L770" s="13" t="s">
        <v>321</v>
      </c>
      <c r="M770" s="13" t="s">
        <v>100</v>
      </c>
      <c r="N770" s="27" t="n">
        <v>18000</v>
      </c>
      <c r="O770" s="28" t="n">
        <v>1271880.45</v>
      </c>
      <c r="P770" s="27" t="n">
        <v>18000</v>
      </c>
      <c r="Q770" s="29" t="n">
        <v>1</v>
      </c>
      <c r="R770" s="28" t="n">
        <v>70.66</v>
      </c>
      <c r="S770" s="28" t="n">
        <v>70.66</v>
      </c>
      <c r="T770" s="28" t="n">
        <v>70.66</v>
      </c>
      <c r="U770" s="13" t="n">
        <f aca="false">IFERROR(YEAR(A770),"")</f>
        <v>2024</v>
      </c>
      <c r="V770" s="28" t="n">
        <f aca="false">IFERROR(O770*B770,0)</f>
        <v>1271880.45</v>
      </c>
      <c r="W770" s="27" t="n">
        <f aca="false">IFERROR(N770*B770,0)</f>
        <v>18000</v>
      </c>
      <c r="X770" s="13" t="n">
        <f aca="false">IF(OR(ISNUMBER(SEARCH("live nation",L770)),ISNUMBER(SEARCH("ocesa",L770))),1,0)</f>
        <v>0</v>
      </c>
      <c r="Y770" s="13" t="s">
        <v>50</v>
      </c>
    </row>
    <row r="771" customFormat="false" ht="15" hidden="false" customHeight="false" outlineLevel="0" collapsed="false">
      <c r="A771" s="30" t="n">
        <v>45430</v>
      </c>
      <c r="B771" s="11" t="n">
        <v>1</v>
      </c>
      <c r="C771" s="31" t="s">
        <v>63</v>
      </c>
      <c r="D771" s="31"/>
      <c r="E771" s="11" t="s">
        <v>1035</v>
      </c>
      <c r="F771" s="11" t="s">
        <v>231</v>
      </c>
      <c r="G771" s="11" t="s">
        <v>202</v>
      </c>
      <c r="H771" s="11" t="s">
        <v>20</v>
      </c>
      <c r="I771" s="11" t="s">
        <v>232</v>
      </c>
      <c r="J771" s="11" t="s">
        <v>133</v>
      </c>
      <c r="K771" s="11" t="s">
        <v>107</v>
      </c>
      <c r="L771" s="11" t="s">
        <v>508</v>
      </c>
      <c r="M771" s="11" t="s">
        <v>100</v>
      </c>
      <c r="N771" s="32" t="n">
        <v>15641</v>
      </c>
      <c r="O771" s="33" t="n">
        <v>2770752.5</v>
      </c>
      <c r="P771" s="32" t="n">
        <v>20897</v>
      </c>
      <c r="Q771" s="34" t="n">
        <v>0.74</v>
      </c>
      <c r="R771" s="33" t="n">
        <v>49.5</v>
      </c>
      <c r="S771" s="33" t="n">
        <v>599.5</v>
      </c>
      <c r="T771" s="33" t="n">
        <v>177.15</v>
      </c>
      <c r="U771" s="11" t="n">
        <f aca="false">IFERROR(YEAR(A771),"")</f>
        <v>2024</v>
      </c>
      <c r="V771" s="33" t="n">
        <f aca="false">IFERROR(O771*B771,0)</f>
        <v>2770752.5</v>
      </c>
      <c r="W771" s="32" t="n">
        <f aca="false">IFERROR(N771*B771,0)</f>
        <v>15641</v>
      </c>
      <c r="X771" s="11" t="n">
        <f aca="false">IF(OR(ISNUMBER(SEARCH("live nation",L771)),ISNUMBER(SEARCH("ocesa",L771))),1,0)</f>
        <v>0</v>
      </c>
      <c r="Y771" s="11" t="s">
        <v>49</v>
      </c>
    </row>
    <row r="772" customFormat="false" ht="15" hidden="false" customHeight="false" outlineLevel="0" collapsed="false">
      <c r="A772" s="25" t="n">
        <v>45430</v>
      </c>
      <c r="B772" s="13" t="n">
        <v>2</v>
      </c>
      <c r="C772" s="26" t="s">
        <v>62</v>
      </c>
      <c r="D772" s="26"/>
      <c r="E772" s="13" t="s">
        <v>598</v>
      </c>
      <c r="F772" s="13" t="s">
        <v>370</v>
      </c>
      <c r="G772" s="13"/>
      <c r="H772" s="13" t="s">
        <v>21</v>
      </c>
      <c r="I772" s="13"/>
      <c r="J772" s="13" t="s">
        <v>133</v>
      </c>
      <c r="K772" s="13" t="s">
        <v>113</v>
      </c>
      <c r="L772" s="13" t="s">
        <v>145</v>
      </c>
      <c r="M772" s="13" t="s">
        <v>100</v>
      </c>
      <c r="N772" s="27" t="n">
        <v>50282</v>
      </c>
      <c r="O772" s="28" t="n">
        <v>5045656.95</v>
      </c>
      <c r="P772" s="27" t="n">
        <v>50567</v>
      </c>
      <c r="Q772" s="29" t="n">
        <v>0.99</v>
      </c>
      <c r="R772" s="28" t="n">
        <v>89.95</v>
      </c>
      <c r="S772" s="28" t="n">
        <v>173.47</v>
      </c>
      <c r="T772" s="28" t="n">
        <v>100.35</v>
      </c>
      <c r="U772" s="13" t="n">
        <f aca="false">IFERROR(YEAR(A772),"")</f>
        <v>2024</v>
      </c>
      <c r="V772" s="28" t="n">
        <f aca="false">IFERROR(O772*B772,0)</f>
        <v>10091313.9</v>
      </c>
      <c r="W772" s="27" t="n">
        <f aca="false">IFERROR(N772*B772,0)</f>
        <v>100564</v>
      </c>
      <c r="X772" s="13" t="n">
        <f aca="false">IF(OR(ISNUMBER(SEARCH("live nation",L772)),ISNUMBER(SEARCH("ocesa",L772))),1,0)</f>
        <v>0</v>
      </c>
      <c r="Y772" s="13" t="s">
        <v>50</v>
      </c>
    </row>
    <row r="773" customFormat="false" ht="15" hidden="false" customHeight="false" outlineLevel="0" collapsed="false">
      <c r="A773" s="30" t="n">
        <v>45430</v>
      </c>
      <c r="B773" s="11" t="n">
        <v>1</v>
      </c>
      <c r="C773" s="31" t="s">
        <v>1034</v>
      </c>
      <c r="D773" s="31"/>
      <c r="E773" s="11" t="s">
        <v>111</v>
      </c>
      <c r="F773" s="11" t="s">
        <v>112</v>
      </c>
      <c r="G773" s="11"/>
      <c r="H773" s="11" t="s">
        <v>21</v>
      </c>
      <c r="I773" s="11"/>
      <c r="J773" s="11" t="s">
        <v>97</v>
      </c>
      <c r="K773" s="11" t="s">
        <v>113</v>
      </c>
      <c r="L773" s="11" t="s">
        <v>321</v>
      </c>
      <c r="M773" s="11" t="s">
        <v>100</v>
      </c>
      <c r="N773" s="32" t="n">
        <v>18000</v>
      </c>
      <c r="O773" s="33" t="n">
        <v>1272126.26</v>
      </c>
      <c r="P773" s="32" t="n">
        <v>18000</v>
      </c>
      <c r="Q773" s="34" t="n">
        <v>1</v>
      </c>
      <c r="R773" s="33" t="n">
        <v>70.67</v>
      </c>
      <c r="S773" s="33" t="n">
        <v>70.67</v>
      </c>
      <c r="T773" s="33" t="n">
        <v>70.67</v>
      </c>
      <c r="U773" s="11" t="n">
        <f aca="false">IFERROR(YEAR(A773),"")</f>
        <v>2024</v>
      </c>
      <c r="V773" s="33" t="n">
        <f aca="false">IFERROR(O773*B773,0)</f>
        <v>1272126.26</v>
      </c>
      <c r="W773" s="32" t="n">
        <f aca="false">IFERROR(N773*B773,0)</f>
        <v>18000</v>
      </c>
      <c r="X773" s="11" t="n">
        <f aca="false">IF(OR(ISNUMBER(SEARCH("live nation",L773)),ISNUMBER(SEARCH("ocesa",L773))),1,0)</f>
        <v>0</v>
      </c>
      <c r="Y773" s="11" t="s">
        <v>50</v>
      </c>
    </row>
    <row r="774" customFormat="false" ht="15" hidden="false" customHeight="false" outlineLevel="0" collapsed="false">
      <c r="A774" s="25" t="n">
        <v>45429</v>
      </c>
      <c r="B774" s="13" t="n">
        <v>1</v>
      </c>
      <c r="C774" s="26" t="s">
        <v>1021</v>
      </c>
      <c r="D774" s="26"/>
      <c r="E774" s="13" t="s">
        <v>534</v>
      </c>
      <c r="F774" s="13" t="s">
        <v>535</v>
      </c>
      <c r="G774" s="13" t="s">
        <v>202</v>
      </c>
      <c r="H774" s="13" t="s">
        <v>20</v>
      </c>
      <c r="I774" s="13" t="s">
        <v>232</v>
      </c>
      <c r="J774" s="13" t="s">
        <v>121</v>
      </c>
      <c r="K774" s="13" t="s">
        <v>107</v>
      </c>
      <c r="L774" s="13" t="s">
        <v>390</v>
      </c>
      <c r="M774" s="13" t="s">
        <v>100</v>
      </c>
      <c r="N774" s="27" t="n">
        <v>928</v>
      </c>
      <c r="O774" s="28" t="n">
        <v>142353</v>
      </c>
      <c r="P774" s="27" t="n">
        <v>934</v>
      </c>
      <c r="Q774" s="29" t="n">
        <v>0.99</v>
      </c>
      <c r="R774" s="28" t="n">
        <v>60</v>
      </c>
      <c r="S774" s="28" t="n">
        <v>195</v>
      </c>
      <c r="T774" s="28" t="n">
        <v>153.4</v>
      </c>
      <c r="U774" s="13" t="n">
        <f aca="false">IFERROR(YEAR(A774),"")</f>
        <v>2024</v>
      </c>
      <c r="V774" s="28" t="n">
        <f aca="false">IFERROR(O774*B774,0)</f>
        <v>142353</v>
      </c>
      <c r="W774" s="27" t="n">
        <f aca="false">IFERROR(N774*B774,0)</f>
        <v>928</v>
      </c>
      <c r="X774" s="13" t="n">
        <f aca="false">IF(OR(ISNUMBER(SEARCH("live nation",L774)),ISNUMBER(SEARCH("ocesa",L774))),1,0)</f>
        <v>0</v>
      </c>
      <c r="Y774" s="13" t="s">
        <v>49</v>
      </c>
    </row>
    <row r="775" customFormat="false" ht="15" hidden="false" customHeight="false" outlineLevel="0" collapsed="false">
      <c r="A775" s="30" t="n">
        <v>45426</v>
      </c>
      <c r="B775" s="11" t="n">
        <v>1</v>
      </c>
      <c r="C775" s="31" t="s">
        <v>1036</v>
      </c>
      <c r="D775" s="31"/>
      <c r="E775" s="11" t="s">
        <v>125</v>
      </c>
      <c r="F775" s="11" t="s">
        <v>126</v>
      </c>
      <c r="G775" s="11" t="s">
        <v>127</v>
      </c>
      <c r="H775" s="11" t="s">
        <v>128</v>
      </c>
      <c r="I775" s="11"/>
      <c r="J775" s="11" t="s">
        <v>106</v>
      </c>
      <c r="K775" s="11" t="s">
        <v>129</v>
      </c>
      <c r="L775" s="11" t="s">
        <v>832</v>
      </c>
      <c r="M775" s="11" t="s">
        <v>100</v>
      </c>
      <c r="N775" s="32" t="n">
        <v>902</v>
      </c>
      <c r="O775" s="33" t="n">
        <v>40272.83</v>
      </c>
      <c r="P775" s="32" t="n">
        <v>1240</v>
      </c>
      <c r="Q775" s="34" t="n">
        <v>0.72</v>
      </c>
      <c r="R775" s="33" t="n">
        <v>32.78</v>
      </c>
      <c r="S775" s="33" t="n">
        <v>100.02</v>
      </c>
      <c r="T775" s="33" t="n">
        <v>44.65</v>
      </c>
      <c r="U775" s="11" t="n">
        <f aca="false">IFERROR(YEAR(A775),"")</f>
        <v>2024</v>
      </c>
      <c r="V775" s="33" t="n">
        <f aca="false">IFERROR(O775*B775,0)</f>
        <v>40272.83</v>
      </c>
      <c r="W775" s="32" t="n">
        <f aca="false">IFERROR(N775*B775,0)</f>
        <v>902</v>
      </c>
      <c r="X775" s="11" t="n">
        <f aca="false">IF(OR(ISNUMBER(SEARCH("live nation",L775)),ISNUMBER(SEARCH("ocesa",L775))),1,0)</f>
        <v>0</v>
      </c>
      <c r="Y775" s="11" t="s">
        <v>49</v>
      </c>
    </row>
    <row r="776" customFormat="false" ht="15" hidden="false" customHeight="false" outlineLevel="0" collapsed="false">
      <c r="A776" s="25" t="n">
        <v>45426</v>
      </c>
      <c r="B776" s="13" t="n">
        <v>1</v>
      </c>
      <c r="C776" s="26" t="s">
        <v>380</v>
      </c>
      <c r="D776" s="26"/>
      <c r="E776" s="13" t="s">
        <v>833</v>
      </c>
      <c r="F776" s="13" t="s">
        <v>834</v>
      </c>
      <c r="G776" s="13" t="s">
        <v>143</v>
      </c>
      <c r="H776" s="13" t="s">
        <v>20</v>
      </c>
      <c r="I776" s="13" t="s">
        <v>586</v>
      </c>
      <c r="J776" s="13" t="s">
        <v>121</v>
      </c>
      <c r="K776" s="13" t="s">
        <v>107</v>
      </c>
      <c r="L776" s="13" t="s">
        <v>140</v>
      </c>
      <c r="M776" s="13" t="s">
        <v>100</v>
      </c>
      <c r="N776" s="27" t="n">
        <v>2953</v>
      </c>
      <c r="O776" s="28" t="n">
        <v>330833</v>
      </c>
      <c r="P776" s="27" t="n">
        <v>3190</v>
      </c>
      <c r="Q776" s="29" t="n">
        <v>0.92</v>
      </c>
      <c r="R776" s="28" t="n">
        <v>47.5</v>
      </c>
      <c r="S776" s="28" t="n">
        <v>292.5</v>
      </c>
      <c r="T776" s="28" t="n">
        <v>112.03</v>
      </c>
      <c r="U776" s="13" t="n">
        <f aca="false">IFERROR(YEAR(A776),"")</f>
        <v>2024</v>
      </c>
      <c r="V776" s="28" t="n">
        <f aca="false">IFERROR(O776*B776,0)</f>
        <v>330833</v>
      </c>
      <c r="W776" s="27" t="n">
        <f aca="false">IFERROR(N776*B776,0)</f>
        <v>2953</v>
      </c>
      <c r="X776" s="13" t="n">
        <f aca="false">IF(OR(ISNUMBER(SEARCH("live nation",L776)),ISNUMBER(SEARCH("ocesa",L776))),1,0)</f>
        <v>0</v>
      </c>
      <c r="Y776" s="13" t="s">
        <v>49</v>
      </c>
    </row>
    <row r="777" customFormat="false" ht="15" hidden="false" customHeight="false" outlineLevel="0" collapsed="false">
      <c r="A777" s="30" t="n">
        <v>45426</v>
      </c>
      <c r="B777" s="11" t="n">
        <v>1</v>
      </c>
      <c r="C777" s="31" t="s">
        <v>63</v>
      </c>
      <c r="D777" s="31"/>
      <c r="E777" s="11" t="s">
        <v>493</v>
      </c>
      <c r="F777" s="11" t="s">
        <v>494</v>
      </c>
      <c r="G777" s="11" t="s">
        <v>188</v>
      </c>
      <c r="H777" s="11" t="s">
        <v>20</v>
      </c>
      <c r="I777" s="11" t="s">
        <v>307</v>
      </c>
      <c r="J777" s="11" t="s">
        <v>97</v>
      </c>
      <c r="K777" s="11" t="s">
        <v>107</v>
      </c>
      <c r="L777" s="11" t="s">
        <v>508</v>
      </c>
      <c r="M777" s="11" t="s">
        <v>100</v>
      </c>
      <c r="N777" s="32" t="n">
        <v>10691</v>
      </c>
      <c r="O777" s="33" t="n">
        <v>1807004.5</v>
      </c>
      <c r="P777" s="32" t="n">
        <v>13483</v>
      </c>
      <c r="Q777" s="34" t="n">
        <v>0.79</v>
      </c>
      <c r="R777" s="33" t="n">
        <v>69.5</v>
      </c>
      <c r="S777" s="33" t="n">
        <v>599.5</v>
      </c>
      <c r="T777" s="33" t="n">
        <v>169.02</v>
      </c>
      <c r="U777" s="11" t="n">
        <f aca="false">IFERROR(YEAR(A777),"")</f>
        <v>2024</v>
      </c>
      <c r="V777" s="33" t="n">
        <f aca="false">IFERROR(O777*B777,0)</f>
        <v>1807004.5</v>
      </c>
      <c r="W777" s="32" t="n">
        <f aca="false">IFERROR(N777*B777,0)</f>
        <v>10691</v>
      </c>
      <c r="X777" s="11" t="n">
        <f aca="false">IF(OR(ISNUMBER(SEARCH("live nation",L777)),ISNUMBER(SEARCH("ocesa",L777))),1,0)</f>
        <v>0</v>
      </c>
      <c r="Y777" s="11" t="s">
        <v>49</v>
      </c>
    </row>
    <row r="778" customFormat="false" ht="15" hidden="false" customHeight="false" outlineLevel="0" collapsed="false">
      <c r="A778" s="25" t="n">
        <v>45426</v>
      </c>
      <c r="B778" s="13" t="n">
        <v>1</v>
      </c>
      <c r="C778" s="26" t="s">
        <v>1021</v>
      </c>
      <c r="D778" s="26"/>
      <c r="E778" s="13" t="s">
        <v>451</v>
      </c>
      <c r="F778" s="13" t="s">
        <v>452</v>
      </c>
      <c r="G778" s="13"/>
      <c r="H778" s="13" t="s">
        <v>449</v>
      </c>
      <c r="I778" s="13"/>
      <c r="J778" s="13" t="s">
        <v>106</v>
      </c>
      <c r="K778" s="13" t="s">
        <v>173</v>
      </c>
      <c r="L778" s="13" t="s">
        <v>1016</v>
      </c>
      <c r="M778" s="13" t="s">
        <v>100</v>
      </c>
      <c r="N778" s="27" t="n">
        <v>799</v>
      </c>
      <c r="O778" s="28" t="n">
        <v>58146.24</v>
      </c>
      <c r="P778" s="27" t="n">
        <v>2900</v>
      </c>
      <c r="Q778" s="29" t="n">
        <v>0.27</v>
      </c>
      <c r="R778" s="28" t="n">
        <v>48.55</v>
      </c>
      <c r="S778" s="28" t="n">
        <v>107.88</v>
      </c>
      <c r="T778" s="28" t="n">
        <v>72.77</v>
      </c>
      <c r="U778" s="13" t="n">
        <f aca="false">IFERROR(YEAR(A778),"")</f>
        <v>2024</v>
      </c>
      <c r="V778" s="28" t="n">
        <f aca="false">IFERROR(O778*B778,0)</f>
        <v>58146.24</v>
      </c>
      <c r="W778" s="27" t="n">
        <f aca="false">IFERROR(N778*B778,0)</f>
        <v>799</v>
      </c>
      <c r="X778" s="13" t="n">
        <f aca="false">IF(OR(ISNUMBER(SEARCH("live nation",L778)),ISNUMBER(SEARCH("ocesa",L778))),1,0)</f>
        <v>0</v>
      </c>
      <c r="Y778" s="13" t="s">
        <v>49</v>
      </c>
    </row>
    <row r="779" customFormat="false" ht="15" hidden="false" customHeight="false" outlineLevel="0" collapsed="false">
      <c r="A779" s="30" t="n">
        <v>45424</v>
      </c>
      <c r="B779" s="11" t="n">
        <v>1</v>
      </c>
      <c r="C779" s="31" t="s">
        <v>1021</v>
      </c>
      <c r="D779" s="31"/>
      <c r="E779" s="11" t="s">
        <v>1037</v>
      </c>
      <c r="F779" s="11" t="s">
        <v>515</v>
      </c>
      <c r="G779" s="11"/>
      <c r="H779" s="11" t="s">
        <v>516</v>
      </c>
      <c r="I779" s="11"/>
      <c r="J779" s="11" t="s">
        <v>121</v>
      </c>
      <c r="K779" s="11" t="s">
        <v>173</v>
      </c>
      <c r="L779" s="11" t="s">
        <v>1038</v>
      </c>
      <c r="M779" s="11" t="s">
        <v>100</v>
      </c>
      <c r="N779" s="32" t="n">
        <v>911</v>
      </c>
      <c r="O779" s="33" t="n">
        <v>58216.11</v>
      </c>
      <c r="P779" s="32" t="n">
        <v>1448</v>
      </c>
      <c r="Q779" s="34" t="n">
        <v>0.62</v>
      </c>
      <c r="R779" s="33" t="n">
        <v>48.5</v>
      </c>
      <c r="S779" s="33" t="n">
        <v>97.01</v>
      </c>
      <c r="T779" s="33" t="n">
        <v>63.9</v>
      </c>
      <c r="U779" s="11" t="n">
        <f aca="false">IFERROR(YEAR(A779),"")</f>
        <v>2024</v>
      </c>
      <c r="V779" s="33" t="n">
        <f aca="false">IFERROR(O779*B779,0)</f>
        <v>58216.11</v>
      </c>
      <c r="W779" s="32" t="n">
        <f aca="false">IFERROR(N779*B779,0)</f>
        <v>911</v>
      </c>
      <c r="X779" s="11" t="n">
        <f aca="false">IF(OR(ISNUMBER(SEARCH("live nation",L779)),ISNUMBER(SEARCH("ocesa",L779))),1,0)</f>
        <v>0</v>
      </c>
      <c r="Y779" s="11" t="s">
        <v>50</v>
      </c>
    </row>
    <row r="780" customFormat="false" ht="15" hidden="false" customHeight="false" outlineLevel="0" collapsed="false">
      <c r="A780" s="25" t="n">
        <v>45424</v>
      </c>
      <c r="B780" s="13" t="n">
        <v>1</v>
      </c>
      <c r="C780" s="26" t="s">
        <v>1039</v>
      </c>
      <c r="D780" s="26" t="s">
        <v>1040</v>
      </c>
      <c r="E780" s="13" t="s">
        <v>111</v>
      </c>
      <c r="F780" s="13" t="s">
        <v>112</v>
      </c>
      <c r="G780" s="13"/>
      <c r="H780" s="13" t="s">
        <v>21</v>
      </c>
      <c r="I780" s="13"/>
      <c r="J780" s="13" t="s">
        <v>97</v>
      </c>
      <c r="K780" s="13" t="s">
        <v>113</v>
      </c>
      <c r="L780" s="13" t="s">
        <v>359</v>
      </c>
      <c r="M780" s="13" t="s">
        <v>100</v>
      </c>
      <c r="N780" s="27" t="n">
        <v>17893</v>
      </c>
      <c r="O780" s="28" t="n">
        <v>1493237.12</v>
      </c>
      <c r="P780" s="27" t="n">
        <v>17893</v>
      </c>
      <c r="Q780" s="29" t="n">
        <v>1</v>
      </c>
      <c r="R780" s="28" t="n">
        <v>83.45</v>
      </c>
      <c r="S780" s="28" t="n">
        <v>83.45</v>
      </c>
      <c r="T780" s="28" t="n">
        <v>83.45</v>
      </c>
      <c r="U780" s="13" t="n">
        <f aca="false">IFERROR(YEAR(A780),"")</f>
        <v>2024</v>
      </c>
      <c r="V780" s="28" t="n">
        <f aca="false">IFERROR(O780*B780,0)</f>
        <v>1493237.12</v>
      </c>
      <c r="W780" s="27" t="n">
        <f aca="false">IFERROR(N780*B780,0)</f>
        <v>17893</v>
      </c>
      <c r="X780" s="13" t="n">
        <f aca="false">IF(OR(ISNUMBER(SEARCH("live nation",L780)),ISNUMBER(SEARCH("ocesa",L780))),1,0)</f>
        <v>0</v>
      </c>
      <c r="Y780" s="13" t="s">
        <v>50</v>
      </c>
    </row>
    <row r="781" customFormat="false" ht="15" hidden="false" customHeight="false" outlineLevel="0" collapsed="false">
      <c r="A781" s="30" t="n">
        <v>45423</v>
      </c>
      <c r="B781" s="11" t="n">
        <v>1</v>
      </c>
      <c r="C781" s="31" t="s">
        <v>1039</v>
      </c>
      <c r="D781" s="31" t="s">
        <v>1041</v>
      </c>
      <c r="E781" s="11" t="s">
        <v>111</v>
      </c>
      <c r="F781" s="11" t="s">
        <v>112</v>
      </c>
      <c r="G781" s="11"/>
      <c r="H781" s="11" t="s">
        <v>21</v>
      </c>
      <c r="I781" s="11"/>
      <c r="J781" s="11" t="s">
        <v>97</v>
      </c>
      <c r="K781" s="11" t="s">
        <v>113</v>
      </c>
      <c r="L781" s="11" t="s">
        <v>359</v>
      </c>
      <c r="M781" s="11" t="s">
        <v>100</v>
      </c>
      <c r="N781" s="32" t="n">
        <v>17893</v>
      </c>
      <c r="O781" s="33" t="n">
        <v>1493141.16</v>
      </c>
      <c r="P781" s="32" t="n">
        <v>17893</v>
      </c>
      <c r="Q781" s="34" t="n">
        <v>1</v>
      </c>
      <c r="R781" s="33" t="n">
        <v>83.45</v>
      </c>
      <c r="S781" s="33" t="n">
        <v>83.45</v>
      </c>
      <c r="T781" s="33" t="n">
        <v>83.45</v>
      </c>
      <c r="U781" s="11" t="n">
        <f aca="false">IFERROR(YEAR(A781),"")</f>
        <v>2024</v>
      </c>
      <c r="V781" s="33" t="n">
        <f aca="false">IFERROR(O781*B781,0)</f>
        <v>1493141.16</v>
      </c>
      <c r="W781" s="32" t="n">
        <f aca="false">IFERROR(N781*B781,0)</f>
        <v>17893</v>
      </c>
      <c r="X781" s="11" t="n">
        <f aca="false">IF(OR(ISNUMBER(SEARCH("live nation",L781)),ISNUMBER(SEARCH("ocesa",L781))),1,0)</f>
        <v>0</v>
      </c>
      <c r="Y781" s="11" t="s">
        <v>50</v>
      </c>
    </row>
    <row r="782" customFormat="false" ht="15" hidden="false" customHeight="false" outlineLevel="0" collapsed="false">
      <c r="A782" s="25" t="n">
        <v>45421</v>
      </c>
      <c r="B782" s="13" t="n">
        <v>1</v>
      </c>
      <c r="C782" s="26" t="s">
        <v>1021</v>
      </c>
      <c r="D782" s="26"/>
      <c r="E782" s="13" t="s">
        <v>1042</v>
      </c>
      <c r="F782" s="13" t="s">
        <v>979</v>
      </c>
      <c r="G782" s="13"/>
      <c r="H782" s="13" t="s">
        <v>1043</v>
      </c>
      <c r="I782" s="13"/>
      <c r="J782" s="13" t="s">
        <v>121</v>
      </c>
      <c r="K782" s="13" t="s">
        <v>1044</v>
      </c>
      <c r="L782" s="13" t="s">
        <v>122</v>
      </c>
      <c r="M782" s="13" t="s">
        <v>100</v>
      </c>
      <c r="N782" s="27" t="n">
        <v>627</v>
      </c>
      <c r="O782" s="28" t="n">
        <v>48911.86</v>
      </c>
      <c r="P782" s="27" t="n">
        <v>1750</v>
      </c>
      <c r="Q782" s="29" t="n">
        <v>0.35</v>
      </c>
      <c r="R782" s="28" t="n">
        <v>62.23</v>
      </c>
      <c r="S782" s="28" t="n">
        <v>62.23</v>
      </c>
      <c r="T782" s="28" t="n">
        <v>78.01</v>
      </c>
      <c r="U782" s="13" t="n">
        <f aca="false">IFERROR(YEAR(A782),"")</f>
        <v>2024</v>
      </c>
      <c r="V782" s="28" t="n">
        <f aca="false">IFERROR(O782*B782,0)</f>
        <v>48911.86</v>
      </c>
      <c r="W782" s="27" t="n">
        <f aca="false">IFERROR(N782*B782,0)</f>
        <v>627</v>
      </c>
      <c r="X782" s="13" t="n">
        <f aca="false">IF(OR(ISNUMBER(SEARCH("live nation",L782)),ISNUMBER(SEARCH("ocesa",L782))),1,0)</f>
        <v>0</v>
      </c>
      <c r="Y782" s="13" t="s">
        <v>49</v>
      </c>
    </row>
    <row r="783" customFormat="false" ht="15" hidden="false" customHeight="false" outlineLevel="0" collapsed="false">
      <c r="A783" s="30" t="n">
        <v>45417</v>
      </c>
      <c r="B783" s="11" t="n">
        <v>1</v>
      </c>
      <c r="C783" s="31" t="s">
        <v>1045</v>
      </c>
      <c r="D783" s="31"/>
      <c r="E783" s="11" t="s">
        <v>111</v>
      </c>
      <c r="F783" s="11" t="s">
        <v>112</v>
      </c>
      <c r="G783" s="11"/>
      <c r="H783" s="11" t="s">
        <v>21</v>
      </c>
      <c r="I783" s="11"/>
      <c r="J783" s="11" t="s">
        <v>97</v>
      </c>
      <c r="K783" s="11" t="s">
        <v>113</v>
      </c>
      <c r="L783" s="11" t="s">
        <v>359</v>
      </c>
      <c r="M783" s="11" t="s">
        <v>100</v>
      </c>
      <c r="N783" s="32" t="n">
        <v>18722</v>
      </c>
      <c r="O783" s="33" t="n">
        <v>978576.39</v>
      </c>
      <c r="P783" s="32" t="n">
        <v>18722</v>
      </c>
      <c r="Q783" s="34" t="n">
        <v>1</v>
      </c>
      <c r="R783" s="33" t="n">
        <v>52.27</v>
      </c>
      <c r="S783" s="33" t="n">
        <v>52.27</v>
      </c>
      <c r="T783" s="33" t="n">
        <v>52.27</v>
      </c>
      <c r="U783" s="11" t="n">
        <f aca="false">IFERROR(YEAR(A783),"")</f>
        <v>2024</v>
      </c>
      <c r="V783" s="33" t="n">
        <f aca="false">IFERROR(O783*B783,0)</f>
        <v>978576.39</v>
      </c>
      <c r="W783" s="32" t="n">
        <f aca="false">IFERROR(N783*B783,0)</f>
        <v>18722</v>
      </c>
      <c r="X783" s="11" t="n">
        <f aca="false">IF(OR(ISNUMBER(SEARCH("live nation",L783)),ISNUMBER(SEARCH("ocesa",L783))),1,0)</f>
        <v>0</v>
      </c>
      <c r="Y783" s="11" t="s">
        <v>50</v>
      </c>
    </row>
    <row r="784" customFormat="false" ht="15" hidden="false" customHeight="false" outlineLevel="0" collapsed="false">
      <c r="A784" s="25" t="n">
        <v>45416</v>
      </c>
      <c r="B784" s="13" t="n">
        <v>1</v>
      </c>
      <c r="C784" s="26" t="s">
        <v>1045</v>
      </c>
      <c r="D784" s="26"/>
      <c r="E784" s="13" t="s">
        <v>111</v>
      </c>
      <c r="F784" s="13" t="s">
        <v>112</v>
      </c>
      <c r="G784" s="13"/>
      <c r="H784" s="13" t="s">
        <v>21</v>
      </c>
      <c r="I784" s="13"/>
      <c r="J784" s="13" t="s">
        <v>97</v>
      </c>
      <c r="K784" s="13" t="s">
        <v>113</v>
      </c>
      <c r="L784" s="13" t="s">
        <v>359</v>
      </c>
      <c r="M784" s="13" t="s">
        <v>100</v>
      </c>
      <c r="N784" s="27" t="n">
        <v>18722</v>
      </c>
      <c r="O784" s="28" t="n">
        <v>978576.18</v>
      </c>
      <c r="P784" s="27" t="n">
        <v>18722</v>
      </c>
      <c r="Q784" s="29" t="n">
        <v>1</v>
      </c>
      <c r="R784" s="28" t="n">
        <v>52.27</v>
      </c>
      <c r="S784" s="28" t="n">
        <v>52.27</v>
      </c>
      <c r="T784" s="28" t="n">
        <v>52.27</v>
      </c>
      <c r="U784" s="13" t="n">
        <f aca="false">IFERROR(YEAR(A784),"")</f>
        <v>2024</v>
      </c>
      <c r="V784" s="28" t="n">
        <f aca="false">IFERROR(O784*B784,0)</f>
        <v>978576.18</v>
      </c>
      <c r="W784" s="27" t="n">
        <f aca="false">IFERROR(N784*B784,0)</f>
        <v>18722</v>
      </c>
      <c r="X784" s="13" t="n">
        <f aca="false">IF(OR(ISNUMBER(SEARCH("live nation",L784)),ISNUMBER(SEARCH("ocesa",L784))),1,0)</f>
        <v>0</v>
      </c>
      <c r="Y784" s="13" t="s">
        <v>50</v>
      </c>
    </row>
    <row r="785" customFormat="false" ht="15" hidden="false" customHeight="false" outlineLevel="0" collapsed="false">
      <c r="A785" s="30" t="n">
        <v>45415</v>
      </c>
      <c r="B785" s="11" t="n">
        <v>3</v>
      </c>
      <c r="C785" s="31" t="s">
        <v>63</v>
      </c>
      <c r="D785" s="31"/>
      <c r="E785" s="11" t="s">
        <v>1046</v>
      </c>
      <c r="F785" s="11" t="s">
        <v>147</v>
      </c>
      <c r="G785" s="11"/>
      <c r="H785" s="11" t="s">
        <v>24</v>
      </c>
      <c r="I785" s="11"/>
      <c r="J785" s="11" t="s">
        <v>97</v>
      </c>
      <c r="K785" s="11" t="s">
        <v>148</v>
      </c>
      <c r="L785" s="11" t="s">
        <v>145</v>
      </c>
      <c r="M785" s="11" t="s">
        <v>100</v>
      </c>
      <c r="N785" s="32" t="n">
        <v>10708</v>
      </c>
      <c r="O785" s="33" t="n">
        <v>1188467.26</v>
      </c>
      <c r="P785" s="32" t="n">
        <v>10772</v>
      </c>
      <c r="Q785" s="34" t="n">
        <v>0.99</v>
      </c>
      <c r="R785" s="33" t="n">
        <v>112.96</v>
      </c>
      <c r="S785" s="33" t="n">
        <v>145.24</v>
      </c>
      <c r="T785" s="33" t="n">
        <v>110.99</v>
      </c>
      <c r="U785" s="11" t="n">
        <f aca="false">IFERROR(YEAR(A785),"")</f>
        <v>2024</v>
      </c>
      <c r="V785" s="33" t="n">
        <f aca="false">IFERROR(O785*B785,0)</f>
        <v>3565401.78</v>
      </c>
      <c r="W785" s="32" t="n">
        <f aca="false">IFERROR(N785*B785,0)</f>
        <v>32124</v>
      </c>
      <c r="X785" s="11" t="n">
        <f aca="false">IF(OR(ISNUMBER(SEARCH("live nation",L785)),ISNUMBER(SEARCH("ocesa",L785))),1,0)</f>
        <v>0</v>
      </c>
      <c r="Y785" s="11" t="s">
        <v>50</v>
      </c>
    </row>
    <row r="786" customFormat="false" ht="15" hidden="false" customHeight="false" outlineLevel="0" collapsed="false">
      <c r="A786" s="25" t="n">
        <v>45415</v>
      </c>
      <c r="B786" s="13" t="n">
        <v>1</v>
      </c>
      <c r="C786" s="26" t="s">
        <v>64</v>
      </c>
      <c r="D786" s="26"/>
      <c r="E786" s="13" t="s">
        <v>355</v>
      </c>
      <c r="F786" s="13" t="s">
        <v>356</v>
      </c>
      <c r="G786" s="13" t="s">
        <v>139</v>
      </c>
      <c r="H786" s="13" t="s">
        <v>20</v>
      </c>
      <c r="I786" s="13" t="s">
        <v>139</v>
      </c>
      <c r="J786" s="13" t="s">
        <v>97</v>
      </c>
      <c r="K786" s="13" t="s">
        <v>107</v>
      </c>
      <c r="L786" s="13" t="s">
        <v>508</v>
      </c>
      <c r="M786" s="13" t="s">
        <v>100</v>
      </c>
      <c r="N786" s="27" t="n">
        <v>12224</v>
      </c>
      <c r="O786" s="28" t="n">
        <v>2378288</v>
      </c>
      <c r="P786" s="27" t="n">
        <v>12224</v>
      </c>
      <c r="Q786" s="29" t="n">
        <v>1</v>
      </c>
      <c r="R786" s="28" t="n">
        <v>59.5</v>
      </c>
      <c r="S786" s="28" t="n">
        <v>549.5</v>
      </c>
      <c r="T786" s="28" t="n">
        <v>194.56</v>
      </c>
      <c r="U786" s="13" t="n">
        <f aca="false">IFERROR(YEAR(A786),"")</f>
        <v>2024</v>
      </c>
      <c r="V786" s="28" t="n">
        <f aca="false">IFERROR(O786*B786,0)</f>
        <v>2378288</v>
      </c>
      <c r="W786" s="27" t="n">
        <f aca="false">IFERROR(N786*B786,0)</f>
        <v>12224</v>
      </c>
      <c r="X786" s="13" t="n">
        <f aca="false">IF(OR(ISNUMBER(SEARCH("live nation",L786)),ISNUMBER(SEARCH("ocesa",L786))),1,0)</f>
        <v>0</v>
      </c>
      <c r="Y786" s="13" t="s">
        <v>49</v>
      </c>
    </row>
    <row r="787" customFormat="false" ht="15" hidden="false" customHeight="false" outlineLevel="0" collapsed="false">
      <c r="A787" s="30" t="n">
        <v>45413</v>
      </c>
      <c r="B787" s="11" t="n">
        <v>1</v>
      </c>
      <c r="C787" s="31" t="s">
        <v>64</v>
      </c>
      <c r="D787" s="31"/>
      <c r="E787" s="11" t="s">
        <v>206</v>
      </c>
      <c r="F787" s="11" t="s">
        <v>207</v>
      </c>
      <c r="G787" s="11" t="s">
        <v>208</v>
      </c>
      <c r="H787" s="11" t="s">
        <v>20</v>
      </c>
      <c r="I787" s="11" t="s">
        <v>209</v>
      </c>
      <c r="J787" s="11" t="s">
        <v>97</v>
      </c>
      <c r="K787" s="11" t="s">
        <v>107</v>
      </c>
      <c r="L787" s="11" t="s">
        <v>508</v>
      </c>
      <c r="M787" s="11" t="s">
        <v>100</v>
      </c>
      <c r="N787" s="32" t="n">
        <v>11428</v>
      </c>
      <c r="O787" s="33" t="n">
        <v>2066844.5</v>
      </c>
      <c r="P787" s="32" t="n">
        <v>11428</v>
      </c>
      <c r="Q787" s="34" t="n">
        <v>1</v>
      </c>
      <c r="R787" s="33" t="n">
        <v>59.5</v>
      </c>
      <c r="S787" s="33" t="n">
        <v>599.5</v>
      </c>
      <c r="T787" s="33" t="n">
        <v>180.86</v>
      </c>
      <c r="U787" s="11" t="n">
        <f aca="false">IFERROR(YEAR(A787),"")</f>
        <v>2024</v>
      </c>
      <c r="V787" s="33" t="n">
        <f aca="false">IFERROR(O787*B787,0)</f>
        <v>2066844.5</v>
      </c>
      <c r="W787" s="32" t="n">
        <f aca="false">IFERROR(N787*B787,0)</f>
        <v>11428</v>
      </c>
      <c r="X787" s="11" t="n">
        <f aca="false">IF(OR(ISNUMBER(SEARCH("live nation",L787)),ISNUMBER(SEARCH("ocesa",L787))),1,0)</f>
        <v>0</v>
      </c>
      <c r="Y787" s="11" t="s">
        <v>49</v>
      </c>
    </row>
    <row r="788" customFormat="false" ht="15" hidden="false" customHeight="false" outlineLevel="0" collapsed="false">
      <c r="A788" s="25" t="n">
        <v>45410</v>
      </c>
      <c r="B788" s="13" t="n">
        <v>1</v>
      </c>
      <c r="C788" s="26" t="s">
        <v>64</v>
      </c>
      <c r="D788" s="26"/>
      <c r="E788" s="13" t="s">
        <v>493</v>
      </c>
      <c r="F788" s="13" t="s">
        <v>494</v>
      </c>
      <c r="G788" s="13" t="s">
        <v>188</v>
      </c>
      <c r="H788" s="13" t="s">
        <v>20</v>
      </c>
      <c r="I788" s="13" t="s">
        <v>307</v>
      </c>
      <c r="J788" s="13" t="s">
        <v>97</v>
      </c>
      <c r="K788" s="13" t="s">
        <v>107</v>
      </c>
      <c r="L788" s="13" t="s">
        <v>508</v>
      </c>
      <c r="M788" s="13" t="s">
        <v>100</v>
      </c>
      <c r="N788" s="27" t="n">
        <v>15684</v>
      </c>
      <c r="O788" s="28" t="n">
        <v>2461058</v>
      </c>
      <c r="P788" s="27" t="n">
        <v>15684</v>
      </c>
      <c r="Q788" s="29" t="n">
        <v>1</v>
      </c>
      <c r="R788" s="28" t="n">
        <v>59.5</v>
      </c>
      <c r="S788" s="28" t="n">
        <v>599.5</v>
      </c>
      <c r="T788" s="28" t="n">
        <v>156.92</v>
      </c>
      <c r="U788" s="13" t="n">
        <f aca="false">IFERROR(YEAR(A788),"")</f>
        <v>2024</v>
      </c>
      <c r="V788" s="28" t="n">
        <f aca="false">IFERROR(O788*B788,0)</f>
        <v>2461058</v>
      </c>
      <c r="W788" s="27" t="n">
        <f aca="false">IFERROR(N788*B788,0)</f>
        <v>15684</v>
      </c>
      <c r="X788" s="13" t="n">
        <f aca="false">IF(OR(ISNUMBER(SEARCH("live nation",L788)),ISNUMBER(SEARCH("ocesa",L788))),1,0)</f>
        <v>0</v>
      </c>
      <c r="Y788" s="13" t="s">
        <v>49</v>
      </c>
    </row>
    <row r="789" customFormat="false" ht="15" hidden="false" customHeight="false" outlineLevel="0" collapsed="false">
      <c r="A789" s="30" t="n">
        <v>45410</v>
      </c>
      <c r="B789" s="11" t="n">
        <v>1</v>
      </c>
      <c r="C789" s="31" t="s">
        <v>268</v>
      </c>
      <c r="D789" s="31"/>
      <c r="E789" s="11" t="s">
        <v>1047</v>
      </c>
      <c r="F789" s="11" t="s">
        <v>112</v>
      </c>
      <c r="G789" s="11"/>
      <c r="H789" s="11" t="s">
        <v>21</v>
      </c>
      <c r="I789" s="11"/>
      <c r="J789" s="11" t="s">
        <v>97</v>
      </c>
      <c r="K789" s="11" t="s">
        <v>113</v>
      </c>
      <c r="L789" s="11" t="s">
        <v>250</v>
      </c>
      <c r="M789" s="11" t="s">
        <v>270</v>
      </c>
      <c r="N789" s="32" t="n">
        <v>10000</v>
      </c>
      <c r="O789" s="33" t="n">
        <v>648350.73</v>
      </c>
      <c r="P789" s="32" t="n">
        <v>10000</v>
      </c>
      <c r="Q789" s="34" t="n">
        <v>1</v>
      </c>
      <c r="R789" s="33" t="n">
        <v>64.84</v>
      </c>
      <c r="S789" s="33" t="n">
        <v>64.84</v>
      </c>
      <c r="T789" s="33" t="n">
        <v>64.84</v>
      </c>
      <c r="U789" s="11" t="n">
        <f aca="false">IFERROR(YEAR(A789),"")</f>
        <v>2024</v>
      </c>
      <c r="V789" s="33" t="n">
        <f aca="false">IFERROR(O789*B789,0)</f>
        <v>648350.73</v>
      </c>
      <c r="W789" s="32" t="n">
        <f aca="false">IFERROR(N789*B789,0)</f>
        <v>10000</v>
      </c>
      <c r="X789" s="11" t="n">
        <f aca="false">IF(OR(ISNUMBER(SEARCH("live nation",L789)),ISNUMBER(SEARCH("ocesa",L789))),1,0)</f>
        <v>0</v>
      </c>
      <c r="Y789" s="11" t="s">
        <v>50</v>
      </c>
    </row>
    <row r="790" customFormat="false" ht="15" hidden="false" customHeight="false" outlineLevel="0" collapsed="false">
      <c r="A790" s="25" t="n">
        <v>45409</v>
      </c>
      <c r="B790" s="13" t="n">
        <v>2</v>
      </c>
      <c r="C790" s="26" t="s">
        <v>62</v>
      </c>
      <c r="D790" s="26"/>
      <c r="E790" s="13" t="s">
        <v>1048</v>
      </c>
      <c r="F790" s="13" t="s">
        <v>147</v>
      </c>
      <c r="G790" s="13"/>
      <c r="H790" s="13" t="s">
        <v>24</v>
      </c>
      <c r="I790" s="13"/>
      <c r="J790" s="13" t="s">
        <v>133</v>
      </c>
      <c r="K790" s="13" t="s">
        <v>148</v>
      </c>
      <c r="L790" s="13" t="s">
        <v>145</v>
      </c>
      <c r="M790" s="13" t="s">
        <v>100</v>
      </c>
      <c r="N790" s="27" t="n">
        <v>35762</v>
      </c>
      <c r="O790" s="28" t="n">
        <v>3569571.92</v>
      </c>
      <c r="P790" s="27" t="n">
        <v>36008</v>
      </c>
      <c r="Q790" s="29" t="n">
        <v>0.99</v>
      </c>
      <c r="R790" s="28" t="n">
        <v>96.13</v>
      </c>
      <c r="S790" s="28" t="n">
        <v>144.19</v>
      </c>
      <c r="T790" s="28" t="n">
        <v>99.81</v>
      </c>
      <c r="U790" s="13" t="n">
        <f aca="false">IFERROR(YEAR(A790),"")</f>
        <v>2024</v>
      </c>
      <c r="V790" s="28" t="n">
        <f aca="false">IFERROR(O790*B790,0)</f>
        <v>7139143.84</v>
      </c>
      <c r="W790" s="27" t="n">
        <f aca="false">IFERROR(N790*B790,0)</f>
        <v>71524</v>
      </c>
      <c r="X790" s="13" t="n">
        <f aca="false">IF(OR(ISNUMBER(SEARCH("live nation",L790)),ISNUMBER(SEARCH("ocesa",L790))),1,0)</f>
        <v>0</v>
      </c>
      <c r="Y790" s="13" t="s">
        <v>50</v>
      </c>
    </row>
    <row r="791" customFormat="false" ht="15" hidden="false" customHeight="false" outlineLevel="0" collapsed="false">
      <c r="A791" s="30" t="n">
        <v>45409</v>
      </c>
      <c r="B791" s="11" t="n">
        <v>1</v>
      </c>
      <c r="C791" s="31" t="s">
        <v>268</v>
      </c>
      <c r="D791" s="31"/>
      <c r="E791" s="11" t="s">
        <v>1047</v>
      </c>
      <c r="F791" s="11" t="s">
        <v>112</v>
      </c>
      <c r="G791" s="11"/>
      <c r="H791" s="11" t="s">
        <v>21</v>
      </c>
      <c r="I791" s="11"/>
      <c r="J791" s="11" t="s">
        <v>97</v>
      </c>
      <c r="K791" s="11" t="s">
        <v>113</v>
      </c>
      <c r="L791" s="11" t="s">
        <v>250</v>
      </c>
      <c r="M791" s="11" t="s">
        <v>270</v>
      </c>
      <c r="N791" s="32" t="n">
        <v>10000</v>
      </c>
      <c r="O791" s="33" t="n">
        <v>648350.73</v>
      </c>
      <c r="P791" s="32" t="n">
        <v>10000</v>
      </c>
      <c r="Q791" s="34" t="n">
        <v>1</v>
      </c>
      <c r="R791" s="33" t="n">
        <v>64.84</v>
      </c>
      <c r="S791" s="33" t="n">
        <v>64.84</v>
      </c>
      <c r="T791" s="33" t="n">
        <v>64.84</v>
      </c>
      <c r="U791" s="11" t="n">
        <f aca="false">IFERROR(YEAR(A791),"")</f>
        <v>2024</v>
      </c>
      <c r="V791" s="33" t="n">
        <f aca="false">IFERROR(O791*B791,0)</f>
        <v>648350.73</v>
      </c>
      <c r="W791" s="32" t="n">
        <f aca="false">IFERROR(N791*B791,0)</f>
        <v>10000</v>
      </c>
      <c r="X791" s="11" t="n">
        <f aca="false">IF(OR(ISNUMBER(SEARCH("live nation",L791)),ISNUMBER(SEARCH("ocesa",L791))),1,0)</f>
        <v>0</v>
      </c>
      <c r="Y791" s="11" t="s">
        <v>50</v>
      </c>
    </row>
    <row r="792" customFormat="false" ht="15" hidden="false" customHeight="false" outlineLevel="0" collapsed="false">
      <c r="A792" s="25" t="n">
        <v>45408</v>
      </c>
      <c r="B792" s="13" t="n">
        <v>1</v>
      </c>
      <c r="C792" s="26" t="s">
        <v>64</v>
      </c>
      <c r="D792" s="26"/>
      <c r="E792" s="13" t="s">
        <v>230</v>
      </c>
      <c r="F792" s="13" t="s">
        <v>231</v>
      </c>
      <c r="G792" s="13" t="s">
        <v>202</v>
      </c>
      <c r="H792" s="13" t="s">
        <v>20</v>
      </c>
      <c r="I792" s="13" t="s">
        <v>232</v>
      </c>
      <c r="J792" s="13" t="s">
        <v>97</v>
      </c>
      <c r="K792" s="13" t="s">
        <v>107</v>
      </c>
      <c r="L792" s="13" t="s">
        <v>508</v>
      </c>
      <c r="M792" s="13" t="s">
        <v>100</v>
      </c>
      <c r="N792" s="27" t="n">
        <v>11950</v>
      </c>
      <c r="O792" s="28" t="n">
        <v>2249735</v>
      </c>
      <c r="P792" s="27" t="n">
        <v>11950</v>
      </c>
      <c r="Q792" s="29" t="n">
        <v>1</v>
      </c>
      <c r="R792" s="28" t="n">
        <v>59.5</v>
      </c>
      <c r="S792" s="28" t="n">
        <v>599.5</v>
      </c>
      <c r="T792" s="28" t="n">
        <v>188.26</v>
      </c>
      <c r="U792" s="13" t="n">
        <f aca="false">IFERROR(YEAR(A792),"")</f>
        <v>2024</v>
      </c>
      <c r="V792" s="28" t="n">
        <f aca="false">IFERROR(O792*B792,0)</f>
        <v>2249735</v>
      </c>
      <c r="W792" s="27" t="n">
        <f aca="false">IFERROR(N792*B792,0)</f>
        <v>11950</v>
      </c>
      <c r="X792" s="13" t="n">
        <f aca="false">IF(OR(ISNUMBER(SEARCH("live nation",L792)),ISNUMBER(SEARCH("ocesa",L792))),1,0)</f>
        <v>0</v>
      </c>
      <c r="Y792" s="13" t="s">
        <v>49</v>
      </c>
    </row>
    <row r="793" customFormat="false" ht="15" hidden="false" customHeight="false" outlineLevel="0" collapsed="false">
      <c r="A793" s="30" t="n">
        <v>45406</v>
      </c>
      <c r="B793" s="11" t="n">
        <v>1</v>
      </c>
      <c r="C793" s="31" t="s">
        <v>64</v>
      </c>
      <c r="D793" s="31"/>
      <c r="E793" s="11" t="s">
        <v>618</v>
      </c>
      <c r="F793" s="11" t="s">
        <v>619</v>
      </c>
      <c r="G793" s="11" t="s">
        <v>202</v>
      </c>
      <c r="H793" s="11" t="s">
        <v>20</v>
      </c>
      <c r="I793" s="11" t="s">
        <v>203</v>
      </c>
      <c r="J793" s="11" t="s">
        <v>97</v>
      </c>
      <c r="K793" s="11" t="s">
        <v>107</v>
      </c>
      <c r="L793" s="11" t="s">
        <v>508</v>
      </c>
      <c r="M793" s="11" t="s">
        <v>100</v>
      </c>
      <c r="N793" s="32" t="n">
        <v>11108</v>
      </c>
      <c r="O793" s="33" t="n">
        <v>2598603.31</v>
      </c>
      <c r="P793" s="32" t="n">
        <v>11212</v>
      </c>
      <c r="Q793" s="34" t="n">
        <v>0.99</v>
      </c>
      <c r="R793" s="33" t="n">
        <v>64.5</v>
      </c>
      <c r="S793" s="33" t="n">
        <v>604.5</v>
      </c>
      <c r="T793" s="33" t="n">
        <v>233.94</v>
      </c>
      <c r="U793" s="11" t="n">
        <f aca="false">IFERROR(YEAR(A793),"")</f>
        <v>2024</v>
      </c>
      <c r="V793" s="33" t="n">
        <f aca="false">IFERROR(O793*B793,0)</f>
        <v>2598603.31</v>
      </c>
      <c r="W793" s="32" t="n">
        <f aca="false">IFERROR(N793*B793,0)</f>
        <v>11108</v>
      </c>
      <c r="X793" s="11" t="n">
        <f aca="false">IF(OR(ISNUMBER(SEARCH("live nation",L793)),ISNUMBER(SEARCH("ocesa",L793))),1,0)</f>
        <v>0</v>
      </c>
      <c r="Y793" s="11" t="s">
        <v>49</v>
      </c>
    </row>
    <row r="794" customFormat="false" ht="15" hidden="false" customHeight="false" outlineLevel="0" collapsed="false">
      <c r="A794" s="25" t="n">
        <v>45400</v>
      </c>
      <c r="B794" s="13" t="n">
        <v>1</v>
      </c>
      <c r="C794" s="26" t="s">
        <v>1009</v>
      </c>
      <c r="D794" s="26" t="s">
        <v>1049</v>
      </c>
      <c r="E794" s="13" t="s">
        <v>155</v>
      </c>
      <c r="F794" s="13" t="s">
        <v>156</v>
      </c>
      <c r="G794" s="13"/>
      <c r="H794" s="13" t="s">
        <v>157</v>
      </c>
      <c r="I794" s="13"/>
      <c r="J794" s="13" t="s">
        <v>97</v>
      </c>
      <c r="K794" s="13" t="s">
        <v>158</v>
      </c>
      <c r="L794" s="13" t="s">
        <v>159</v>
      </c>
      <c r="M794" s="13" t="s">
        <v>100</v>
      </c>
      <c r="N794" s="27" t="n">
        <v>13101</v>
      </c>
      <c r="O794" s="28" t="n">
        <v>727991.17</v>
      </c>
      <c r="P794" s="27" t="n">
        <v>13101</v>
      </c>
      <c r="Q794" s="29" t="n">
        <v>1</v>
      </c>
      <c r="R794" s="28" t="n">
        <v>40.86</v>
      </c>
      <c r="S794" s="28" t="n">
        <v>71.51</v>
      </c>
      <c r="T794" s="28" t="n">
        <v>55.57</v>
      </c>
      <c r="U794" s="13" t="n">
        <f aca="false">IFERROR(YEAR(A794),"")</f>
        <v>2024</v>
      </c>
      <c r="V794" s="28" t="n">
        <f aca="false">IFERROR(O794*B794,0)</f>
        <v>727991.17</v>
      </c>
      <c r="W794" s="27" t="n">
        <f aca="false">IFERROR(N794*B794,0)</f>
        <v>13101</v>
      </c>
      <c r="X794" s="13" t="n">
        <f aca="false">IF(OR(ISNUMBER(SEARCH("live nation",L794)),ISNUMBER(SEARCH("ocesa",L794))),1,0)</f>
        <v>1</v>
      </c>
      <c r="Y794" s="13" t="s">
        <v>49</v>
      </c>
    </row>
    <row r="795" customFormat="false" ht="15" hidden="false" customHeight="false" outlineLevel="0" collapsed="false">
      <c r="A795" s="30" t="n">
        <v>45397</v>
      </c>
      <c r="B795" s="11" t="n">
        <v>1</v>
      </c>
      <c r="C795" s="31" t="s">
        <v>1009</v>
      </c>
      <c r="D795" s="31"/>
      <c r="E795" s="11" t="s">
        <v>588</v>
      </c>
      <c r="F795" s="11" t="s">
        <v>132</v>
      </c>
      <c r="G795" s="11"/>
      <c r="H795" s="11" t="s">
        <v>23</v>
      </c>
      <c r="I795" s="11"/>
      <c r="J795" s="11" t="s">
        <v>151</v>
      </c>
      <c r="K795" s="11" t="s">
        <v>134</v>
      </c>
      <c r="L795" s="11" t="s">
        <v>135</v>
      </c>
      <c r="M795" s="11" t="s">
        <v>100</v>
      </c>
      <c r="N795" s="32" t="n">
        <v>5639</v>
      </c>
      <c r="O795" s="33" t="n">
        <v>642363.65</v>
      </c>
      <c r="P795" s="32" t="n">
        <v>6486</v>
      </c>
      <c r="Q795" s="34" t="n">
        <v>0.86</v>
      </c>
      <c r="R795" s="33" t="n">
        <v>54.23</v>
      </c>
      <c r="S795" s="33" t="n">
        <v>253.08</v>
      </c>
      <c r="T795" s="33" t="n">
        <v>113.91</v>
      </c>
      <c r="U795" s="11" t="n">
        <f aca="false">IFERROR(YEAR(A795),"")</f>
        <v>2024</v>
      </c>
      <c r="V795" s="33" t="n">
        <f aca="false">IFERROR(O795*B795,0)</f>
        <v>642363.65</v>
      </c>
      <c r="W795" s="32" t="n">
        <f aca="false">IFERROR(N795*B795,0)</f>
        <v>5639</v>
      </c>
      <c r="X795" s="11" t="n">
        <f aca="false">IF(OR(ISNUMBER(SEARCH("live nation",L795)),ISNUMBER(SEARCH("ocesa",L795))),1,0)</f>
        <v>1</v>
      </c>
      <c r="Y795" s="11" t="s">
        <v>49</v>
      </c>
    </row>
    <row r="796" customFormat="false" ht="15" hidden="false" customHeight="false" outlineLevel="0" collapsed="false">
      <c r="A796" s="25" t="n">
        <v>45396</v>
      </c>
      <c r="B796" s="13" t="n">
        <v>1</v>
      </c>
      <c r="C796" s="26" t="s">
        <v>192</v>
      </c>
      <c r="D796" s="26"/>
      <c r="E796" s="13" t="s">
        <v>111</v>
      </c>
      <c r="F796" s="13" t="s">
        <v>112</v>
      </c>
      <c r="G796" s="13"/>
      <c r="H796" s="13" t="s">
        <v>21</v>
      </c>
      <c r="I796" s="13"/>
      <c r="J796" s="13" t="s">
        <v>97</v>
      </c>
      <c r="K796" s="13" t="s">
        <v>113</v>
      </c>
      <c r="L796" s="13" t="s">
        <v>194</v>
      </c>
      <c r="M796" s="13" t="s">
        <v>100</v>
      </c>
      <c r="N796" s="27" t="n">
        <v>19000</v>
      </c>
      <c r="O796" s="28" t="n">
        <v>1611482.71</v>
      </c>
      <c r="P796" s="27" t="n">
        <v>19000</v>
      </c>
      <c r="Q796" s="29" t="n">
        <v>1</v>
      </c>
      <c r="R796" s="28" t="n">
        <v>84.81</v>
      </c>
      <c r="S796" s="28" t="n">
        <v>84.81</v>
      </c>
      <c r="T796" s="28" t="n">
        <v>84.81</v>
      </c>
      <c r="U796" s="13" t="n">
        <f aca="false">IFERROR(YEAR(A796),"")</f>
        <v>2024</v>
      </c>
      <c r="V796" s="28" t="n">
        <f aca="false">IFERROR(O796*B796,0)</f>
        <v>1611482.71</v>
      </c>
      <c r="W796" s="27" t="n">
        <f aca="false">IFERROR(N796*B796,0)</f>
        <v>19000</v>
      </c>
      <c r="X796" s="13" t="n">
        <f aca="false">IF(OR(ISNUMBER(SEARCH("live nation",L796)),ISNUMBER(SEARCH("ocesa",L796))),1,0)</f>
        <v>0</v>
      </c>
      <c r="Y796" s="13" t="s">
        <v>50</v>
      </c>
    </row>
    <row r="797" customFormat="false" ht="15" hidden="false" customHeight="false" outlineLevel="0" collapsed="false">
      <c r="A797" s="30" t="n">
        <v>45395</v>
      </c>
      <c r="B797" s="11" t="n">
        <v>1</v>
      </c>
      <c r="C797" s="31" t="s">
        <v>192</v>
      </c>
      <c r="D797" s="31"/>
      <c r="E797" s="11" t="s">
        <v>111</v>
      </c>
      <c r="F797" s="11" t="s">
        <v>112</v>
      </c>
      <c r="G797" s="11"/>
      <c r="H797" s="11" t="s">
        <v>21</v>
      </c>
      <c r="I797" s="11"/>
      <c r="J797" s="11" t="s">
        <v>97</v>
      </c>
      <c r="K797" s="11" t="s">
        <v>113</v>
      </c>
      <c r="L797" s="11" t="s">
        <v>194</v>
      </c>
      <c r="M797" s="11" t="s">
        <v>100</v>
      </c>
      <c r="N797" s="32" t="n">
        <v>19000</v>
      </c>
      <c r="O797" s="33" t="n">
        <v>1487522.5</v>
      </c>
      <c r="P797" s="32" t="n">
        <v>19000</v>
      </c>
      <c r="Q797" s="34" t="n">
        <v>1</v>
      </c>
      <c r="R797" s="33" t="n">
        <v>78.29</v>
      </c>
      <c r="S797" s="33" t="n">
        <v>78.29</v>
      </c>
      <c r="T797" s="33" t="n">
        <v>78.29</v>
      </c>
      <c r="U797" s="11" t="n">
        <f aca="false">IFERROR(YEAR(A797),"")</f>
        <v>2024</v>
      </c>
      <c r="V797" s="33" t="n">
        <f aca="false">IFERROR(O797*B797,0)</f>
        <v>1487522.5</v>
      </c>
      <c r="W797" s="32" t="n">
        <f aca="false">IFERROR(N797*B797,0)</f>
        <v>19000</v>
      </c>
      <c r="X797" s="11" t="n">
        <f aca="false">IF(OR(ISNUMBER(SEARCH("live nation",L797)),ISNUMBER(SEARCH("ocesa",L797))),1,0)</f>
        <v>0</v>
      </c>
      <c r="Y797" s="11" t="s">
        <v>50</v>
      </c>
    </row>
    <row r="798" customFormat="false" ht="15" hidden="false" customHeight="false" outlineLevel="0" collapsed="false">
      <c r="A798" s="25" t="n">
        <v>45394</v>
      </c>
      <c r="B798" s="13" t="n">
        <v>1</v>
      </c>
      <c r="C798" s="26" t="s">
        <v>192</v>
      </c>
      <c r="D798" s="26"/>
      <c r="E798" s="13" t="s">
        <v>111</v>
      </c>
      <c r="F798" s="13" t="s">
        <v>112</v>
      </c>
      <c r="G798" s="13"/>
      <c r="H798" s="13" t="s">
        <v>21</v>
      </c>
      <c r="I798" s="13"/>
      <c r="J798" s="13" t="s">
        <v>97</v>
      </c>
      <c r="K798" s="13" t="s">
        <v>113</v>
      </c>
      <c r="L798" s="13" t="s">
        <v>194</v>
      </c>
      <c r="M798" s="13" t="s">
        <v>100</v>
      </c>
      <c r="N798" s="27" t="n">
        <v>19000</v>
      </c>
      <c r="O798" s="28" t="n">
        <v>1488151.99</v>
      </c>
      <c r="P798" s="27" t="n">
        <v>19000</v>
      </c>
      <c r="Q798" s="29" t="n">
        <v>1</v>
      </c>
      <c r="R798" s="28" t="n">
        <v>78.32</v>
      </c>
      <c r="S798" s="28" t="n">
        <v>78.32</v>
      </c>
      <c r="T798" s="28" t="n">
        <v>78.32</v>
      </c>
      <c r="U798" s="13" t="n">
        <f aca="false">IFERROR(YEAR(A798),"")</f>
        <v>2024</v>
      </c>
      <c r="V798" s="28" t="n">
        <f aca="false">IFERROR(O798*B798,0)</f>
        <v>1488151.99</v>
      </c>
      <c r="W798" s="27" t="n">
        <f aca="false">IFERROR(N798*B798,0)</f>
        <v>19000</v>
      </c>
      <c r="X798" s="13" t="n">
        <f aca="false">IF(OR(ISNUMBER(SEARCH("live nation",L798)),ISNUMBER(SEARCH("ocesa",L798))),1,0)</f>
        <v>0</v>
      </c>
      <c r="Y798" s="13" t="s">
        <v>50</v>
      </c>
    </row>
    <row r="799" customFormat="false" ht="15" hidden="false" customHeight="false" outlineLevel="0" collapsed="false">
      <c r="A799" s="30" t="n">
        <v>45392</v>
      </c>
      <c r="B799" s="11" t="n">
        <v>1</v>
      </c>
      <c r="C799" s="31" t="s">
        <v>704</v>
      </c>
      <c r="D799" s="31"/>
      <c r="E799" s="11" t="s">
        <v>111</v>
      </c>
      <c r="F799" s="11" t="s">
        <v>112</v>
      </c>
      <c r="G799" s="11"/>
      <c r="H799" s="11" t="s">
        <v>21</v>
      </c>
      <c r="I799" s="11"/>
      <c r="J799" s="11" t="s">
        <v>97</v>
      </c>
      <c r="K799" s="11" t="s">
        <v>113</v>
      </c>
      <c r="L799" s="11" t="s">
        <v>321</v>
      </c>
      <c r="M799" s="11" t="s">
        <v>100</v>
      </c>
      <c r="N799" s="32" t="n">
        <v>18844</v>
      </c>
      <c r="O799" s="33" t="n">
        <v>2731803.84</v>
      </c>
      <c r="P799" s="32" t="n">
        <v>18844</v>
      </c>
      <c r="Q799" s="34" t="n">
        <v>1</v>
      </c>
      <c r="R799" s="33" t="n">
        <v>144.97</v>
      </c>
      <c r="S799" s="33" t="n">
        <v>144.97</v>
      </c>
      <c r="T799" s="33" t="n">
        <v>144.97</v>
      </c>
      <c r="U799" s="11" t="n">
        <f aca="false">IFERROR(YEAR(A799),"")</f>
        <v>2024</v>
      </c>
      <c r="V799" s="33" t="n">
        <f aca="false">IFERROR(O799*B799,0)</f>
        <v>2731803.84</v>
      </c>
      <c r="W799" s="32" t="n">
        <f aca="false">IFERROR(N799*B799,0)</f>
        <v>18844</v>
      </c>
      <c r="X799" s="11" t="n">
        <f aca="false">IF(OR(ISNUMBER(SEARCH("live nation",L799)),ISNUMBER(SEARCH("ocesa",L799))),1,0)</f>
        <v>0</v>
      </c>
      <c r="Y799" s="11" t="s">
        <v>50</v>
      </c>
    </row>
    <row r="800" customFormat="false" ht="15" hidden="false" customHeight="false" outlineLevel="0" collapsed="false">
      <c r="A800" s="25" t="n">
        <v>45389</v>
      </c>
      <c r="B800" s="13" t="n">
        <v>1</v>
      </c>
      <c r="C800" s="26" t="s">
        <v>643</v>
      </c>
      <c r="D800" s="26"/>
      <c r="E800" s="13" t="s">
        <v>111</v>
      </c>
      <c r="F800" s="13" t="s">
        <v>112</v>
      </c>
      <c r="G800" s="13"/>
      <c r="H800" s="13" t="s">
        <v>21</v>
      </c>
      <c r="I800" s="13"/>
      <c r="J800" s="13" t="s">
        <v>97</v>
      </c>
      <c r="K800" s="13" t="s">
        <v>113</v>
      </c>
      <c r="L800" s="13" t="s">
        <v>321</v>
      </c>
      <c r="M800" s="13" t="s">
        <v>100</v>
      </c>
      <c r="N800" s="27" t="n">
        <v>18000</v>
      </c>
      <c r="O800" s="28" t="n">
        <v>1662214.39</v>
      </c>
      <c r="P800" s="27" t="n">
        <v>18000</v>
      </c>
      <c r="Q800" s="29" t="n">
        <v>1</v>
      </c>
      <c r="R800" s="28" t="n">
        <v>92.35</v>
      </c>
      <c r="S800" s="28" t="n">
        <v>92.35</v>
      </c>
      <c r="T800" s="28" t="n">
        <v>92.35</v>
      </c>
      <c r="U800" s="13" t="n">
        <f aca="false">IFERROR(YEAR(A800),"")</f>
        <v>2024</v>
      </c>
      <c r="V800" s="28" t="n">
        <f aca="false">IFERROR(O800*B800,0)</f>
        <v>1662214.39</v>
      </c>
      <c r="W800" s="27" t="n">
        <f aca="false">IFERROR(N800*B800,0)</f>
        <v>18000</v>
      </c>
      <c r="X800" s="13" t="n">
        <f aca="false">IF(OR(ISNUMBER(SEARCH("live nation",L800)),ISNUMBER(SEARCH("ocesa",L800))),1,0)</f>
        <v>0</v>
      </c>
      <c r="Y800" s="13" t="s">
        <v>50</v>
      </c>
    </row>
    <row r="801" customFormat="false" ht="15" hidden="false" customHeight="false" outlineLevel="0" collapsed="false">
      <c r="A801" s="30" t="n">
        <v>45388</v>
      </c>
      <c r="B801" s="11" t="n">
        <v>1</v>
      </c>
      <c r="C801" s="31" t="s">
        <v>643</v>
      </c>
      <c r="D801" s="31"/>
      <c r="E801" s="11" t="s">
        <v>111</v>
      </c>
      <c r="F801" s="11" t="s">
        <v>112</v>
      </c>
      <c r="G801" s="11"/>
      <c r="H801" s="11" t="s">
        <v>21</v>
      </c>
      <c r="I801" s="11"/>
      <c r="J801" s="11" t="s">
        <v>97</v>
      </c>
      <c r="K801" s="11" t="s">
        <v>113</v>
      </c>
      <c r="L801" s="11" t="s">
        <v>321</v>
      </c>
      <c r="M801" s="11" t="s">
        <v>100</v>
      </c>
      <c r="N801" s="32" t="n">
        <v>18000</v>
      </c>
      <c r="O801" s="33" t="n">
        <v>1662214.39</v>
      </c>
      <c r="P801" s="32" t="n">
        <v>18000</v>
      </c>
      <c r="Q801" s="34" t="n">
        <v>1</v>
      </c>
      <c r="R801" s="33" t="n">
        <v>92.35</v>
      </c>
      <c r="S801" s="33" t="n">
        <v>92.35</v>
      </c>
      <c r="T801" s="33" t="n">
        <v>92.35</v>
      </c>
      <c r="U801" s="11" t="n">
        <f aca="false">IFERROR(YEAR(A801),"")</f>
        <v>2024</v>
      </c>
      <c r="V801" s="33" t="n">
        <f aca="false">IFERROR(O801*B801,0)</f>
        <v>1662214.39</v>
      </c>
      <c r="W801" s="32" t="n">
        <f aca="false">IFERROR(N801*B801,0)</f>
        <v>18000</v>
      </c>
      <c r="X801" s="11" t="n">
        <f aca="false">IF(OR(ISNUMBER(SEARCH("live nation",L801)),ISNUMBER(SEARCH("ocesa",L801))),1,0)</f>
        <v>0</v>
      </c>
      <c r="Y801" s="11" t="s">
        <v>50</v>
      </c>
    </row>
    <row r="802" customFormat="false" ht="15" hidden="false" customHeight="false" outlineLevel="0" collapsed="false">
      <c r="A802" s="25" t="n">
        <v>45383</v>
      </c>
      <c r="B802" s="13" t="n">
        <v>1</v>
      </c>
      <c r="C802" s="26" t="s">
        <v>574</v>
      </c>
      <c r="D802" s="26"/>
      <c r="E802" s="13" t="s">
        <v>1050</v>
      </c>
      <c r="F802" s="13" t="s">
        <v>1051</v>
      </c>
      <c r="G802" s="13" t="s">
        <v>143</v>
      </c>
      <c r="H802" s="13" t="s">
        <v>20</v>
      </c>
      <c r="I802" s="13" t="s">
        <v>176</v>
      </c>
      <c r="J802" s="13" t="s">
        <v>97</v>
      </c>
      <c r="K802" s="13" t="s">
        <v>107</v>
      </c>
      <c r="L802" s="13" t="s">
        <v>859</v>
      </c>
      <c r="M802" s="13" t="s">
        <v>100</v>
      </c>
      <c r="N802" s="27" t="n">
        <v>4329</v>
      </c>
      <c r="O802" s="28" t="n">
        <v>312618</v>
      </c>
      <c r="P802" s="27" t="n">
        <v>4329</v>
      </c>
      <c r="Q802" s="29" t="n">
        <v>1</v>
      </c>
      <c r="R802" s="28" t="n">
        <v>49.5</v>
      </c>
      <c r="S802" s="28" t="n">
        <v>128</v>
      </c>
      <c r="T802" s="28" t="n">
        <v>72.21</v>
      </c>
      <c r="U802" s="13" t="n">
        <f aca="false">IFERROR(YEAR(A802),"")</f>
        <v>2024</v>
      </c>
      <c r="V802" s="28" t="n">
        <f aca="false">IFERROR(O802*B802,0)</f>
        <v>312618</v>
      </c>
      <c r="W802" s="27" t="n">
        <f aca="false">IFERROR(N802*B802,0)</f>
        <v>4329</v>
      </c>
      <c r="X802" s="13" t="n">
        <f aca="false">IF(OR(ISNUMBER(SEARCH("live nation",L802)),ISNUMBER(SEARCH("ocesa",L802))),1,0)</f>
        <v>0</v>
      </c>
      <c r="Y802" s="13" t="s">
        <v>49</v>
      </c>
    </row>
    <row r="803" customFormat="false" ht="15" hidden="false" customHeight="false" outlineLevel="0" collapsed="false">
      <c r="A803" s="30" t="n">
        <v>45381</v>
      </c>
      <c r="B803" s="11" t="n">
        <v>2</v>
      </c>
      <c r="C803" s="31" t="s">
        <v>62</v>
      </c>
      <c r="D803" s="31"/>
      <c r="E803" s="11" t="s">
        <v>1052</v>
      </c>
      <c r="F803" s="11" t="s">
        <v>216</v>
      </c>
      <c r="G803" s="11"/>
      <c r="H803" s="11" t="s">
        <v>24</v>
      </c>
      <c r="I803" s="11"/>
      <c r="J803" s="11" t="s">
        <v>133</v>
      </c>
      <c r="K803" s="11" t="s">
        <v>148</v>
      </c>
      <c r="L803" s="11" t="s">
        <v>145</v>
      </c>
      <c r="M803" s="11" t="s">
        <v>100</v>
      </c>
      <c r="N803" s="32" t="n">
        <v>28023</v>
      </c>
      <c r="O803" s="33" t="n">
        <v>2950947.02</v>
      </c>
      <c r="P803" s="32" t="n">
        <v>28165</v>
      </c>
      <c r="Q803" s="34" t="n">
        <v>0.99</v>
      </c>
      <c r="R803" s="33" t="n">
        <v>98.05</v>
      </c>
      <c r="S803" s="33" t="n">
        <v>147.07</v>
      </c>
      <c r="T803" s="33" t="n">
        <v>105.3</v>
      </c>
      <c r="U803" s="11" t="n">
        <f aca="false">IFERROR(YEAR(A803),"")</f>
        <v>2024</v>
      </c>
      <c r="V803" s="33" t="n">
        <f aca="false">IFERROR(O803*B803,0)</f>
        <v>5901894.04</v>
      </c>
      <c r="W803" s="32" t="n">
        <f aca="false">IFERROR(N803*B803,0)</f>
        <v>56046</v>
      </c>
      <c r="X803" s="11" t="n">
        <f aca="false">IF(OR(ISNUMBER(SEARCH("live nation",L803)),ISNUMBER(SEARCH("ocesa",L803))),1,0)</f>
        <v>0</v>
      </c>
      <c r="Y803" s="11" t="s">
        <v>50</v>
      </c>
    </row>
    <row r="804" customFormat="false" ht="15" hidden="false" customHeight="false" outlineLevel="0" collapsed="false">
      <c r="A804" s="25" t="n">
        <v>45380</v>
      </c>
      <c r="B804" s="13" t="n">
        <v>1</v>
      </c>
      <c r="C804" s="26" t="s">
        <v>574</v>
      </c>
      <c r="D804" s="26"/>
      <c r="E804" s="13" t="s">
        <v>790</v>
      </c>
      <c r="F804" s="13" t="s">
        <v>203</v>
      </c>
      <c r="G804" s="13" t="s">
        <v>202</v>
      </c>
      <c r="H804" s="13" t="s">
        <v>20</v>
      </c>
      <c r="I804" s="13" t="s">
        <v>203</v>
      </c>
      <c r="J804" s="13" t="s">
        <v>121</v>
      </c>
      <c r="K804" s="13" t="s">
        <v>107</v>
      </c>
      <c r="L804" s="13" t="s">
        <v>791</v>
      </c>
      <c r="M804" s="13" t="s">
        <v>100</v>
      </c>
      <c r="N804" s="27" t="n">
        <v>6847</v>
      </c>
      <c r="O804" s="28" t="n">
        <v>135710</v>
      </c>
      <c r="P804" s="27" t="n">
        <v>6847</v>
      </c>
      <c r="Q804" s="29" t="n">
        <v>1</v>
      </c>
      <c r="R804" s="28" t="n">
        <v>65.5</v>
      </c>
      <c r="S804" s="28" t="n">
        <v>165.5</v>
      </c>
      <c r="T804" s="28" t="n">
        <v>19.82</v>
      </c>
      <c r="U804" s="13" t="n">
        <f aca="false">IFERROR(YEAR(A804),"")</f>
        <v>2024</v>
      </c>
      <c r="V804" s="28" t="n">
        <f aca="false">IFERROR(O804*B804,0)</f>
        <v>135710</v>
      </c>
      <c r="W804" s="27" t="n">
        <f aca="false">IFERROR(N804*B804,0)</f>
        <v>6847</v>
      </c>
      <c r="X804" s="13" t="n">
        <f aca="false">IF(OR(ISNUMBER(SEARCH("live nation",L804)),ISNUMBER(SEARCH("ocesa",L804))),1,0)</f>
        <v>0</v>
      </c>
      <c r="Y804" s="13" t="s">
        <v>49</v>
      </c>
    </row>
    <row r="805" customFormat="false" ht="15" hidden="false" customHeight="false" outlineLevel="0" collapsed="false">
      <c r="A805" s="30" t="n">
        <v>45380</v>
      </c>
      <c r="B805" s="11" t="n">
        <v>1</v>
      </c>
      <c r="C805" s="31" t="s">
        <v>743</v>
      </c>
      <c r="D805" s="31"/>
      <c r="E805" s="11" t="s">
        <v>506</v>
      </c>
      <c r="F805" s="11" t="s">
        <v>507</v>
      </c>
      <c r="G805" s="11" t="s">
        <v>221</v>
      </c>
      <c r="H805" s="11" t="s">
        <v>20</v>
      </c>
      <c r="I805" s="11" t="s">
        <v>139</v>
      </c>
      <c r="J805" s="11" t="s">
        <v>97</v>
      </c>
      <c r="K805" s="11" t="s">
        <v>107</v>
      </c>
      <c r="L805" s="11" t="s">
        <v>177</v>
      </c>
      <c r="M805" s="11" t="s">
        <v>277</v>
      </c>
      <c r="N805" s="32" t="n">
        <v>11617</v>
      </c>
      <c r="O805" s="33" t="n">
        <v>1484501</v>
      </c>
      <c r="P805" s="32" t="n">
        <v>11617</v>
      </c>
      <c r="Q805" s="34" t="n">
        <v>1</v>
      </c>
      <c r="R805" s="33" t="n">
        <v>55.5</v>
      </c>
      <c r="S805" s="33" t="n">
        <v>185.5</v>
      </c>
      <c r="T805" s="33" t="n">
        <v>127.79</v>
      </c>
      <c r="U805" s="11" t="n">
        <f aca="false">IFERROR(YEAR(A805),"")</f>
        <v>2024</v>
      </c>
      <c r="V805" s="33" t="n">
        <f aca="false">IFERROR(O805*B805,0)</f>
        <v>1484501</v>
      </c>
      <c r="W805" s="32" t="n">
        <f aca="false">IFERROR(N805*B805,0)</f>
        <v>11617</v>
      </c>
      <c r="X805" s="11" t="n">
        <f aca="false">IF(OR(ISNUMBER(SEARCH("live nation",L805)),ISNUMBER(SEARCH("ocesa",L805))),1,0)</f>
        <v>1</v>
      </c>
      <c r="Y805" s="11" t="s">
        <v>49</v>
      </c>
    </row>
    <row r="806" customFormat="false" ht="15" hidden="false" customHeight="false" outlineLevel="0" collapsed="false">
      <c r="A806" s="25" t="n">
        <v>45377</v>
      </c>
      <c r="B806" s="13" t="n">
        <v>1</v>
      </c>
      <c r="C806" s="26" t="s">
        <v>743</v>
      </c>
      <c r="D806" s="26"/>
      <c r="E806" s="13" t="s">
        <v>206</v>
      </c>
      <c r="F806" s="13" t="s">
        <v>207</v>
      </c>
      <c r="G806" s="13" t="s">
        <v>208</v>
      </c>
      <c r="H806" s="13" t="s">
        <v>20</v>
      </c>
      <c r="I806" s="13" t="s">
        <v>209</v>
      </c>
      <c r="J806" s="13" t="s">
        <v>97</v>
      </c>
      <c r="K806" s="13" t="s">
        <v>107</v>
      </c>
      <c r="L806" s="13" t="s">
        <v>177</v>
      </c>
      <c r="M806" s="13" t="s">
        <v>277</v>
      </c>
      <c r="N806" s="27" t="n">
        <v>7438</v>
      </c>
      <c r="O806" s="28" t="n">
        <v>809743.5</v>
      </c>
      <c r="P806" s="27" t="n">
        <v>7438</v>
      </c>
      <c r="Q806" s="29" t="n">
        <v>1</v>
      </c>
      <c r="R806" s="28" t="n">
        <v>49.5</v>
      </c>
      <c r="S806" s="28" t="n">
        <v>179.5</v>
      </c>
      <c r="T806" s="28" t="n">
        <v>108.87</v>
      </c>
      <c r="U806" s="13" t="n">
        <f aca="false">IFERROR(YEAR(A806),"")</f>
        <v>2024</v>
      </c>
      <c r="V806" s="28" t="n">
        <f aca="false">IFERROR(O806*B806,0)</f>
        <v>809743.5</v>
      </c>
      <c r="W806" s="27" t="n">
        <f aca="false">IFERROR(N806*B806,0)</f>
        <v>7438</v>
      </c>
      <c r="X806" s="13" t="n">
        <f aca="false">IF(OR(ISNUMBER(SEARCH("live nation",L806)),ISNUMBER(SEARCH("ocesa",L806))),1,0)</f>
        <v>1</v>
      </c>
      <c r="Y806" s="13" t="s">
        <v>49</v>
      </c>
    </row>
    <row r="807" customFormat="false" ht="15" hidden="false" customHeight="false" outlineLevel="0" collapsed="false">
      <c r="A807" s="30" t="n">
        <v>45377</v>
      </c>
      <c r="B807" s="11" t="n">
        <v>1</v>
      </c>
      <c r="C807" s="31" t="s">
        <v>587</v>
      </c>
      <c r="D807" s="31"/>
      <c r="E807" s="11" t="s">
        <v>691</v>
      </c>
      <c r="F807" s="11" t="s">
        <v>692</v>
      </c>
      <c r="G807" s="11"/>
      <c r="H807" s="11" t="s">
        <v>693</v>
      </c>
      <c r="I807" s="11"/>
      <c r="J807" s="11" t="s">
        <v>121</v>
      </c>
      <c r="K807" s="11" t="s">
        <v>694</v>
      </c>
      <c r="L807" s="11" t="s">
        <v>695</v>
      </c>
      <c r="M807" s="11" t="s">
        <v>100</v>
      </c>
      <c r="N807" s="32" t="n">
        <v>3110</v>
      </c>
      <c r="O807" s="33" t="n">
        <v>324919.57</v>
      </c>
      <c r="P807" s="32" t="n">
        <v>4707</v>
      </c>
      <c r="Q807" s="34" t="n">
        <v>0.66</v>
      </c>
      <c r="R807" s="33" t="n">
        <v>77.74</v>
      </c>
      <c r="S807" s="33" t="n">
        <v>527.5</v>
      </c>
      <c r="T807" s="33" t="n">
        <v>104.48</v>
      </c>
      <c r="U807" s="11" t="n">
        <f aca="false">IFERROR(YEAR(A807),"")</f>
        <v>2024</v>
      </c>
      <c r="V807" s="33" t="n">
        <f aca="false">IFERROR(O807*B807,0)</f>
        <v>324919.57</v>
      </c>
      <c r="W807" s="32" t="n">
        <f aca="false">IFERROR(N807*B807,0)</f>
        <v>3110</v>
      </c>
      <c r="X807" s="11" t="n">
        <f aca="false">IF(OR(ISNUMBER(SEARCH("live nation",L807)),ISNUMBER(SEARCH("ocesa",L807))),1,0)</f>
        <v>0</v>
      </c>
      <c r="Y807" s="11" t="s">
        <v>49</v>
      </c>
    </row>
    <row r="808" customFormat="false" ht="15" hidden="false" customHeight="false" outlineLevel="0" collapsed="false">
      <c r="A808" s="25" t="n">
        <v>45376</v>
      </c>
      <c r="B808" s="13" t="n">
        <v>1</v>
      </c>
      <c r="C808" s="26" t="s">
        <v>574</v>
      </c>
      <c r="D808" s="26"/>
      <c r="E808" s="13" t="s">
        <v>1053</v>
      </c>
      <c r="F808" s="13" t="s">
        <v>209</v>
      </c>
      <c r="G808" s="13" t="s">
        <v>208</v>
      </c>
      <c r="H808" s="13" t="s">
        <v>20</v>
      </c>
      <c r="I808" s="13" t="s">
        <v>209</v>
      </c>
      <c r="J808" s="13" t="s">
        <v>121</v>
      </c>
      <c r="K808" s="13" t="s">
        <v>107</v>
      </c>
      <c r="L808" s="13" t="s">
        <v>545</v>
      </c>
      <c r="M808" s="13" t="s">
        <v>100</v>
      </c>
      <c r="N808" s="27" t="n">
        <v>4851</v>
      </c>
      <c r="O808" s="28" t="n">
        <v>314899</v>
      </c>
      <c r="P808" s="27" t="n">
        <v>4851</v>
      </c>
      <c r="Q808" s="29" t="n">
        <v>1</v>
      </c>
      <c r="R808" s="28" t="n">
        <v>52</v>
      </c>
      <c r="S808" s="28" t="n">
        <v>141</v>
      </c>
      <c r="T808" s="28" t="n">
        <v>64.91</v>
      </c>
      <c r="U808" s="13" t="n">
        <f aca="false">IFERROR(YEAR(A808),"")</f>
        <v>2024</v>
      </c>
      <c r="V808" s="28" t="n">
        <f aca="false">IFERROR(O808*B808,0)</f>
        <v>314899</v>
      </c>
      <c r="W808" s="27" t="n">
        <f aca="false">IFERROR(N808*B808,0)</f>
        <v>4851</v>
      </c>
      <c r="X808" s="13" t="n">
        <f aca="false">IF(OR(ISNUMBER(SEARCH("live nation",L808)),ISNUMBER(SEARCH("ocesa",L808))),1,0)</f>
        <v>0</v>
      </c>
      <c r="Y808" s="13" t="s">
        <v>49</v>
      </c>
    </row>
    <row r="809" customFormat="false" ht="15" hidden="false" customHeight="false" outlineLevel="0" collapsed="false">
      <c r="A809" s="30" t="n">
        <v>45375</v>
      </c>
      <c r="B809" s="11" t="n">
        <v>1</v>
      </c>
      <c r="C809" s="31" t="s">
        <v>743</v>
      </c>
      <c r="D809" s="31"/>
      <c r="E809" s="11" t="s">
        <v>345</v>
      </c>
      <c r="F809" s="11" t="s">
        <v>346</v>
      </c>
      <c r="G809" s="11" t="s">
        <v>347</v>
      </c>
      <c r="H809" s="11" t="s">
        <v>20</v>
      </c>
      <c r="I809" s="11" t="s">
        <v>346</v>
      </c>
      <c r="J809" s="11" t="s">
        <v>97</v>
      </c>
      <c r="K809" s="11" t="s">
        <v>107</v>
      </c>
      <c r="L809" s="11" t="s">
        <v>177</v>
      </c>
      <c r="M809" s="11" t="s">
        <v>277</v>
      </c>
      <c r="N809" s="32" t="n">
        <v>7154</v>
      </c>
      <c r="O809" s="33" t="n">
        <v>858770.12</v>
      </c>
      <c r="P809" s="32" t="n">
        <v>7154</v>
      </c>
      <c r="Q809" s="34" t="n">
        <v>1</v>
      </c>
      <c r="R809" s="33" t="n">
        <v>49.5</v>
      </c>
      <c r="S809" s="33" t="n">
        <v>179.5</v>
      </c>
      <c r="T809" s="33" t="n">
        <v>120.04</v>
      </c>
      <c r="U809" s="11" t="n">
        <f aca="false">IFERROR(YEAR(A809),"")</f>
        <v>2024</v>
      </c>
      <c r="V809" s="33" t="n">
        <f aca="false">IFERROR(O809*B809,0)</f>
        <v>858770.12</v>
      </c>
      <c r="W809" s="32" t="n">
        <f aca="false">IFERROR(N809*B809,0)</f>
        <v>7154</v>
      </c>
      <c r="X809" s="11" t="n">
        <f aca="false">IF(OR(ISNUMBER(SEARCH("live nation",L809)),ISNUMBER(SEARCH("ocesa",L809))),1,0)</f>
        <v>1</v>
      </c>
      <c r="Y809" s="11" t="s">
        <v>49</v>
      </c>
    </row>
    <row r="810" customFormat="false" ht="15" hidden="false" customHeight="false" outlineLevel="0" collapsed="false">
      <c r="A810" s="25" t="n">
        <v>45375</v>
      </c>
      <c r="B810" s="13" t="n">
        <v>1</v>
      </c>
      <c r="C810" s="26" t="s">
        <v>354</v>
      </c>
      <c r="D810" s="26"/>
      <c r="E810" s="13" t="s">
        <v>111</v>
      </c>
      <c r="F810" s="13" t="s">
        <v>112</v>
      </c>
      <c r="G810" s="13"/>
      <c r="H810" s="13" t="s">
        <v>21</v>
      </c>
      <c r="I810" s="13"/>
      <c r="J810" s="13" t="s">
        <v>97</v>
      </c>
      <c r="K810" s="13" t="s">
        <v>113</v>
      </c>
      <c r="L810" s="13" t="s">
        <v>577</v>
      </c>
      <c r="M810" s="13" t="s">
        <v>100</v>
      </c>
      <c r="N810" s="27" t="n">
        <v>18000</v>
      </c>
      <c r="O810" s="28" t="n">
        <v>1307655.34</v>
      </c>
      <c r="P810" s="27" t="n">
        <v>18000</v>
      </c>
      <c r="Q810" s="29" t="n">
        <v>1</v>
      </c>
      <c r="R810" s="28" t="n">
        <v>72.65</v>
      </c>
      <c r="S810" s="28" t="n">
        <v>72.65</v>
      </c>
      <c r="T810" s="28" t="n">
        <v>72.65</v>
      </c>
      <c r="U810" s="13" t="n">
        <f aca="false">IFERROR(YEAR(A810),"")</f>
        <v>2024</v>
      </c>
      <c r="V810" s="28" t="n">
        <f aca="false">IFERROR(O810*B810,0)</f>
        <v>1307655.34</v>
      </c>
      <c r="W810" s="27" t="n">
        <f aca="false">IFERROR(N810*B810,0)</f>
        <v>18000</v>
      </c>
      <c r="X810" s="13" t="n">
        <f aca="false">IF(OR(ISNUMBER(SEARCH("live nation",L810)),ISNUMBER(SEARCH("ocesa",L810))),1,0)</f>
        <v>0</v>
      </c>
      <c r="Y810" s="13" t="s">
        <v>50</v>
      </c>
    </row>
    <row r="811" customFormat="false" ht="15" hidden="false" customHeight="false" outlineLevel="0" collapsed="false">
      <c r="A811" s="30" t="n">
        <v>45375</v>
      </c>
      <c r="B811" s="11" t="n">
        <v>1</v>
      </c>
      <c r="C811" s="31" t="s">
        <v>354</v>
      </c>
      <c r="D811" s="31"/>
      <c r="E811" s="11" t="s">
        <v>111</v>
      </c>
      <c r="F811" s="11" t="s">
        <v>112</v>
      </c>
      <c r="G811" s="11"/>
      <c r="H811" s="11" t="s">
        <v>21</v>
      </c>
      <c r="I811" s="11"/>
      <c r="J811" s="11" t="s">
        <v>97</v>
      </c>
      <c r="K811" s="11" t="s">
        <v>113</v>
      </c>
      <c r="L811" s="11" t="s">
        <v>577</v>
      </c>
      <c r="M811" s="11" t="s">
        <v>100</v>
      </c>
      <c r="N811" s="32" t="n">
        <v>18000</v>
      </c>
      <c r="O811" s="33" t="n">
        <v>1307655.34</v>
      </c>
      <c r="P811" s="32" t="n">
        <v>18000</v>
      </c>
      <c r="Q811" s="34" t="n">
        <v>1</v>
      </c>
      <c r="R811" s="33" t="n">
        <v>72.65</v>
      </c>
      <c r="S811" s="33" t="n">
        <v>72.65</v>
      </c>
      <c r="T811" s="33" t="n">
        <v>72.65</v>
      </c>
      <c r="U811" s="11" t="n">
        <f aca="false">IFERROR(YEAR(A811),"")</f>
        <v>2024</v>
      </c>
      <c r="V811" s="33" t="n">
        <f aca="false">IFERROR(O811*B811,0)</f>
        <v>1307655.34</v>
      </c>
      <c r="W811" s="32" t="n">
        <f aca="false">IFERROR(N811*B811,0)</f>
        <v>18000</v>
      </c>
      <c r="X811" s="11" t="n">
        <f aca="false">IF(OR(ISNUMBER(SEARCH("live nation",L811)),ISNUMBER(SEARCH("ocesa",L811))),1,0)</f>
        <v>0</v>
      </c>
      <c r="Y811" s="11" t="s">
        <v>50</v>
      </c>
    </row>
    <row r="812" customFormat="false" ht="15" hidden="false" customHeight="false" outlineLevel="0" collapsed="false">
      <c r="A812" s="25" t="n">
        <v>45374</v>
      </c>
      <c r="B812" s="13" t="n">
        <v>1</v>
      </c>
      <c r="C812" s="26" t="s">
        <v>587</v>
      </c>
      <c r="D812" s="26"/>
      <c r="E812" s="13" t="s">
        <v>1054</v>
      </c>
      <c r="F812" s="13" t="s">
        <v>455</v>
      </c>
      <c r="G812" s="13"/>
      <c r="H812" s="13" t="s">
        <v>350</v>
      </c>
      <c r="I812" s="13"/>
      <c r="J812" s="13" t="s">
        <v>106</v>
      </c>
      <c r="K812" s="13" t="s">
        <v>173</v>
      </c>
      <c r="L812" s="13" t="s">
        <v>818</v>
      </c>
      <c r="M812" s="13" t="s">
        <v>100</v>
      </c>
      <c r="N812" s="27" t="n">
        <v>4000</v>
      </c>
      <c r="O812" s="28" t="n">
        <v>282317.19</v>
      </c>
      <c r="P812" s="27" t="n">
        <v>4000</v>
      </c>
      <c r="Q812" s="29" t="n">
        <v>1</v>
      </c>
      <c r="R812" s="28" t="n">
        <v>70.58</v>
      </c>
      <c r="S812" s="28" t="n">
        <v>70.58</v>
      </c>
      <c r="T812" s="28" t="n">
        <v>70.58</v>
      </c>
      <c r="U812" s="13" t="n">
        <f aca="false">IFERROR(YEAR(A812),"")</f>
        <v>2024</v>
      </c>
      <c r="V812" s="28" t="n">
        <f aca="false">IFERROR(O812*B812,0)</f>
        <v>282317.19</v>
      </c>
      <c r="W812" s="27" t="n">
        <f aca="false">IFERROR(N812*B812,0)</f>
        <v>4000</v>
      </c>
      <c r="X812" s="13" t="n">
        <f aca="false">IF(OR(ISNUMBER(SEARCH("live nation",L812)),ISNUMBER(SEARCH("ocesa",L812))),1,0)</f>
        <v>0</v>
      </c>
      <c r="Y812" s="13" t="s">
        <v>49</v>
      </c>
    </row>
    <row r="813" customFormat="false" ht="15" hidden="false" customHeight="false" outlineLevel="0" collapsed="false">
      <c r="A813" s="30" t="n">
        <v>45374</v>
      </c>
      <c r="B813" s="11" t="n">
        <v>1</v>
      </c>
      <c r="C813" s="31" t="s">
        <v>354</v>
      </c>
      <c r="D813" s="31"/>
      <c r="E813" s="11" t="s">
        <v>111</v>
      </c>
      <c r="F813" s="11" t="s">
        <v>112</v>
      </c>
      <c r="G813" s="11"/>
      <c r="H813" s="11" t="s">
        <v>21</v>
      </c>
      <c r="I813" s="11"/>
      <c r="J813" s="11" t="s">
        <v>97</v>
      </c>
      <c r="K813" s="11" t="s">
        <v>113</v>
      </c>
      <c r="L813" s="11" t="s">
        <v>577</v>
      </c>
      <c r="M813" s="11" t="s">
        <v>100</v>
      </c>
      <c r="N813" s="32" t="n">
        <v>18000</v>
      </c>
      <c r="O813" s="33" t="n">
        <v>1307655.34</v>
      </c>
      <c r="P813" s="32" t="n">
        <v>18000</v>
      </c>
      <c r="Q813" s="34" t="n">
        <v>1</v>
      </c>
      <c r="R813" s="33" t="n">
        <v>72.65</v>
      </c>
      <c r="S813" s="33" t="n">
        <v>72.65</v>
      </c>
      <c r="T813" s="33" t="n">
        <v>72.65</v>
      </c>
      <c r="U813" s="11" t="n">
        <f aca="false">IFERROR(YEAR(A813),"")</f>
        <v>2024</v>
      </c>
      <c r="V813" s="33" t="n">
        <f aca="false">IFERROR(O813*B813,0)</f>
        <v>1307655.34</v>
      </c>
      <c r="W813" s="32" t="n">
        <f aca="false">IFERROR(N813*B813,0)</f>
        <v>18000</v>
      </c>
      <c r="X813" s="11" t="n">
        <f aca="false">IF(OR(ISNUMBER(SEARCH("live nation",L813)),ISNUMBER(SEARCH("ocesa",L813))),1,0)</f>
        <v>0</v>
      </c>
      <c r="Y813" s="11" t="s">
        <v>50</v>
      </c>
    </row>
    <row r="814" customFormat="false" ht="15" hidden="false" customHeight="false" outlineLevel="0" collapsed="false">
      <c r="A814" s="25" t="n">
        <v>45372</v>
      </c>
      <c r="B814" s="13" t="n">
        <v>1</v>
      </c>
      <c r="C814" s="26" t="s">
        <v>1009</v>
      </c>
      <c r="D814" s="26"/>
      <c r="E814" s="13" t="s">
        <v>628</v>
      </c>
      <c r="F814" s="13" t="s">
        <v>629</v>
      </c>
      <c r="G814" s="13"/>
      <c r="H814" s="13" t="s">
        <v>630</v>
      </c>
      <c r="I814" s="13"/>
      <c r="J814" s="13" t="s">
        <v>97</v>
      </c>
      <c r="K814" s="13" t="s">
        <v>630</v>
      </c>
      <c r="L814" s="13" t="s">
        <v>177</v>
      </c>
      <c r="M814" s="13" t="s">
        <v>100</v>
      </c>
      <c r="N814" s="27" t="n">
        <v>5108</v>
      </c>
      <c r="O814" s="28" t="n">
        <v>410431.18</v>
      </c>
      <c r="P814" s="27" t="n">
        <v>6208</v>
      </c>
      <c r="Q814" s="29" t="n">
        <v>0.82</v>
      </c>
      <c r="R814" s="28" t="n">
        <v>60.9</v>
      </c>
      <c r="S814" s="28" t="n">
        <v>265.1</v>
      </c>
      <c r="T814" s="28" t="n">
        <v>80.35</v>
      </c>
      <c r="U814" s="13" t="n">
        <f aca="false">IFERROR(YEAR(A814),"")</f>
        <v>2024</v>
      </c>
      <c r="V814" s="28" t="n">
        <f aca="false">IFERROR(O814*B814,0)</f>
        <v>410431.18</v>
      </c>
      <c r="W814" s="27" t="n">
        <f aca="false">IFERROR(N814*B814,0)</f>
        <v>5108</v>
      </c>
      <c r="X814" s="13" t="n">
        <f aca="false">IF(OR(ISNUMBER(SEARCH("live nation",L814)),ISNUMBER(SEARCH("ocesa",L814))),1,0)</f>
        <v>1</v>
      </c>
      <c r="Y814" s="13" t="s">
        <v>49</v>
      </c>
    </row>
    <row r="815" customFormat="false" ht="15" hidden="false" customHeight="false" outlineLevel="0" collapsed="false">
      <c r="A815" s="30" t="n">
        <v>45371</v>
      </c>
      <c r="B815" s="11" t="n">
        <v>1</v>
      </c>
      <c r="C815" s="31" t="s">
        <v>743</v>
      </c>
      <c r="D815" s="31"/>
      <c r="E815" s="11" t="s">
        <v>501</v>
      </c>
      <c r="F815" s="11" t="s">
        <v>502</v>
      </c>
      <c r="G815" s="11" t="s">
        <v>143</v>
      </c>
      <c r="H815" s="11" t="s">
        <v>20</v>
      </c>
      <c r="I815" s="11" t="s">
        <v>375</v>
      </c>
      <c r="J815" s="11" t="s">
        <v>97</v>
      </c>
      <c r="K815" s="11" t="s">
        <v>107</v>
      </c>
      <c r="L815" s="11" t="s">
        <v>177</v>
      </c>
      <c r="M815" s="11" t="s">
        <v>277</v>
      </c>
      <c r="N815" s="32" t="n">
        <v>7320</v>
      </c>
      <c r="O815" s="33" t="n">
        <v>882302</v>
      </c>
      <c r="P815" s="32" t="n">
        <v>7678</v>
      </c>
      <c r="Q815" s="34" t="n">
        <v>0.95</v>
      </c>
      <c r="R815" s="33" t="n">
        <v>49.5</v>
      </c>
      <c r="S815" s="33" t="n">
        <v>170.5</v>
      </c>
      <c r="T815" s="33" t="n">
        <v>120.53</v>
      </c>
      <c r="U815" s="11" t="n">
        <f aca="false">IFERROR(YEAR(A815),"")</f>
        <v>2024</v>
      </c>
      <c r="V815" s="33" t="n">
        <f aca="false">IFERROR(O815*B815,0)</f>
        <v>882302</v>
      </c>
      <c r="W815" s="32" t="n">
        <f aca="false">IFERROR(N815*B815,0)</f>
        <v>7320</v>
      </c>
      <c r="X815" s="11" t="n">
        <f aca="false">IF(OR(ISNUMBER(SEARCH("live nation",L815)),ISNUMBER(SEARCH("ocesa",L815))),1,0)</f>
        <v>1</v>
      </c>
      <c r="Y815" s="11" t="s">
        <v>49</v>
      </c>
    </row>
    <row r="816" customFormat="false" ht="15" hidden="false" customHeight="false" outlineLevel="0" collapsed="false">
      <c r="A816" s="25" t="n">
        <v>45370</v>
      </c>
      <c r="B816" s="13" t="n">
        <v>1</v>
      </c>
      <c r="C816" s="26" t="s">
        <v>587</v>
      </c>
      <c r="D816" s="26"/>
      <c r="E816" s="13" t="s">
        <v>1055</v>
      </c>
      <c r="F816" s="13" t="s">
        <v>339</v>
      </c>
      <c r="G816" s="13"/>
      <c r="H816" s="13" t="s">
        <v>477</v>
      </c>
      <c r="I816" s="13"/>
      <c r="J816" s="13" t="s">
        <v>121</v>
      </c>
      <c r="K816" s="13" t="s">
        <v>173</v>
      </c>
      <c r="L816" s="13" t="s">
        <v>478</v>
      </c>
      <c r="M816" s="13" t="s">
        <v>100</v>
      </c>
      <c r="N816" s="27" t="n">
        <v>3303</v>
      </c>
      <c r="O816" s="28" t="n">
        <v>271613.77</v>
      </c>
      <c r="P816" s="27" t="n">
        <v>3303</v>
      </c>
      <c r="Q816" s="29" t="n">
        <v>1</v>
      </c>
      <c r="R816" s="28" t="n">
        <v>69.59</v>
      </c>
      <c r="S816" s="28" t="n">
        <v>69.59</v>
      </c>
      <c r="T816" s="28" t="n">
        <v>82.23</v>
      </c>
      <c r="U816" s="13" t="n">
        <f aca="false">IFERROR(YEAR(A816),"")</f>
        <v>2024</v>
      </c>
      <c r="V816" s="28" t="n">
        <f aca="false">IFERROR(O816*B816,0)</f>
        <v>271613.77</v>
      </c>
      <c r="W816" s="27" t="n">
        <f aca="false">IFERROR(N816*B816,0)</f>
        <v>3303</v>
      </c>
      <c r="X816" s="13" t="n">
        <f aca="false">IF(OR(ISNUMBER(SEARCH("live nation",L816)),ISNUMBER(SEARCH("ocesa",L816))),1,0)</f>
        <v>0</v>
      </c>
      <c r="Y816" s="13" t="s">
        <v>49</v>
      </c>
    </row>
    <row r="817" customFormat="false" ht="15" hidden="false" customHeight="false" outlineLevel="0" collapsed="false">
      <c r="A817" s="30" t="n">
        <v>45368</v>
      </c>
      <c r="B817" s="11" t="n">
        <v>1</v>
      </c>
      <c r="C817" s="31" t="s">
        <v>1056</v>
      </c>
      <c r="D817" s="31"/>
      <c r="E817" s="11" t="s">
        <v>1057</v>
      </c>
      <c r="F817" s="11" t="s">
        <v>463</v>
      </c>
      <c r="G817" s="11"/>
      <c r="H817" s="11" t="s">
        <v>23</v>
      </c>
      <c r="I817" s="11"/>
      <c r="J817" s="11" t="s">
        <v>121</v>
      </c>
      <c r="K817" s="11" t="s">
        <v>134</v>
      </c>
      <c r="L817" s="11" t="s">
        <v>135</v>
      </c>
      <c r="M817" s="11" t="s">
        <v>100</v>
      </c>
      <c r="N817" s="32" t="n">
        <v>3228</v>
      </c>
      <c r="O817" s="33" t="n">
        <v>229642.75</v>
      </c>
      <c r="P817" s="32" t="n">
        <v>7657</v>
      </c>
      <c r="Q817" s="34" t="n">
        <v>0.42</v>
      </c>
      <c r="R817" s="33" t="n">
        <v>35.29</v>
      </c>
      <c r="S817" s="33" t="n">
        <v>191.43</v>
      </c>
      <c r="T817" s="33" t="n">
        <v>71.14</v>
      </c>
      <c r="U817" s="11" t="n">
        <f aca="false">IFERROR(YEAR(A817),"")</f>
        <v>2024</v>
      </c>
      <c r="V817" s="33" t="n">
        <f aca="false">IFERROR(O817*B817,0)</f>
        <v>229642.75</v>
      </c>
      <c r="W817" s="32" t="n">
        <f aca="false">IFERROR(N817*B817,0)</f>
        <v>3228</v>
      </c>
      <c r="X817" s="11" t="n">
        <f aca="false">IF(OR(ISNUMBER(SEARCH("live nation",L817)),ISNUMBER(SEARCH("ocesa",L817))),1,0)</f>
        <v>1</v>
      </c>
      <c r="Y817" s="11" t="s">
        <v>49</v>
      </c>
    </row>
    <row r="818" customFormat="false" ht="15" hidden="false" customHeight="false" outlineLevel="0" collapsed="false">
      <c r="A818" s="25" t="n">
        <v>45367</v>
      </c>
      <c r="B818" s="13" t="n">
        <v>1</v>
      </c>
      <c r="C818" s="26" t="s">
        <v>68</v>
      </c>
      <c r="D818" s="26"/>
      <c r="E818" s="13" t="s">
        <v>772</v>
      </c>
      <c r="F818" s="13" t="s">
        <v>395</v>
      </c>
      <c r="G818" s="13" t="s">
        <v>396</v>
      </c>
      <c r="H818" s="13" t="s">
        <v>20</v>
      </c>
      <c r="I818" s="13" t="s">
        <v>395</v>
      </c>
      <c r="J818" s="13" t="s">
        <v>133</v>
      </c>
      <c r="K818" s="13" t="s">
        <v>107</v>
      </c>
      <c r="L818" s="13" t="s">
        <v>122</v>
      </c>
      <c r="M818" s="13" t="s">
        <v>100</v>
      </c>
      <c r="N818" s="27" t="n">
        <v>39880</v>
      </c>
      <c r="O818" s="28" t="n">
        <v>6692779</v>
      </c>
      <c r="P818" s="27" t="n">
        <v>39880</v>
      </c>
      <c r="Q818" s="29" t="n">
        <v>1</v>
      </c>
      <c r="R818" s="28" t="n">
        <v>41.5</v>
      </c>
      <c r="S818" s="28" t="n">
        <v>221.5</v>
      </c>
      <c r="T818" s="28" t="n">
        <v>167.82</v>
      </c>
      <c r="U818" s="13" t="n">
        <f aca="false">IFERROR(YEAR(A818),"")</f>
        <v>2024</v>
      </c>
      <c r="V818" s="28" t="n">
        <f aca="false">IFERROR(O818*B818,0)</f>
        <v>6692779</v>
      </c>
      <c r="W818" s="27" t="n">
        <f aca="false">IFERROR(N818*B818,0)</f>
        <v>39880</v>
      </c>
      <c r="X818" s="13" t="n">
        <f aca="false">IF(OR(ISNUMBER(SEARCH("live nation",L818)),ISNUMBER(SEARCH("ocesa",L818))),1,0)</f>
        <v>0</v>
      </c>
      <c r="Y818" s="13" t="s">
        <v>49</v>
      </c>
    </row>
    <row r="819" customFormat="false" ht="15" hidden="false" customHeight="false" outlineLevel="0" collapsed="false">
      <c r="A819" s="30" t="n">
        <v>45367</v>
      </c>
      <c r="B819" s="11" t="n">
        <v>1</v>
      </c>
      <c r="C819" s="31" t="s">
        <v>574</v>
      </c>
      <c r="D819" s="31"/>
      <c r="E819" s="11" t="s">
        <v>664</v>
      </c>
      <c r="F819" s="11" t="s">
        <v>665</v>
      </c>
      <c r="G819" s="11"/>
      <c r="H819" s="11" t="s">
        <v>350</v>
      </c>
      <c r="I819" s="11"/>
      <c r="J819" s="11" t="s">
        <v>121</v>
      </c>
      <c r="K819" s="11" t="s">
        <v>173</v>
      </c>
      <c r="L819" s="11" t="s">
        <v>1058</v>
      </c>
      <c r="M819" s="11" t="s">
        <v>100</v>
      </c>
      <c r="N819" s="32" t="n">
        <v>7248</v>
      </c>
      <c r="O819" s="33" t="n">
        <v>590623.44</v>
      </c>
      <c r="P819" s="32" t="n">
        <v>7878</v>
      </c>
      <c r="Q819" s="34" t="n">
        <v>0.92</v>
      </c>
      <c r="R819" s="33" t="n">
        <v>70.79</v>
      </c>
      <c r="S819" s="33" t="n">
        <v>70.79</v>
      </c>
      <c r="T819" s="33" t="n">
        <v>81.49</v>
      </c>
      <c r="U819" s="11" t="n">
        <f aca="false">IFERROR(YEAR(A819),"")</f>
        <v>2024</v>
      </c>
      <c r="V819" s="33" t="n">
        <f aca="false">IFERROR(O819*B819,0)</f>
        <v>590623.44</v>
      </c>
      <c r="W819" s="32" t="n">
        <f aca="false">IFERROR(N819*B819,0)</f>
        <v>7248</v>
      </c>
      <c r="X819" s="11" t="n">
        <f aca="false">IF(OR(ISNUMBER(SEARCH("live nation",L819)),ISNUMBER(SEARCH("ocesa",L819))),1,0)</f>
        <v>0</v>
      </c>
      <c r="Y819" s="11" t="s">
        <v>49</v>
      </c>
    </row>
    <row r="820" customFormat="false" ht="15" hidden="false" customHeight="false" outlineLevel="0" collapsed="false">
      <c r="A820" s="25" t="n">
        <v>45367</v>
      </c>
      <c r="B820" s="13" t="n">
        <v>1</v>
      </c>
      <c r="C820" s="26" t="s">
        <v>743</v>
      </c>
      <c r="D820" s="26"/>
      <c r="E820" s="13" t="s">
        <v>230</v>
      </c>
      <c r="F820" s="13" t="s">
        <v>231</v>
      </c>
      <c r="G820" s="13" t="s">
        <v>202</v>
      </c>
      <c r="H820" s="13" t="s">
        <v>20</v>
      </c>
      <c r="I820" s="13" t="s">
        <v>232</v>
      </c>
      <c r="J820" s="13" t="s">
        <v>97</v>
      </c>
      <c r="K820" s="13" t="s">
        <v>107</v>
      </c>
      <c r="L820" s="13" t="s">
        <v>177</v>
      </c>
      <c r="M820" s="13" t="s">
        <v>277</v>
      </c>
      <c r="N820" s="27" t="n">
        <v>12063</v>
      </c>
      <c r="O820" s="28" t="n">
        <v>1203629.21</v>
      </c>
      <c r="P820" s="27" t="n">
        <v>12063</v>
      </c>
      <c r="Q820" s="29" t="n">
        <v>1</v>
      </c>
      <c r="R820" s="28" t="n">
        <v>47.14</v>
      </c>
      <c r="S820" s="28" t="n">
        <v>170.95</v>
      </c>
      <c r="T820" s="28" t="n">
        <v>99.78</v>
      </c>
      <c r="U820" s="13" t="n">
        <f aca="false">IFERROR(YEAR(A820),"")</f>
        <v>2024</v>
      </c>
      <c r="V820" s="28" t="n">
        <f aca="false">IFERROR(O820*B820,0)</f>
        <v>1203629.21</v>
      </c>
      <c r="W820" s="27" t="n">
        <f aca="false">IFERROR(N820*B820,0)</f>
        <v>12063</v>
      </c>
      <c r="X820" s="13" t="n">
        <f aca="false">IF(OR(ISNUMBER(SEARCH("live nation",L820)),ISNUMBER(SEARCH("ocesa",L820))),1,0)</f>
        <v>1</v>
      </c>
      <c r="Y820" s="13" t="s">
        <v>49</v>
      </c>
    </row>
    <row r="821" customFormat="false" ht="15" hidden="false" customHeight="false" outlineLevel="0" collapsed="false">
      <c r="A821" s="30" t="n">
        <v>45366</v>
      </c>
      <c r="B821" s="11" t="n">
        <v>1</v>
      </c>
      <c r="C821" s="31" t="s">
        <v>1056</v>
      </c>
      <c r="D821" s="31"/>
      <c r="E821" s="11" t="s">
        <v>1059</v>
      </c>
      <c r="F821" s="11" t="s">
        <v>132</v>
      </c>
      <c r="G821" s="11"/>
      <c r="H821" s="11" t="s">
        <v>23</v>
      </c>
      <c r="I821" s="11"/>
      <c r="J821" s="11" t="s">
        <v>151</v>
      </c>
      <c r="K821" s="11" t="s">
        <v>134</v>
      </c>
      <c r="L821" s="11" t="s">
        <v>135</v>
      </c>
      <c r="M821" s="11" t="s">
        <v>100</v>
      </c>
      <c r="N821" s="32" t="n">
        <v>4248</v>
      </c>
      <c r="O821" s="33" t="n">
        <v>517209.84</v>
      </c>
      <c r="P821" s="32" t="n">
        <v>7620</v>
      </c>
      <c r="Q821" s="34" t="n">
        <v>0.55</v>
      </c>
      <c r="R821" s="33" t="n">
        <v>46.65</v>
      </c>
      <c r="S821" s="33" t="n">
        <v>160.29</v>
      </c>
      <c r="T821" s="33" t="n">
        <v>121.75</v>
      </c>
      <c r="U821" s="11" t="n">
        <f aca="false">IFERROR(YEAR(A821),"")</f>
        <v>2024</v>
      </c>
      <c r="V821" s="33" t="n">
        <f aca="false">IFERROR(O821*B821,0)</f>
        <v>517209.84</v>
      </c>
      <c r="W821" s="32" t="n">
        <f aca="false">IFERROR(N821*B821,0)</f>
        <v>4248</v>
      </c>
      <c r="X821" s="11" t="n">
        <f aca="false">IF(OR(ISNUMBER(SEARCH("live nation",L821)),ISNUMBER(SEARCH("ocesa",L821))),1,0)</f>
        <v>1</v>
      </c>
      <c r="Y821" s="11" t="s">
        <v>49</v>
      </c>
    </row>
    <row r="822" customFormat="false" ht="15" hidden="false" customHeight="false" outlineLevel="0" collapsed="false">
      <c r="A822" s="25" t="n">
        <v>45364</v>
      </c>
      <c r="B822" s="13" t="n">
        <v>1</v>
      </c>
      <c r="C822" s="26" t="s">
        <v>587</v>
      </c>
      <c r="D822" s="26"/>
      <c r="E822" s="13" t="s">
        <v>1060</v>
      </c>
      <c r="F822" s="13" t="s">
        <v>515</v>
      </c>
      <c r="G822" s="13"/>
      <c r="H822" s="13" t="s">
        <v>516</v>
      </c>
      <c r="I822" s="13"/>
      <c r="J822" s="13" t="s">
        <v>97</v>
      </c>
      <c r="K822" s="13" t="s">
        <v>173</v>
      </c>
      <c r="L822" s="13" t="s">
        <v>517</v>
      </c>
      <c r="M822" s="13" t="s">
        <v>100</v>
      </c>
      <c r="N822" s="27" t="n">
        <v>3874</v>
      </c>
      <c r="O822" s="28" t="n">
        <v>296074.28</v>
      </c>
      <c r="P822" s="27" t="n">
        <v>4539</v>
      </c>
      <c r="Q822" s="29" t="n">
        <v>0.85</v>
      </c>
      <c r="R822" s="28" t="n">
        <v>60.11</v>
      </c>
      <c r="S822" s="28" t="n">
        <v>519.1</v>
      </c>
      <c r="T822" s="28" t="n">
        <v>76.43</v>
      </c>
      <c r="U822" s="13" t="n">
        <f aca="false">IFERROR(YEAR(A822),"")</f>
        <v>2024</v>
      </c>
      <c r="V822" s="28" t="n">
        <f aca="false">IFERROR(O822*B822,0)</f>
        <v>296074.28</v>
      </c>
      <c r="W822" s="27" t="n">
        <f aca="false">IFERROR(N822*B822,0)</f>
        <v>3874</v>
      </c>
      <c r="X822" s="13" t="n">
        <f aca="false">IF(OR(ISNUMBER(SEARCH("live nation",L822)),ISNUMBER(SEARCH("ocesa",L822))),1,0)</f>
        <v>0</v>
      </c>
      <c r="Y822" s="13" t="s">
        <v>50</v>
      </c>
    </row>
    <row r="823" customFormat="false" ht="15" hidden="false" customHeight="false" outlineLevel="0" collapsed="false">
      <c r="A823" s="30" t="n">
        <v>45356</v>
      </c>
      <c r="B823" s="11" t="n">
        <v>1</v>
      </c>
      <c r="C823" s="31" t="s">
        <v>587</v>
      </c>
      <c r="D823" s="31"/>
      <c r="E823" s="11" t="s">
        <v>1061</v>
      </c>
      <c r="F823" s="11" t="s">
        <v>349</v>
      </c>
      <c r="G823" s="11"/>
      <c r="H823" s="11" t="s">
        <v>350</v>
      </c>
      <c r="I823" s="11"/>
      <c r="J823" s="11" t="s">
        <v>121</v>
      </c>
      <c r="K823" s="11" t="s">
        <v>173</v>
      </c>
      <c r="L823" s="11" t="s">
        <v>818</v>
      </c>
      <c r="M823" s="11" t="s">
        <v>100</v>
      </c>
      <c r="N823" s="32" t="n">
        <v>3539</v>
      </c>
      <c r="O823" s="33" t="n">
        <v>249638.1</v>
      </c>
      <c r="P823" s="32" t="n">
        <v>4032</v>
      </c>
      <c r="Q823" s="34" t="n">
        <v>0.87</v>
      </c>
      <c r="R823" s="33" t="n">
        <v>70.53</v>
      </c>
      <c r="S823" s="33" t="n">
        <v>70.53</v>
      </c>
      <c r="T823" s="33" t="n">
        <v>70.54</v>
      </c>
      <c r="U823" s="11" t="n">
        <f aca="false">IFERROR(YEAR(A823),"")</f>
        <v>2024</v>
      </c>
      <c r="V823" s="33" t="n">
        <f aca="false">IFERROR(O823*B823,0)</f>
        <v>249638.1</v>
      </c>
      <c r="W823" s="32" t="n">
        <f aca="false">IFERROR(N823*B823,0)</f>
        <v>3539</v>
      </c>
      <c r="X823" s="11" t="n">
        <f aca="false">IF(OR(ISNUMBER(SEARCH("live nation",L823)),ISNUMBER(SEARCH("ocesa",L823))),1,0)</f>
        <v>0</v>
      </c>
      <c r="Y823" s="11" t="s">
        <v>49</v>
      </c>
    </row>
    <row r="824" customFormat="false" ht="15" hidden="false" customHeight="false" outlineLevel="0" collapsed="false">
      <c r="A824" s="25" t="n">
        <v>45354</v>
      </c>
      <c r="B824" s="13" t="n">
        <v>1</v>
      </c>
      <c r="C824" s="26" t="s">
        <v>587</v>
      </c>
      <c r="D824" s="26"/>
      <c r="E824" s="13" t="s">
        <v>1062</v>
      </c>
      <c r="F824" s="13" t="s">
        <v>817</v>
      </c>
      <c r="G824" s="13"/>
      <c r="H824" s="13" t="s">
        <v>350</v>
      </c>
      <c r="I824" s="13"/>
      <c r="J824" s="13" t="s">
        <v>97</v>
      </c>
      <c r="K824" s="13" t="s">
        <v>173</v>
      </c>
      <c r="L824" s="13" t="s">
        <v>818</v>
      </c>
      <c r="M824" s="13" t="s">
        <v>100</v>
      </c>
      <c r="N824" s="27" t="n">
        <v>5124</v>
      </c>
      <c r="O824" s="28" t="n">
        <v>361241.8</v>
      </c>
      <c r="P824" s="27" t="n">
        <v>5124</v>
      </c>
      <c r="Q824" s="29" t="n">
        <v>1</v>
      </c>
      <c r="R824" s="28" t="n">
        <v>70.5</v>
      </c>
      <c r="S824" s="28" t="n">
        <v>70.5</v>
      </c>
      <c r="T824" s="28" t="n">
        <v>70.5</v>
      </c>
      <c r="U824" s="13" t="n">
        <f aca="false">IFERROR(YEAR(A824),"")</f>
        <v>2024</v>
      </c>
      <c r="V824" s="28" t="n">
        <f aca="false">IFERROR(O824*B824,0)</f>
        <v>361241.8</v>
      </c>
      <c r="W824" s="27" t="n">
        <f aca="false">IFERROR(N824*B824,0)</f>
        <v>5124</v>
      </c>
      <c r="X824" s="13" t="n">
        <f aca="false">IF(OR(ISNUMBER(SEARCH("live nation",L824)),ISNUMBER(SEARCH("ocesa",L824))),1,0)</f>
        <v>0</v>
      </c>
      <c r="Y824" s="13" t="s">
        <v>49</v>
      </c>
    </row>
    <row r="825" customFormat="false" ht="15" hidden="false" customHeight="false" outlineLevel="0" collapsed="false">
      <c r="A825" s="30" t="n">
        <v>45354</v>
      </c>
      <c r="B825" s="11" t="n">
        <v>1</v>
      </c>
      <c r="C825" s="31" t="s">
        <v>401</v>
      </c>
      <c r="D825" s="31"/>
      <c r="E825" s="11" t="s">
        <v>111</v>
      </c>
      <c r="F825" s="11" t="s">
        <v>112</v>
      </c>
      <c r="G825" s="11"/>
      <c r="H825" s="11" t="s">
        <v>21</v>
      </c>
      <c r="I825" s="11"/>
      <c r="J825" s="11" t="s">
        <v>97</v>
      </c>
      <c r="K825" s="11" t="s">
        <v>113</v>
      </c>
      <c r="L825" s="11" t="s">
        <v>359</v>
      </c>
      <c r="M825" s="11" t="s">
        <v>100</v>
      </c>
      <c r="N825" s="32" t="n">
        <v>18000</v>
      </c>
      <c r="O825" s="33" t="n">
        <v>1553710.56</v>
      </c>
      <c r="P825" s="32" t="n">
        <v>18000</v>
      </c>
      <c r="Q825" s="34" t="n">
        <v>1</v>
      </c>
      <c r="R825" s="33" t="n">
        <v>78.62</v>
      </c>
      <c r="S825" s="33" t="n">
        <v>78.62</v>
      </c>
      <c r="T825" s="33" t="n">
        <v>86.32</v>
      </c>
      <c r="U825" s="11" t="n">
        <f aca="false">IFERROR(YEAR(A825),"")</f>
        <v>2024</v>
      </c>
      <c r="V825" s="33" t="n">
        <f aca="false">IFERROR(O825*B825,0)</f>
        <v>1553710.56</v>
      </c>
      <c r="W825" s="32" t="n">
        <f aca="false">IFERROR(N825*B825,0)</f>
        <v>18000</v>
      </c>
      <c r="X825" s="11" t="n">
        <f aca="false">IF(OR(ISNUMBER(SEARCH("live nation",L825)),ISNUMBER(SEARCH("ocesa",L825))),1,0)</f>
        <v>0</v>
      </c>
      <c r="Y825" s="11" t="s">
        <v>50</v>
      </c>
    </row>
    <row r="826" customFormat="false" ht="15" hidden="false" customHeight="false" outlineLevel="0" collapsed="false">
      <c r="A826" s="25" t="n">
        <v>45354</v>
      </c>
      <c r="B826" s="13" t="n">
        <v>1</v>
      </c>
      <c r="C826" s="26" t="s">
        <v>465</v>
      </c>
      <c r="D826" s="26"/>
      <c r="E826" s="13" t="s">
        <v>184</v>
      </c>
      <c r="F826" s="13" t="s">
        <v>185</v>
      </c>
      <c r="G826" s="13"/>
      <c r="H826" s="13" t="s">
        <v>21</v>
      </c>
      <c r="I826" s="13"/>
      <c r="J826" s="13" t="s">
        <v>133</v>
      </c>
      <c r="K826" s="13" t="s">
        <v>113</v>
      </c>
      <c r="L826" s="13" t="s">
        <v>250</v>
      </c>
      <c r="M826" s="13" t="s">
        <v>100</v>
      </c>
      <c r="N826" s="27" t="n">
        <v>44000</v>
      </c>
      <c r="O826" s="28" t="n">
        <v>4397216.86</v>
      </c>
      <c r="P826" s="27" t="n">
        <v>44000</v>
      </c>
      <c r="Q826" s="29" t="n">
        <v>1</v>
      </c>
      <c r="R826" s="28" t="n">
        <v>99.94</v>
      </c>
      <c r="S826" s="28" t="n">
        <v>99.94</v>
      </c>
      <c r="T826" s="28" t="n">
        <v>99.94</v>
      </c>
      <c r="U826" s="13" t="n">
        <f aca="false">IFERROR(YEAR(A826),"")</f>
        <v>2024</v>
      </c>
      <c r="V826" s="28" t="n">
        <f aca="false">IFERROR(O826*B826,0)</f>
        <v>4397216.86</v>
      </c>
      <c r="W826" s="27" t="n">
        <f aca="false">IFERROR(N826*B826,0)</f>
        <v>44000</v>
      </c>
      <c r="X826" s="13" t="n">
        <f aca="false">IF(OR(ISNUMBER(SEARCH("live nation",L826)),ISNUMBER(SEARCH("ocesa",L826))),1,0)</f>
        <v>0</v>
      </c>
      <c r="Y826" s="13" t="s">
        <v>50</v>
      </c>
    </row>
    <row r="827" customFormat="false" ht="15" hidden="false" customHeight="false" outlineLevel="0" collapsed="false">
      <c r="A827" s="30" t="n">
        <v>45353</v>
      </c>
      <c r="B827" s="11" t="n">
        <v>1</v>
      </c>
      <c r="C827" s="31" t="s">
        <v>1063</v>
      </c>
      <c r="D827" s="31"/>
      <c r="E827" s="11" t="s">
        <v>1064</v>
      </c>
      <c r="F827" s="11" t="s">
        <v>306</v>
      </c>
      <c r="G827" s="11" t="s">
        <v>188</v>
      </c>
      <c r="H827" s="11" t="s">
        <v>20</v>
      </c>
      <c r="I827" s="11" t="s">
        <v>307</v>
      </c>
      <c r="J827" s="11" t="s">
        <v>106</v>
      </c>
      <c r="K827" s="11" t="s">
        <v>107</v>
      </c>
      <c r="L827" s="11" t="s">
        <v>122</v>
      </c>
      <c r="M827" s="11" t="s">
        <v>100</v>
      </c>
      <c r="N827" s="32" t="n">
        <v>48</v>
      </c>
      <c r="O827" s="33" t="n">
        <v>870</v>
      </c>
      <c r="P827" s="32" t="n">
        <v>200</v>
      </c>
      <c r="Q827" s="34" t="n">
        <v>0.24</v>
      </c>
      <c r="R827" s="33" t="n">
        <v>20</v>
      </c>
      <c r="S827" s="33" t="n">
        <v>25</v>
      </c>
      <c r="T827" s="33" t="n">
        <v>18.13</v>
      </c>
      <c r="U827" s="11" t="n">
        <f aca="false">IFERROR(YEAR(A827),"")</f>
        <v>2024</v>
      </c>
      <c r="V827" s="33" t="n">
        <f aca="false">IFERROR(O827*B827,0)</f>
        <v>870</v>
      </c>
      <c r="W827" s="32" t="n">
        <f aca="false">IFERROR(N827*B827,0)</f>
        <v>48</v>
      </c>
      <c r="X827" s="11" t="n">
        <f aca="false">IF(OR(ISNUMBER(SEARCH("live nation",L827)),ISNUMBER(SEARCH("ocesa",L827))),1,0)</f>
        <v>0</v>
      </c>
      <c r="Y827" s="11" t="s">
        <v>49</v>
      </c>
    </row>
    <row r="828" customFormat="false" ht="15" hidden="false" customHeight="false" outlineLevel="0" collapsed="false">
      <c r="A828" s="25" t="n">
        <v>45353</v>
      </c>
      <c r="B828" s="13" t="n">
        <v>1</v>
      </c>
      <c r="C828" s="26" t="s">
        <v>401</v>
      </c>
      <c r="D828" s="26"/>
      <c r="E828" s="13" t="s">
        <v>111</v>
      </c>
      <c r="F828" s="13" t="s">
        <v>112</v>
      </c>
      <c r="G828" s="13"/>
      <c r="H828" s="13" t="s">
        <v>21</v>
      </c>
      <c r="I828" s="13"/>
      <c r="J828" s="13" t="s">
        <v>97</v>
      </c>
      <c r="K828" s="13" t="s">
        <v>113</v>
      </c>
      <c r="L828" s="13" t="s">
        <v>359</v>
      </c>
      <c r="M828" s="13" t="s">
        <v>100</v>
      </c>
      <c r="N828" s="27" t="n">
        <v>18000</v>
      </c>
      <c r="O828" s="28" t="n">
        <v>1415104.33</v>
      </c>
      <c r="P828" s="27" t="n">
        <v>18000</v>
      </c>
      <c r="Q828" s="29" t="n">
        <v>1</v>
      </c>
      <c r="R828" s="28" t="n">
        <v>78.62</v>
      </c>
      <c r="S828" s="28" t="n">
        <v>78.62</v>
      </c>
      <c r="T828" s="28" t="n">
        <v>78.62</v>
      </c>
      <c r="U828" s="13" t="n">
        <f aca="false">IFERROR(YEAR(A828),"")</f>
        <v>2024</v>
      </c>
      <c r="V828" s="28" t="n">
        <f aca="false">IFERROR(O828*B828,0)</f>
        <v>1415104.33</v>
      </c>
      <c r="W828" s="27" t="n">
        <f aca="false">IFERROR(N828*B828,0)</f>
        <v>18000</v>
      </c>
      <c r="X828" s="13" t="n">
        <f aca="false">IF(OR(ISNUMBER(SEARCH("live nation",L828)),ISNUMBER(SEARCH("ocesa",L828))),1,0)</f>
        <v>0</v>
      </c>
      <c r="Y828" s="13" t="s">
        <v>50</v>
      </c>
    </row>
    <row r="829" customFormat="false" ht="15" hidden="false" customHeight="false" outlineLevel="0" collapsed="false">
      <c r="A829" s="30" t="n">
        <v>45353</v>
      </c>
      <c r="B829" s="11" t="n">
        <v>1</v>
      </c>
      <c r="C829" s="31" t="s">
        <v>465</v>
      </c>
      <c r="D829" s="31"/>
      <c r="E829" s="11" t="s">
        <v>184</v>
      </c>
      <c r="F829" s="11" t="s">
        <v>185</v>
      </c>
      <c r="G829" s="11"/>
      <c r="H829" s="11" t="s">
        <v>21</v>
      </c>
      <c r="I829" s="11"/>
      <c r="J829" s="11" t="s">
        <v>133</v>
      </c>
      <c r="K829" s="11" t="s">
        <v>113</v>
      </c>
      <c r="L829" s="11" t="s">
        <v>250</v>
      </c>
      <c r="M829" s="11" t="s">
        <v>100</v>
      </c>
      <c r="N829" s="32" t="n">
        <v>44000</v>
      </c>
      <c r="O829" s="33" t="n">
        <v>4397216.86</v>
      </c>
      <c r="P829" s="32" t="n">
        <v>44000</v>
      </c>
      <c r="Q829" s="34" t="n">
        <v>1</v>
      </c>
      <c r="R829" s="33" t="n">
        <v>99.94</v>
      </c>
      <c r="S829" s="33" t="n">
        <v>99.94</v>
      </c>
      <c r="T829" s="33" t="n">
        <v>99.94</v>
      </c>
      <c r="U829" s="11" t="n">
        <f aca="false">IFERROR(YEAR(A829),"")</f>
        <v>2024</v>
      </c>
      <c r="V829" s="33" t="n">
        <f aca="false">IFERROR(O829*B829,0)</f>
        <v>4397216.86</v>
      </c>
      <c r="W829" s="32" t="n">
        <f aca="false">IFERROR(N829*B829,0)</f>
        <v>44000</v>
      </c>
      <c r="X829" s="11" t="n">
        <f aca="false">IF(OR(ISNUMBER(SEARCH("live nation",L829)),ISNUMBER(SEARCH("ocesa",L829))),1,0)</f>
        <v>0</v>
      </c>
      <c r="Y829" s="11" t="s">
        <v>50</v>
      </c>
    </row>
    <row r="830" customFormat="false" ht="15" hidden="false" customHeight="false" outlineLevel="0" collapsed="false">
      <c r="A830" s="25" t="n">
        <v>45345</v>
      </c>
      <c r="B830" s="13" t="n">
        <v>3</v>
      </c>
      <c r="C830" s="26" t="s">
        <v>64</v>
      </c>
      <c r="D830" s="26"/>
      <c r="E830" s="13" t="s">
        <v>1046</v>
      </c>
      <c r="F830" s="13" t="s">
        <v>147</v>
      </c>
      <c r="G830" s="13"/>
      <c r="H830" s="13" t="s">
        <v>24</v>
      </c>
      <c r="I830" s="13"/>
      <c r="J830" s="13" t="s">
        <v>97</v>
      </c>
      <c r="K830" s="13" t="s">
        <v>148</v>
      </c>
      <c r="L830" s="13" t="s">
        <v>145</v>
      </c>
      <c r="M830" s="13" t="s">
        <v>100</v>
      </c>
      <c r="N830" s="27" t="n">
        <v>8359</v>
      </c>
      <c r="O830" s="28" t="n">
        <v>943295.69</v>
      </c>
      <c r="P830" s="27" t="n">
        <v>8500</v>
      </c>
      <c r="Q830" s="29" t="n">
        <v>0.98</v>
      </c>
      <c r="R830" s="28" t="n">
        <v>115.85</v>
      </c>
      <c r="S830" s="28" t="n">
        <v>148.95</v>
      </c>
      <c r="T830" s="28" t="n">
        <v>112.85</v>
      </c>
      <c r="U830" s="13" t="n">
        <f aca="false">IFERROR(YEAR(A830),"")</f>
        <v>2024</v>
      </c>
      <c r="V830" s="28" t="n">
        <f aca="false">IFERROR(O830*B830,0)</f>
        <v>2829887.07</v>
      </c>
      <c r="W830" s="27" t="n">
        <f aca="false">IFERROR(N830*B830,0)</f>
        <v>25077</v>
      </c>
      <c r="X830" s="13" t="n">
        <f aca="false">IF(OR(ISNUMBER(SEARCH("live nation",L830)),ISNUMBER(SEARCH("ocesa",L830))),1,0)</f>
        <v>0</v>
      </c>
      <c r="Y830" s="13" t="s">
        <v>50</v>
      </c>
    </row>
    <row r="831" customFormat="false" ht="15" hidden="false" customHeight="false" outlineLevel="0" collapsed="false">
      <c r="A831" s="30" t="n">
        <v>45331</v>
      </c>
      <c r="B831" s="11" t="n">
        <v>1</v>
      </c>
      <c r="C831" s="31" t="s">
        <v>921</v>
      </c>
      <c r="D831" s="31" t="s">
        <v>1065</v>
      </c>
      <c r="E831" s="11" t="s">
        <v>486</v>
      </c>
      <c r="F831" s="11" t="s">
        <v>203</v>
      </c>
      <c r="G831" s="11" t="s">
        <v>202</v>
      </c>
      <c r="H831" s="11" t="s">
        <v>20</v>
      </c>
      <c r="I831" s="11" t="s">
        <v>203</v>
      </c>
      <c r="J831" s="11" t="s">
        <v>133</v>
      </c>
      <c r="K831" s="11" t="s">
        <v>107</v>
      </c>
      <c r="L831" s="11" t="s">
        <v>1066</v>
      </c>
      <c r="M831" s="11" t="s">
        <v>100</v>
      </c>
      <c r="N831" s="32" t="n">
        <v>11909</v>
      </c>
      <c r="O831" s="33" t="n">
        <v>2145879</v>
      </c>
      <c r="P831" s="32" t="n">
        <v>11909</v>
      </c>
      <c r="Q831" s="34" t="n">
        <v>1</v>
      </c>
      <c r="R831" s="33" t="n">
        <v>112</v>
      </c>
      <c r="S831" s="33" t="n">
        <v>224</v>
      </c>
      <c r="T831" s="33" t="n">
        <v>180.19</v>
      </c>
      <c r="U831" s="11" t="n">
        <f aca="false">IFERROR(YEAR(A831),"")</f>
        <v>2024</v>
      </c>
      <c r="V831" s="33" t="n">
        <f aca="false">IFERROR(O831*B831,0)</f>
        <v>2145879</v>
      </c>
      <c r="W831" s="32" t="n">
        <f aca="false">IFERROR(N831*B831,0)</f>
        <v>11909</v>
      </c>
      <c r="X831" s="11" t="n">
        <f aca="false">IF(OR(ISNUMBER(SEARCH("live nation",L831)),ISNUMBER(SEARCH("ocesa",L831))),1,0)</f>
        <v>0</v>
      </c>
      <c r="Y831" s="11" t="s">
        <v>49</v>
      </c>
    </row>
    <row r="832" customFormat="false" ht="15" hidden="false" customHeight="false" outlineLevel="0" collapsed="false">
      <c r="A832" s="25" t="n">
        <v>45329</v>
      </c>
      <c r="B832" s="13" t="n">
        <v>2</v>
      </c>
      <c r="C832" s="26" t="s">
        <v>743</v>
      </c>
      <c r="D832" s="26"/>
      <c r="E832" s="13" t="s">
        <v>1067</v>
      </c>
      <c r="F832" s="13" t="s">
        <v>370</v>
      </c>
      <c r="G832" s="13"/>
      <c r="H832" s="13" t="s">
        <v>21</v>
      </c>
      <c r="I832" s="13"/>
      <c r="J832" s="13" t="s">
        <v>97</v>
      </c>
      <c r="K832" s="13" t="s">
        <v>113</v>
      </c>
      <c r="L832" s="13" t="s">
        <v>122</v>
      </c>
      <c r="M832" s="13" t="s">
        <v>277</v>
      </c>
      <c r="N832" s="27" t="n">
        <v>10374</v>
      </c>
      <c r="O832" s="28" t="n">
        <v>944013</v>
      </c>
      <c r="P832" s="27" t="n">
        <v>10374</v>
      </c>
      <c r="Q832" s="29" t="n">
        <v>1</v>
      </c>
      <c r="R832" s="28" t="n">
        <v>45.01</v>
      </c>
      <c r="S832" s="28" t="n">
        <v>175</v>
      </c>
      <c r="T832" s="28" t="n">
        <v>91</v>
      </c>
      <c r="U832" s="13" t="n">
        <f aca="false">IFERROR(YEAR(A832),"")</f>
        <v>2024</v>
      </c>
      <c r="V832" s="28" t="n">
        <f aca="false">IFERROR(O832*B832,0)</f>
        <v>1888026</v>
      </c>
      <c r="W832" s="27" t="n">
        <f aca="false">IFERROR(N832*B832,0)</f>
        <v>20748</v>
      </c>
      <c r="X832" s="13" t="n">
        <f aca="false">IF(OR(ISNUMBER(SEARCH("live nation",L832)),ISNUMBER(SEARCH("ocesa",L832))),1,0)</f>
        <v>0</v>
      </c>
      <c r="Y832" s="13" t="s">
        <v>50</v>
      </c>
    </row>
    <row r="833" customFormat="false" ht="15" hidden="false" customHeight="false" outlineLevel="0" collapsed="false">
      <c r="A833" s="30" t="n">
        <v>45328</v>
      </c>
      <c r="B833" s="11" t="n">
        <v>1</v>
      </c>
      <c r="C833" s="31" t="s">
        <v>730</v>
      </c>
      <c r="D833" s="31"/>
      <c r="E833" s="11" t="s">
        <v>1068</v>
      </c>
      <c r="F833" s="11" t="s">
        <v>561</v>
      </c>
      <c r="G833" s="11"/>
      <c r="H833" s="11" t="s">
        <v>449</v>
      </c>
      <c r="I833" s="11"/>
      <c r="J833" s="11" t="s">
        <v>106</v>
      </c>
      <c r="K833" s="11" t="s">
        <v>173</v>
      </c>
      <c r="L833" s="11" t="s">
        <v>453</v>
      </c>
      <c r="M833" s="11" t="s">
        <v>100</v>
      </c>
      <c r="N833" s="32" t="n">
        <v>925</v>
      </c>
      <c r="O833" s="33" t="n">
        <v>94460.4</v>
      </c>
      <c r="P833" s="32" t="n">
        <v>1350</v>
      </c>
      <c r="Q833" s="34" t="n">
        <v>0.68</v>
      </c>
      <c r="R833" s="33" t="n">
        <v>102.12</v>
      </c>
      <c r="S833" s="33" t="n">
        <v>102.12</v>
      </c>
      <c r="T833" s="33" t="n">
        <v>102.12</v>
      </c>
      <c r="U833" s="11" t="n">
        <f aca="false">IFERROR(YEAR(A833),"")</f>
        <v>2024</v>
      </c>
      <c r="V833" s="33" t="n">
        <f aca="false">IFERROR(O833*B833,0)</f>
        <v>94460.4</v>
      </c>
      <c r="W833" s="32" t="n">
        <f aca="false">IFERROR(N833*B833,0)</f>
        <v>925</v>
      </c>
      <c r="X833" s="11" t="n">
        <f aca="false">IF(OR(ISNUMBER(SEARCH("live nation",L833)),ISNUMBER(SEARCH("ocesa",L833))),1,0)</f>
        <v>0</v>
      </c>
      <c r="Y833" s="11" t="s">
        <v>49</v>
      </c>
    </row>
    <row r="834" customFormat="false" ht="15" hidden="false" customHeight="false" outlineLevel="0" collapsed="false">
      <c r="A834" s="25" t="n">
        <v>45328</v>
      </c>
      <c r="B834" s="13" t="n">
        <v>2</v>
      </c>
      <c r="C834" s="26" t="s">
        <v>68</v>
      </c>
      <c r="D834" s="26"/>
      <c r="E834" s="13" t="s">
        <v>1069</v>
      </c>
      <c r="F834" s="13" t="s">
        <v>582</v>
      </c>
      <c r="G834" s="13"/>
      <c r="H834" s="13" t="s">
        <v>583</v>
      </c>
      <c r="I834" s="13"/>
      <c r="J834" s="13" t="s">
        <v>133</v>
      </c>
      <c r="K834" s="13" t="s">
        <v>584</v>
      </c>
      <c r="L834" s="13" t="s">
        <v>1023</v>
      </c>
      <c r="M834" s="13" t="s">
        <v>100</v>
      </c>
      <c r="N834" s="27" t="n">
        <v>32992</v>
      </c>
      <c r="O834" s="28" t="n">
        <v>3175671.5</v>
      </c>
      <c r="P834" s="27" t="n">
        <v>32992</v>
      </c>
      <c r="Q834" s="29" t="n">
        <v>1</v>
      </c>
      <c r="R834" s="28" t="n">
        <v>46.14</v>
      </c>
      <c r="S834" s="28" t="n">
        <v>184.55</v>
      </c>
      <c r="T834" s="28" t="n">
        <v>96.26</v>
      </c>
      <c r="U834" s="13" t="n">
        <f aca="false">IFERROR(YEAR(A834),"")</f>
        <v>2024</v>
      </c>
      <c r="V834" s="28" t="n">
        <f aca="false">IFERROR(O834*B834,0)</f>
        <v>6351343</v>
      </c>
      <c r="W834" s="27" t="n">
        <f aca="false">IFERROR(N834*B834,0)</f>
        <v>65984</v>
      </c>
      <c r="X834" s="13" t="n">
        <f aca="false">IF(OR(ISNUMBER(SEARCH("live nation",L834)),ISNUMBER(SEARCH("ocesa",L834))),1,0)</f>
        <v>1</v>
      </c>
      <c r="Y834" s="13" t="s">
        <v>49</v>
      </c>
    </row>
    <row r="835" customFormat="false" ht="15" hidden="false" customHeight="false" outlineLevel="0" collapsed="false">
      <c r="A835" s="30" t="n">
        <v>45326</v>
      </c>
      <c r="B835" s="11" t="n">
        <v>1</v>
      </c>
      <c r="C835" s="31" t="s">
        <v>465</v>
      </c>
      <c r="D835" s="31"/>
      <c r="E835" s="11" t="s">
        <v>111</v>
      </c>
      <c r="F835" s="11" t="s">
        <v>112</v>
      </c>
      <c r="G835" s="11"/>
      <c r="H835" s="11" t="s">
        <v>21</v>
      </c>
      <c r="I835" s="11"/>
      <c r="J835" s="11" t="s">
        <v>97</v>
      </c>
      <c r="K835" s="11" t="s">
        <v>113</v>
      </c>
      <c r="L835" s="11" t="s">
        <v>250</v>
      </c>
      <c r="M835" s="11" t="s">
        <v>100</v>
      </c>
      <c r="N835" s="32" t="n">
        <v>17699</v>
      </c>
      <c r="O835" s="33" t="n">
        <v>1312141.51</v>
      </c>
      <c r="P835" s="32" t="n">
        <v>17699</v>
      </c>
      <c r="Q835" s="34" t="n">
        <v>1</v>
      </c>
      <c r="R835" s="33" t="n">
        <v>74.14</v>
      </c>
      <c r="S835" s="33" t="n">
        <v>74.14</v>
      </c>
      <c r="T835" s="33" t="n">
        <v>74.14</v>
      </c>
      <c r="U835" s="11" t="n">
        <f aca="false">IFERROR(YEAR(A835),"")</f>
        <v>2024</v>
      </c>
      <c r="V835" s="33" t="n">
        <f aca="false">IFERROR(O835*B835,0)</f>
        <v>1312141.51</v>
      </c>
      <c r="W835" s="32" t="n">
        <f aca="false">IFERROR(N835*B835,0)</f>
        <v>17699</v>
      </c>
      <c r="X835" s="11" t="n">
        <f aca="false">IF(OR(ISNUMBER(SEARCH("live nation",L835)),ISNUMBER(SEARCH("ocesa",L835))),1,0)</f>
        <v>0</v>
      </c>
      <c r="Y835" s="11" t="s">
        <v>50</v>
      </c>
    </row>
    <row r="836" customFormat="false" ht="15" hidden="false" customHeight="false" outlineLevel="0" collapsed="false">
      <c r="A836" s="25" t="n">
        <v>45325</v>
      </c>
      <c r="B836" s="13" t="n">
        <v>1</v>
      </c>
      <c r="C836" s="26" t="s">
        <v>68</v>
      </c>
      <c r="D836" s="26"/>
      <c r="E836" s="13" t="s">
        <v>1070</v>
      </c>
      <c r="F836" s="13" t="s">
        <v>132</v>
      </c>
      <c r="G836" s="13"/>
      <c r="H836" s="13" t="s">
        <v>23</v>
      </c>
      <c r="I836" s="13"/>
      <c r="J836" s="13" t="s">
        <v>133</v>
      </c>
      <c r="K836" s="13" t="s">
        <v>134</v>
      </c>
      <c r="L836" s="13" t="s">
        <v>135</v>
      </c>
      <c r="M836" s="13" t="s">
        <v>100</v>
      </c>
      <c r="N836" s="27" t="n">
        <v>57044</v>
      </c>
      <c r="O836" s="28" t="n">
        <v>5603761.02</v>
      </c>
      <c r="P836" s="27" t="n">
        <v>57062</v>
      </c>
      <c r="Q836" s="29" t="n">
        <v>0.99</v>
      </c>
      <c r="R836" s="28" t="n">
        <v>48.94</v>
      </c>
      <c r="S836" s="28" t="n">
        <v>293.61</v>
      </c>
      <c r="T836" s="28" t="n">
        <v>98.24</v>
      </c>
      <c r="U836" s="13" t="n">
        <f aca="false">IFERROR(YEAR(A836),"")</f>
        <v>2024</v>
      </c>
      <c r="V836" s="28" t="n">
        <f aca="false">IFERROR(O836*B836,0)</f>
        <v>5603761.02</v>
      </c>
      <c r="W836" s="27" t="n">
        <f aca="false">IFERROR(N836*B836,0)</f>
        <v>57044</v>
      </c>
      <c r="X836" s="13" t="n">
        <f aca="false">IF(OR(ISNUMBER(SEARCH("live nation",L836)),ISNUMBER(SEARCH("ocesa",L836))),1,0)</f>
        <v>1</v>
      </c>
      <c r="Y836" s="13" t="s">
        <v>49</v>
      </c>
    </row>
    <row r="837" customFormat="false" ht="15" hidden="false" customHeight="false" outlineLevel="0" collapsed="false">
      <c r="A837" s="30" t="n">
        <v>45325</v>
      </c>
      <c r="B837" s="11" t="n">
        <v>1</v>
      </c>
      <c r="C837" s="31" t="s">
        <v>64</v>
      </c>
      <c r="D837" s="31"/>
      <c r="E837" s="11" t="s">
        <v>1071</v>
      </c>
      <c r="F837" s="11" t="s">
        <v>1072</v>
      </c>
      <c r="G837" s="11"/>
      <c r="H837" s="11" t="s">
        <v>285</v>
      </c>
      <c r="I837" s="11"/>
      <c r="J837" s="11" t="s">
        <v>133</v>
      </c>
      <c r="K837" s="11" t="s">
        <v>134</v>
      </c>
      <c r="L837" s="11" t="s">
        <v>145</v>
      </c>
      <c r="M837" s="11" t="s">
        <v>100</v>
      </c>
      <c r="N837" s="32" t="n">
        <v>23794</v>
      </c>
      <c r="O837" s="33" t="n">
        <v>4126227.29</v>
      </c>
      <c r="P837" s="32" t="n">
        <v>23850</v>
      </c>
      <c r="Q837" s="34" t="n">
        <v>0.99</v>
      </c>
      <c r="R837" s="33" t="n">
        <v>53.41</v>
      </c>
      <c r="S837" s="33" t="n">
        <v>293.78</v>
      </c>
      <c r="T837" s="33" t="n">
        <v>173.41</v>
      </c>
      <c r="U837" s="11" t="n">
        <f aca="false">IFERROR(YEAR(A837),"")</f>
        <v>2024</v>
      </c>
      <c r="V837" s="33" t="n">
        <f aca="false">IFERROR(O837*B837,0)</f>
        <v>4126227.29</v>
      </c>
      <c r="W837" s="32" t="n">
        <f aca="false">IFERROR(N837*B837,0)</f>
        <v>23794</v>
      </c>
      <c r="X837" s="11" t="n">
        <f aca="false">IF(OR(ISNUMBER(SEARCH("live nation",L837)),ISNUMBER(SEARCH("ocesa",L837))),1,0)</f>
        <v>0</v>
      </c>
      <c r="Y837" s="11" t="s">
        <v>50</v>
      </c>
    </row>
    <row r="838" customFormat="false" ht="15" hidden="false" customHeight="false" outlineLevel="0" collapsed="false">
      <c r="A838" s="25" t="n">
        <v>45325</v>
      </c>
      <c r="B838" s="13" t="n">
        <v>1</v>
      </c>
      <c r="C838" s="26" t="s">
        <v>465</v>
      </c>
      <c r="D838" s="26"/>
      <c r="E838" s="13" t="s">
        <v>111</v>
      </c>
      <c r="F838" s="13" t="s">
        <v>112</v>
      </c>
      <c r="G838" s="13"/>
      <c r="H838" s="13" t="s">
        <v>21</v>
      </c>
      <c r="I838" s="13"/>
      <c r="J838" s="13" t="s">
        <v>97</v>
      </c>
      <c r="K838" s="13" t="s">
        <v>113</v>
      </c>
      <c r="L838" s="13" t="s">
        <v>250</v>
      </c>
      <c r="M838" s="13" t="s">
        <v>100</v>
      </c>
      <c r="N838" s="27" t="n">
        <v>17699</v>
      </c>
      <c r="O838" s="28" t="n">
        <v>1312141.5</v>
      </c>
      <c r="P838" s="27" t="n">
        <v>17699</v>
      </c>
      <c r="Q838" s="29" t="n">
        <v>1</v>
      </c>
      <c r="R838" s="28" t="n">
        <v>74.14</v>
      </c>
      <c r="S838" s="28" t="n">
        <v>74.14</v>
      </c>
      <c r="T838" s="28" t="n">
        <v>74.14</v>
      </c>
      <c r="U838" s="13" t="n">
        <f aca="false">IFERROR(YEAR(A838),"")</f>
        <v>2024</v>
      </c>
      <c r="V838" s="28" t="n">
        <f aca="false">IFERROR(O838*B838,0)</f>
        <v>1312141.5</v>
      </c>
      <c r="W838" s="27" t="n">
        <f aca="false">IFERROR(N838*B838,0)</f>
        <v>17699</v>
      </c>
      <c r="X838" s="13" t="n">
        <f aca="false">IF(OR(ISNUMBER(SEARCH("live nation",L838)),ISNUMBER(SEARCH("ocesa",L838))),1,0)</f>
        <v>0</v>
      </c>
      <c r="Y838" s="13" t="s">
        <v>50</v>
      </c>
    </row>
    <row r="839" customFormat="false" ht="15" hidden="false" customHeight="false" outlineLevel="0" collapsed="false">
      <c r="A839" s="30" t="n">
        <v>45325</v>
      </c>
      <c r="B839" s="11" t="n">
        <v>2</v>
      </c>
      <c r="C839" s="31" t="s">
        <v>71</v>
      </c>
      <c r="D839" s="31"/>
      <c r="E839" s="11" t="s">
        <v>473</v>
      </c>
      <c r="F839" s="11" t="s">
        <v>474</v>
      </c>
      <c r="G839" s="11"/>
      <c r="H839" s="11" t="s">
        <v>21</v>
      </c>
      <c r="I839" s="11"/>
      <c r="J839" s="11" t="s">
        <v>97</v>
      </c>
      <c r="K839" s="11" t="s">
        <v>113</v>
      </c>
      <c r="L839" s="11" t="s">
        <v>531</v>
      </c>
      <c r="M839" s="11" t="s">
        <v>100</v>
      </c>
      <c r="N839" s="32" t="n">
        <v>22600</v>
      </c>
      <c r="O839" s="33" t="n">
        <v>2003707</v>
      </c>
      <c r="P839" s="32" t="n">
        <v>22600</v>
      </c>
      <c r="Q839" s="34" t="n">
        <v>1</v>
      </c>
      <c r="R839" s="33" t="n">
        <v>50.01</v>
      </c>
      <c r="S839" s="33" t="n">
        <v>200</v>
      </c>
      <c r="T839" s="33" t="n">
        <v>88.66</v>
      </c>
      <c r="U839" s="11" t="n">
        <f aca="false">IFERROR(YEAR(A839),"")</f>
        <v>2024</v>
      </c>
      <c r="V839" s="33" t="n">
        <f aca="false">IFERROR(O839*B839,0)</f>
        <v>4007414</v>
      </c>
      <c r="W839" s="32" t="n">
        <f aca="false">IFERROR(N839*B839,0)</f>
        <v>45200</v>
      </c>
      <c r="X839" s="11" t="n">
        <f aca="false">IF(OR(ISNUMBER(SEARCH("live nation",L839)),ISNUMBER(SEARCH("ocesa",L839))),1,0)</f>
        <v>0</v>
      </c>
      <c r="Y839" s="11" t="s">
        <v>50</v>
      </c>
    </row>
    <row r="840" customFormat="false" ht="15" hidden="false" customHeight="false" outlineLevel="0" collapsed="false">
      <c r="A840" s="25" t="n">
        <v>45324</v>
      </c>
      <c r="B840" s="13" t="n">
        <v>1</v>
      </c>
      <c r="C840" s="26" t="s">
        <v>68</v>
      </c>
      <c r="D840" s="26"/>
      <c r="E840" s="13" t="s">
        <v>1070</v>
      </c>
      <c r="F840" s="13" t="s">
        <v>132</v>
      </c>
      <c r="G840" s="13"/>
      <c r="H840" s="13" t="s">
        <v>23</v>
      </c>
      <c r="I840" s="13"/>
      <c r="J840" s="13" t="s">
        <v>133</v>
      </c>
      <c r="K840" s="13" t="s">
        <v>134</v>
      </c>
      <c r="L840" s="13" t="s">
        <v>135</v>
      </c>
      <c r="M840" s="13" t="s">
        <v>100</v>
      </c>
      <c r="N840" s="27" t="n">
        <v>57005</v>
      </c>
      <c r="O840" s="28" t="n">
        <v>5582863.47</v>
      </c>
      <c r="P840" s="27" t="n">
        <v>57051</v>
      </c>
      <c r="Q840" s="29" t="n">
        <v>0.99</v>
      </c>
      <c r="R840" s="28" t="n">
        <v>49.08</v>
      </c>
      <c r="S840" s="28" t="n">
        <v>294.49</v>
      </c>
      <c r="T840" s="28" t="n">
        <v>97.94</v>
      </c>
      <c r="U840" s="13" t="n">
        <f aca="false">IFERROR(YEAR(A840),"")</f>
        <v>2024</v>
      </c>
      <c r="V840" s="28" t="n">
        <f aca="false">IFERROR(O840*B840,0)</f>
        <v>5582863.47</v>
      </c>
      <c r="W840" s="27" t="n">
        <f aca="false">IFERROR(N840*B840,0)</f>
        <v>57005</v>
      </c>
      <c r="X840" s="13" t="n">
        <f aca="false">IF(OR(ISNUMBER(SEARCH("live nation",L840)),ISNUMBER(SEARCH("ocesa",L840))),1,0)</f>
        <v>1</v>
      </c>
      <c r="Y840" s="13" t="s">
        <v>49</v>
      </c>
    </row>
    <row r="841" customFormat="false" ht="15" hidden="false" customHeight="false" outlineLevel="0" collapsed="false">
      <c r="A841" s="30" t="n">
        <v>45322</v>
      </c>
      <c r="B841" s="11" t="n">
        <v>2</v>
      </c>
      <c r="C841" s="31" t="s">
        <v>743</v>
      </c>
      <c r="D841" s="31"/>
      <c r="E841" s="11" t="s">
        <v>1012</v>
      </c>
      <c r="F841" s="11" t="s">
        <v>408</v>
      </c>
      <c r="G841" s="11"/>
      <c r="H841" s="11" t="s">
        <v>21</v>
      </c>
      <c r="I841" s="11"/>
      <c r="J841" s="11" t="s">
        <v>97</v>
      </c>
      <c r="K841" s="11" t="s">
        <v>113</v>
      </c>
      <c r="L841" s="11" t="s">
        <v>122</v>
      </c>
      <c r="M841" s="11" t="s">
        <v>277</v>
      </c>
      <c r="N841" s="32" t="n">
        <v>9425</v>
      </c>
      <c r="O841" s="33" t="n">
        <v>862741.5</v>
      </c>
      <c r="P841" s="32" t="n">
        <v>9426</v>
      </c>
      <c r="Q841" s="34" t="n">
        <v>0.99</v>
      </c>
      <c r="R841" s="33" t="n">
        <v>45.12</v>
      </c>
      <c r="S841" s="33" t="n">
        <v>175.42</v>
      </c>
      <c r="T841" s="33" t="n">
        <v>91.53</v>
      </c>
      <c r="U841" s="11" t="n">
        <f aca="false">IFERROR(YEAR(A841),"")</f>
        <v>2024</v>
      </c>
      <c r="V841" s="33" t="n">
        <f aca="false">IFERROR(O841*B841,0)</f>
        <v>1725483</v>
      </c>
      <c r="W841" s="32" t="n">
        <f aca="false">IFERROR(N841*B841,0)</f>
        <v>18850</v>
      </c>
      <c r="X841" s="11" t="n">
        <f aca="false">IF(OR(ISNUMBER(SEARCH("live nation",L841)),ISNUMBER(SEARCH("ocesa",L841))),1,0)</f>
        <v>0</v>
      </c>
      <c r="Y841" s="11" t="s">
        <v>50</v>
      </c>
    </row>
    <row r="842" customFormat="false" ht="15" hidden="false" customHeight="false" outlineLevel="0" collapsed="false">
      <c r="A842" s="25" t="n">
        <v>45318</v>
      </c>
      <c r="B842" s="13" t="n">
        <v>1</v>
      </c>
      <c r="C842" s="26" t="s">
        <v>124</v>
      </c>
      <c r="D842" s="26"/>
      <c r="E842" s="13" t="s">
        <v>1068</v>
      </c>
      <c r="F842" s="13" t="s">
        <v>561</v>
      </c>
      <c r="G842" s="13"/>
      <c r="H842" s="13" t="s">
        <v>449</v>
      </c>
      <c r="I842" s="13"/>
      <c r="J842" s="13" t="s">
        <v>106</v>
      </c>
      <c r="K842" s="13" t="s">
        <v>173</v>
      </c>
      <c r="L842" s="13" t="s">
        <v>453</v>
      </c>
      <c r="M842" s="13" t="s">
        <v>100</v>
      </c>
      <c r="N842" s="27" t="n">
        <v>649</v>
      </c>
      <c r="O842" s="28" t="n">
        <v>70238.47</v>
      </c>
      <c r="P842" s="27" t="n">
        <v>1350</v>
      </c>
      <c r="Q842" s="29" t="n">
        <v>0.48</v>
      </c>
      <c r="R842" s="28" t="n">
        <v>103.2</v>
      </c>
      <c r="S842" s="28" t="n">
        <v>119.5</v>
      </c>
      <c r="T842" s="28" t="n">
        <v>108.23</v>
      </c>
      <c r="U842" s="13" t="n">
        <f aca="false">IFERROR(YEAR(A842),"")</f>
        <v>2024</v>
      </c>
      <c r="V842" s="28" t="n">
        <f aca="false">IFERROR(O842*B842,0)</f>
        <v>70238.47</v>
      </c>
      <c r="W842" s="27" t="n">
        <f aca="false">IFERROR(N842*B842,0)</f>
        <v>649</v>
      </c>
      <c r="X842" s="13" t="n">
        <f aca="false">IF(OR(ISNUMBER(SEARCH("live nation",L842)),ISNUMBER(SEARCH("ocesa",L842))),1,0)</f>
        <v>0</v>
      </c>
      <c r="Y842" s="13" t="s">
        <v>49</v>
      </c>
    </row>
    <row r="843" customFormat="false" ht="15" hidden="false" customHeight="false" outlineLevel="0" collapsed="false">
      <c r="A843" s="30" t="n">
        <v>45318</v>
      </c>
      <c r="B843" s="11" t="n">
        <v>2</v>
      </c>
      <c r="C843" s="31" t="s">
        <v>71</v>
      </c>
      <c r="D843" s="31"/>
      <c r="E843" s="11" t="s">
        <v>1073</v>
      </c>
      <c r="F843" s="11" t="s">
        <v>147</v>
      </c>
      <c r="G843" s="11"/>
      <c r="H843" s="11" t="s">
        <v>24</v>
      </c>
      <c r="I843" s="11"/>
      <c r="J843" s="11" t="s">
        <v>97</v>
      </c>
      <c r="K843" s="11" t="s">
        <v>148</v>
      </c>
      <c r="L843" s="11" t="s">
        <v>531</v>
      </c>
      <c r="M843" s="11" t="s">
        <v>100</v>
      </c>
      <c r="N843" s="32" t="n">
        <v>6423</v>
      </c>
      <c r="O843" s="33" t="n">
        <v>687160</v>
      </c>
      <c r="P843" s="32" t="n">
        <v>6573</v>
      </c>
      <c r="Q843" s="34" t="n">
        <v>0.97</v>
      </c>
      <c r="R843" s="33" t="n">
        <v>50</v>
      </c>
      <c r="S843" s="33" t="n">
        <v>200</v>
      </c>
      <c r="T843" s="33" t="n">
        <v>106.98</v>
      </c>
      <c r="U843" s="11" t="n">
        <f aca="false">IFERROR(YEAR(A843),"")</f>
        <v>2024</v>
      </c>
      <c r="V843" s="33" t="n">
        <f aca="false">IFERROR(O843*B843,0)</f>
        <v>1374320</v>
      </c>
      <c r="W843" s="32" t="n">
        <f aca="false">IFERROR(N843*B843,0)</f>
        <v>12846</v>
      </c>
      <c r="X843" s="11" t="n">
        <f aca="false">IF(OR(ISNUMBER(SEARCH("live nation",L843)),ISNUMBER(SEARCH("ocesa",L843))),1,0)</f>
        <v>0</v>
      </c>
      <c r="Y843" s="11" t="s">
        <v>50</v>
      </c>
    </row>
    <row r="844" customFormat="false" ht="15" hidden="false" customHeight="false" outlineLevel="0" collapsed="false">
      <c r="A844" s="25" t="n">
        <v>45317</v>
      </c>
      <c r="B844" s="13" t="n">
        <v>3</v>
      </c>
      <c r="C844" s="26" t="s">
        <v>64</v>
      </c>
      <c r="D844" s="26"/>
      <c r="E844" s="13" t="s">
        <v>718</v>
      </c>
      <c r="F844" s="13" t="s">
        <v>719</v>
      </c>
      <c r="G844" s="13"/>
      <c r="H844" s="13" t="s">
        <v>720</v>
      </c>
      <c r="I844" s="13"/>
      <c r="J844" s="13" t="s">
        <v>97</v>
      </c>
      <c r="K844" s="13" t="s">
        <v>721</v>
      </c>
      <c r="L844" s="13" t="s">
        <v>145</v>
      </c>
      <c r="M844" s="13" t="s">
        <v>100</v>
      </c>
      <c r="N844" s="27" t="n">
        <v>10454</v>
      </c>
      <c r="O844" s="28" t="n">
        <v>2281816.77</v>
      </c>
      <c r="P844" s="27" t="n">
        <v>10454</v>
      </c>
      <c r="Q844" s="29" t="n">
        <v>1</v>
      </c>
      <c r="R844" s="28" t="n">
        <v>99.2</v>
      </c>
      <c r="S844" s="28" t="n">
        <v>248.18</v>
      </c>
      <c r="T844" s="28" t="n">
        <v>218.27</v>
      </c>
      <c r="U844" s="13" t="n">
        <f aca="false">IFERROR(YEAR(A844),"")</f>
        <v>2024</v>
      </c>
      <c r="V844" s="28" t="n">
        <f aca="false">IFERROR(O844*B844,0)</f>
        <v>6845450.31</v>
      </c>
      <c r="W844" s="27" t="n">
        <f aca="false">IFERROR(N844*B844,0)</f>
        <v>31362</v>
      </c>
      <c r="X844" s="13" t="n">
        <f aca="false">IF(OR(ISNUMBER(SEARCH("live nation",L844)),ISNUMBER(SEARCH("ocesa",L844))),1,0)</f>
        <v>0</v>
      </c>
      <c r="Y844" s="13" t="s">
        <v>50</v>
      </c>
    </row>
    <row r="845" customFormat="false" ht="15" hidden="false" customHeight="false" outlineLevel="0" collapsed="false">
      <c r="A845" s="30" t="n">
        <v>45311</v>
      </c>
      <c r="B845" s="11" t="n">
        <v>2</v>
      </c>
      <c r="C845" s="31" t="s">
        <v>62</v>
      </c>
      <c r="D845" s="31"/>
      <c r="E845" s="11" t="s">
        <v>1074</v>
      </c>
      <c r="F845" s="11" t="s">
        <v>719</v>
      </c>
      <c r="G845" s="11"/>
      <c r="H845" s="11" t="s">
        <v>720</v>
      </c>
      <c r="I845" s="11"/>
      <c r="J845" s="11" t="s">
        <v>133</v>
      </c>
      <c r="K845" s="11" t="s">
        <v>721</v>
      </c>
      <c r="L845" s="11" t="s">
        <v>145</v>
      </c>
      <c r="M845" s="11" t="s">
        <v>100</v>
      </c>
      <c r="N845" s="32" t="n">
        <v>18743</v>
      </c>
      <c r="O845" s="33" t="n">
        <v>4012583.28</v>
      </c>
      <c r="P845" s="32" t="n">
        <v>18743</v>
      </c>
      <c r="Q845" s="34" t="n">
        <v>1</v>
      </c>
      <c r="R845" s="33" t="n">
        <v>99.14</v>
      </c>
      <c r="S845" s="33" t="n">
        <v>334.89</v>
      </c>
      <c r="T845" s="33" t="n">
        <v>214.08</v>
      </c>
      <c r="U845" s="11" t="n">
        <f aca="false">IFERROR(YEAR(A845),"")</f>
        <v>2024</v>
      </c>
      <c r="V845" s="33" t="n">
        <f aca="false">IFERROR(O845*B845,0)</f>
        <v>8025166.56</v>
      </c>
      <c r="W845" s="32" t="n">
        <f aca="false">IFERROR(N845*B845,0)</f>
        <v>37486</v>
      </c>
      <c r="X845" s="11" t="n">
        <f aca="false">IF(OR(ISNUMBER(SEARCH("live nation",L845)),ISNUMBER(SEARCH("ocesa",L845))),1,0)</f>
        <v>0</v>
      </c>
      <c r="Y845" s="11" t="s">
        <v>50</v>
      </c>
    </row>
    <row r="846" customFormat="false" ht="15" hidden="false" customHeight="false" outlineLevel="0" collapsed="false">
      <c r="A846" s="25" t="n">
        <v>45311</v>
      </c>
      <c r="B846" s="13" t="n">
        <v>2</v>
      </c>
      <c r="C846" s="26" t="s">
        <v>64</v>
      </c>
      <c r="D846" s="26"/>
      <c r="E846" s="13" t="s">
        <v>391</v>
      </c>
      <c r="F846" s="13" t="s">
        <v>324</v>
      </c>
      <c r="G846" s="13"/>
      <c r="H846" s="13" t="s">
        <v>324</v>
      </c>
      <c r="I846" s="13"/>
      <c r="J846" s="13" t="s">
        <v>97</v>
      </c>
      <c r="K846" s="13" t="s">
        <v>324</v>
      </c>
      <c r="L846" s="13" t="s">
        <v>145</v>
      </c>
      <c r="M846" s="13" t="s">
        <v>100</v>
      </c>
      <c r="N846" s="27" t="n">
        <v>8687</v>
      </c>
      <c r="O846" s="28" t="n">
        <v>1820271.47</v>
      </c>
      <c r="P846" s="27" t="n">
        <v>8687</v>
      </c>
      <c r="Q846" s="29" t="n">
        <v>1</v>
      </c>
      <c r="R846" s="28" t="n">
        <v>110.38</v>
      </c>
      <c r="S846" s="28" t="n">
        <v>259.55</v>
      </c>
      <c r="T846" s="28" t="n">
        <v>209.54</v>
      </c>
      <c r="U846" s="13" t="n">
        <f aca="false">IFERROR(YEAR(A846),"")</f>
        <v>2024</v>
      </c>
      <c r="V846" s="28" t="n">
        <f aca="false">IFERROR(O846*B846,0)</f>
        <v>3640542.94</v>
      </c>
      <c r="W846" s="27" t="n">
        <f aca="false">IFERROR(N846*B846,0)</f>
        <v>17374</v>
      </c>
      <c r="X846" s="13" t="n">
        <f aca="false">IF(OR(ISNUMBER(SEARCH("live nation",L846)),ISNUMBER(SEARCH("ocesa",L846))),1,0)</f>
        <v>0</v>
      </c>
      <c r="Y846" s="13" t="s">
        <v>50</v>
      </c>
    </row>
    <row r="847" customFormat="false" ht="15" hidden="false" customHeight="false" outlineLevel="0" collapsed="false">
      <c r="A847" s="30" t="n">
        <v>45305</v>
      </c>
      <c r="B847" s="11" t="n">
        <v>1</v>
      </c>
      <c r="C847" s="31" t="s">
        <v>1075</v>
      </c>
      <c r="D847" s="31"/>
      <c r="E847" s="11" t="s">
        <v>1076</v>
      </c>
      <c r="F847" s="11" t="s">
        <v>1077</v>
      </c>
      <c r="G847" s="11"/>
      <c r="H847" s="11" t="s">
        <v>1078</v>
      </c>
      <c r="I847" s="11"/>
      <c r="J847" s="11" t="s">
        <v>97</v>
      </c>
      <c r="K847" s="11" t="s">
        <v>1079</v>
      </c>
      <c r="L847" s="11" t="s">
        <v>1080</v>
      </c>
      <c r="M847" s="11" t="s">
        <v>100</v>
      </c>
      <c r="N847" s="32" t="n">
        <v>5010</v>
      </c>
      <c r="O847" s="33" t="n">
        <v>160016.01</v>
      </c>
      <c r="P847" s="32" t="n">
        <v>5663</v>
      </c>
      <c r="Q847" s="34" t="n">
        <v>0.88</v>
      </c>
      <c r="R847" s="33" t="n">
        <v>27.23</v>
      </c>
      <c r="S847" s="33" t="n">
        <v>162</v>
      </c>
      <c r="T847" s="33" t="n">
        <v>31.94</v>
      </c>
      <c r="U847" s="11" t="n">
        <f aca="false">IFERROR(YEAR(A847),"")</f>
        <v>2024</v>
      </c>
      <c r="V847" s="33" t="n">
        <f aca="false">IFERROR(O847*B847,0)</f>
        <v>160016.01</v>
      </c>
      <c r="W847" s="32" t="n">
        <f aca="false">IFERROR(N847*B847,0)</f>
        <v>5010</v>
      </c>
      <c r="X847" s="11" t="n">
        <f aca="false">IF(OR(ISNUMBER(SEARCH("live nation",L847)),ISNUMBER(SEARCH("ocesa",L847))),1,0)</f>
        <v>0</v>
      </c>
      <c r="Y847" s="11" t="s">
        <v>50</v>
      </c>
    </row>
    <row r="848" customFormat="false" ht="15" hidden="false" customHeight="false" outlineLevel="0" collapsed="false">
      <c r="A848" s="25" t="n">
        <v>45304</v>
      </c>
      <c r="B848" s="13" t="n">
        <v>2</v>
      </c>
      <c r="C848" s="26" t="s">
        <v>62</v>
      </c>
      <c r="D848" s="26"/>
      <c r="E848" s="13" t="s">
        <v>1081</v>
      </c>
      <c r="F848" s="13" t="s">
        <v>284</v>
      </c>
      <c r="G848" s="13"/>
      <c r="H848" s="13" t="s">
        <v>285</v>
      </c>
      <c r="I848" s="13"/>
      <c r="J848" s="13" t="s">
        <v>133</v>
      </c>
      <c r="K848" s="13" t="s">
        <v>134</v>
      </c>
      <c r="L848" s="13" t="s">
        <v>145</v>
      </c>
      <c r="M848" s="13" t="s">
        <v>100</v>
      </c>
      <c r="N848" s="27" t="n">
        <v>27017</v>
      </c>
      <c r="O848" s="28" t="n">
        <v>5832175.25</v>
      </c>
      <c r="P848" s="27" t="n">
        <v>30700</v>
      </c>
      <c r="Q848" s="29" t="n">
        <v>0.88</v>
      </c>
      <c r="R848" s="28" t="n">
        <v>81.53</v>
      </c>
      <c r="S848" s="28" t="n">
        <v>340.46</v>
      </c>
      <c r="T848" s="28" t="n">
        <v>215.87</v>
      </c>
      <c r="U848" s="13" t="n">
        <f aca="false">IFERROR(YEAR(A848),"")</f>
        <v>2024</v>
      </c>
      <c r="V848" s="28" t="n">
        <f aca="false">IFERROR(O848*B848,0)</f>
        <v>11664350.5</v>
      </c>
      <c r="W848" s="27" t="n">
        <f aca="false">IFERROR(N848*B848,0)</f>
        <v>54034</v>
      </c>
      <c r="X848" s="13" t="n">
        <f aca="false">IF(OR(ISNUMBER(SEARCH("live nation",L848)),ISNUMBER(SEARCH("ocesa",L848))),1,0)</f>
        <v>0</v>
      </c>
      <c r="Y848" s="13" t="s">
        <v>50</v>
      </c>
    </row>
    <row r="849" customFormat="false" ht="15" hidden="false" customHeight="false" outlineLevel="0" collapsed="false">
      <c r="A849" s="30" t="n">
        <v>45304</v>
      </c>
      <c r="B849" s="11" t="n">
        <v>2</v>
      </c>
      <c r="C849" s="31" t="s">
        <v>64</v>
      </c>
      <c r="D849" s="31"/>
      <c r="E849" s="11" t="s">
        <v>715</v>
      </c>
      <c r="F849" s="11" t="s">
        <v>377</v>
      </c>
      <c r="G849" s="11"/>
      <c r="H849" s="11" t="s">
        <v>378</v>
      </c>
      <c r="I849" s="11"/>
      <c r="J849" s="11" t="s">
        <v>97</v>
      </c>
      <c r="K849" s="11" t="s">
        <v>379</v>
      </c>
      <c r="L849" s="11" t="s">
        <v>145</v>
      </c>
      <c r="M849" s="11" t="s">
        <v>100</v>
      </c>
      <c r="N849" s="32" t="n">
        <v>7856</v>
      </c>
      <c r="O849" s="33" t="n">
        <v>1274729.38</v>
      </c>
      <c r="P849" s="32" t="n">
        <v>9503</v>
      </c>
      <c r="Q849" s="34" t="n">
        <v>0.82</v>
      </c>
      <c r="R849" s="33" t="n">
        <v>80.41</v>
      </c>
      <c r="S849" s="33" t="n">
        <v>202.63</v>
      </c>
      <c r="T849" s="33" t="n">
        <v>162.26</v>
      </c>
      <c r="U849" s="11" t="n">
        <f aca="false">IFERROR(YEAR(A849),"")</f>
        <v>2024</v>
      </c>
      <c r="V849" s="33" t="n">
        <f aca="false">IFERROR(O849*B849,0)</f>
        <v>2549458.76</v>
      </c>
      <c r="W849" s="32" t="n">
        <f aca="false">IFERROR(N849*B849,0)</f>
        <v>15712</v>
      </c>
      <c r="X849" s="11" t="n">
        <f aca="false">IF(OR(ISNUMBER(SEARCH("live nation",L849)),ISNUMBER(SEARCH("ocesa",L849))),1,0)</f>
        <v>0</v>
      </c>
      <c r="Y849" s="11" t="s">
        <v>50</v>
      </c>
    </row>
    <row r="850" customFormat="false" ht="15" hidden="false" customHeight="false" outlineLevel="0" collapsed="false">
      <c r="A850" s="25" t="n">
        <v>45304</v>
      </c>
      <c r="B850" s="13" t="n">
        <v>1</v>
      </c>
      <c r="C850" s="26" t="s">
        <v>643</v>
      </c>
      <c r="D850" s="26"/>
      <c r="E850" s="13" t="s">
        <v>529</v>
      </c>
      <c r="F850" s="13" t="s">
        <v>530</v>
      </c>
      <c r="G850" s="13"/>
      <c r="H850" s="13" t="s">
        <v>26</v>
      </c>
      <c r="I850" s="13"/>
      <c r="J850" s="13" t="s">
        <v>97</v>
      </c>
      <c r="K850" s="13" t="s">
        <v>173</v>
      </c>
      <c r="L850" s="13" t="s">
        <v>177</v>
      </c>
      <c r="M850" s="13" t="s">
        <v>100</v>
      </c>
      <c r="N850" s="27" t="n">
        <v>21205</v>
      </c>
      <c r="O850" s="28" t="n">
        <v>6848512.89</v>
      </c>
      <c r="P850" s="27" t="n">
        <v>21205</v>
      </c>
      <c r="Q850" s="29" t="n">
        <v>1</v>
      </c>
      <c r="R850" s="28" t="n">
        <v>143.63</v>
      </c>
      <c r="S850" s="28" t="n">
        <v>481.32</v>
      </c>
      <c r="T850" s="28" t="n">
        <v>322.97</v>
      </c>
      <c r="U850" s="13" t="n">
        <f aca="false">IFERROR(YEAR(A850),"")</f>
        <v>2024</v>
      </c>
      <c r="V850" s="28" t="n">
        <f aca="false">IFERROR(O850*B850,0)</f>
        <v>6848512.89</v>
      </c>
      <c r="W850" s="27" t="n">
        <f aca="false">IFERROR(N850*B850,0)</f>
        <v>21205</v>
      </c>
      <c r="X850" s="13" t="n">
        <f aca="false">IF(OR(ISNUMBER(SEARCH("live nation",L850)),ISNUMBER(SEARCH("ocesa",L850))),1,0)</f>
        <v>1</v>
      </c>
      <c r="Y850" s="13" t="s">
        <v>49</v>
      </c>
    </row>
    <row r="851" customFormat="false" ht="15" hidden="false" customHeight="false" outlineLevel="0" collapsed="false">
      <c r="A851" s="30" t="n">
        <v>45283</v>
      </c>
      <c r="B851" s="11" t="n">
        <v>2</v>
      </c>
      <c r="C851" s="31" t="s">
        <v>62</v>
      </c>
      <c r="D851" s="31"/>
      <c r="E851" s="11" t="s">
        <v>298</v>
      </c>
      <c r="F851" s="11" t="s">
        <v>299</v>
      </c>
      <c r="G851" s="11"/>
      <c r="H851" s="11" t="s">
        <v>56</v>
      </c>
      <c r="I851" s="11"/>
      <c r="J851" s="11" t="s">
        <v>133</v>
      </c>
      <c r="K851" s="11" t="s">
        <v>300</v>
      </c>
      <c r="L851" s="11" t="s">
        <v>145</v>
      </c>
      <c r="M851" s="11" t="s">
        <v>100</v>
      </c>
      <c r="N851" s="32" t="n">
        <v>29511</v>
      </c>
      <c r="O851" s="33" t="n">
        <v>4415915.81</v>
      </c>
      <c r="P851" s="32" t="n">
        <v>30836</v>
      </c>
      <c r="Q851" s="34" t="n">
        <v>0.95</v>
      </c>
      <c r="R851" s="33" t="n">
        <v>72.4</v>
      </c>
      <c r="S851" s="33" t="n">
        <v>286.69</v>
      </c>
      <c r="T851" s="33" t="n">
        <v>149.63</v>
      </c>
      <c r="U851" s="11" t="n">
        <f aca="false">IFERROR(YEAR(A851),"")</f>
        <v>2023</v>
      </c>
      <c r="V851" s="33" t="n">
        <f aca="false">IFERROR(O851*B851,0)</f>
        <v>8831831.62</v>
      </c>
      <c r="W851" s="32" t="n">
        <f aca="false">IFERROR(N851*B851,0)</f>
        <v>59022</v>
      </c>
      <c r="X851" s="11" t="n">
        <f aca="false">IF(OR(ISNUMBER(SEARCH("live nation",L851)),ISNUMBER(SEARCH("ocesa",L851))),1,0)</f>
        <v>0</v>
      </c>
      <c r="Y851" s="11" t="s">
        <v>50</v>
      </c>
    </row>
    <row r="852" customFormat="false" ht="15" hidden="false" customHeight="false" outlineLevel="0" collapsed="false">
      <c r="A852" s="25" t="n">
        <v>45277</v>
      </c>
      <c r="B852" s="13" t="n">
        <v>1</v>
      </c>
      <c r="C852" s="26" t="s">
        <v>950</v>
      </c>
      <c r="D852" s="26"/>
      <c r="E852" s="13" t="s">
        <v>1082</v>
      </c>
      <c r="F852" s="13" t="s">
        <v>374</v>
      </c>
      <c r="G852" s="13" t="s">
        <v>143</v>
      </c>
      <c r="H852" s="13" t="s">
        <v>20</v>
      </c>
      <c r="I852" s="13" t="s">
        <v>375</v>
      </c>
      <c r="J852" s="13" t="s">
        <v>121</v>
      </c>
      <c r="K852" s="13" t="s">
        <v>107</v>
      </c>
      <c r="L852" s="13" t="s">
        <v>1023</v>
      </c>
      <c r="M852" s="13" t="s">
        <v>100</v>
      </c>
      <c r="N852" s="27" t="n">
        <v>1061</v>
      </c>
      <c r="O852" s="28" t="n">
        <v>86162.45</v>
      </c>
      <c r="P852" s="27" t="n">
        <v>3420</v>
      </c>
      <c r="Q852" s="29" t="n">
        <v>0.31</v>
      </c>
      <c r="R852" s="28" t="n">
        <v>35.45</v>
      </c>
      <c r="S852" s="28" t="n">
        <v>135.45</v>
      </c>
      <c r="T852" s="28" t="n">
        <v>81.21</v>
      </c>
      <c r="U852" s="13" t="n">
        <f aca="false">IFERROR(YEAR(A852),"")</f>
        <v>2023</v>
      </c>
      <c r="V852" s="28" t="n">
        <f aca="false">IFERROR(O852*B852,0)</f>
        <v>86162.45</v>
      </c>
      <c r="W852" s="27" t="n">
        <f aca="false">IFERROR(N852*B852,0)</f>
        <v>1061</v>
      </c>
      <c r="X852" s="13" t="n">
        <f aca="false">IF(OR(ISNUMBER(SEARCH("live nation",L852)),ISNUMBER(SEARCH("ocesa",L852))),1,0)</f>
        <v>1</v>
      </c>
      <c r="Y852" s="13" t="s">
        <v>49</v>
      </c>
    </row>
    <row r="853" customFormat="false" ht="15" hidden="false" customHeight="false" outlineLevel="0" collapsed="false">
      <c r="A853" s="30" t="n">
        <v>45276</v>
      </c>
      <c r="B853" s="11" t="n">
        <v>2</v>
      </c>
      <c r="C853" s="31" t="s">
        <v>62</v>
      </c>
      <c r="D853" s="31"/>
      <c r="E853" s="11" t="s">
        <v>407</v>
      </c>
      <c r="F853" s="11" t="s">
        <v>408</v>
      </c>
      <c r="G853" s="11"/>
      <c r="H853" s="11" t="s">
        <v>21</v>
      </c>
      <c r="I853" s="11"/>
      <c r="J853" s="11" t="s">
        <v>133</v>
      </c>
      <c r="K853" s="11" t="s">
        <v>113</v>
      </c>
      <c r="L853" s="11" t="s">
        <v>145</v>
      </c>
      <c r="M853" s="11" t="s">
        <v>100</v>
      </c>
      <c r="N853" s="32" t="n">
        <v>34335</v>
      </c>
      <c r="O853" s="33" t="n">
        <v>3372967.65</v>
      </c>
      <c r="P853" s="32" t="n">
        <v>35134</v>
      </c>
      <c r="Q853" s="34" t="n">
        <v>0.97</v>
      </c>
      <c r="R853" s="33" t="n">
        <v>88.76</v>
      </c>
      <c r="S853" s="33" t="n">
        <v>163.86</v>
      </c>
      <c r="T853" s="33" t="n">
        <v>98.24</v>
      </c>
      <c r="U853" s="11" t="n">
        <f aca="false">IFERROR(YEAR(A853),"")</f>
        <v>2023</v>
      </c>
      <c r="V853" s="33" t="n">
        <f aca="false">IFERROR(O853*B853,0)</f>
        <v>6745935.3</v>
      </c>
      <c r="W853" s="32" t="n">
        <f aca="false">IFERROR(N853*B853,0)</f>
        <v>68670</v>
      </c>
      <c r="X853" s="11" t="n">
        <f aca="false">IF(OR(ISNUMBER(SEARCH("live nation",L853)),ISNUMBER(SEARCH("ocesa",L853))),1,0)</f>
        <v>0</v>
      </c>
      <c r="Y853" s="11" t="s">
        <v>50</v>
      </c>
    </row>
    <row r="854" customFormat="false" ht="15" hidden="false" customHeight="false" outlineLevel="0" collapsed="false">
      <c r="A854" s="25" t="n">
        <v>45275</v>
      </c>
      <c r="B854" s="13" t="n">
        <v>1</v>
      </c>
      <c r="C854" s="26" t="s">
        <v>950</v>
      </c>
      <c r="D854" s="26"/>
      <c r="E854" s="13" t="s">
        <v>1083</v>
      </c>
      <c r="F854" s="13" t="s">
        <v>346</v>
      </c>
      <c r="G854" s="13" t="s">
        <v>347</v>
      </c>
      <c r="H854" s="13" t="s">
        <v>20</v>
      </c>
      <c r="I854" s="13" t="s">
        <v>346</v>
      </c>
      <c r="J854" s="13" t="s">
        <v>121</v>
      </c>
      <c r="K854" s="13" t="s">
        <v>107</v>
      </c>
      <c r="L854" s="13" t="s">
        <v>1023</v>
      </c>
      <c r="M854" s="13" t="s">
        <v>100</v>
      </c>
      <c r="N854" s="27" t="n">
        <v>578</v>
      </c>
      <c r="O854" s="28" t="n">
        <v>58162.25</v>
      </c>
      <c r="P854" s="27" t="n">
        <v>2190</v>
      </c>
      <c r="Q854" s="29" t="n">
        <v>0.26</v>
      </c>
      <c r="R854" s="28" t="n">
        <v>38.25</v>
      </c>
      <c r="S854" s="28" t="n">
        <v>126.5</v>
      </c>
      <c r="T854" s="28" t="n">
        <v>100.63</v>
      </c>
      <c r="U854" s="13" t="n">
        <f aca="false">IFERROR(YEAR(A854),"")</f>
        <v>2023</v>
      </c>
      <c r="V854" s="28" t="n">
        <f aca="false">IFERROR(O854*B854,0)</f>
        <v>58162.25</v>
      </c>
      <c r="W854" s="27" t="n">
        <f aca="false">IFERROR(N854*B854,0)</f>
        <v>578</v>
      </c>
      <c r="X854" s="13" t="n">
        <f aca="false">IF(OR(ISNUMBER(SEARCH("live nation",L854)),ISNUMBER(SEARCH("ocesa",L854))),1,0)</f>
        <v>1</v>
      </c>
      <c r="Y854" s="13" t="s">
        <v>49</v>
      </c>
    </row>
    <row r="855" customFormat="false" ht="15" hidden="false" customHeight="false" outlineLevel="0" collapsed="false">
      <c r="A855" s="30" t="n">
        <v>45273</v>
      </c>
      <c r="B855" s="11" t="n">
        <v>1</v>
      </c>
      <c r="C855" s="31" t="s">
        <v>950</v>
      </c>
      <c r="D855" s="31"/>
      <c r="E855" s="11" t="s">
        <v>392</v>
      </c>
      <c r="F855" s="11" t="s">
        <v>197</v>
      </c>
      <c r="G855" s="11" t="s">
        <v>139</v>
      </c>
      <c r="H855" s="11" t="s">
        <v>20</v>
      </c>
      <c r="I855" s="11" t="s">
        <v>139</v>
      </c>
      <c r="J855" s="11" t="s">
        <v>121</v>
      </c>
      <c r="K855" s="11" t="s">
        <v>107</v>
      </c>
      <c r="L855" s="11" t="s">
        <v>140</v>
      </c>
      <c r="M855" s="11" t="s">
        <v>100</v>
      </c>
      <c r="N855" s="32" t="n">
        <v>576</v>
      </c>
      <c r="O855" s="33" t="n">
        <v>59275.8</v>
      </c>
      <c r="P855" s="32" t="n">
        <v>3055</v>
      </c>
      <c r="Q855" s="34" t="n">
        <v>0.18</v>
      </c>
      <c r="R855" s="33" t="n">
        <v>30</v>
      </c>
      <c r="S855" s="33" t="n">
        <v>249.5</v>
      </c>
      <c r="T855" s="33" t="n">
        <v>102.91</v>
      </c>
      <c r="U855" s="11" t="n">
        <f aca="false">IFERROR(YEAR(A855),"")</f>
        <v>2023</v>
      </c>
      <c r="V855" s="33" t="n">
        <f aca="false">IFERROR(O855*B855,0)</f>
        <v>59275.8</v>
      </c>
      <c r="W855" s="32" t="n">
        <f aca="false">IFERROR(N855*B855,0)</f>
        <v>576</v>
      </c>
      <c r="X855" s="11" t="n">
        <f aca="false">IF(OR(ISNUMBER(SEARCH("live nation",L855)),ISNUMBER(SEARCH("ocesa",L855))),1,0)</f>
        <v>0</v>
      </c>
      <c r="Y855" s="11" t="s">
        <v>49</v>
      </c>
    </row>
    <row r="856" customFormat="false" ht="15" hidden="false" customHeight="false" outlineLevel="0" collapsed="false">
      <c r="A856" s="25" t="n">
        <v>45271</v>
      </c>
      <c r="B856" s="13" t="n">
        <v>1</v>
      </c>
      <c r="C856" s="26" t="s">
        <v>1084</v>
      </c>
      <c r="D856" s="26"/>
      <c r="E856" s="13" t="s">
        <v>392</v>
      </c>
      <c r="F856" s="13" t="s">
        <v>197</v>
      </c>
      <c r="G856" s="13" t="s">
        <v>139</v>
      </c>
      <c r="H856" s="13" t="s">
        <v>20</v>
      </c>
      <c r="I856" s="13" t="s">
        <v>139</v>
      </c>
      <c r="J856" s="13" t="s">
        <v>121</v>
      </c>
      <c r="K856" s="13" t="s">
        <v>107</v>
      </c>
      <c r="L856" s="13" t="s">
        <v>140</v>
      </c>
      <c r="M856" s="13" t="s">
        <v>270</v>
      </c>
      <c r="N856" s="27" t="n">
        <v>1283</v>
      </c>
      <c r="O856" s="28" t="n">
        <v>153528</v>
      </c>
      <c r="P856" s="27" t="n">
        <v>1874</v>
      </c>
      <c r="Q856" s="29" t="n">
        <v>0.68</v>
      </c>
      <c r="R856" s="28" t="n">
        <v>54.5</v>
      </c>
      <c r="S856" s="28" t="n">
        <v>294.4</v>
      </c>
      <c r="T856" s="28" t="n">
        <v>119.66</v>
      </c>
      <c r="U856" s="13" t="n">
        <f aca="false">IFERROR(YEAR(A856),"")</f>
        <v>2023</v>
      </c>
      <c r="V856" s="28" t="n">
        <f aca="false">IFERROR(O856*B856,0)</f>
        <v>153528</v>
      </c>
      <c r="W856" s="27" t="n">
        <f aca="false">IFERROR(N856*B856,0)</f>
        <v>1283</v>
      </c>
      <c r="X856" s="13" t="n">
        <f aca="false">IF(OR(ISNUMBER(SEARCH("live nation",L856)),ISNUMBER(SEARCH("ocesa",L856))),1,0)</f>
        <v>0</v>
      </c>
      <c r="Y856" s="13" t="s">
        <v>49</v>
      </c>
    </row>
    <row r="857" customFormat="false" ht="15" hidden="false" customHeight="false" outlineLevel="0" collapsed="false">
      <c r="A857" s="30" t="n">
        <v>45271</v>
      </c>
      <c r="B857" s="11" t="n">
        <v>1</v>
      </c>
      <c r="C857" s="31" t="s">
        <v>950</v>
      </c>
      <c r="D857" s="31"/>
      <c r="E857" s="11" t="s">
        <v>1085</v>
      </c>
      <c r="F857" s="11" t="s">
        <v>228</v>
      </c>
      <c r="G857" s="11" t="s">
        <v>229</v>
      </c>
      <c r="H857" s="11" t="s">
        <v>20</v>
      </c>
      <c r="I857" s="11" t="s">
        <v>190</v>
      </c>
      <c r="J857" s="11" t="s">
        <v>121</v>
      </c>
      <c r="K857" s="11" t="s">
        <v>107</v>
      </c>
      <c r="L857" s="11" t="s">
        <v>177</v>
      </c>
      <c r="M857" s="11" t="s">
        <v>100</v>
      </c>
      <c r="N857" s="32" t="n">
        <v>807</v>
      </c>
      <c r="O857" s="33" t="n">
        <v>81612.9</v>
      </c>
      <c r="P857" s="32" t="n">
        <v>1945</v>
      </c>
      <c r="Q857" s="34" t="n">
        <v>0.41</v>
      </c>
      <c r="R857" s="33" t="n">
        <v>69.5</v>
      </c>
      <c r="S857" s="33" t="n">
        <v>159.5</v>
      </c>
      <c r="T857" s="33" t="n">
        <v>101.13</v>
      </c>
      <c r="U857" s="11" t="n">
        <f aca="false">IFERROR(YEAR(A857),"")</f>
        <v>2023</v>
      </c>
      <c r="V857" s="33" t="n">
        <f aca="false">IFERROR(O857*B857,0)</f>
        <v>81612.9</v>
      </c>
      <c r="W857" s="32" t="n">
        <f aca="false">IFERROR(N857*B857,0)</f>
        <v>807</v>
      </c>
      <c r="X857" s="11" t="n">
        <f aca="false">IF(OR(ISNUMBER(SEARCH("live nation",L857)),ISNUMBER(SEARCH("ocesa",L857))),1,0)</f>
        <v>1</v>
      </c>
      <c r="Y857" s="11" t="s">
        <v>49</v>
      </c>
    </row>
    <row r="858" customFormat="false" ht="15" hidden="false" customHeight="false" outlineLevel="0" collapsed="false">
      <c r="A858" s="25" t="n">
        <v>45270</v>
      </c>
      <c r="B858" s="13" t="n">
        <v>1</v>
      </c>
      <c r="C858" s="26" t="s">
        <v>1086</v>
      </c>
      <c r="D858" s="26"/>
      <c r="E858" s="13" t="s">
        <v>111</v>
      </c>
      <c r="F858" s="13" t="s">
        <v>112</v>
      </c>
      <c r="G858" s="13"/>
      <c r="H858" s="13" t="s">
        <v>21</v>
      </c>
      <c r="I858" s="13"/>
      <c r="J858" s="13" t="s">
        <v>97</v>
      </c>
      <c r="K858" s="13" t="s">
        <v>113</v>
      </c>
      <c r="L858" s="13" t="s">
        <v>359</v>
      </c>
      <c r="M858" s="13" t="s">
        <v>100</v>
      </c>
      <c r="N858" s="27" t="n">
        <v>17500</v>
      </c>
      <c r="O858" s="28" t="n">
        <v>1170932.25</v>
      </c>
      <c r="P858" s="27" t="n">
        <v>17500</v>
      </c>
      <c r="Q858" s="29" t="n">
        <v>1</v>
      </c>
      <c r="R858" s="28" t="n">
        <v>66.91</v>
      </c>
      <c r="S858" s="28" t="n">
        <v>66.91</v>
      </c>
      <c r="T858" s="28" t="n">
        <v>66.91</v>
      </c>
      <c r="U858" s="13" t="n">
        <f aca="false">IFERROR(YEAR(A858),"")</f>
        <v>2023</v>
      </c>
      <c r="V858" s="28" t="n">
        <f aca="false">IFERROR(O858*B858,0)</f>
        <v>1170932.25</v>
      </c>
      <c r="W858" s="27" t="n">
        <f aca="false">IFERROR(N858*B858,0)</f>
        <v>17500</v>
      </c>
      <c r="X858" s="13" t="n">
        <f aca="false">IF(OR(ISNUMBER(SEARCH("live nation",L858)),ISNUMBER(SEARCH("ocesa",L858))),1,0)</f>
        <v>0</v>
      </c>
      <c r="Y858" s="13" t="s">
        <v>50</v>
      </c>
    </row>
    <row r="859" customFormat="false" ht="15" hidden="false" customHeight="false" outlineLevel="0" collapsed="false">
      <c r="A859" s="30" t="n">
        <v>45269</v>
      </c>
      <c r="B859" s="11" t="n">
        <v>1</v>
      </c>
      <c r="C859" s="31" t="s">
        <v>1086</v>
      </c>
      <c r="D859" s="31"/>
      <c r="E859" s="11" t="s">
        <v>111</v>
      </c>
      <c r="F859" s="11" t="s">
        <v>112</v>
      </c>
      <c r="G859" s="11"/>
      <c r="H859" s="11" t="s">
        <v>21</v>
      </c>
      <c r="I859" s="11"/>
      <c r="J859" s="11" t="s">
        <v>97</v>
      </c>
      <c r="K859" s="11" t="s">
        <v>113</v>
      </c>
      <c r="L859" s="11" t="s">
        <v>359</v>
      </c>
      <c r="M859" s="11" t="s">
        <v>100</v>
      </c>
      <c r="N859" s="32" t="n">
        <v>17500</v>
      </c>
      <c r="O859" s="33" t="n">
        <v>1170932.25</v>
      </c>
      <c r="P859" s="32" t="n">
        <v>17500</v>
      </c>
      <c r="Q859" s="34" t="n">
        <v>1</v>
      </c>
      <c r="R859" s="33" t="n">
        <v>66.91</v>
      </c>
      <c r="S859" s="33" t="n">
        <v>66.91</v>
      </c>
      <c r="T859" s="33" t="n">
        <v>66.91</v>
      </c>
      <c r="U859" s="11" t="n">
        <f aca="false">IFERROR(YEAR(A859),"")</f>
        <v>2023</v>
      </c>
      <c r="V859" s="33" t="n">
        <f aca="false">IFERROR(O859*B859,0)</f>
        <v>1170932.25</v>
      </c>
      <c r="W859" s="32" t="n">
        <f aca="false">IFERROR(N859*B859,0)</f>
        <v>17500</v>
      </c>
      <c r="X859" s="11" t="n">
        <f aca="false">IF(OR(ISNUMBER(SEARCH("live nation",L859)),ISNUMBER(SEARCH("ocesa",L859))),1,0)</f>
        <v>0</v>
      </c>
      <c r="Y859" s="11" t="s">
        <v>50</v>
      </c>
    </row>
    <row r="860" customFormat="false" ht="15" hidden="false" customHeight="false" outlineLevel="0" collapsed="false">
      <c r="A860" s="25" t="n">
        <v>45267</v>
      </c>
      <c r="B860" s="13" t="n">
        <v>1</v>
      </c>
      <c r="C860" s="26" t="s">
        <v>729</v>
      </c>
      <c r="D860" s="26"/>
      <c r="E860" s="13" t="s">
        <v>551</v>
      </c>
      <c r="F860" s="13" t="s">
        <v>552</v>
      </c>
      <c r="G860" s="13"/>
      <c r="H860" s="13" t="s">
        <v>26</v>
      </c>
      <c r="I860" s="13"/>
      <c r="J860" s="13" t="s">
        <v>97</v>
      </c>
      <c r="K860" s="13" t="s">
        <v>173</v>
      </c>
      <c r="L860" s="13" t="s">
        <v>177</v>
      </c>
      <c r="M860" s="13" t="s">
        <v>100</v>
      </c>
      <c r="N860" s="27" t="n">
        <v>6001</v>
      </c>
      <c r="O860" s="28" t="n">
        <v>1094074.19</v>
      </c>
      <c r="P860" s="27" t="n">
        <v>11900</v>
      </c>
      <c r="Q860" s="29" t="n">
        <v>0.5</v>
      </c>
      <c r="R860" s="28" t="n">
        <v>118.32</v>
      </c>
      <c r="S860" s="28" t="n">
        <v>344.8</v>
      </c>
      <c r="T860" s="28" t="n">
        <v>182.32</v>
      </c>
      <c r="U860" s="13" t="n">
        <f aca="false">IFERROR(YEAR(A860),"")</f>
        <v>2023</v>
      </c>
      <c r="V860" s="28" t="n">
        <f aca="false">IFERROR(O860*B860,0)</f>
        <v>1094074.19</v>
      </c>
      <c r="W860" s="27" t="n">
        <f aca="false">IFERROR(N860*B860,0)</f>
        <v>6001</v>
      </c>
      <c r="X860" s="13" t="n">
        <f aca="false">IF(OR(ISNUMBER(SEARCH("live nation",L860)),ISNUMBER(SEARCH("ocesa",L860))),1,0)</f>
        <v>1</v>
      </c>
      <c r="Y860" s="13" t="s">
        <v>49</v>
      </c>
    </row>
    <row r="861" customFormat="false" ht="15" hidden="false" customHeight="false" outlineLevel="0" collapsed="false">
      <c r="A861" s="30" t="n">
        <v>45267</v>
      </c>
      <c r="B861" s="11" t="n">
        <v>3</v>
      </c>
      <c r="C861" s="31" t="s">
        <v>62</v>
      </c>
      <c r="D861" s="31"/>
      <c r="E861" s="11" t="s">
        <v>369</v>
      </c>
      <c r="F861" s="11" t="s">
        <v>370</v>
      </c>
      <c r="G861" s="11"/>
      <c r="H861" s="11" t="s">
        <v>21</v>
      </c>
      <c r="I861" s="11"/>
      <c r="J861" s="11" t="s">
        <v>133</v>
      </c>
      <c r="K861" s="11" t="s">
        <v>113</v>
      </c>
      <c r="L861" s="11" t="s">
        <v>145</v>
      </c>
      <c r="M861" s="11" t="s">
        <v>100</v>
      </c>
      <c r="N861" s="32" t="n">
        <v>35949</v>
      </c>
      <c r="O861" s="33" t="n">
        <v>3186684.01</v>
      </c>
      <c r="P861" s="32" t="n">
        <v>36616</v>
      </c>
      <c r="Q861" s="34" t="n">
        <v>0.98</v>
      </c>
      <c r="R861" s="33" t="n">
        <v>88.76</v>
      </c>
      <c r="S861" s="33" t="n">
        <v>163.86</v>
      </c>
      <c r="T861" s="33" t="n">
        <v>88.64</v>
      </c>
      <c r="U861" s="11" t="n">
        <f aca="false">IFERROR(YEAR(A861),"")</f>
        <v>2023</v>
      </c>
      <c r="V861" s="33" t="n">
        <f aca="false">IFERROR(O861*B861,0)</f>
        <v>9560052.03</v>
      </c>
      <c r="W861" s="32" t="n">
        <f aca="false">IFERROR(N861*B861,0)</f>
        <v>107847</v>
      </c>
      <c r="X861" s="11" t="n">
        <f aca="false">IF(OR(ISNUMBER(SEARCH("live nation",L861)),ISNUMBER(SEARCH("ocesa",L861))),1,0)</f>
        <v>0</v>
      </c>
      <c r="Y861" s="11" t="s">
        <v>50</v>
      </c>
    </row>
    <row r="862" customFormat="false" ht="15" hidden="false" customHeight="false" outlineLevel="0" collapsed="false">
      <c r="A862" s="25" t="n">
        <v>45266</v>
      </c>
      <c r="B862" s="13" t="n">
        <v>1</v>
      </c>
      <c r="C862" s="26" t="s">
        <v>1084</v>
      </c>
      <c r="D862" s="26"/>
      <c r="E862" s="13" t="s">
        <v>1087</v>
      </c>
      <c r="F862" s="13" t="s">
        <v>834</v>
      </c>
      <c r="G862" s="13" t="s">
        <v>143</v>
      </c>
      <c r="H862" s="13" t="s">
        <v>20</v>
      </c>
      <c r="I862" s="13" t="s">
        <v>586</v>
      </c>
      <c r="J862" s="13" t="s">
        <v>121</v>
      </c>
      <c r="K862" s="13" t="s">
        <v>107</v>
      </c>
      <c r="L862" s="13" t="s">
        <v>140</v>
      </c>
      <c r="M862" s="13" t="s">
        <v>270</v>
      </c>
      <c r="N862" s="27" t="n">
        <v>1013</v>
      </c>
      <c r="O862" s="28" t="n">
        <v>123321</v>
      </c>
      <c r="P862" s="27" t="n">
        <v>3190</v>
      </c>
      <c r="Q862" s="29" t="n">
        <v>0.31</v>
      </c>
      <c r="R862" s="28" t="n">
        <v>72.5</v>
      </c>
      <c r="S862" s="28" t="n">
        <v>272.5</v>
      </c>
      <c r="T862" s="28" t="n">
        <v>121.74</v>
      </c>
      <c r="U862" s="13" t="n">
        <f aca="false">IFERROR(YEAR(A862),"")</f>
        <v>2023</v>
      </c>
      <c r="V862" s="28" t="n">
        <f aca="false">IFERROR(O862*B862,0)</f>
        <v>123321</v>
      </c>
      <c r="W862" s="27" t="n">
        <f aca="false">IFERROR(N862*B862,0)</f>
        <v>1013</v>
      </c>
      <c r="X862" s="13" t="n">
        <f aca="false">IF(OR(ISNUMBER(SEARCH("live nation",L862)),ISNUMBER(SEARCH("ocesa",L862))),1,0)</f>
        <v>0</v>
      </c>
      <c r="Y862" s="13" t="s">
        <v>49</v>
      </c>
    </row>
    <row r="863" customFormat="false" ht="15" hidden="false" customHeight="false" outlineLevel="0" collapsed="false">
      <c r="A863" s="30" t="n">
        <v>45265</v>
      </c>
      <c r="B863" s="11" t="n">
        <v>1</v>
      </c>
      <c r="C863" s="31" t="s">
        <v>950</v>
      </c>
      <c r="D863" s="31"/>
      <c r="E863" s="11" t="s">
        <v>503</v>
      </c>
      <c r="F863" s="11" t="s">
        <v>231</v>
      </c>
      <c r="G863" s="11" t="s">
        <v>202</v>
      </c>
      <c r="H863" s="11" t="s">
        <v>20</v>
      </c>
      <c r="I863" s="11" t="s">
        <v>232</v>
      </c>
      <c r="J863" s="11" t="s">
        <v>121</v>
      </c>
      <c r="K863" s="11" t="s">
        <v>107</v>
      </c>
      <c r="L863" s="11" t="s">
        <v>1088</v>
      </c>
      <c r="M863" s="11" t="s">
        <v>100</v>
      </c>
      <c r="N863" s="32" t="n">
        <v>709</v>
      </c>
      <c r="O863" s="33" t="n">
        <v>66599</v>
      </c>
      <c r="P863" s="32" t="n">
        <v>2835</v>
      </c>
      <c r="Q863" s="34" t="n">
        <v>0.25</v>
      </c>
      <c r="R863" s="33" t="n">
        <v>56</v>
      </c>
      <c r="S863" s="33" t="n">
        <v>146</v>
      </c>
      <c r="T863" s="33" t="n">
        <v>93.93</v>
      </c>
      <c r="U863" s="11" t="n">
        <f aca="false">IFERROR(YEAR(A863),"")</f>
        <v>2023</v>
      </c>
      <c r="V863" s="33" t="n">
        <f aca="false">IFERROR(O863*B863,0)</f>
        <v>66599</v>
      </c>
      <c r="W863" s="32" t="n">
        <f aca="false">IFERROR(N863*B863,0)</f>
        <v>709</v>
      </c>
      <c r="X863" s="11" t="n">
        <f aca="false">IF(OR(ISNUMBER(SEARCH("live nation",L863)),ISNUMBER(SEARCH("ocesa",L863))),1,0)</f>
        <v>0</v>
      </c>
      <c r="Y863" s="11" t="s">
        <v>49</v>
      </c>
    </row>
    <row r="864" customFormat="false" ht="15" hidden="false" customHeight="false" outlineLevel="0" collapsed="false">
      <c r="A864" s="25" t="n">
        <v>45264</v>
      </c>
      <c r="B864" s="13" t="n">
        <v>1</v>
      </c>
      <c r="C864" s="26" t="s">
        <v>272</v>
      </c>
      <c r="D864" s="26" t="s">
        <v>1089</v>
      </c>
      <c r="E864" s="13" t="s">
        <v>1090</v>
      </c>
      <c r="F864" s="13" t="s">
        <v>557</v>
      </c>
      <c r="G864" s="13"/>
      <c r="H864" s="13" t="s">
        <v>558</v>
      </c>
      <c r="I864" s="13"/>
      <c r="J864" s="13" t="s">
        <v>106</v>
      </c>
      <c r="K864" s="13" t="s">
        <v>173</v>
      </c>
      <c r="L864" s="13" t="s">
        <v>177</v>
      </c>
      <c r="M864" s="13" t="s">
        <v>277</v>
      </c>
      <c r="N864" s="27" t="n">
        <v>1977</v>
      </c>
      <c r="O864" s="28" t="n">
        <v>122565.17</v>
      </c>
      <c r="P864" s="27" t="n">
        <v>1990</v>
      </c>
      <c r="Q864" s="29" t="n">
        <v>0.99</v>
      </c>
      <c r="R864" s="28" t="n">
        <v>53.05</v>
      </c>
      <c r="S864" s="28" t="n">
        <v>54.13</v>
      </c>
      <c r="T864" s="28" t="n">
        <v>62</v>
      </c>
      <c r="U864" s="13" t="n">
        <f aca="false">IFERROR(YEAR(A864),"")</f>
        <v>2023</v>
      </c>
      <c r="V864" s="28" t="n">
        <f aca="false">IFERROR(O864*B864,0)</f>
        <v>122565.17</v>
      </c>
      <c r="W864" s="27" t="n">
        <f aca="false">IFERROR(N864*B864,0)</f>
        <v>1977</v>
      </c>
      <c r="X864" s="13" t="n">
        <f aca="false">IF(OR(ISNUMBER(SEARCH("live nation",L864)),ISNUMBER(SEARCH("ocesa",L864))),1,0)</f>
        <v>1</v>
      </c>
      <c r="Y864" s="13" t="s">
        <v>49</v>
      </c>
    </row>
    <row r="865" customFormat="false" ht="15" hidden="false" customHeight="false" outlineLevel="0" collapsed="false">
      <c r="A865" s="30" t="n">
        <v>45263</v>
      </c>
      <c r="B865" s="11" t="n">
        <v>1</v>
      </c>
      <c r="C865" s="31" t="s">
        <v>950</v>
      </c>
      <c r="D865" s="31"/>
      <c r="E865" s="11" t="s">
        <v>400</v>
      </c>
      <c r="F865" s="11" t="s">
        <v>203</v>
      </c>
      <c r="G865" s="11" t="s">
        <v>202</v>
      </c>
      <c r="H865" s="11" t="s">
        <v>20</v>
      </c>
      <c r="I865" s="11" t="s">
        <v>203</v>
      </c>
      <c r="J865" s="11" t="s">
        <v>121</v>
      </c>
      <c r="K865" s="11" t="s">
        <v>107</v>
      </c>
      <c r="L865" s="11" t="s">
        <v>1088</v>
      </c>
      <c r="M865" s="11" t="s">
        <v>100</v>
      </c>
      <c r="N865" s="32" t="n">
        <v>1051</v>
      </c>
      <c r="O865" s="33" t="n">
        <v>109905.5</v>
      </c>
      <c r="P865" s="32" t="n">
        <v>2007</v>
      </c>
      <c r="Q865" s="34" t="n">
        <v>0.52</v>
      </c>
      <c r="R865" s="33" t="n">
        <v>45.5</v>
      </c>
      <c r="S865" s="33" t="n">
        <v>170.5</v>
      </c>
      <c r="T865" s="33" t="n">
        <v>104.57</v>
      </c>
      <c r="U865" s="11" t="n">
        <f aca="false">IFERROR(YEAR(A865),"")</f>
        <v>2023</v>
      </c>
      <c r="V865" s="33" t="n">
        <f aca="false">IFERROR(O865*B865,0)</f>
        <v>109905.5</v>
      </c>
      <c r="W865" s="32" t="n">
        <f aca="false">IFERROR(N865*B865,0)</f>
        <v>1051</v>
      </c>
      <c r="X865" s="11" t="n">
        <f aca="false">IF(OR(ISNUMBER(SEARCH("live nation",L865)),ISNUMBER(SEARCH("ocesa",L865))),1,0)</f>
        <v>0</v>
      </c>
      <c r="Y865" s="11" t="s">
        <v>49</v>
      </c>
    </row>
    <row r="866" customFormat="false" ht="15" hidden="false" customHeight="false" outlineLevel="0" collapsed="false">
      <c r="A866" s="25" t="n">
        <v>45262</v>
      </c>
      <c r="B866" s="13" t="n">
        <v>1</v>
      </c>
      <c r="C866" s="26" t="s">
        <v>1084</v>
      </c>
      <c r="D866" s="26"/>
      <c r="E866" s="13" t="s">
        <v>1091</v>
      </c>
      <c r="F866" s="13" t="s">
        <v>535</v>
      </c>
      <c r="G866" s="13" t="s">
        <v>202</v>
      </c>
      <c r="H866" s="13" t="s">
        <v>20</v>
      </c>
      <c r="I866" s="13" t="s">
        <v>232</v>
      </c>
      <c r="J866" s="13" t="s">
        <v>121</v>
      </c>
      <c r="K866" s="13" t="s">
        <v>107</v>
      </c>
      <c r="L866" s="13" t="s">
        <v>140</v>
      </c>
      <c r="M866" s="13" t="s">
        <v>270</v>
      </c>
      <c r="N866" s="27" t="n">
        <v>1062</v>
      </c>
      <c r="O866" s="28" t="n">
        <v>142404</v>
      </c>
      <c r="P866" s="27" t="n">
        <v>2297</v>
      </c>
      <c r="Q866" s="29" t="n">
        <v>0.46</v>
      </c>
      <c r="R866" s="28" t="n">
        <v>69.5</v>
      </c>
      <c r="S866" s="28" t="n">
        <v>274.5</v>
      </c>
      <c r="T866" s="28" t="n">
        <v>134.09</v>
      </c>
      <c r="U866" s="13" t="n">
        <f aca="false">IFERROR(YEAR(A866),"")</f>
        <v>2023</v>
      </c>
      <c r="V866" s="28" t="n">
        <f aca="false">IFERROR(O866*B866,0)</f>
        <v>142404</v>
      </c>
      <c r="W866" s="27" t="n">
        <f aca="false">IFERROR(N866*B866,0)</f>
        <v>1062</v>
      </c>
      <c r="X866" s="13" t="n">
        <f aca="false">IF(OR(ISNUMBER(SEARCH("live nation",L866)),ISNUMBER(SEARCH("ocesa",L866))),1,0)</f>
        <v>0</v>
      </c>
      <c r="Y866" s="13" t="s">
        <v>49</v>
      </c>
    </row>
    <row r="867" customFormat="false" ht="15" hidden="false" customHeight="false" outlineLevel="0" collapsed="false">
      <c r="A867" s="30" t="n">
        <v>45262</v>
      </c>
      <c r="B867" s="11" t="n">
        <v>2</v>
      </c>
      <c r="C867" s="31" t="s">
        <v>63</v>
      </c>
      <c r="D867" s="31"/>
      <c r="E867" s="11" t="s">
        <v>568</v>
      </c>
      <c r="F867" s="11" t="s">
        <v>147</v>
      </c>
      <c r="G867" s="11"/>
      <c r="H867" s="11" t="s">
        <v>24</v>
      </c>
      <c r="I867" s="11"/>
      <c r="J867" s="11" t="s">
        <v>133</v>
      </c>
      <c r="K867" s="11" t="s">
        <v>148</v>
      </c>
      <c r="L867" s="11" t="s">
        <v>145</v>
      </c>
      <c r="M867" s="11" t="s">
        <v>100</v>
      </c>
      <c r="N867" s="32" t="n">
        <v>12521</v>
      </c>
      <c r="O867" s="33" t="n">
        <v>1451655.43</v>
      </c>
      <c r="P867" s="32" t="n">
        <v>16549</v>
      </c>
      <c r="Q867" s="34" t="n">
        <v>0.75</v>
      </c>
      <c r="R867" s="33" t="n">
        <v>116.34</v>
      </c>
      <c r="S867" s="33" t="n">
        <v>149.59</v>
      </c>
      <c r="T867" s="33" t="n">
        <v>115.93</v>
      </c>
      <c r="U867" s="11" t="n">
        <f aca="false">IFERROR(YEAR(A867),"")</f>
        <v>2023</v>
      </c>
      <c r="V867" s="33" t="n">
        <f aca="false">IFERROR(O867*B867,0)</f>
        <v>2903310.86</v>
      </c>
      <c r="W867" s="32" t="n">
        <f aca="false">IFERROR(N867*B867,0)</f>
        <v>25042</v>
      </c>
      <c r="X867" s="11" t="n">
        <f aca="false">IF(OR(ISNUMBER(SEARCH("live nation",L867)),ISNUMBER(SEARCH("ocesa",L867))),1,0)</f>
        <v>0</v>
      </c>
      <c r="Y867" s="11" t="s">
        <v>50</v>
      </c>
    </row>
    <row r="868" customFormat="false" ht="15" hidden="false" customHeight="false" outlineLevel="0" collapsed="false">
      <c r="A868" s="25" t="n">
        <v>45260</v>
      </c>
      <c r="B868" s="13" t="n">
        <v>3</v>
      </c>
      <c r="C868" s="26" t="s">
        <v>62</v>
      </c>
      <c r="D868" s="26"/>
      <c r="E868" s="13" t="s">
        <v>422</v>
      </c>
      <c r="F868" s="13" t="s">
        <v>423</v>
      </c>
      <c r="G868" s="13"/>
      <c r="H868" s="13" t="s">
        <v>21</v>
      </c>
      <c r="I868" s="13"/>
      <c r="J868" s="13" t="s">
        <v>133</v>
      </c>
      <c r="K868" s="13" t="s">
        <v>113</v>
      </c>
      <c r="L868" s="13" t="s">
        <v>145</v>
      </c>
      <c r="M868" s="13" t="s">
        <v>100</v>
      </c>
      <c r="N868" s="27" t="n">
        <v>36079</v>
      </c>
      <c r="O868" s="28" t="n">
        <v>3567835.44</v>
      </c>
      <c r="P868" s="27" t="n">
        <v>37432</v>
      </c>
      <c r="Q868" s="29" t="n">
        <v>0.96</v>
      </c>
      <c r="R868" s="28" t="n">
        <v>88.76</v>
      </c>
      <c r="S868" s="28" t="n">
        <v>163.86</v>
      </c>
      <c r="T868" s="28" t="n">
        <v>98.89</v>
      </c>
      <c r="U868" s="13" t="n">
        <f aca="false">IFERROR(YEAR(A868),"")</f>
        <v>2023</v>
      </c>
      <c r="V868" s="28" t="n">
        <f aca="false">IFERROR(O868*B868,0)</f>
        <v>10703506.32</v>
      </c>
      <c r="W868" s="27" t="n">
        <f aca="false">IFERROR(N868*B868,0)</f>
        <v>108237</v>
      </c>
      <c r="X868" s="13" t="n">
        <f aca="false">IF(OR(ISNUMBER(SEARCH("live nation",L868)),ISNUMBER(SEARCH("ocesa",L868))),1,0)</f>
        <v>0</v>
      </c>
      <c r="Y868" s="13" t="s">
        <v>50</v>
      </c>
    </row>
    <row r="869" customFormat="false" ht="15" hidden="false" customHeight="false" outlineLevel="0" collapsed="false">
      <c r="A869" s="30" t="n">
        <v>45259</v>
      </c>
      <c r="B869" s="11" t="n">
        <v>1</v>
      </c>
      <c r="C869" s="31" t="s">
        <v>272</v>
      </c>
      <c r="D869" s="31"/>
      <c r="E869" s="11" t="s">
        <v>1092</v>
      </c>
      <c r="F869" s="11" t="s">
        <v>1093</v>
      </c>
      <c r="G869" s="11"/>
      <c r="H869" s="11" t="s">
        <v>27</v>
      </c>
      <c r="I869" s="11"/>
      <c r="J869" s="11" t="s">
        <v>121</v>
      </c>
      <c r="K869" s="11" t="s">
        <v>314</v>
      </c>
      <c r="L869" s="11" t="s">
        <v>1094</v>
      </c>
      <c r="M869" s="11" t="s">
        <v>277</v>
      </c>
      <c r="N869" s="32" t="n">
        <v>3293</v>
      </c>
      <c r="O869" s="33" t="n">
        <v>160305.74</v>
      </c>
      <c r="P869" s="32" t="n">
        <v>3293</v>
      </c>
      <c r="Q869" s="34" t="n">
        <v>1</v>
      </c>
      <c r="R869" s="33" t="n">
        <v>40.99</v>
      </c>
      <c r="S869" s="33" t="n">
        <v>49.81</v>
      </c>
      <c r="T869" s="33" t="n">
        <v>48.68</v>
      </c>
      <c r="U869" s="11" t="n">
        <f aca="false">IFERROR(YEAR(A869),"")</f>
        <v>2023</v>
      </c>
      <c r="V869" s="33" t="n">
        <f aca="false">IFERROR(O869*B869,0)</f>
        <v>160305.74</v>
      </c>
      <c r="W869" s="32" t="n">
        <f aca="false">IFERROR(N869*B869,0)</f>
        <v>3293</v>
      </c>
      <c r="X869" s="11" t="n">
        <f aca="false">IF(OR(ISNUMBER(SEARCH("live nation",L869)),ISNUMBER(SEARCH("ocesa",L869))),1,0)</f>
        <v>0</v>
      </c>
      <c r="Y869" s="11" t="s">
        <v>49</v>
      </c>
    </row>
    <row r="870" customFormat="false" ht="15" hidden="false" customHeight="false" outlineLevel="0" collapsed="false">
      <c r="A870" s="25" t="n">
        <v>45258</v>
      </c>
      <c r="B870" s="13" t="n">
        <v>1</v>
      </c>
      <c r="C870" s="26" t="s">
        <v>272</v>
      </c>
      <c r="D870" s="26"/>
      <c r="E870" s="13" t="s">
        <v>1095</v>
      </c>
      <c r="F870" s="13" t="s">
        <v>313</v>
      </c>
      <c r="G870" s="13"/>
      <c r="H870" s="13" t="s">
        <v>27</v>
      </c>
      <c r="I870" s="13"/>
      <c r="J870" s="13" t="s">
        <v>121</v>
      </c>
      <c r="K870" s="13" t="s">
        <v>314</v>
      </c>
      <c r="L870" s="13" t="s">
        <v>1094</v>
      </c>
      <c r="M870" s="13" t="s">
        <v>277</v>
      </c>
      <c r="N870" s="27" t="n">
        <v>2730</v>
      </c>
      <c r="O870" s="28" t="n">
        <v>187145.47</v>
      </c>
      <c r="P870" s="27" t="n">
        <v>2760</v>
      </c>
      <c r="Q870" s="29" t="n">
        <v>0.98</v>
      </c>
      <c r="R870" s="28" t="n">
        <v>56.75</v>
      </c>
      <c r="S870" s="28" t="n">
        <v>81.97</v>
      </c>
      <c r="T870" s="28" t="n">
        <v>68.55</v>
      </c>
      <c r="U870" s="13" t="n">
        <f aca="false">IFERROR(YEAR(A870),"")</f>
        <v>2023</v>
      </c>
      <c r="V870" s="28" t="n">
        <f aca="false">IFERROR(O870*B870,0)</f>
        <v>187145.47</v>
      </c>
      <c r="W870" s="27" t="n">
        <f aca="false">IFERROR(N870*B870,0)</f>
        <v>2730</v>
      </c>
      <c r="X870" s="13" t="n">
        <f aca="false">IF(OR(ISNUMBER(SEARCH("live nation",L870)),ISNUMBER(SEARCH("ocesa",L870))),1,0)</f>
        <v>0</v>
      </c>
      <c r="Y870" s="13" t="s">
        <v>49</v>
      </c>
    </row>
    <row r="871" customFormat="false" ht="15" hidden="false" customHeight="false" outlineLevel="0" collapsed="false">
      <c r="A871" s="30" t="n">
        <v>45257</v>
      </c>
      <c r="B871" s="11" t="n">
        <v>1</v>
      </c>
      <c r="C871" s="31" t="s">
        <v>272</v>
      </c>
      <c r="D871" s="31"/>
      <c r="E871" s="11" t="s">
        <v>1095</v>
      </c>
      <c r="F871" s="11" t="s">
        <v>313</v>
      </c>
      <c r="G871" s="11"/>
      <c r="H871" s="11" t="s">
        <v>27</v>
      </c>
      <c r="I871" s="11"/>
      <c r="J871" s="11" t="s">
        <v>121</v>
      </c>
      <c r="K871" s="11" t="s">
        <v>314</v>
      </c>
      <c r="L871" s="11" t="s">
        <v>1094</v>
      </c>
      <c r="M871" s="11" t="s">
        <v>277</v>
      </c>
      <c r="N871" s="32" t="n">
        <v>2735</v>
      </c>
      <c r="O871" s="33" t="n">
        <v>186830.2</v>
      </c>
      <c r="P871" s="32" t="n">
        <v>2735</v>
      </c>
      <c r="Q871" s="34" t="n">
        <v>1</v>
      </c>
      <c r="R871" s="33" t="n">
        <v>56.75</v>
      </c>
      <c r="S871" s="33" t="n">
        <v>81.97</v>
      </c>
      <c r="T871" s="33" t="n">
        <v>68.31</v>
      </c>
      <c r="U871" s="11" t="n">
        <f aca="false">IFERROR(YEAR(A871),"")</f>
        <v>2023</v>
      </c>
      <c r="V871" s="33" t="n">
        <f aca="false">IFERROR(O871*B871,0)</f>
        <v>186830.2</v>
      </c>
      <c r="W871" s="32" t="n">
        <f aca="false">IFERROR(N871*B871,0)</f>
        <v>2735</v>
      </c>
      <c r="X871" s="11" t="n">
        <f aca="false">IF(OR(ISNUMBER(SEARCH("live nation",L871)),ISNUMBER(SEARCH("ocesa",L871))),1,0)</f>
        <v>0</v>
      </c>
      <c r="Y871" s="11" t="s">
        <v>49</v>
      </c>
    </row>
    <row r="872" customFormat="false" ht="15" hidden="false" customHeight="false" outlineLevel="0" collapsed="false">
      <c r="A872" s="25" t="n">
        <v>45253</v>
      </c>
      <c r="B872" s="13" t="n">
        <v>2</v>
      </c>
      <c r="C872" s="26" t="s">
        <v>62</v>
      </c>
      <c r="D872" s="26"/>
      <c r="E872" s="13" t="s">
        <v>457</v>
      </c>
      <c r="F872" s="13" t="s">
        <v>458</v>
      </c>
      <c r="G872" s="13"/>
      <c r="H872" s="13" t="s">
        <v>21</v>
      </c>
      <c r="I872" s="13"/>
      <c r="J872" s="13" t="s">
        <v>133</v>
      </c>
      <c r="K872" s="13" t="s">
        <v>113</v>
      </c>
      <c r="L872" s="13" t="s">
        <v>145</v>
      </c>
      <c r="M872" s="13" t="s">
        <v>100</v>
      </c>
      <c r="N872" s="27" t="n">
        <v>30544</v>
      </c>
      <c r="O872" s="28" t="n">
        <v>3009357.96</v>
      </c>
      <c r="P872" s="27" t="n">
        <v>30954</v>
      </c>
      <c r="Q872" s="29" t="n">
        <v>0.98</v>
      </c>
      <c r="R872" s="28" t="n">
        <v>88.76</v>
      </c>
      <c r="S872" s="28" t="n">
        <v>163.86</v>
      </c>
      <c r="T872" s="28" t="n">
        <v>98.53</v>
      </c>
      <c r="U872" s="13" t="n">
        <f aca="false">IFERROR(YEAR(A872),"")</f>
        <v>2023</v>
      </c>
      <c r="V872" s="28" t="n">
        <f aca="false">IFERROR(O872*B872,0)</f>
        <v>6018715.92</v>
      </c>
      <c r="W872" s="27" t="n">
        <f aca="false">IFERROR(N872*B872,0)</f>
        <v>61088</v>
      </c>
      <c r="X872" s="13" t="n">
        <f aca="false">IF(OR(ISNUMBER(SEARCH("live nation",L872)),ISNUMBER(SEARCH("ocesa",L872))),1,0)</f>
        <v>0</v>
      </c>
      <c r="Y872" s="13" t="s">
        <v>50</v>
      </c>
    </row>
    <row r="873" customFormat="false" ht="15" hidden="false" customHeight="false" outlineLevel="0" collapsed="false">
      <c r="A873" s="30" t="n">
        <v>45252</v>
      </c>
      <c r="B873" s="11" t="n">
        <v>1</v>
      </c>
      <c r="C873" s="31" t="s">
        <v>124</v>
      </c>
      <c r="D873" s="31"/>
      <c r="E873" s="11" t="s">
        <v>1096</v>
      </c>
      <c r="F873" s="11" t="s">
        <v>203</v>
      </c>
      <c r="G873" s="11" t="s">
        <v>202</v>
      </c>
      <c r="H873" s="11" t="s">
        <v>20</v>
      </c>
      <c r="I873" s="11" t="s">
        <v>203</v>
      </c>
      <c r="J873" s="11" t="s">
        <v>121</v>
      </c>
      <c r="K873" s="11" t="s">
        <v>107</v>
      </c>
      <c r="L873" s="11" t="s">
        <v>122</v>
      </c>
      <c r="M873" s="11" t="s">
        <v>100</v>
      </c>
      <c r="N873" s="32" t="n">
        <v>1489</v>
      </c>
      <c r="O873" s="33" t="n">
        <v>179100.48</v>
      </c>
      <c r="P873" s="32" t="n">
        <v>1826</v>
      </c>
      <c r="Q873" s="34" t="n">
        <v>0.81</v>
      </c>
      <c r="R873" s="33" t="n">
        <v>59.5</v>
      </c>
      <c r="S873" s="33" t="n">
        <v>149.5</v>
      </c>
      <c r="T873" s="33" t="n">
        <v>120.28</v>
      </c>
      <c r="U873" s="11" t="n">
        <f aca="false">IFERROR(YEAR(A873),"")</f>
        <v>2023</v>
      </c>
      <c r="V873" s="33" t="n">
        <f aca="false">IFERROR(O873*B873,0)</f>
        <v>179100.48</v>
      </c>
      <c r="W873" s="32" t="n">
        <f aca="false">IFERROR(N873*B873,0)</f>
        <v>1489</v>
      </c>
      <c r="X873" s="11" t="n">
        <f aca="false">IF(OR(ISNUMBER(SEARCH("live nation",L873)),ISNUMBER(SEARCH("ocesa",L873))),1,0)</f>
        <v>0</v>
      </c>
      <c r="Y873" s="11" t="s">
        <v>49</v>
      </c>
    </row>
    <row r="874" customFormat="false" ht="15" hidden="false" customHeight="false" outlineLevel="0" collapsed="false">
      <c r="A874" s="25" t="n">
        <v>45250</v>
      </c>
      <c r="B874" s="13" t="n">
        <v>1</v>
      </c>
      <c r="C874" s="26" t="s">
        <v>124</v>
      </c>
      <c r="D874" s="26"/>
      <c r="E874" s="13" t="s">
        <v>1097</v>
      </c>
      <c r="F874" s="13" t="s">
        <v>535</v>
      </c>
      <c r="G874" s="13" t="s">
        <v>202</v>
      </c>
      <c r="H874" s="13" t="s">
        <v>20</v>
      </c>
      <c r="I874" s="13" t="s">
        <v>232</v>
      </c>
      <c r="J874" s="13" t="s">
        <v>121</v>
      </c>
      <c r="K874" s="13" t="s">
        <v>107</v>
      </c>
      <c r="L874" s="13" t="s">
        <v>390</v>
      </c>
      <c r="M874" s="13" t="s">
        <v>100</v>
      </c>
      <c r="N874" s="27" t="n">
        <v>1018</v>
      </c>
      <c r="O874" s="28" t="n">
        <v>113035.89</v>
      </c>
      <c r="P874" s="27" t="n">
        <v>1730</v>
      </c>
      <c r="Q874" s="29" t="n">
        <v>0.58</v>
      </c>
      <c r="R874" s="28" t="n">
        <v>60</v>
      </c>
      <c r="S874" s="28" t="n">
        <v>200</v>
      </c>
      <c r="T874" s="28" t="n">
        <v>111.04</v>
      </c>
      <c r="U874" s="13" t="n">
        <f aca="false">IFERROR(YEAR(A874),"")</f>
        <v>2023</v>
      </c>
      <c r="V874" s="28" t="n">
        <f aca="false">IFERROR(O874*B874,0)</f>
        <v>113035.89</v>
      </c>
      <c r="W874" s="27" t="n">
        <f aca="false">IFERROR(N874*B874,0)</f>
        <v>1018</v>
      </c>
      <c r="X874" s="13" t="n">
        <f aca="false">IF(OR(ISNUMBER(SEARCH("live nation",L874)),ISNUMBER(SEARCH("ocesa",L874))),1,0)</f>
        <v>0</v>
      </c>
      <c r="Y874" s="13" t="s">
        <v>49</v>
      </c>
    </row>
    <row r="875" customFormat="false" ht="15" hidden="false" customHeight="false" outlineLevel="0" collapsed="false">
      <c r="A875" s="30" t="n">
        <v>45247</v>
      </c>
      <c r="B875" s="11" t="n">
        <v>1</v>
      </c>
      <c r="C875" s="31" t="s">
        <v>124</v>
      </c>
      <c r="D875" s="31"/>
      <c r="E875" s="11" t="s">
        <v>537</v>
      </c>
      <c r="F875" s="11" t="s">
        <v>538</v>
      </c>
      <c r="G875" s="11" t="s">
        <v>539</v>
      </c>
      <c r="H875" s="11" t="s">
        <v>20</v>
      </c>
      <c r="I875" s="11" t="s">
        <v>538</v>
      </c>
      <c r="J875" s="11" t="s">
        <v>106</v>
      </c>
      <c r="K875" s="11" t="s">
        <v>107</v>
      </c>
      <c r="L875" s="11" t="s">
        <v>122</v>
      </c>
      <c r="M875" s="11" t="s">
        <v>100</v>
      </c>
      <c r="N875" s="32" t="n">
        <v>1001</v>
      </c>
      <c r="O875" s="33" t="n">
        <v>120875.6</v>
      </c>
      <c r="P875" s="32" t="n">
        <v>1542</v>
      </c>
      <c r="Q875" s="34" t="n">
        <v>0.64</v>
      </c>
      <c r="R875" s="33" t="n">
        <v>59.5</v>
      </c>
      <c r="S875" s="33" t="n">
        <v>174.5</v>
      </c>
      <c r="T875" s="33" t="n">
        <v>120.75</v>
      </c>
      <c r="U875" s="11" t="n">
        <f aca="false">IFERROR(YEAR(A875),"")</f>
        <v>2023</v>
      </c>
      <c r="V875" s="33" t="n">
        <f aca="false">IFERROR(O875*B875,0)</f>
        <v>120875.6</v>
      </c>
      <c r="W875" s="32" t="n">
        <f aca="false">IFERROR(N875*B875,0)</f>
        <v>1001</v>
      </c>
      <c r="X875" s="11" t="n">
        <f aca="false">IF(OR(ISNUMBER(SEARCH("live nation",L875)),ISNUMBER(SEARCH("ocesa",L875))),1,0)</f>
        <v>0</v>
      </c>
      <c r="Y875" s="11" t="s">
        <v>49</v>
      </c>
    </row>
    <row r="876" customFormat="false" ht="15" hidden="false" customHeight="false" outlineLevel="0" collapsed="false">
      <c r="A876" s="25" t="n">
        <v>45247</v>
      </c>
      <c r="B876" s="13" t="n">
        <v>1</v>
      </c>
      <c r="C876" s="26" t="s">
        <v>1098</v>
      </c>
      <c r="D876" s="26"/>
      <c r="E876" s="13" t="s">
        <v>1099</v>
      </c>
      <c r="F876" s="13" t="s">
        <v>609</v>
      </c>
      <c r="G876" s="13"/>
      <c r="H876" s="13" t="s">
        <v>610</v>
      </c>
      <c r="I876" s="13"/>
      <c r="J876" s="13" t="s">
        <v>121</v>
      </c>
      <c r="K876" s="13" t="s">
        <v>173</v>
      </c>
      <c r="L876" s="13" t="s">
        <v>788</v>
      </c>
      <c r="M876" s="13" t="s">
        <v>100</v>
      </c>
      <c r="N876" s="27" t="n">
        <v>518</v>
      </c>
      <c r="O876" s="28" t="n">
        <v>83554.81</v>
      </c>
      <c r="P876" s="27" t="n">
        <v>800</v>
      </c>
      <c r="Q876" s="29" t="n">
        <v>0.64</v>
      </c>
      <c r="R876" s="28" t="n">
        <v>107.17</v>
      </c>
      <c r="S876" s="28" t="n">
        <v>215.43</v>
      </c>
      <c r="T876" s="28" t="n">
        <v>161.3</v>
      </c>
      <c r="U876" s="13" t="n">
        <f aca="false">IFERROR(YEAR(A876),"")</f>
        <v>2023</v>
      </c>
      <c r="V876" s="28" t="n">
        <f aca="false">IFERROR(O876*B876,0)</f>
        <v>83554.81</v>
      </c>
      <c r="W876" s="27" t="n">
        <f aca="false">IFERROR(N876*B876,0)</f>
        <v>518</v>
      </c>
      <c r="X876" s="13" t="n">
        <f aca="false">IF(OR(ISNUMBER(SEARCH("live nation",L876)),ISNUMBER(SEARCH("ocesa",L876))),1,0)</f>
        <v>0</v>
      </c>
      <c r="Y876" s="13" t="s">
        <v>49</v>
      </c>
    </row>
    <row r="877" customFormat="false" ht="15" hidden="false" customHeight="false" outlineLevel="0" collapsed="false">
      <c r="A877" s="30" t="n">
        <v>45246</v>
      </c>
      <c r="B877" s="11" t="n">
        <v>1</v>
      </c>
      <c r="C877" s="31" t="s">
        <v>743</v>
      </c>
      <c r="D877" s="31"/>
      <c r="E877" s="11" t="s">
        <v>111</v>
      </c>
      <c r="F877" s="11" t="s">
        <v>112</v>
      </c>
      <c r="G877" s="11"/>
      <c r="H877" s="11" t="s">
        <v>21</v>
      </c>
      <c r="I877" s="11"/>
      <c r="J877" s="11" t="s">
        <v>97</v>
      </c>
      <c r="K877" s="11" t="s">
        <v>113</v>
      </c>
      <c r="L877" s="11" t="s">
        <v>399</v>
      </c>
      <c r="M877" s="11" t="s">
        <v>277</v>
      </c>
      <c r="N877" s="32" t="n">
        <v>20000</v>
      </c>
      <c r="O877" s="33" t="n">
        <v>1843450.2</v>
      </c>
      <c r="P877" s="32" t="n">
        <v>20000</v>
      </c>
      <c r="Q877" s="34" t="n">
        <v>1</v>
      </c>
      <c r="R877" s="33" t="n">
        <v>92.17</v>
      </c>
      <c r="S877" s="33" t="n">
        <v>92.17</v>
      </c>
      <c r="T877" s="33" t="n">
        <v>92.17</v>
      </c>
      <c r="U877" s="11" t="n">
        <f aca="false">IFERROR(YEAR(A877),"")</f>
        <v>2023</v>
      </c>
      <c r="V877" s="33" t="n">
        <f aca="false">IFERROR(O877*B877,0)</f>
        <v>1843450.2</v>
      </c>
      <c r="W877" s="32" t="n">
        <f aca="false">IFERROR(N877*B877,0)</f>
        <v>20000</v>
      </c>
      <c r="X877" s="11" t="n">
        <f aca="false">IF(OR(ISNUMBER(SEARCH("live nation",L877)),ISNUMBER(SEARCH("ocesa",L877))),1,0)</f>
        <v>0</v>
      </c>
      <c r="Y877" s="11" t="s">
        <v>50</v>
      </c>
    </row>
    <row r="878" customFormat="false" ht="15" hidden="false" customHeight="false" outlineLevel="0" collapsed="false">
      <c r="A878" s="25" t="n">
        <v>45245</v>
      </c>
      <c r="B878" s="13" t="n">
        <v>1</v>
      </c>
      <c r="C878" s="26" t="s">
        <v>124</v>
      </c>
      <c r="D878" s="26"/>
      <c r="E878" s="13" t="s">
        <v>1100</v>
      </c>
      <c r="F878" s="13" t="s">
        <v>209</v>
      </c>
      <c r="G878" s="13" t="s">
        <v>208</v>
      </c>
      <c r="H878" s="13" t="s">
        <v>20</v>
      </c>
      <c r="I878" s="13" t="s">
        <v>209</v>
      </c>
      <c r="J878" s="13" t="s">
        <v>121</v>
      </c>
      <c r="K878" s="13" t="s">
        <v>107</v>
      </c>
      <c r="L878" s="13" t="s">
        <v>390</v>
      </c>
      <c r="M878" s="13" t="s">
        <v>100</v>
      </c>
      <c r="N878" s="27" t="n">
        <v>644</v>
      </c>
      <c r="O878" s="28" t="n">
        <v>79017</v>
      </c>
      <c r="P878" s="27" t="n">
        <v>962</v>
      </c>
      <c r="Q878" s="29" t="n">
        <v>0.66</v>
      </c>
      <c r="R878" s="28" t="n">
        <v>60</v>
      </c>
      <c r="S878" s="28" t="n">
        <v>60</v>
      </c>
      <c r="T878" s="28" t="n">
        <v>122.7</v>
      </c>
      <c r="U878" s="13" t="n">
        <f aca="false">IFERROR(YEAR(A878),"")</f>
        <v>2023</v>
      </c>
      <c r="V878" s="28" t="n">
        <f aca="false">IFERROR(O878*B878,0)</f>
        <v>79017</v>
      </c>
      <c r="W878" s="27" t="n">
        <f aca="false">IFERROR(N878*B878,0)</f>
        <v>644</v>
      </c>
      <c r="X878" s="13" t="n">
        <f aca="false">IF(OR(ISNUMBER(SEARCH("live nation",L878)),ISNUMBER(SEARCH("ocesa",L878))),1,0)</f>
        <v>0</v>
      </c>
      <c r="Y878" s="13" t="s">
        <v>49</v>
      </c>
    </row>
    <row r="879" customFormat="false" ht="15" hidden="false" customHeight="false" outlineLevel="0" collapsed="false">
      <c r="A879" s="30" t="n">
        <v>45245</v>
      </c>
      <c r="B879" s="11" t="n">
        <v>1</v>
      </c>
      <c r="C879" s="31" t="s">
        <v>743</v>
      </c>
      <c r="D879" s="31"/>
      <c r="E879" s="11" t="s">
        <v>111</v>
      </c>
      <c r="F879" s="11" t="s">
        <v>112</v>
      </c>
      <c r="G879" s="11"/>
      <c r="H879" s="11" t="s">
        <v>21</v>
      </c>
      <c r="I879" s="11"/>
      <c r="J879" s="11" t="s">
        <v>97</v>
      </c>
      <c r="K879" s="11" t="s">
        <v>113</v>
      </c>
      <c r="L879" s="11" t="s">
        <v>399</v>
      </c>
      <c r="M879" s="11" t="s">
        <v>277</v>
      </c>
      <c r="N879" s="32" t="n">
        <v>20000</v>
      </c>
      <c r="O879" s="33" t="n">
        <v>1843450.19</v>
      </c>
      <c r="P879" s="32" t="n">
        <v>20000</v>
      </c>
      <c r="Q879" s="34" t="n">
        <v>1</v>
      </c>
      <c r="R879" s="33" t="n">
        <v>92.17</v>
      </c>
      <c r="S879" s="33" t="n">
        <v>92.17</v>
      </c>
      <c r="T879" s="33" t="n">
        <v>92.17</v>
      </c>
      <c r="U879" s="11" t="n">
        <f aca="false">IFERROR(YEAR(A879),"")</f>
        <v>2023</v>
      </c>
      <c r="V879" s="33" t="n">
        <f aca="false">IFERROR(O879*B879,0)</f>
        <v>1843450.19</v>
      </c>
      <c r="W879" s="32" t="n">
        <f aca="false">IFERROR(N879*B879,0)</f>
        <v>20000</v>
      </c>
      <c r="X879" s="11" t="n">
        <f aca="false">IF(OR(ISNUMBER(SEARCH("live nation",L879)),ISNUMBER(SEARCH("ocesa",L879))),1,0)</f>
        <v>0</v>
      </c>
      <c r="Y879" s="11" t="s">
        <v>50</v>
      </c>
    </row>
    <row r="880" customFormat="false" ht="15" hidden="false" customHeight="false" outlineLevel="0" collapsed="false">
      <c r="A880" s="25" t="n">
        <v>45243</v>
      </c>
      <c r="B880" s="13" t="n">
        <v>1</v>
      </c>
      <c r="C880" s="26" t="s">
        <v>124</v>
      </c>
      <c r="D880" s="26"/>
      <c r="E880" s="13" t="s">
        <v>1101</v>
      </c>
      <c r="F880" s="13" t="s">
        <v>1102</v>
      </c>
      <c r="G880" s="13" t="s">
        <v>1103</v>
      </c>
      <c r="H880" s="13" t="s">
        <v>20</v>
      </c>
      <c r="I880" s="13" t="s">
        <v>1102</v>
      </c>
      <c r="J880" s="13" t="s">
        <v>121</v>
      </c>
      <c r="K880" s="13" t="s">
        <v>107</v>
      </c>
      <c r="L880" s="13" t="s">
        <v>122</v>
      </c>
      <c r="M880" s="13" t="s">
        <v>100</v>
      </c>
      <c r="N880" s="27" t="n">
        <v>829</v>
      </c>
      <c r="O880" s="28" t="n">
        <v>88088</v>
      </c>
      <c r="P880" s="27" t="n">
        <v>2597</v>
      </c>
      <c r="Q880" s="29" t="n">
        <v>0.31</v>
      </c>
      <c r="R880" s="28" t="n">
        <v>60</v>
      </c>
      <c r="S880" s="28" t="n">
        <v>115</v>
      </c>
      <c r="T880" s="28" t="n">
        <v>106.26</v>
      </c>
      <c r="U880" s="13" t="n">
        <f aca="false">IFERROR(YEAR(A880),"")</f>
        <v>2023</v>
      </c>
      <c r="V880" s="28" t="n">
        <f aca="false">IFERROR(O880*B880,0)</f>
        <v>88088</v>
      </c>
      <c r="W880" s="27" t="n">
        <f aca="false">IFERROR(N880*B880,0)</f>
        <v>829</v>
      </c>
      <c r="X880" s="13" t="n">
        <f aca="false">IF(OR(ISNUMBER(SEARCH("live nation",L880)),ISNUMBER(SEARCH("ocesa",L880))),1,0)</f>
        <v>0</v>
      </c>
      <c r="Y880" s="13" t="s">
        <v>49</v>
      </c>
    </row>
    <row r="881" customFormat="false" ht="15" hidden="false" customHeight="false" outlineLevel="0" collapsed="false">
      <c r="A881" s="30" t="n">
        <v>45242</v>
      </c>
      <c r="B881" s="11" t="n">
        <v>1</v>
      </c>
      <c r="C881" s="31" t="s">
        <v>587</v>
      </c>
      <c r="D881" s="31"/>
      <c r="E881" s="11" t="s">
        <v>822</v>
      </c>
      <c r="F881" s="11" t="s">
        <v>201</v>
      </c>
      <c r="G881" s="11" t="s">
        <v>202</v>
      </c>
      <c r="H881" s="11" t="s">
        <v>20</v>
      </c>
      <c r="I881" s="11" t="s">
        <v>203</v>
      </c>
      <c r="J881" s="11" t="s">
        <v>97</v>
      </c>
      <c r="K881" s="11" t="s">
        <v>107</v>
      </c>
      <c r="L881" s="11" t="s">
        <v>791</v>
      </c>
      <c r="M881" s="11" t="s">
        <v>100</v>
      </c>
      <c r="N881" s="32" t="n">
        <v>10339</v>
      </c>
      <c r="O881" s="33" t="n">
        <v>750847</v>
      </c>
      <c r="P881" s="32" t="n">
        <v>10339</v>
      </c>
      <c r="Q881" s="34" t="n">
        <v>1</v>
      </c>
      <c r="R881" s="33" t="n">
        <v>45</v>
      </c>
      <c r="S881" s="33" t="n">
        <v>85</v>
      </c>
      <c r="T881" s="33" t="n">
        <v>72.62</v>
      </c>
      <c r="U881" s="11" t="n">
        <f aca="false">IFERROR(YEAR(A881),"")</f>
        <v>2023</v>
      </c>
      <c r="V881" s="33" t="n">
        <f aca="false">IFERROR(O881*B881,0)</f>
        <v>750847</v>
      </c>
      <c r="W881" s="32" t="n">
        <f aca="false">IFERROR(N881*B881,0)</f>
        <v>10339</v>
      </c>
      <c r="X881" s="11" t="n">
        <f aca="false">IF(OR(ISNUMBER(SEARCH("live nation",L881)),ISNUMBER(SEARCH("ocesa",L881))),1,0)</f>
        <v>0</v>
      </c>
      <c r="Y881" s="11" t="s">
        <v>49</v>
      </c>
    </row>
    <row r="882" customFormat="false" ht="15" hidden="false" customHeight="false" outlineLevel="0" collapsed="false">
      <c r="A882" s="25" t="n">
        <v>45242</v>
      </c>
      <c r="B882" s="13" t="n">
        <v>1</v>
      </c>
      <c r="C882" s="26" t="s">
        <v>1104</v>
      </c>
      <c r="D882" s="26"/>
      <c r="E882" s="13" t="s">
        <v>111</v>
      </c>
      <c r="F882" s="13" t="s">
        <v>112</v>
      </c>
      <c r="G882" s="13"/>
      <c r="H882" s="13" t="s">
        <v>21</v>
      </c>
      <c r="I882" s="13"/>
      <c r="J882" s="13" t="s">
        <v>97</v>
      </c>
      <c r="K882" s="13" t="s">
        <v>113</v>
      </c>
      <c r="L882" s="13" t="s">
        <v>1105</v>
      </c>
      <c r="M882" s="13" t="s">
        <v>100</v>
      </c>
      <c r="N882" s="27" t="n">
        <v>19000</v>
      </c>
      <c r="O882" s="28" t="n">
        <v>1426967</v>
      </c>
      <c r="P882" s="27" t="n">
        <v>19000</v>
      </c>
      <c r="Q882" s="29" t="n">
        <v>1</v>
      </c>
      <c r="R882" s="28" t="n">
        <v>75.1</v>
      </c>
      <c r="S882" s="28" t="n">
        <v>75.1</v>
      </c>
      <c r="T882" s="28" t="n">
        <v>75.1</v>
      </c>
      <c r="U882" s="13" t="n">
        <f aca="false">IFERROR(YEAR(A882),"")</f>
        <v>2023</v>
      </c>
      <c r="V882" s="28" t="n">
        <f aca="false">IFERROR(O882*B882,0)</f>
        <v>1426967</v>
      </c>
      <c r="W882" s="27" t="n">
        <f aca="false">IFERROR(N882*B882,0)</f>
        <v>19000</v>
      </c>
      <c r="X882" s="13" t="n">
        <f aca="false">IF(OR(ISNUMBER(SEARCH("live nation",L882)),ISNUMBER(SEARCH("ocesa",L882))),1,0)</f>
        <v>0</v>
      </c>
      <c r="Y882" s="13" t="s">
        <v>50</v>
      </c>
    </row>
    <row r="883" customFormat="false" ht="15" hidden="false" customHeight="false" outlineLevel="0" collapsed="false">
      <c r="A883" s="30" t="n">
        <v>45241</v>
      </c>
      <c r="B883" s="11" t="n">
        <v>1</v>
      </c>
      <c r="C883" s="31" t="s">
        <v>1104</v>
      </c>
      <c r="D883" s="31"/>
      <c r="E883" s="11" t="s">
        <v>111</v>
      </c>
      <c r="F883" s="11" t="s">
        <v>112</v>
      </c>
      <c r="G883" s="11"/>
      <c r="H883" s="11" t="s">
        <v>21</v>
      </c>
      <c r="I883" s="11"/>
      <c r="J883" s="11" t="s">
        <v>97</v>
      </c>
      <c r="K883" s="11" t="s">
        <v>113</v>
      </c>
      <c r="L883" s="11" t="s">
        <v>1105</v>
      </c>
      <c r="M883" s="11" t="s">
        <v>100</v>
      </c>
      <c r="N883" s="32" t="n">
        <v>19000</v>
      </c>
      <c r="O883" s="33" t="n">
        <v>1426967</v>
      </c>
      <c r="P883" s="32" t="n">
        <v>19000</v>
      </c>
      <c r="Q883" s="34" t="n">
        <v>1</v>
      </c>
      <c r="R883" s="33" t="n">
        <v>75.1</v>
      </c>
      <c r="S883" s="33" t="n">
        <v>75.1</v>
      </c>
      <c r="T883" s="33" t="n">
        <v>75.1</v>
      </c>
      <c r="U883" s="11" t="n">
        <f aca="false">IFERROR(YEAR(A883),"")</f>
        <v>2023</v>
      </c>
      <c r="V883" s="33" t="n">
        <f aca="false">IFERROR(O883*B883,0)</f>
        <v>1426967</v>
      </c>
      <c r="W883" s="32" t="n">
        <f aca="false">IFERROR(N883*B883,0)</f>
        <v>19000</v>
      </c>
      <c r="X883" s="11" t="n">
        <f aca="false">IF(OR(ISNUMBER(SEARCH("live nation",L883)),ISNUMBER(SEARCH("ocesa",L883))),1,0)</f>
        <v>0</v>
      </c>
      <c r="Y883" s="11" t="s">
        <v>50</v>
      </c>
    </row>
    <row r="884" customFormat="false" ht="15" hidden="false" customHeight="false" outlineLevel="0" collapsed="false">
      <c r="A884" s="25" t="n">
        <v>45240</v>
      </c>
      <c r="B884" s="13" t="n">
        <v>1</v>
      </c>
      <c r="C884" s="26" t="s">
        <v>124</v>
      </c>
      <c r="D884" s="26"/>
      <c r="E884" s="13" t="s">
        <v>1106</v>
      </c>
      <c r="F884" s="13" t="s">
        <v>1107</v>
      </c>
      <c r="G884" s="13" t="s">
        <v>167</v>
      </c>
      <c r="H884" s="13" t="s">
        <v>20</v>
      </c>
      <c r="I884" s="13" t="s">
        <v>168</v>
      </c>
      <c r="J884" s="13" t="s">
        <v>121</v>
      </c>
      <c r="K884" s="13" t="s">
        <v>107</v>
      </c>
      <c r="L884" s="13" t="s">
        <v>122</v>
      </c>
      <c r="M884" s="13" t="s">
        <v>100</v>
      </c>
      <c r="N884" s="27" t="n">
        <v>1703</v>
      </c>
      <c r="O884" s="28" t="n">
        <v>138493.8</v>
      </c>
      <c r="P884" s="27" t="n">
        <v>1957</v>
      </c>
      <c r="Q884" s="29" t="n">
        <v>0.87</v>
      </c>
      <c r="R884" s="28" t="n">
        <v>56</v>
      </c>
      <c r="S884" s="28" t="n">
        <v>106</v>
      </c>
      <c r="T884" s="28" t="n">
        <v>81.32</v>
      </c>
      <c r="U884" s="13" t="n">
        <f aca="false">IFERROR(YEAR(A884),"")</f>
        <v>2023</v>
      </c>
      <c r="V884" s="28" t="n">
        <f aca="false">IFERROR(O884*B884,0)</f>
        <v>138493.8</v>
      </c>
      <c r="W884" s="27" t="n">
        <f aca="false">IFERROR(N884*B884,0)</f>
        <v>1703</v>
      </c>
      <c r="X884" s="13" t="n">
        <f aca="false">IF(OR(ISNUMBER(SEARCH("live nation",L884)),ISNUMBER(SEARCH("ocesa",L884))),1,0)</f>
        <v>0</v>
      </c>
      <c r="Y884" s="13" t="s">
        <v>49</v>
      </c>
    </row>
    <row r="885" customFormat="false" ht="15" hidden="false" customHeight="false" outlineLevel="0" collapsed="false">
      <c r="A885" s="30" t="n">
        <v>45238</v>
      </c>
      <c r="B885" s="11" t="n">
        <v>1</v>
      </c>
      <c r="C885" s="31" t="s">
        <v>124</v>
      </c>
      <c r="D885" s="31"/>
      <c r="E885" s="11" t="s">
        <v>1025</v>
      </c>
      <c r="F885" s="11" t="s">
        <v>188</v>
      </c>
      <c r="G885" s="11" t="s">
        <v>189</v>
      </c>
      <c r="H885" s="11" t="s">
        <v>20</v>
      </c>
      <c r="I885" s="11" t="s">
        <v>190</v>
      </c>
      <c r="J885" s="11" t="s">
        <v>121</v>
      </c>
      <c r="K885" s="11" t="s">
        <v>107</v>
      </c>
      <c r="L885" s="11" t="s">
        <v>122</v>
      </c>
      <c r="M885" s="11" t="s">
        <v>100</v>
      </c>
      <c r="N885" s="32" t="n">
        <v>1250</v>
      </c>
      <c r="O885" s="33" t="n">
        <v>133356.45</v>
      </c>
      <c r="P885" s="32" t="n">
        <v>1826</v>
      </c>
      <c r="Q885" s="34" t="n">
        <v>0.68</v>
      </c>
      <c r="R885" s="33" t="n">
        <v>36.5</v>
      </c>
      <c r="S885" s="33" t="n">
        <v>146.5</v>
      </c>
      <c r="T885" s="33" t="n">
        <v>106.69</v>
      </c>
      <c r="U885" s="11" t="n">
        <f aca="false">IFERROR(YEAR(A885),"")</f>
        <v>2023</v>
      </c>
      <c r="V885" s="33" t="n">
        <f aca="false">IFERROR(O885*B885,0)</f>
        <v>133356.45</v>
      </c>
      <c r="W885" s="32" t="n">
        <f aca="false">IFERROR(N885*B885,0)</f>
        <v>1250</v>
      </c>
      <c r="X885" s="11" t="n">
        <f aca="false">IF(OR(ISNUMBER(SEARCH("live nation",L885)),ISNUMBER(SEARCH("ocesa",L885))),1,0)</f>
        <v>0</v>
      </c>
      <c r="Y885" s="11" t="s">
        <v>49</v>
      </c>
    </row>
    <row r="886" customFormat="false" ht="15" hidden="false" customHeight="false" outlineLevel="0" collapsed="false">
      <c r="A886" s="25" t="n">
        <v>45236</v>
      </c>
      <c r="B886" s="13" t="n">
        <v>1</v>
      </c>
      <c r="C886" s="26" t="s">
        <v>124</v>
      </c>
      <c r="D886" s="26"/>
      <c r="E886" s="13" t="s">
        <v>878</v>
      </c>
      <c r="F886" s="13" t="s">
        <v>346</v>
      </c>
      <c r="G886" s="13" t="s">
        <v>347</v>
      </c>
      <c r="H886" s="13" t="s">
        <v>20</v>
      </c>
      <c r="I886" s="13" t="s">
        <v>346</v>
      </c>
      <c r="J886" s="13" t="s">
        <v>121</v>
      </c>
      <c r="K886" s="13" t="s">
        <v>107</v>
      </c>
      <c r="L886" s="13" t="s">
        <v>122</v>
      </c>
      <c r="M886" s="13" t="s">
        <v>100</v>
      </c>
      <c r="N886" s="27" t="n">
        <v>912</v>
      </c>
      <c r="O886" s="28" t="n">
        <v>70975.55</v>
      </c>
      <c r="P886" s="27" t="n">
        <v>1628</v>
      </c>
      <c r="Q886" s="29" t="n">
        <v>0.56</v>
      </c>
      <c r="R886" s="28" t="n">
        <v>57</v>
      </c>
      <c r="S886" s="28" t="n">
        <v>97</v>
      </c>
      <c r="T886" s="28" t="n">
        <v>77.82</v>
      </c>
      <c r="U886" s="13" t="n">
        <f aca="false">IFERROR(YEAR(A886),"")</f>
        <v>2023</v>
      </c>
      <c r="V886" s="28" t="n">
        <f aca="false">IFERROR(O886*B886,0)</f>
        <v>70975.55</v>
      </c>
      <c r="W886" s="27" t="n">
        <f aca="false">IFERROR(N886*B886,0)</f>
        <v>912</v>
      </c>
      <c r="X886" s="13" t="n">
        <f aca="false">IF(OR(ISNUMBER(SEARCH("live nation",L886)),ISNUMBER(SEARCH("ocesa",L886))),1,0)</f>
        <v>0</v>
      </c>
      <c r="Y886" s="13" t="s">
        <v>49</v>
      </c>
    </row>
    <row r="887" customFormat="false" ht="15" hidden="false" customHeight="false" outlineLevel="0" collapsed="false">
      <c r="A887" s="30" t="n">
        <v>45234</v>
      </c>
      <c r="B887" s="11" t="n">
        <v>1</v>
      </c>
      <c r="C887" s="31" t="s">
        <v>730</v>
      </c>
      <c r="D887" s="31"/>
      <c r="E887" s="11" t="s">
        <v>1097</v>
      </c>
      <c r="F887" s="11" t="s">
        <v>535</v>
      </c>
      <c r="G887" s="11" t="s">
        <v>202</v>
      </c>
      <c r="H887" s="11" t="s">
        <v>20</v>
      </c>
      <c r="I887" s="11" t="s">
        <v>232</v>
      </c>
      <c r="J887" s="11" t="s">
        <v>121</v>
      </c>
      <c r="K887" s="11" t="s">
        <v>107</v>
      </c>
      <c r="L887" s="11" t="s">
        <v>390</v>
      </c>
      <c r="M887" s="11" t="s">
        <v>100</v>
      </c>
      <c r="N887" s="32" t="n">
        <v>1261</v>
      </c>
      <c r="O887" s="33" t="n">
        <v>152175.02</v>
      </c>
      <c r="P887" s="32" t="n">
        <v>1780</v>
      </c>
      <c r="Q887" s="34" t="n">
        <v>0.7</v>
      </c>
      <c r="R887" s="33" t="n">
        <v>50</v>
      </c>
      <c r="S887" s="33" t="n">
        <v>175</v>
      </c>
      <c r="T887" s="33" t="n">
        <v>120.68</v>
      </c>
      <c r="U887" s="11" t="n">
        <f aca="false">IFERROR(YEAR(A887),"")</f>
        <v>2023</v>
      </c>
      <c r="V887" s="33" t="n">
        <f aca="false">IFERROR(O887*B887,0)</f>
        <v>152175.02</v>
      </c>
      <c r="W887" s="32" t="n">
        <f aca="false">IFERROR(N887*B887,0)</f>
        <v>1261</v>
      </c>
      <c r="X887" s="11" t="n">
        <f aca="false">IF(OR(ISNUMBER(SEARCH("live nation",L887)),ISNUMBER(SEARCH("ocesa",L887))),1,0)</f>
        <v>0</v>
      </c>
      <c r="Y887" s="11" t="s">
        <v>49</v>
      </c>
    </row>
    <row r="888" customFormat="false" ht="15" hidden="false" customHeight="false" outlineLevel="0" collapsed="false">
      <c r="A888" s="25" t="n">
        <v>45234</v>
      </c>
      <c r="B888" s="13" t="n">
        <v>1</v>
      </c>
      <c r="C888" s="26" t="s">
        <v>1108</v>
      </c>
      <c r="D888" s="26"/>
      <c r="E888" s="13" t="s">
        <v>1109</v>
      </c>
      <c r="F888" s="13" t="s">
        <v>395</v>
      </c>
      <c r="G888" s="13" t="s">
        <v>396</v>
      </c>
      <c r="H888" s="13" t="s">
        <v>20</v>
      </c>
      <c r="I888" s="13" t="s">
        <v>395</v>
      </c>
      <c r="J888" s="13" t="s">
        <v>106</v>
      </c>
      <c r="K888" s="13" t="s">
        <v>107</v>
      </c>
      <c r="L888" s="13" t="s">
        <v>322</v>
      </c>
      <c r="M888" s="13" t="s">
        <v>100</v>
      </c>
      <c r="N888" s="27" t="n">
        <v>1727</v>
      </c>
      <c r="O888" s="28" t="n">
        <v>303290</v>
      </c>
      <c r="P888" s="27" t="n">
        <v>2261</v>
      </c>
      <c r="Q888" s="29" t="n">
        <v>0.76</v>
      </c>
      <c r="R888" s="28" t="n">
        <v>143.88</v>
      </c>
      <c r="S888" s="28" t="n">
        <v>372.78</v>
      </c>
      <c r="T888" s="28" t="n">
        <v>175.62</v>
      </c>
      <c r="U888" s="13" t="n">
        <f aca="false">IFERROR(YEAR(A888),"")</f>
        <v>2023</v>
      </c>
      <c r="V888" s="28" t="n">
        <f aca="false">IFERROR(O888*B888,0)</f>
        <v>303290</v>
      </c>
      <c r="W888" s="27" t="n">
        <f aca="false">IFERROR(N888*B888,0)</f>
        <v>1727</v>
      </c>
      <c r="X888" s="13" t="n">
        <f aca="false">IF(OR(ISNUMBER(SEARCH("live nation",L888)),ISNUMBER(SEARCH("ocesa",L888))),1,0)</f>
        <v>0</v>
      </c>
      <c r="Y888" s="13" t="s">
        <v>49</v>
      </c>
    </row>
    <row r="889" customFormat="false" ht="15" hidden="false" customHeight="false" outlineLevel="0" collapsed="false">
      <c r="A889" s="30" t="n">
        <v>45233</v>
      </c>
      <c r="B889" s="11" t="n">
        <v>1</v>
      </c>
      <c r="C889" s="31" t="s">
        <v>124</v>
      </c>
      <c r="D889" s="31"/>
      <c r="E889" s="11" t="s">
        <v>392</v>
      </c>
      <c r="F889" s="11" t="s">
        <v>197</v>
      </c>
      <c r="G889" s="11" t="s">
        <v>139</v>
      </c>
      <c r="H889" s="11" t="s">
        <v>20</v>
      </c>
      <c r="I889" s="11" t="s">
        <v>139</v>
      </c>
      <c r="J889" s="11" t="s">
        <v>121</v>
      </c>
      <c r="K889" s="11" t="s">
        <v>107</v>
      </c>
      <c r="L889" s="11" t="s">
        <v>390</v>
      </c>
      <c r="M889" s="11" t="s">
        <v>100</v>
      </c>
      <c r="N889" s="32" t="n">
        <v>941</v>
      </c>
      <c r="O889" s="33" t="n">
        <v>100970</v>
      </c>
      <c r="P889" s="32" t="n">
        <v>2312</v>
      </c>
      <c r="Q889" s="34" t="n">
        <v>0.4</v>
      </c>
      <c r="R889" s="33" t="n">
        <v>60</v>
      </c>
      <c r="S889" s="33" t="n">
        <v>195</v>
      </c>
      <c r="T889" s="33" t="n">
        <v>107.3</v>
      </c>
      <c r="U889" s="11" t="n">
        <f aca="false">IFERROR(YEAR(A889),"")</f>
        <v>2023</v>
      </c>
      <c r="V889" s="33" t="n">
        <f aca="false">IFERROR(O889*B889,0)</f>
        <v>100970</v>
      </c>
      <c r="W889" s="32" t="n">
        <f aca="false">IFERROR(N889*B889,0)</f>
        <v>941</v>
      </c>
      <c r="X889" s="11" t="n">
        <f aca="false">IF(OR(ISNUMBER(SEARCH("live nation",L889)),ISNUMBER(SEARCH("ocesa",L889))),1,0)</f>
        <v>0</v>
      </c>
      <c r="Y889" s="11" t="s">
        <v>49</v>
      </c>
    </row>
    <row r="890" customFormat="false" ht="15" hidden="false" customHeight="false" outlineLevel="0" collapsed="false">
      <c r="A890" s="25" t="n">
        <v>45231</v>
      </c>
      <c r="B890" s="13" t="n">
        <v>1</v>
      </c>
      <c r="C890" s="26" t="s">
        <v>730</v>
      </c>
      <c r="D890" s="26"/>
      <c r="E890" s="13" t="s">
        <v>400</v>
      </c>
      <c r="F890" s="13" t="s">
        <v>203</v>
      </c>
      <c r="G890" s="13" t="s">
        <v>202</v>
      </c>
      <c r="H890" s="13" t="s">
        <v>20</v>
      </c>
      <c r="I890" s="13" t="s">
        <v>203</v>
      </c>
      <c r="J890" s="13" t="s">
        <v>121</v>
      </c>
      <c r="K890" s="13" t="s">
        <v>107</v>
      </c>
      <c r="L890" s="13" t="s">
        <v>390</v>
      </c>
      <c r="M890" s="13" t="s">
        <v>100</v>
      </c>
      <c r="N890" s="27" t="n">
        <v>1812</v>
      </c>
      <c r="O890" s="28" t="n">
        <v>209839.65</v>
      </c>
      <c r="P890" s="27" t="n">
        <v>1924</v>
      </c>
      <c r="Q890" s="29" t="n">
        <v>0.94</v>
      </c>
      <c r="R890" s="28" t="n">
        <v>50</v>
      </c>
      <c r="S890" s="28" t="n">
        <v>175</v>
      </c>
      <c r="T890" s="28" t="n">
        <v>115.81</v>
      </c>
      <c r="U890" s="13" t="n">
        <f aca="false">IFERROR(YEAR(A890),"")</f>
        <v>2023</v>
      </c>
      <c r="V890" s="28" t="n">
        <f aca="false">IFERROR(O890*B890,0)</f>
        <v>209839.65</v>
      </c>
      <c r="W890" s="27" t="n">
        <f aca="false">IFERROR(N890*B890,0)</f>
        <v>1812</v>
      </c>
      <c r="X890" s="13" t="n">
        <f aca="false">IF(OR(ISNUMBER(SEARCH("live nation",L890)),ISNUMBER(SEARCH("ocesa",L890))),1,0)</f>
        <v>0</v>
      </c>
      <c r="Y890" s="13" t="s">
        <v>49</v>
      </c>
    </row>
    <row r="891" customFormat="false" ht="15" hidden="false" customHeight="false" outlineLevel="0" collapsed="false">
      <c r="A891" s="30" t="n">
        <v>45231</v>
      </c>
      <c r="B891" s="11" t="n">
        <v>1</v>
      </c>
      <c r="C891" s="31" t="s">
        <v>124</v>
      </c>
      <c r="D891" s="31"/>
      <c r="E891" s="11" t="s">
        <v>1110</v>
      </c>
      <c r="F891" s="11" t="s">
        <v>1111</v>
      </c>
      <c r="G891" s="11" t="s">
        <v>653</v>
      </c>
      <c r="H891" s="11" t="s">
        <v>20</v>
      </c>
      <c r="I891" s="11" t="s">
        <v>654</v>
      </c>
      <c r="J891" s="11" t="s">
        <v>106</v>
      </c>
      <c r="K891" s="11" t="s">
        <v>107</v>
      </c>
      <c r="L891" s="11" t="s">
        <v>140</v>
      </c>
      <c r="M891" s="11" t="s">
        <v>100</v>
      </c>
      <c r="N891" s="32" t="n">
        <v>667</v>
      </c>
      <c r="O891" s="33" t="n">
        <v>67062.5</v>
      </c>
      <c r="P891" s="32" t="n">
        <v>1464</v>
      </c>
      <c r="Q891" s="34" t="n">
        <v>0.45</v>
      </c>
      <c r="R891" s="33" t="n">
        <v>52.5</v>
      </c>
      <c r="S891" s="33" t="n">
        <v>252.5</v>
      </c>
      <c r="T891" s="33" t="n">
        <v>100.54</v>
      </c>
      <c r="U891" s="11" t="n">
        <f aca="false">IFERROR(YEAR(A891),"")</f>
        <v>2023</v>
      </c>
      <c r="V891" s="33" t="n">
        <f aca="false">IFERROR(O891*B891,0)</f>
        <v>67062.5</v>
      </c>
      <c r="W891" s="32" t="n">
        <f aca="false">IFERROR(N891*B891,0)</f>
        <v>667</v>
      </c>
      <c r="X891" s="11" t="n">
        <f aca="false">IF(OR(ISNUMBER(SEARCH("live nation",L891)),ISNUMBER(SEARCH("ocesa",L891))),1,0)</f>
        <v>0</v>
      </c>
      <c r="Y891" s="11" t="s">
        <v>49</v>
      </c>
    </row>
    <row r="892" customFormat="false" ht="15" hidden="false" customHeight="false" outlineLevel="0" collapsed="false">
      <c r="A892" s="25" t="n">
        <v>45230</v>
      </c>
      <c r="B892" s="13" t="n">
        <v>1</v>
      </c>
      <c r="C892" s="26" t="s">
        <v>587</v>
      </c>
      <c r="D892" s="26"/>
      <c r="E892" s="13" t="s">
        <v>1019</v>
      </c>
      <c r="F892" s="13" t="s">
        <v>1020</v>
      </c>
      <c r="G892" s="13" t="s">
        <v>167</v>
      </c>
      <c r="H892" s="13" t="s">
        <v>20</v>
      </c>
      <c r="I892" s="13" t="s">
        <v>471</v>
      </c>
      <c r="J892" s="13" t="s">
        <v>121</v>
      </c>
      <c r="K892" s="13" t="s">
        <v>107</v>
      </c>
      <c r="L892" s="13" t="s">
        <v>531</v>
      </c>
      <c r="M892" s="13" t="s">
        <v>100</v>
      </c>
      <c r="N892" s="27" t="n">
        <v>2886</v>
      </c>
      <c r="O892" s="28" t="n">
        <v>274224.3</v>
      </c>
      <c r="P892" s="27" t="n">
        <v>3500</v>
      </c>
      <c r="Q892" s="29" t="n">
        <v>0.82</v>
      </c>
      <c r="R892" s="28" t="n">
        <v>47.5</v>
      </c>
      <c r="S892" s="28" t="n">
        <v>1550</v>
      </c>
      <c r="T892" s="28" t="n">
        <v>95.02</v>
      </c>
      <c r="U892" s="13" t="n">
        <f aca="false">IFERROR(YEAR(A892),"")</f>
        <v>2023</v>
      </c>
      <c r="V892" s="28" t="n">
        <f aca="false">IFERROR(O892*B892,0)</f>
        <v>274224.3</v>
      </c>
      <c r="W892" s="27" t="n">
        <f aca="false">IFERROR(N892*B892,0)</f>
        <v>2886</v>
      </c>
      <c r="X892" s="13" t="n">
        <f aca="false">IF(OR(ISNUMBER(SEARCH("live nation",L892)),ISNUMBER(SEARCH("ocesa",L892))),1,0)</f>
        <v>0</v>
      </c>
      <c r="Y892" s="13" t="s">
        <v>49</v>
      </c>
    </row>
    <row r="893" customFormat="false" ht="15" hidden="false" customHeight="false" outlineLevel="0" collapsed="false">
      <c r="A893" s="30" t="n">
        <v>45227</v>
      </c>
      <c r="B893" s="11" t="n">
        <v>1</v>
      </c>
      <c r="C893" s="31" t="s">
        <v>730</v>
      </c>
      <c r="D893" s="31"/>
      <c r="E893" s="11" t="s">
        <v>1112</v>
      </c>
      <c r="F893" s="11" t="s">
        <v>502</v>
      </c>
      <c r="G893" s="11" t="s">
        <v>143</v>
      </c>
      <c r="H893" s="11" t="s">
        <v>20</v>
      </c>
      <c r="I893" s="11" t="s">
        <v>375</v>
      </c>
      <c r="J893" s="11" t="s">
        <v>121</v>
      </c>
      <c r="K893" s="11" t="s">
        <v>107</v>
      </c>
      <c r="L893" s="11" t="s">
        <v>122</v>
      </c>
      <c r="M893" s="11" t="s">
        <v>100</v>
      </c>
      <c r="N893" s="32" t="n">
        <v>2069</v>
      </c>
      <c r="O893" s="33" t="n">
        <v>176542.85</v>
      </c>
      <c r="P893" s="32" t="n">
        <v>2845</v>
      </c>
      <c r="Q893" s="34" t="n">
        <v>0.72</v>
      </c>
      <c r="R893" s="33" t="n">
        <v>45.95</v>
      </c>
      <c r="S893" s="33" t="n">
        <v>125.95</v>
      </c>
      <c r="T893" s="33" t="n">
        <v>85.33</v>
      </c>
      <c r="U893" s="11" t="n">
        <f aca="false">IFERROR(YEAR(A893),"")</f>
        <v>2023</v>
      </c>
      <c r="V893" s="33" t="n">
        <f aca="false">IFERROR(O893*B893,0)</f>
        <v>176542.85</v>
      </c>
      <c r="W893" s="32" t="n">
        <f aca="false">IFERROR(N893*B893,0)</f>
        <v>2069</v>
      </c>
      <c r="X893" s="11" t="n">
        <f aca="false">IF(OR(ISNUMBER(SEARCH("live nation",L893)),ISNUMBER(SEARCH("ocesa",L893))),1,0)</f>
        <v>0</v>
      </c>
      <c r="Y893" s="11" t="s">
        <v>49</v>
      </c>
    </row>
    <row r="894" customFormat="false" ht="15" hidden="false" customHeight="false" outlineLevel="0" collapsed="false">
      <c r="A894" s="25" t="n">
        <v>45225</v>
      </c>
      <c r="B894" s="13" t="n">
        <v>1</v>
      </c>
      <c r="C894" s="26" t="s">
        <v>587</v>
      </c>
      <c r="D894" s="26"/>
      <c r="E894" s="13" t="s">
        <v>1113</v>
      </c>
      <c r="F894" s="13" t="s">
        <v>1114</v>
      </c>
      <c r="G894" s="13" t="s">
        <v>1115</v>
      </c>
      <c r="H894" s="13" t="s">
        <v>20</v>
      </c>
      <c r="I894" s="13" t="s">
        <v>1116</v>
      </c>
      <c r="J894" s="13" t="s">
        <v>121</v>
      </c>
      <c r="K894" s="13" t="s">
        <v>107</v>
      </c>
      <c r="L894" s="13" t="s">
        <v>1117</v>
      </c>
      <c r="M894" s="13" t="s">
        <v>100</v>
      </c>
      <c r="N894" s="27" t="n">
        <v>2200</v>
      </c>
      <c r="O894" s="28" t="n">
        <v>233727.5</v>
      </c>
      <c r="P894" s="27" t="n">
        <v>2200</v>
      </c>
      <c r="Q894" s="29" t="n">
        <v>1</v>
      </c>
      <c r="R894" s="28" t="n">
        <v>70</v>
      </c>
      <c r="S894" s="28" t="n">
        <v>70</v>
      </c>
      <c r="T894" s="28" t="n">
        <v>106.24</v>
      </c>
      <c r="U894" s="13" t="n">
        <f aca="false">IFERROR(YEAR(A894),"")</f>
        <v>2023</v>
      </c>
      <c r="V894" s="28" t="n">
        <f aca="false">IFERROR(O894*B894,0)</f>
        <v>233727.5</v>
      </c>
      <c r="W894" s="27" t="n">
        <f aca="false">IFERROR(N894*B894,0)</f>
        <v>2200</v>
      </c>
      <c r="X894" s="13" t="n">
        <f aca="false">IF(OR(ISNUMBER(SEARCH("live nation",L894)),ISNUMBER(SEARCH("ocesa",L894))),1,0)</f>
        <v>0</v>
      </c>
      <c r="Y894" s="13" t="s">
        <v>49</v>
      </c>
    </row>
    <row r="895" customFormat="false" ht="15" hidden="false" customHeight="false" outlineLevel="0" collapsed="false">
      <c r="A895" s="30" t="n">
        <v>45223</v>
      </c>
      <c r="B895" s="11" t="n">
        <v>1</v>
      </c>
      <c r="C895" s="31" t="s">
        <v>587</v>
      </c>
      <c r="D895" s="31"/>
      <c r="E895" s="11" t="s">
        <v>509</v>
      </c>
      <c r="F895" s="11" t="s">
        <v>510</v>
      </c>
      <c r="G895" s="11" t="s">
        <v>340</v>
      </c>
      <c r="H895" s="11" t="s">
        <v>20</v>
      </c>
      <c r="I895" s="11" t="s">
        <v>190</v>
      </c>
      <c r="J895" s="11" t="s">
        <v>97</v>
      </c>
      <c r="K895" s="11" t="s">
        <v>107</v>
      </c>
      <c r="L895" s="11" t="s">
        <v>177</v>
      </c>
      <c r="M895" s="11" t="s">
        <v>100</v>
      </c>
      <c r="N895" s="32" t="n">
        <v>4173</v>
      </c>
      <c r="O895" s="33" t="n">
        <v>307551.5</v>
      </c>
      <c r="P895" s="32" t="n">
        <v>5345</v>
      </c>
      <c r="Q895" s="34" t="n">
        <v>0.78</v>
      </c>
      <c r="R895" s="33" t="n">
        <v>49.5</v>
      </c>
      <c r="S895" s="33" t="n">
        <v>99.5</v>
      </c>
      <c r="T895" s="33" t="n">
        <v>73.7</v>
      </c>
      <c r="U895" s="11" t="n">
        <f aca="false">IFERROR(YEAR(A895),"")</f>
        <v>2023</v>
      </c>
      <c r="V895" s="33" t="n">
        <f aca="false">IFERROR(O895*B895,0)</f>
        <v>307551.5</v>
      </c>
      <c r="W895" s="32" t="n">
        <f aca="false">IFERROR(N895*B895,0)</f>
        <v>4173</v>
      </c>
      <c r="X895" s="11" t="n">
        <f aca="false">IF(OR(ISNUMBER(SEARCH("live nation",L895)),ISNUMBER(SEARCH("ocesa",L895))),1,0)</f>
        <v>1</v>
      </c>
      <c r="Y895" s="11" t="s">
        <v>49</v>
      </c>
    </row>
    <row r="896" customFormat="false" ht="15" hidden="false" customHeight="false" outlineLevel="0" collapsed="false">
      <c r="A896" s="25" t="n">
        <v>45223</v>
      </c>
      <c r="B896" s="13" t="n">
        <v>1</v>
      </c>
      <c r="C896" s="26" t="s">
        <v>730</v>
      </c>
      <c r="D896" s="26"/>
      <c r="E896" s="13" t="s">
        <v>1100</v>
      </c>
      <c r="F896" s="13" t="s">
        <v>209</v>
      </c>
      <c r="G896" s="13" t="s">
        <v>208</v>
      </c>
      <c r="H896" s="13" t="s">
        <v>20</v>
      </c>
      <c r="I896" s="13" t="s">
        <v>209</v>
      </c>
      <c r="J896" s="13" t="s">
        <v>121</v>
      </c>
      <c r="K896" s="13" t="s">
        <v>107</v>
      </c>
      <c r="L896" s="13" t="s">
        <v>390</v>
      </c>
      <c r="M896" s="13" t="s">
        <v>100</v>
      </c>
      <c r="N896" s="27" t="n">
        <v>969</v>
      </c>
      <c r="O896" s="28" t="n">
        <v>124696</v>
      </c>
      <c r="P896" s="27" t="n">
        <v>1012</v>
      </c>
      <c r="Q896" s="29" t="n">
        <v>0.95</v>
      </c>
      <c r="R896" s="28" t="n">
        <v>60</v>
      </c>
      <c r="S896" s="28" t="n">
        <v>250</v>
      </c>
      <c r="T896" s="28" t="n">
        <v>128.69</v>
      </c>
      <c r="U896" s="13" t="n">
        <f aca="false">IFERROR(YEAR(A896),"")</f>
        <v>2023</v>
      </c>
      <c r="V896" s="28" t="n">
        <f aca="false">IFERROR(O896*B896,0)</f>
        <v>124696</v>
      </c>
      <c r="W896" s="27" t="n">
        <f aca="false">IFERROR(N896*B896,0)</f>
        <v>969</v>
      </c>
      <c r="X896" s="13" t="n">
        <f aca="false">IF(OR(ISNUMBER(SEARCH("live nation",L896)),ISNUMBER(SEARCH("ocesa",L896))),1,0)</f>
        <v>0</v>
      </c>
      <c r="Y896" s="13" t="s">
        <v>49</v>
      </c>
    </row>
    <row r="897" customFormat="false" ht="15" hidden="false" customHeight="false" outlineLevel="0" collapsed="false">
      <c r="A897" s="30" t="n">
        <v>45221</v>
      </c>
      <c r="B897" s="11" t="n">
        <v>1</v>
      </c>
      <c r="C897" s="31" t="s">
        <v>64</v>
      </c>
      <c r="D897" s="31"/>
      <c r="E897" s="11" t="s">
        <v>592</v>
      </c>
      <c r="F897" s="11" t="s">
        <v>209</v>
      </c>
      <c r="G897" s="11" t="s">
        <v>208</v>
      </c>
      <c r="H897" s="11" t="s">
        <v>20</v>
      </c>
      <c r="I897" s="11" t="s">
        <v>209</v>
      </c>
      <c r="J897" s="11" t="s">
        <v>97</v>
      </c>
      <c r="K897" s="11" t="s">
        <v>107</v>
      </c>
      <c r="L897" s="11" t="s">
        <v>508</v>
      </c>
      <c r="M897" s="11" t="s">
        <v>100</v>
      </c>
      <c r="N897" s="32" t="n">
        <v>12748</v>
      </c>
      <c r="O897" s="33" t="n">
        <v>2484011</v>
      </c>
      <c r="P897" s="32" t="n">
        <v>12748</v>
      </c>
      <c r="Q897" s="34" t="n">
        <v>1</v>
      </c>
      <c r="R897" s="33" t="n">
        <v>59.5</v>
      </c>
      <c r="S897" s="33" t="n">
        <v>549.5</v>
      </c>
      <c r="T897" s="33" t="n">
        <v>194.85</v>
      </c>
      <c r="U897" s="11" t="n">
        <f aca="false">IFERROR(YEAR(A897),"")</f>
        <v>2023</v>
      </c>
      <c r="V897" s="33" t="n">
        <f aca="false">IFERROR(O897*B897,0)</f>
        <v>2484011</v>
      </c>
      <c r="W897" s="32" t="n">
        <f aca="false">IFERROR(N897*B897,0)</f>
        <v>12748</v>
      </c>
      <c r="X897" s="11" t="n">
        <f aca="false">IF(OR(ISNUMBER(SEARCH("live nation",L897)),ISNUMBER(SEARCH("ocesa",L897))),1,0)</f>
        <v>0</v>
      </c>
      <c r="Y897" s="11" t="s">
        <v>49</v>
      </c>
    </row>
    <row r="898" customFormat="false" ht="15" hidden="false" customHeight="false" outlineLevel="0" collapsed="false">
      <c r="A898" s="25" t="n">
        <v>45221</v>
      </c>
      <c r="B898" s="13" t="n">
        <v>1</v>
      </c>
      <c r="C898" s="26" t="s">
        <v>1118</v>
      </c>
      <c r="D898" s="26" t="s">
        <v>1119</v>
      </c>
      <c r="E898" s="13" t="s">
        <v>926</v>
      </c>
      <c r="F898" s="13" t="s">
        <v>132</v>
      </c>
      <c r="G898" s="13"/>
      <c r="H898" s="13" t="s">
        <v>23</v>
      </c>
      <c r="I898" s="13"/>
      <c r="J898" s="13" t="s">
        <v>97</v>
      </c>
      <c r="K898" s="13" t="s">
        <v>134</v>
      </c>
      <c r="L898" s="13" t="s">
        <v>135</v>
      </c>
      <c r="M898" s="13" t="s">
        <v>277</v>
      </c>
      <c r="N898" s="27" t="n">
        <v>14261</v>
      </c>
      <c r="O898" s="28" t="n">
        <v>2466356.22</v>
      </c>
      <c r="P898" s="27" t="n">
        <v>14351</v>
      </c>
      <c r="Q898" s="29" t="n">
        <v>0.99</v>
      </c>
      <c r="R898" s="28" t="n">
        <v>86.5</v>
      </c>
      <c r="S898" s="28" t="n">
        <v>432.37</v>
      </c>
      <c r="T898" s="28" t="n">
        <v>172.94</v>
      </c>
      <c r="U898" s="13" t="n">
        <f aca="false">IFERROR(YEAR(A898),"")</f>
        <v>2023</v>
      </c>
      <c r="V898" s="28" t="n">
        <f aca="false">IFERROR(O898*B898,0)</f>
        <v>2466356.22</v>
      </c>
      <c r="W898" s="27" t="n">
        <f aca="false">IFERROR(N898*B898,0)</f>
        <v>14261</v>
      </c>
      <c r="X898" s="13" t="n">
        <f aca="false">IF(OR(ISNUMBER(SEARCH("live nation",L898)),ISNUMBER(SEARCH("ocesa",L898))),1,0)</f>
        <v>1</v>
      </c>
      <c r="Y898" s="13" t="s">
        <v>49</v>
      </c>
    </row>
    <row r="899" customFormat="false" ht="15" hidden="false" customHeight="false" outlineLevel="0" collapsed="false">
      <c r="A899" s="30" t="n">
        <v>45221</v>
      </c>
      <c r="B899" s="11" t="n">
        <v>1</v>
      </c>
      <c r="C899" s="31" t="s">
        <v>587</v>
      </c>
      <c r="D899" s="31"/>
      <c r="E899" s="11" t="s">
        <v>1120</v>
      </c>
      <c r="F899" s="11" t="s">
        <v>139</v>
      </c>
      <c r="G899" s="11" t="s">
        <v>139</v>
      </c>
      <c r="H899" s="11" t="s">
        <v>20</v>
      </c>
      <c r="I899" s="11" t="s">
        <v>139</v>
      </c>
      <c r="J899" s="11" t="s">
        <v>121</v>
      </c>
      <c r="K899" s="11" t="s">
        <v>107</v>
      </c>
      <c r="L899" s="11" t="s">
        <v>177</v>
      </c>
      <c r="M899" s="11" t="s">
        <v>100</v>
      </c>
      <c r="N899" s="32" t="n">
        <v>5219</v>
      </c>
      <c r="O899" s="33" t="n">
        <v>413680.5</v>
      </c>
      <c r="P899" s="32" t="n">
        <v>5219</v>
      </c>
      <c r="Q899" s="34" t="n">
        <v>1</v>
      </c>
      <c r="R899" s="33" t="n">
        <v>39.5</v>
      </c>
      <c r="S899" s="33" t="n">
        <v>99.5</v>
      </c>
      <c r="T899" s="33" t="n">
        <v>79.26</v>
      </c>
      <c r="U899" s="11" t="n">
        <f aca="false">IFERROR(YEAR(A899),"")</f>
        <v>2023</v>
      </c>
      <c r="V899" s="33" t="n">
        <f aca="false">IFERROR(O899*B899,0)</f>
        <v>413680.5</v>
      </c>
      <c r="W899" s="32" t="n">
        <f aca="false">IFERROR(N899*B899,0)</f>
        <v>5219</v>
      </c>
      <c r="X899" s="11" t="n">
        <f aca="false">IF(OR(ISNUMBER(SEARCH("live nation",L899)),ISNUMBER(SEARCH("ocesa",L899))),1,0)</f>
        <v>1</v>
      </c>
      <c r="Y899" s="11" t="s">
        <v>49</v>
      </c>
    </row>
    <row r="900" customFormat="false" ht="15" hidden="false" customHeight="false" outlineLevel="0" collapsed="false">
      <c r="A900" s="25" t="n">
        <v>45217</v>
      </c>
      <c r="B900" s="13" t="n">
        <v>2</v>
      </c>
      <c r="C900" s="26" t="s">
        <v>64</v>
      </c>
      <c r="D900" s="26"/>
      <c r="E900" s="13" t="s">
        <v>506</v>
      </c>
      <c r="F900" s="13" t="s">
        <v>507</v>
      </c>
      <c r="G900" s="13" t="s">
        <v>221</v>
      </c>
      <c r="H900" s="13" t="s">
        <v>20</v>
      </c>
      <c r="I900" s="13" t="s">
        <v>139</v>
      </c>
      <c r="J900" s="13" t="s">
        <v>97</v>
      </c>
      <c r="K900" s="13" t="s">
        <v>107</v>
      </c>
      <c r="L900" s="13" t="s">
        <v>508</v>
      </c>
      <c r="M900" s="13" t="s">
        <v>100</v>
      </c>
      <c r="N900" s="27" t="n">
        <v>10026</v>
      </c>
      <c r="O900" s="28" t="n">
        <v>1924554.63</v>
      </c>
      <c r="P900" s="27" t="n">
        <v>11225</v>
      </c>
      <c r="Q900" s="29" t="n">
        <v>0.89</v>
      </c>
      <c r="R900" s="28" t="n">
        <v>59.5</v>
      </c>
      <c r="S900" s="28" t="n">
        <v>549.5</v>
      </c>
      <c r="T900" s="28" t="n">
        <v>191.95</v>
      </c>
      <c r="U900" s="13" t="n">
        <f aca="false">IFERROR(YEAR(A900),"")</f>
        <v>2023</v>
      </c>
      <c r="V900" s="28" t="n">
        <f aca="false">IFERROR(O900*B900,0)</f>
        <v>3849109.26</v>
      </c>
      <c r="W900" s="27" t="n">
        <f aca="false">IFERROR(N900*B900,0)</f>
        <v>20052</v>
      </c>
      <c r="X900" s="13" t="n">
        <f aca="false">IF(OR(ISNUMBER(SEARCH("live nation",L900)),ISNUMBER(SEARCH("ocesa",L900))),1,0)</f>
        <v>0</v>
      </c>
      <c r="Y900" s="13" t="s">
        <v>49</v>
      </c>
    </row>
    <row r="901" customFormat="false" ht="15" hidden="false" customHeight="false" outlineLevel="0" collapsed="false">
      <c r="A901" s="30" t="n">
        <v>45213</v>
      </c>
      <c r="B901" s="11" t="n">
        <v>1</v>
      </c>
      <c r="C901" s="31" t="s">
        <v>64</v>
      </c>
      <c r="D901" s="31"/>
      <c r="E901" s="11" t="s">
        <v>373</v>
      </c>
      <c r="F901" s="11" t="s">
        <v>374</v>
      </c>
      <c r="G901" s="11" t="s">
        <v>143</v>
      </c>
      <c r="H901" s="11" t="s">
        <v>20</v>
      </c>
      <c r="I901" s="11" t="s">
        <v>375</v>
      </c>
      <c r="J901" s="11" t="s">
        <v>97</v>
      </c>
      <c r="K901" s="11" t="s">
        <v>107</v>
      </c>
      <c r="L901" s="11" t="s">
        <v>508</v>
      </c>
      <c r="M901" s="11" t="s">
        <v>100</v>
      </c>
      <c r="N901" s="32" t="n">
        <v>11687</v>
      </c>
      <c r="O901" s="33" t="n">
        <v>2343028</v>
      </c>
      <c r="P901" s="32" t="n">
        <v>11687</v>
      </c>
      <c r="Q901" s="34" t="n">
        <v>1</v>
      </c>
      <c r="R901" s="33" t="n">
        <v>59.5</v>
      </c>
      <c r="S901" s="33" t="n">
        <v>549.5</v>
      </c>
      <c r="T901" s="33" t="n">
        <v>200.48</v>
      </c>
      <c r="U901" s="11" t="n">
        <f aca="false">IFERROR(YEAR(A901),"")</f>
        <v>2023</v>
      </c>
      <c r="V901" s="33" t="n">
        <f aca="false">IFERROR(O901*B901,0)</f>
        <v>2343028</v>
      </c>
      <c r="W901" s="32" t="n">
        <f aca="false">IFERROR(N901*B901,0)</f>
        <v>11687</v>
      </c>
      <c r="X901" s="11" t="n">
        <f aca="false">IF(OR(ISNUMBER(SEARCH("live nation",L901)),ISNUMBER(SEARCH("ocesa",L901))),1,0)</f>
        <v>0</v>
      </c>
      <c r="Y901" s="11" t="s">
        <v>49</v>
      </c>
    </row>
    <row r="902" customFormat="false" ht="15" hidden="false" customHeight="false" outlineLevel="0" collapsed="false">
      <c r="A902" s="25" t="n">
        <v>45213</v>
      </c>
      <c r="B902" s="13" t="n">
        <v>1</v>
      </c>
      <c r="C902" s="26" t="s">
        <v>522</v>
      </c>
      <c r="D902" s="26"/>
      <c r="E902" s="13" t="s">
        <v>1121</v>
      </c>
      <c r="F902" s="13" t="s">
        <v>1122</v>
      </c>
      <c r="G902" s="13" t="s">
        <v>202</v>
      </c>
      <c r="H902" s="13" t="s">
        <v>20</v>
      </c>
      <c r="I902" s="13" t="s">
        <v>203</v>
      </c>
      <c r="J902" s="13" t="s">
        <v>121</v>
      </c>
      <c r="K902" s="13" t="s">
        <v>107</v>
      </c>
      <c r="L902" s="13" t="s">
        <v>390</v>
      </c>
      <c r="M902" s="13" t="s">
        <v>100</v>
      </c>
      <c r="N902" s="27" t="n">
        <v>589</v>
      </c>
      <c r="O902" s="28" t="n">
        <v>67526</v>
      </c>
      <c r="P902" s="27" t="n">
        <v>1381</v>
      </c>
      <c r="Q902" s="29" t="n">
        <v>0.42</v>
      </c>
      <c r="R902" s="28" t="n">
        <v>60</v>
      </c>
      <c r="S902" s="28" t="n">
        <v>175</v>
      </c>
      <c r="T902" s="28" t="n">
        <v>114.65</v>
      </c>
      <c r="U902" s="13" t="n">
        <f aca="false">IFERROR(YEAR(A902),"")</f>
        <v>2023</v>
      </c>
      <c r="V902" s="28" t="n">
        <f aca="false">IFERROR(O902*B902,0)</f>
        <v>67526</v>
      </c>
      <c r="W902" s="27" t="n">
        <f aca="false">IFERROR(N902*B902,0)</f>
        <v>589</v>
      </c>
      <c r="X902" s="13" t="n">
        <f aca="false">IF(OR(ISNUMBER(SEARCH("live nation",L902)),ISNUMBER(SEARCH("ocesa",L902))),1,0)</f>
        <v>0</v>
      </c>
      <c r="Y902" s="13" t="s">
        <v>49</v>
      </c>
    </row>
    <row r="903" customFormat="false" ht="15" hidden="false" customHeight="false" outlineLevel="0" collapsed="false">
      <c r="A903" s="30" t="n">
        <v>45212</v>
      </c>
      <c r="B903" s="11" t="n">
        <v>1</v>
      </c>
      <c r="C903" s="31" t="s">
        <v>64</v>
      </c>
      <c r="D903" s="31"/>
      <c r="E903" s="11" t="s">
        <v>585</v>
      </c>
      <c r="F903" s="11" t="s">
        <v>586</v>
      </c>
      <c r="G903" s="11" t="s">
        <v>143</v>
      </c>
      <c r="H903" s="11" t="s">
        <v>20</v>
      </c>
      <c r="I903" s="11" t="s">
        <v>586</v>
      </c>
      <c r="J903" s="11" t="s">
        <v>97</v>
      </c>
      <c r="K903" s="11" t="s">
        <v>107</v>
      </c>
      <c r="L903" s="11" t="s">
        <v>508</v>
      </c>
      <c r="M903" s="11" t="s">
        <v>100</v>
      </c>
      <c r="N903" s="32" t="n">
        <v>9405</v>
      </c>
      <c r="O903" s="33" t="n">
        <v>1698118</v>
      </c>
      <c r="P903" s="32" t="n">
        <v>10253</v>
      </c>
      <c r="Q903" s="34" t="n">
        <v>0.91</v>
      </c>
      <c r="R903" s="33" t="n">
        <v>59.5</v>
      </c>
      <c r="S903" s="33" t="n">
        <v>549.5</v>
      </c>
      <c r="T903" s="33" t="n">
        <v>180.55</v>
      </c>
      <c r="U903" s="11" t="n">
        <f aca="false">IFERROR(YEAR(A903),"")</f>
        <v>2023</v>
      </c>
      <c r="V903" s="33" t="n">
        <f aca="false">IFERROR(O903*B903,0)</f>
        <v>1698118</v>
      </c>
      <c r="W903" s="32" t="n">
        <f aca="false">IFERROR(N903*B903,0)</f>
        <v>9405</v>
      </c>
      <c r="X903" s="11" t="n">
        <f aca="false">IF(OR(ISNUMBER(SEARCH("live nation",L903)),ISNUMBER(SEARCH("ocesa",L903))),1,0)</f>
        <v>0</v>
      </c>
      <c r="Y903" s="11" t="s">
        <v>49</v>
      </c>
    </row>
    <row r="904" customFormat="false" ht="15" hidden="false" customHeight="false" outlineLevel="0" collapsed="false">
      <c r="A904" s="25" t="n">
        <v>45212</v>
      </c>
      <c r="B904" s="13" t="n">
        <v>1</v>
      </c>
      <c r="C904" s="26" t="s">
        <v>479</v>
      </c>
      <c r="D904" s="26"/>
      <c r="E904" s="13" t="s">
        <v>487</v>
      </c>
      <c r="F904" s="13" t="s">
        <v>207</v>
      </c>
      <c r="G904" s="13" t="s">
        <v>208</v>
      </c>
      <c r="H904" s="13" t="s">
        <v>20</v>
      </c>
      <c r="I904" s="13" t="s">
        <v>209</v>
      </c>
      <c r="J904" s="13" t="s">
        <v>121</v>
      </c>
      <c r="K904" s="13" t="s">
        <v>107</v>
      </c>
      <c r="L904" s="13" t="s">
        <v>531</v>
      </c>
      <c r="M904" s="13" t="s">
        <v>100</v>
      </c>
      <c r="N904" s="27" t="n">
        <v>3251</v>
      </c>
      <c r="O904" s="28" t="n">
        <v>342660</v>
      </c>
      <c r="P904" s="27" t="n">
        <v>3475</v>
      </c>
      <c r="Q904" s="29" t="n">
        <v>0.93</v>
      </c>
      <c r="R904" s="28" t="n">
        <v>50</v>
      </c>
      <c r="S904" s="28" t="n">
        <v>180</v>
      </c>
      <c r="T904" s="28" t="n">
        <v>105.4</v>
      </c>
      <c r="U904" s="13" t="n">
        <f aca="false">IFERROR(YEAR(A904),"")</f>
        <v>2023</v>
      </c>
      <c r="V904" s="28" t="n">
        <f aca="false">IFERROR(O904*B904,0)</f>
        <v>342660</v>
      </c>
      <c r="W904" s="27" t="n">
        <f aca="false">IFERROR(N904*B904,0)</f>
        <v>3251</v>
      </c>
      <c r="X904" s="13" t="n">
        <f aca="false">IF(OR(ISNUMBER(SEARCH("live nation",L904)),ISNUMBER(SEARCH("ocesa",L904))),1,0)</f>
        <v>0</v>
      </c>
      <c r="Y904" s="13" t="s">
        <v>49</v>
      </c>
    </row>
    <row r="905" customFormat="false" ht="15" hidden="false" customHeight="false" outlineLevel="0" collapsed="false">
      <c r="A905" s="30" t="n">
        <v>45212</v>
      </c>
      <c r="B905" s="11" t="n">
        <v>1</v>
      </c>
      <c r="C905" s="31" t="s">
        <v>1056</v>
      </c>
      <c r="D905" s="31"/>
      <c r="E905" s="11" t="s">
        <v>1123</v>
      </c>
      <c r="F905" s="11" t="s">
        <v>295</v>
      </c>
      <c r="G905" s="11"/>
      <c r="H905" s="11" t="s">
        <v>28</v>
      </c>
      <c r="I905" s="11"/>
      <c r="J905" s="11" t="s">
        <v>106</v>
      </c>
      <c r="K905" s="11" t="s">
        <v>98</v>
      </c>
      <c r="L905" s="11" t="s">
        <v>276</v>
      </c>
      <c r="M905" s="11" t="s">
        <v>100</v>
      </c>
      <c r="N905" s="32" t="n">
        <v>1975</v>
      </c>
      <c r="O905" s="33" t="n">
        <v>93501.78</v>
      </c>
      <c r="P905" s="32" t="n">
        <v>2000</v>
      </c>
      <c r="Q905" s="34" t="n">
        <v>0.98</v>
      </c>
      <c r="R905" s="33" t="n">
        <v>47.34</v>
      </c>
      <c r="S905" s="33" t="n">
        <v>47.34</v>
      </c>
      <c r="T905" s="33" t="n">
        <v>47.34</v>
      </c>
      <c r="U905" s="11" t="n">
        <f aca="false">IFERROR(YEAR(A905),"")</f>
        <v>2023</v>
      </c>
      <c r="V905" s="33" t="n">
        <f aca="false">IFERROR(O905*B905,0)</f>
        <v>93501.78</v>
      </c>
      <c r="W905" s="32" t="n">
        <f aca="false">IFERROR(N905*B905,0)</f>
        <v>1975</v>
      </c>
      <c r="X905" s="11" t="n">
        <f aca="false">IF(OR(ISNUMBER(SEARCH("live nation",L905)),ISNUMBER(SEARCH("ocesa",L905))),1,0)</f>
        <v>0</v>
      </c>
      <c r="Y905" s="11" t="s">
        <v>49</v>
      </c>
    </row>
    <row r="906" customFormat="false" ht="15" hidden="false" customHeight="false" outlineLevel="0" collapsed="false">
      <c r="A906" s="25" t="n">
        <v>45211</v>
      </c>
      <c r="B906" s="13" t="n">
        <v>1</v>
      </c>
      <c r="C906" s="26" t="s">
        <v>1056</v>
      </c>
      <c r="D906" s="26"/>
      <c r="E906" s="13" t="s">
        <v>1123</v>
      </c>
      <c r="F906" s="13" t="s">
        <v>295</v>
      </c>
      <c r="G906" s="13"/>
      <c r="H906" s="13" t="s">
        <v>28</v>
      </c>
      <c r="I906" s="13"/>
      <c r="J906" s="13" t="s">
        <v>106</v>
      </c>
      <c r="K906" s="13" t="s">
        <v>98</v>
      </c>
      <c r="L906" s="13" t="s">
        <v>276</v>
      </c>
      <c r="M906" s="13" t="s">
        <v>100</v>
      </c>
      <c r="N906" s="27" t="n">
        <v>1962</v>
      </c>
      <c r="O906" s="28" t="n">
        <v>92886.33</v>
      </c>
      <c r="P906" s="27" t="n">
        <v>2000</v>
      </c>
      <c r="Q906" s="29" t="n">
        <v>0.98</v>
      </c>
      <c r="R906" s="28" t="n">
        <v>47.34</v>
      </c>
      <c r="S906" s="28" t="n">
        <v>47.34</v>
      </c>
      <c r="T906" s="28" t="n">
        <v>47.34</v>
      </c>
      <c r="U906" s="13" t="n">
        <f aca="false">IFERROR(YEAR(A906),"")</f>
        <v>2023</v>
      </c>
      <c r="V906" s="28" t="n">
        <f aca="false">IFERROR(O906*B906,0)</f>
        <v>92886.33</v>
      </c>
      <c r="W906" s="27" t="n">
        <f aca="false">IFERROR(N906*B906,0)</f>
        <v>1962</v>
      </c>
      <c r="X906" s="13" t="n">
        <f aca="false">IF(OR(ISNUMBER(SEARCH("live nation",L906)),ISNUMBER(SEARCH("ocesa",L906))),1,0)</f>
        <v>0</v>
      </c>
      <c r="Y906" s="13" t="s">
        <v>49</v>
      </c>
    </row>
    <row r="907" customFormat="false" ht="15" hidden="false" customHeight="false" outlineLevel="0" collapsed="false">
      <c r="A907" s="30" t="n">
        <v>45210</v>
      </c>
      <c r="B907" s="11" t="n">
        <v>2</v>
      </c>
      <c r="C907" s="31" t="s">
        <v>1124</v>
      </c>
      <c r="D907" s="31" t="s">
        <v>466</v>
      </c>
      <c r="E907" s="11" t="s">
        <v>200</v>
      </c>
      <c r="F907" s="11" t="s">
        <v>201</v>
      </c>
      <c r="G907" s="11" t="s">
        <v>202</v>
      </c>
      <c r="H907" s="11" t="s">
        <v>20</v>
      </c>
      <c r="I907" s="11" t="s">
        <v>203</v>
      </c>
      <c r="J907" s="11" t="s">
        <v>121</v>
      </c>
      <c r="K907" s="11" t="s">
        <v>107</v>
      </c>
      <c r="L907" s="11" t="s">
        <v>177</v>
      </c>
      <c r="M907" s="11" t="s">
        <v>277</v>
      </c>
      <c r="N907" s="32" t="n">
        <v>5624</v>
      </c>
      <c r="O907" s="33" t="n">
        <v>482291</v>
      </c>
      <c r="P907" s="32" t="n">
        <v>5625</v>
      </c>
      <c r="Q907" s="34" t="n">
        <v>0.99</v>
      </c>
      <c r="R907" s="33" t="n">
        <v>49.5</v>
      </c>
      <c r="S907" s="33" t="n">
        <v>99.5</v>
      </c>
      <c r="T907" s="33" t="n">
        <v>85.75</v>
      </c>
      <c r="U907" s="11" t="n">
        <f aca="false">IFERROR(YEAR(A907),"")</f>
        <v>2023</v>
      </c>
      <c r="V907" s="33" t="n">
        <f aca="false">IFERROR(O907*B907,0)</f>
        <v>964582</v>
      </c>
      <c r="W907" s="32" t="n">
        <f aca="false">IFERROR(N907*B907,0)</f>
        <v>11248</v>
      </c>
      <c r="X907" s="11" t="n">
        <f aca="false">IF(OR(ISNUMBER(SEARCH("live nation",L907)),ISNUMBER(SEARCH("ocesa",L907))),1,0)</f>
        <v>1</v>
      </c>
      <c r="Y907" s="11" t="s">
        <v>49</v>
      </c>
    </row>
    <row r="908" customFormat="false" ht="15" hidden="false" customHeight="false" outlineLevel="0" collapsed="false">
      <c r="A908" s="25" t="n">
        <v>45210</v>
      </c>
      <c r="B908" s="13" t="n">
        <v>1</v>
      </c>
      <c r="C908" s="26" t="s">
        <v>479</v>
      </c>
      <c r="D908" s="26"/>
      <c r="E908" s="13" t="s">
        <v>392</v>
      </c>
      <c r="F908" s="13" t="s">
        <v>197</v>
      </c>
      <c r="G908" s="13" t="s">
        <v>139</v>
      </c>
      <c r="H908" s="13" t="s">
        <v>20</v>
      </c>
      <c r="I908" s="13" t="s">
        <v>139</v>
      </c>
      <c r="J908" s="13" t="s">
        <v>121</v>
      </c>
      <c r="K908" s="13" t="s">
        <v>107</v>
      </c>
      <c r="L908" s="13" t="s">
        <v>791</v>
      </c>
      <c r="M908" s="13" t="s">
        <v>100</v>
      </c>
      <c r="N908" s="27" t="n">
        <v>2477</v>
      </c>
      <c r="O908" s="28" t="n">
        <v>304315</v>
      </c>
      <c r="P908" s="27" t="n">
        <v>3116</v>
      </c>
      <c r="Q908" s="29" t="n">
        <v>0.79</v>
      </c>
      <c r="R908" s="28" t="n">
        <v>50</v>
      </c>
      <c r="S908" s="28" t="n">
        <v>180</v>
      </c>
      <c r="T908" s="28" t="n">
        <v>122.86</v>
      </c>
      <c r="U908" s="13" t="n">
        <f aca="false">IFERROR(YEAR(A908),"")</f>
        <v>2023</v>
      </c>
      <c r="V908" s="28" t="n">
        <f aca="false">IFERROR(O908*B908,0)</f>
        <v>304315</v>
      </c>
      <c r="W908" s="27" t="n">
        <f aca="false">IFERROR(N908*B908,0)</f>
        <v>2477</v>
      </c>
      <c r="X908" s="13" t="n">
        <f aca="false">IF(OR(ISNUMBER(SEARCH("live nation",L908)),ISNUMBER(SEARCH("ocesa",L908))),1,0)</f>
        <v>0</v>
      </c>
      <c r="Y908" s="13" t="s">
        <v>49</v>
      </c>
    </row>
    <row r="909" customFormat="false" ht="15" hidden="false" customHeight="false" outlineLevel="0" collapsed="false">
      <c r="A909" s="30" t="n">
        <v>45210</v>
      </c>
      <c r="B909" s="11" t="n">
        <v>1</v>
      </c>
      <c r="C909" s="31" t="s">
        <v>522</v>
      </c>
      <c r="D909" s="31"/>
      <c r="E909" s="11" t="s">
        <v>1112</v>
      </c>
      <c r="F909" s="11" t="s">
        <v>502</v>
      </c>
      <c r="G909" s="11" t="s">
        <v>143</v>
      </c>
      <c r="H909" s="11" t="s">
        <v>20</v>
      </c>
      <c r="I909" s="11" t="s">
        <v>375</v>
      </c>
      <c r="J909" s="11" t="s">
        <v>121</v>
      </c>
      <c r="K909" s="11" t="s">
        <v>107</v>
      </c>
      <c r="L909" s="11" t="s">
        <v>1023</v>
      </c>
      <c r="M909" s="11" t="s">
        <v>100</v>
      </c>
      <c r="N909" s="32" t="n">
        <v>322</v>
      </c>
      <c r="O909" s="33" t="n">
        <v>30397.65</v>
      </c>
      <c r="P909" s="32" t="n">
        <v>889</v>
      </c>
      <c r="Q909" s="34" t="n">
        <v>0.36</v>
      </c>
      <c r="R909" s="33" t="n">
        <v>45.95</v>
      </c>
      <c r="S909" s="33" t="n">
        <v>120.95</v>
      </c>
      <c r="T909" s="33" t="n">
        <v>94.4</v>
      </c>
      <c r="U909" s="11" t="n">
        <f aca="false">IFERROR(YEAR(A909),"")</f>
        <v>2023</v>
      </c>
      <c r="V909" s="33" t="n">
        <f aca="false">IFERROR(O909*B909,0)</f>
        <v>30397.65</v>
      </c>
      <c r="W909" s="32" t="n">
        <f aca="false">IFERROR(N909*B909,0)</f>
        <v>322</v>
      </c>
      <c r="X909" s="11" t="n">
        <f aca="false">IF(OR(ISNUMBER(SEARCH("live nation",L909)),ISNUMBER(SEARCH("ocesa",L909))),1,0)</f>
        <v>1</v>
      </c>
      <c r="Y909" s="11" t="s">
        <v>49</v>
      </c>
    </row>
    <row r="910" customFormat="false" ht="15" hidden="false" customHeight="false" outlineLevel="0" collapsed="false">
      <c r="A910" s="25" t="n">
        <v>45209</v>
      </c>
      <c r="B910" s="13" t="n">
        <v>1</v>
      </c>
      <c r="C910" s="26" t="s">
        <v>64</v>
      </c>
      <c r="D910" s="26"/>
      <c r="E910" s="13" t="s">
        <v>1125</v>
      </c>
      <c r="F910" s="13" t="s">
        <v>1126</v>
      </c>
      <c r="G910" s="13" t="s">
        <v>119</v>
      </c>
      <c r="H910" s="13" t="s">
        <v>20</v>
      </c>
      <c r="I910" s="13" t="s">
        <v>120</v>
      </c>
      <c r="J910" s="13" t="s">
        <v>97</v>
      </c>
      <c r="K910" s="13" t="s">
        <v>107</v>
      </c>
      <c r="L910" s="13" t="s">
        <v>508</v>
      </c>
      <c r="M910" s="13" t="s">
        <v>100</v>
      </c>
      <c r="N910" s="27" t="n">
        <v>8551</v>
      </c>
      <c r="O910" s="28" t="n">
        <v>1496035</v>
      </c>
      <c r="P910" s="27" t="n">
        <v>9698</v>
      </c>
      <c r="Q910" s="29" t="n">
        <v>0.88</v>
      </c>
      <c r="R910" s="28" t="n">
        <v>59.5</v>
      </c>
      <c r="S910" s="28" t="n">
        <v>549.5</v>
      </c>
      <c r="T910" s="28" t="n">
        <v>174.95</v>
      </c>
      <c r="U910" s="13" t="n">
        <f aca="false">IFERROR(YEAR(A910),"")</f>
        <v>2023</v>
      </c>
      <c r="V910" s="28" t="n">
        <f aca="false">IFERROR(O910*B910,0)</f>
        <v>1496035</v>
      </c>
      <c r="W910" s="27" t="n">
        <f aca="false">IFERROR(N910*B910,0)</f>
        <v>8551</v>
      </c>
      <c r="X910" s="13" t="n">
        <f aca="false">IF(OR(ISNUMBER(SEARCH("live nation",L910)),ISNUMBER(SEARCH("ocesa",L910))),1,0)</f>
        <v>0</v>
      </c>
      <c r="Y910" s="13" t="s">
        <v>49</v>
      </c>
    </row>
    <row r="911" customFormat="false" ht="15" hidden="false" customHeight="false" outlineLevel="0" collapsed="false">
      <c r="A911" s="30" t="n">
        <v>45208</v>
      </c>
      <c r="B911" s="11" t="n">
        <v>1</v>
      </c>
      <c r="C911" s="31" t="s">
        <v>522</v>
      </c>
      <c r="D911" s="31"/>
      <c r="E911" s="11" t="s">
        <v>1127</v>
      </c>
      <c r="F911" s="11" t="s">
        <v>586</v>
      </c>
      <c r="G911" s="11" t="s">
        <v>143</v>
      </c>
      <c r="H911" s="11" t="s">
        <v>20</v>
      </c>
      <c r="I911" s="11" t="s">
        <v>586</v>
      </c>
      <c r="J911" s="11" t="s">
        <v>121</v>
      </c>
      <c r="K911" s="11" t="s">
        <v>107</v>
      </c>
      <c r="L911" s="11" t="s">
        <v>1023</v>
      </c>
      <c r="M911" s="11" t="s">
        <v>100</v>
      </c>
      <c r="N911" s="32" t="n">
        <v>269</v>
      </c>
      <c r="O911" s="33" t="n">
        <v>20142.12</v>
      </c>
      <c r="P911" s="32" t="n">
        <v>1369</v>
      </c>
      <c r="Q911" s="34" t="n">
        <v>0.19</v>
      </c>
      <c r="R911" s="33" t="n">
        <v>26.25</v>
      </c>
      <c r="S911" s="33" t="n">
        <v>146.25</v>
      </c>
      <c r="T911" s="33" t="n">
        <v>74.88</v>
      </c>
      <c r="U911" s="11" t="n">
        <f aca="false">IFERROR(YEAR(A911),"")</f>
        <v>2023</v>
      </c>
      <c r="V911" s="33" t="n">
        <f aca="false">IFERROR(O911*B911,0)</f>
        <v>20142.12</v>
      </c>
      <c r="W911" s="32" t="n">
        <f aca="false">IFERROR(N911*B911,0)</f>
        <v>269</v>
      </c>
      <c r="X911" s="11" t="n">
        <f aca="false">IF(OR(ISNUMBER(SEARCH("live nation",L911)),ISNUMBER(SEARCH("ocesa",L911))),1,0)</f>
        <v>1</v>
      </c>
      <c r="Y911" s="11" t="s">
        <v>49</v>
      </c>
    </row>
    <row r="912" customFormat="false" ht="15" hidden="false" customHeight="false" outlineLevel="0" collapsed="false">
      <c r="A912" s="25" t="n">
        <v>45208</v>
      </c>
      <c r="B912" s="13" t="n">
        <v>1</v>
      </c>
      <c r="C912" s="26" t="s">
        <v>1056</v>
      </c>
      <c r="D912" s="26"/>
      <c r="E912" s="13" t="s">
        <v>290</v>
      </c>
      <c r="F912" s="13" t="s">
        <v>291</v>
      </c>
      <c r="G912" s="13"/>
      <c r="H912" s="13" t="s">
        <v>28</v>
      </c>
      <c r="I912" s="13"/>
      <c r="J912" s="13" t="s">
        <v>97</v>
      </c>
      <c r="K912" s="13" t="s">
        <v>98</v>
      </c>
      <c r="L912" s="13" t="s">
        <v>276</v>
      </c>
      <c r="M912" s="13" t="s">
        <v>100</v>
      </c>
      <c r="N912" s="27" t="n">
        <v>5451</v>
      </c>
      <c r="O912" s="28" t="n">
        <v>297424.2</v>
      </c>
      <c r="P912" s="27" t="n">
        <v>5500</v>
      </c>
      <c r="Q912" s="29" t="n">
        <v>0.99</v>
      </c>
      <c r="R912" s="28" t="n">
        <v>50.11</v>
      </c>
      <c r="S912" s="28" t="n">
        <v>83.49</v>
      </c>
      <c r="T912" s="28" t="n">
        <v>54.56</v>
      </c>
      <c r="U912" s="13" t="n">
        <f aca="false">IFERROR(YEAR(A912),"")</f>
        <v>2023</v>
      </c>
      <c r="V912" s="28" t="n">
        <f aca="false">IFERROR(O912*B912,0)</f>
        <v>297424.2</v>
      </c>
      <c r="W912" s="27" t="n">
        <f aca="false">IFERROR(N912*B912,0)</f>
        <v>5451</v>
      </c>
      <c r="X912" s="13" t="n">
        <f aca="false">IF(OR(ISNUMBER(SEARCH("live nation",L912)),ISNUMBER(SEARCH("ocesa",L912))),1,0)</f>
        <v>0</v>
      </c>
      <c r="Y912" s="13" t="s">
        <v>49</v>
      </c>
    </row>
    <row r="913" customFormat="false" ht="15" hidden="false" customHeight="false" outlineLevel="0" collapsed="false">
      <c r="A913" s="30" t="n">
        <v>45206</v>
      </c>
      <c r="B913" s="11" t="n">
        <v>1</v>
      </c>
      <c r="C913" s="31" t="s">
        <v>522</v>
      </c>
      <c r="D913" s="31"/>
      <c r="E913" s="11" t="s">
        <v>1128</v>
      </c>
      <c r="F913" s="11" t="s">
        <v>1129</v>
      </c>
      <c r="G913" s="11" t="s">
        <v>498</v>
      </c>
      <c r="H913" s="11" t="s">
        <v>20</v>
      </c>
      <c r="I913" s="11" t="s">
        <v>1129</v>
      </c>
      <c r="J913" s="11" t="s">
        <v>121</v>
      </c>
      <c r="K913" s="11" t="s">
        <v>107</v>
      </c>
      <c r="L913" s="11" t="s">
        <v>140</v>
      </c>
      <c r="M913" s="11" t="s">
        <v>100</v>
      </c>
      <c r="N913" s="32" t="n">
        <v>303</v>
      </c>
      <c r="O913" s="33" t="n">
        <v>29571.5</v>
      </c>
      <c r="P913" s="32" t="n">
        <v>1234</v>
      </c>
      <c r="Q913" s="34" t="n">
        <v>0.24</v>
      </c>
      <c r="R913" s="33" t="n">
        <v>58.5</v>
      </c>
      <c r="S913" s="33" t="n">
        <v>198.5</v>
      </c>
      <c r="T913" s="33" t="n">
        <v>97.6</v>
      </c>
      <c r="U913" s="11" t="n">
        <f aca="false">IFERROR(YEAR(A913),"")</f>
        <v>2023</v>
      </c>
      <c r="V913" s="33" t="n">
        <f aca="false">IFERROR(O913*B913,0)</f>
        <v>29571.5</v>
      </c>
      <c r="W913" s="32" t="n">
        <f aca="false">IFERROR(N913*B913,0)</f>
        <v>303</v>
      </c>
      <c r="X913" s="11" t="n">
        <f aca="false">IF(OR(ISNUMBER(SEARCH("live nation",L913)),ISNUMBER(SEARCH("ocesa",L913))),1,0)</f>
        <v>0</v>
      </c>
      <c r="Y913" s="11" t="s">
        <v>49</v>
      </c>
    </row>
    <row r="914" customFormat="false" ht="15" hidden="false" customHeight="false" outlineLevel="0" collapsed="false">
      <c r="A914" s="25" t="n">
        <v>45205</v>
      </c>
      <c r="B914" s="13" t="n">
        <v>1</v>
      </c>
      <c r="C914" s="26" t="s">
        <v>64</v>
      </c>
      <c r="D914" s="26"/>
      <c r="E914" s="13" t="s">
        <v>1130</v>
      </c>
      <c r="F914" s="13" t="s">
        <v>1131</v>
      </c>
      <c r="G914" s="13" t="s">
        <v>202</v>
      </c>
      <c r="H914" s="13" t="s">
        <v>20</v>
      </c>
      <c r="I914" s="13" t="s">
        <v>203</v>
      </c>
      <c r="J914" s="13" t="s">
        <v>133</v>
      </c>
      <c r="K914" s="13" t="s">
        <v>107</v>
      </c>
      <c r="L914" s="13" t="s">
        <v>508</v>
      </c>
      <c r="M914" s="13" t="s">
        <v>100</v>
      </c>
      <c r="N914" s="27" t="n">
        <v>22446</v>
      </c>
      <c r="O914" s="28" t="n">
        <v>3627067</v>
      </c>
      <c r="P914" s="27" t="n">
        <v>22446</v>
      </c>
      <c r="Q914" s="29" t="n">
        <v>1</v>
      </c>
      <c r="R914" s="28" t="n">
        <v>59.9</v>
      </c>
      <c r="S914" s="28" t="n">
        <v>549.5</v>
      </c>
      <c r="T914" s="28" t="n">
        <v>161.59</v>
      </c>
      <c r="U914" s="13" t="n">
        <f aca="false">IFERROR(YEAR(A914),"")</f>
        <v>2023</v>
      </c>
      <c r="V914" s="28" t="n">
        <f aca="false">IFERROR(O914*B914,0)</f>
        <v>3627067</v>
      </c>
      <c r="W914" s="27" t="n">
        <f aca="false">IFERROR(N914*B914,0)</f>
        <v>22446</v>
      </c>
      <c r="X914" s="13" t="n">
        <f aca="false">IF(OR(ISNUMBER(SEARCH("live nation",L914)),ISNUMBER(SEARCH("ocesa",L914))),1,0)</f>
        <v>0</v>
      </c>
      <c r="Y914" s="13" t="s">
        <v>49</v>
      </c>
    </row>
    <row r="915" customFormat="false" ht="15" hidden="false" customHeight="false" outlineLevel="0" collapsed="false">
      <c r="A915" s="30" t="n">
        <v>45204</v>
      </c>
      <c r="B915" s="11" t="n">
        <v>1</v>
      </c>
      <c r="C915" s="31" t="s">
        <v>522</v>
      </c>
      <c r="D915" s="31"/>
      <c r="E915" s="11" t="s">
        <v>1132</v>
      </c>
      <c r="F915" s="11" t="s">
        <v>1133</v>
      </c>
      <c r="G915" s="11" t="s">
        <v>1115</v>
      </c>
      <c r="H915" s="11" t="s">
        <v>20</v>
      </c>
      <c r="I915" s="11" t="s">
        <v>1134</v>
      </c>
      <c r="J915" s="11" t="s">
        <v>121</v>
      </c>
      <c r="K915" s="11" t="s">
        <v>107</v>
      </c>
      <c r="L915" s="11" t="s">
        <v>1023</v>
      </c>
      <c r="M915" s="11" t="s">
        <v>100</v>
      </c>
      <c r="N915" s="32" t="n">
        <v>294</v>
      </c>
      <c r="O915" s="33" t="n">
        <v>24369.5</v>
      </c>
      <c r="P915" s="32" t="n">
        <v>1300</v>
      </c>
      <c r="Q915" s="34" t="n">
        <v>0.22</v>
      </c>
      <c r="R915" s="33" t="n">
        <v>33</v>
      </c>
      <c r="S915" s="33" t="n">
        <v>33</v>
      </c>
      <c r="T915" s="33" t="n">
        <v>82.89</v>
      </c>
      <c r="U915" s="11" t="n">
        <f aca="false">IFERROR(YEAR(A915),"")</f>
        <v>2023</v>
      </c>
      <c r="V915" s="33" t="n">
        <f aca="false">IFERROR(O915*B915,0)</f>
        <v>24369.5</v>
      </c>
      <c r="W915" s="32" t="n">
        <f aca="false">IFERROR(N915*B915,0)</f>
        <v>294</v>
      </c>
      <c r="X915" s="11" t="n">
        <f aca="false">IF(OR(ISNUMBER(SEARCH("live nation",L915)),ISNUMBER(SEARCH("ocesa",L915))),1,0)</f>
        <v>1</v>
      </c>
      <c r="Y915" s="11" t="s">
        <v>49</v>
      </c>
    </row>
    <row r="916" customFormat="false" ht="15" hidden="false" customHeight="false" outlineLevel="0" collapsed="false">
      <c r="A916" s="25" t="n">
        <v>45204</v>
      </c>
      <c r="B916" s="13" t="n">
        <v>1</v>
      </c>
      <c r="C916" s="26" t="s">
        <v>1135</v>
      </c>
      <c r="D916" s="26"/>
      <c r="E916" s="13" t="s">
        <v>503</v>
      </c>
      <c r="F916" s="13" t="s">
        <v>231</v>
      </c>
      <c r="G916" s="13" t="s">
        <v>202</v>
      </c>
      <c r="H916" s="13" t="s">
        <v>20</v>
      </c>
      <c r="I916" s="13" t="s">
        <v>232</v>
      </c>
      <c r="J916" s="13" t="s">
        <v>121</v>
      </c>
      <c r="K916" s="13" t="s">
        <v>107</v>
      </c>
      <c r="L916" s="13" t="s">
        <v>390</v>
      </c>
      <c r="M916" s="13" t="s">
        <v>100</v>
      </c>
      <c r="N916" s="27" t="n">
        <v>1293</v>
      </c>
      <c r="O916" s="28" t="n">
        <v>144806</v>
      </c>
      <c r="P916" s="27" t="n">
        <v>2967</v>
      </c>
      <c r="Q916" s="29" t="n">
        <v>0.43</v>
      </c>
      <c r="R916" s="28" t="n">
        <v>63.5</v>
      </c>
      <c r="S916" s="28" t="n">
        <v>253.5</v>
      </c>
      <c r="T916" s="28" t="n">
        <v>111.99</v>
      </c>
      <c r="U916" s="13" t="n">
        <f aca="false">IFERROR(YEAR(A916),"")</f>
        <v>2023</v>
      </c>
      <c r="V916" s="28" t="n">
        <f aca="false">IFERROR(O916*B916,0)</f>
        <v>144806</v>
      </c>
      <c r="W916" s="27" t="n">
        <f aca="false">IFERROR(N916*B916,0)</f>
        <v>1293</v>
      </c>
      <c r="X916" s="13" t="n">
        <f aca="false">IF(OR(ISNUMBER(SEARCH("live nation",L916)),ISNUMBER(SEARCH("ocesa",L916))),1,0)</f>
        <v>0</v>
      </c>
      <c r="Y916" s="13" t="s">
        <v>49</v>
      </c>
    </row>
    <row r="917" customFormat="false" ht="15" hidden="false" customHeight="false" outlineLevel="0" collapsed="false">
      <c r="A917" s="30" t="n">
        <v>45203</v>
      </c>
      <c r="B917" s="11" t="n">
        <v>1</v>
      </c>
      <c r="C917" s="31" t="s">
        <v>587</v>
      </c>
      <c r="D917" s="31"/>
      <c r="E917" s="11" t="s">
        <v>1136</v>
      </c>
      <c r="F917" s="11" t="s">
        <v>535</v>
      </c>
      <c r="G917" s="11" t="s">
        <v>202</v>
      </c>
      <c r="H917" s="11" t="s">
        <v>20</v>
      </c>
      <c r="I917" s="11" t="s">
        <v>232</v>
      </c>
      <c r="J917" s="11" t="s">
        <v>121</v>
      </c>
      <c r="K917" s="11" t="s">
        <v>107</v>
      </c>
      <c r="L917" s="11" t="s">
        <v>671</v>
      </c>
      <c r="M917" s="11" t="s">
        <v>100</v>
      </c>
      <c r="N917" s="32" t="n">
        <v>5006</v>
      </c>
      <c r="O917" s="33" t="n">
        <v>415829</v>
      </c>
      <c r="P917" s="32" t="n">
        <v>5500</v>
      </c>
      <c r="Q917" s="34" t="n">
        <v>0.91</v>
      </c>
      <c r="R917" s="33" t="n">
        <v>59.5</v>
      </c>
      <c r="S917" s="33" t="n">
        <v>85</v>
      </c>
      <c r="T917" s="33" t="n">
        <v>83.07</v>
      </c>
      <c r="U917" s="11" t="n">
        <f aca="false">IFERROR(YEAR(A917),"")</f>
        <v>2023</v>
      </c>
      <c r="V917" s="33" t="n">
        <f aca="false">IFERROR(O917*B917,0)</f>
        <v>415829</v>
      </c>
      <c r="W917" s="32" t="n">
        <f aca="false">IFERROR(N917*B917,0)</f>
        <v>5006</v>
      </c>
      <c r="X917" s="11" t="n">
        <f aca="false">IF(OR(ISNUMBER(SEARCH("live nation",L917)),ISNUMBER(SEARCH("ocesa",L917))),1,0)</f>
        <v>0</v>
      </c>
      <c r="Y917" s="11" t="s">
        <v>49</v>
      </c>
    </row>
    <row r="918" customFormat="false" ht="15" hidden="false" customHeight="false" outlineLevel="0" collapsed="false">
      <c r="A918" s="25" t="n">
        <v>45202</v>
      </c>
      <c r="B918" s="13" t="n">
        <v>1</v>
      </c>
      <c r="C918" s="26" t="s">
        <v>522</v>
      </c>
      <c r="D918" s="26"/>
      <c r="E918" s="13" t="s">
        <v>1137</v>
      </c>
      <c r="F918" s="13" t="s">
        <v>1138</v>
      </c>
      <c r="G918" s="13" t="s">
        <v>340</v>
      </c>
      <c r="H918" s="13" t="s">
        <v>20</v>
      </c>
      <c r="I918" s="13" t="s">
        <v>190</v>
      </c>
      <c r="J918" s="13" t="s">
        <v>121</v>
      </c>
      <c r="K918" s="13" t="s">
        <v>107</v>
      </c>
      <c r="L918" s="13" t="s">
        <v>140</v>
      </c>
      <c r="M918" s="13" t="s">
        <v>100</v>
      </c>
      <c r="N918" s="27" t="n">
        <v>331</v>
      </c>
      <c r="O918" s="28" t="n">
        <v>34964.5</v>
      </c>
      <c r="P918" s="27" t="n">
        <v>1561</v>
      </c>
      <c r="Q918" s="29" t="n">
        <v>0.21</v>
      </c>
      <c r="R918" s="28" t="n">
        <v>49.5</v>
      </c>
      <c r="S918" s="28" t="n">
        <v>219.5</v>
      </c>
      <c r="T918" s="28" t="n">
        <v>105.63</v>
      </c>
      <c r="U918" s="13" t="n">
        <f aca="false">IFERROR(YEAR(A918),"")</f>
        <v>2023</v>
      </c>
      <c r="V918" s="28" t="n">
        <f aca="false">IFERROR(O918*B918,0)</f>
        <v>34964.5</v>
      </c>
      <c r="W918" s="27" t="n">
        <f aca="false">IFERROR(N918*B918,0)</f>
        <v>331</v>
      </c>
      <c r="X918" s="13" t="n">
        <f aca="false">IF(OR(ISNUMBER(SEARCH("live nation",L918)),ISNUMBER(SEARCH("ocesa",L918))),1,0)</f>
        <v>0</v>
      </c>
      <c r="Y918" s="13" t="s">
        <v>49</v>
      </c>
    </row>
    <row r="919" customFormat="false" ht="15" hidden="false" customHeight="false" outlineLevel="0" collapsed="false">
      <c r="A919" s="30" t="n">
        <v>45200</v>
      </c>
      <c r="B919" s="11" t="n">
        <v>1</v>
      </c>
      <c r="C919" s="31" t="s">
        <v>522</v>
      </c>
      <c r="D919" s="31"/>
      <c r="E919" s="11" t="s">
        <v>877</v>
      </c>
      <c r="F919" s="11" t="s">
        <v>139</v>
      </c>
      <c r="G919" s="11" t="s">
        <v>139</v>
      </c>
      <c r="H919" s="11" t="s">
        <v>20</v>
      </c>
      <c r="I919" s="11" t="s">
        <v>139</v>
      </c>
      <c r="J919" s="11" t="s">
        <v>121</v>
      </c>
      <c r="K919" s="11" t="s">
        <v>107</v>
      </c>
      <c r="L919" s="11" t="s">
        <v>140</v>
      </c>
      <c r="M919" s="11" t="s">
        <v>100</v>
      </c>
      <c r="N919" s="32" t="n">
        <v>308</v>
      </c>
      <c r="O919" s="33" t="n">
        <v>42406</v>
      </c>
      <c r="P919" s="32" t="n">
        <v>1495</v>
      </c>
      <c r="Q919" s="34" t="n">
        <v>0.2</v>
      </c>
      <c r="R919" s="33" t="n">
        <v>69.5</v>
      </c>
      <c r="S919" s="33" t="n">
        <v>319.5</v>
      </c>
      <c r="T919" s="33" t="n">
        <v>137.68</v>
      </c>
      <c r="U919" s="11" t="n">
        <f aca="false">IFERROR(YEAR(A919),"")</f>
        <v>2023</v>
      </c>
      <c r="V919" s="33" t="n">
        <f aca="false">IFERROR(O919*B919,0)</f>
        <v>42406</v>
      </c>
      <c r="W919" s="32" t="n">
        <f aca="false">IFERROR(N919*B919,0)</f>
        <v>308</v>
      </c>
      <c r="X919" s="11" t="n">
        <f aca="false">IF(OR(ISNUMBER(SEARCH("live nation",L919)),ISNUMBER(SEARCH("ocesa",L919))),1,0)</f>
        <v>0</v>
      </c>
      <c r="Y919" s="11" t="s">
        <v>49</v>
      </c>
    </row>
    <row r="920" customFormat="false" ht="15" hidden="false" customHeight="false" outlineLevel="0" collapsed="false">
      <c r="A920" s="25" t="n">
        <v>45197</v>
      </c>
      <c r="B920" s="13" t="n">
        <v>1</v>
      </c>
      <c r="C920" s="26" t="s">
        <v>1124</v>
      </c>
      <c r="D920" s="26" t="s">
        <v>466</v>
      </c>
      <c r="E920" s="13" t="s">
        <v>1139</v>
      </c>
      <c r="F920" s="13" t="s">
        <v>1140</v>
      </c>
      <c r="G920" s="13" t="s">
        <v>1141</v>
      </c>
      <c r="H920" s="13" t="s">
        <v>20</v>
      </c>
      <c r="I920" s="13" t="s">
        <v>1140</v>
      </c>
      <c r="J920" s="13" t="s">
        <v>121</v>
      </c>
      <c r="K920" s="13" t="s">
        <v>107</v>
      </c>
      <c r="L920" s="13" t="s">
        <v>1142</v>
      </c>
      <c r="M920" s="13" t="s">
        <v>277</v>
      </c>
      <c r="N920" s="27" t="n">
        <v>2159</v>
      </c>
      <c r="O920" s="28" t="n">
        <v>119045</v>
      </c>
      <c r="P920" s="27" t="n">
        <v>2821</v>
      </c>
      <c r="Q920" s="29" t="n">
        <v>0.76</v>
      </c>
      <c r="R920" s="28" t="n">
        <v>55</v>
      </c>
      <c r="S920" s="28" t="n">
        <v>75</v>
      </c>
      <c r="T920" s="28" t="n">
        <v>55.14</v>
      </c>
      <c r="U920" s="13" t="n">
        <f aca="false">IFERROR(YEAR(A920),"")</f>
        <v>2023</v>
      </c>
      <c r="V920" s="28" t="n">
        <f aca="false">IFERROR(O920*B920,0)</f>
        <v>119045</v>
      </c>
      <c r="W920" s="27" t="n">
        <f aca="false">IFERROR(N920*B920,0)</f>
        <v>2159</v>
      </c>
      <c r="X920" s="13" t="n">
        <f aca="false">IF(OR(ISNUMBER(SEARCH("live nation",L920)),ISNUMBER(SEARCH("ocesa",L920))),1,0)</f>
        <v>1</v>
      </c>
      <c r="Y920" s="13" t="s">
        <v>49</v>
      </c>
    </row>
    <row r="921" customFormat="false" ht="15" hidden="false" customHeight="false" outlineLevel="0" collapsed="false">
      <c r="A921" s="30" t="n">
        <v>45193</v>
      </c>
      <c r="B921" s="11" t="n">
        <v>1</v>
      </c>
      <c r="C921" s="31" t="s">
        <v>380</v>
      </c>
      <c r="D921" s="31"/>
      <c r="E921" s="11" t="s">
        <v>628</v>
      </c>
      <c r="F921" s="11" t="s">
        <v>629</v>
      </c>
      <c r="G921" s="11"/>
      <c r="H921" s="11" t="s">
        <v>630</v>
      </c>
      <c r="I921" s="11"/>
      <c r="J921" s="11" t="s">
        <v>97</v>
      </c>
      <c r="K921" s="11" t="s">
        <v>630</v>
      </c>
      <c r="L921" s="11" t="s">
        <v>177</v>
      </c>
      <c r="M921" s="11" t="s">
        <v>100</v>
      </c>
      <c r="N921" s="32" t="n">
        <v>2188</v>
      </c>
      <c r="O921" s="33" t="n">
        <v>166007.48</v>
      </c>
      <c r="P921" s="32" t="n">
        <v>3354</v>
      </c>
      <c r="Q921" s="34" t="n">
        <v>0.65</v>
      </c>
      <c r="R921" s="33" t="n">
        <v>59.02</v>
      </c>
      <c r="S921" s="33" t="n">
        <v>112.24</v>
      </c>
      <c r="T921" s="33" t="n">
        <v>75.87</v>
      </c>
      <c r="U921" s="11" t="n">
        <f aca="false">IFERROR(YEAR(A921),"")</f>
        <v>2023</v>
      </c>
      <c r="V921" s="33" t="n">
        <f aca="false">IFERROR(O921*B921,0)</f>
        <v>166007.48</v>
      </c>
      <c r="W921" s="32" t="n">
        <f aca="false">IFERROR(N921*B921,0)</f>
        <v>2188</v>
      </c>
      <c r="X921" s="11" t="n">
        <f aca="false">IF(OR(ISNUMBER(SEARCH("live nation",L921)),ISNUMBER(SEARCH("ocesa",L921))),1,0)</f>
        <v>1</v>
      </c>
      <c r="Y921" s="11" t="s">
        <v>49</v>
      </c>
    </row>
    <row r="922" customFormat="false" ht="15" hidden="false" customHeight="false" outlineLevel="0" collapsed="false">
      <c r="A922" s="25" t="n">
        <v>45193</v>
      </c>
      <c r="B922" s="13" t="n">
        <v>1</v>
      </c>
      <c r="C922" s="26" t="s">
        <v>1135</v>
      </c>
      <c r="D922" s="26" t="s">
        <v>1143</v>
      </c>
      <c r="E922" s="13" t="s">
        <v>540</v>
      </c>
      <c r="F922" s="13" t="s">
        <v>209</v>
      </c>
      <c r="G922" s="13" t="s">
        <v>208</v>
      </c>
      <c r="H922" s="13" t="s">
        <v>20</v>
      </c>
      <c r="I922" s="13" t="s">
        <v>209</v>
      </c>
      <c r="J922" s="13" t="s">
        <v>121</v>
      </c>
      <c r="K922" s="13" t="s">
        <v>107</v>
      </c>
      <c r="L922" s="13" t="s">
        <v>390</v>
      </c>
      <c r="M922" s="13" t="s">
        <v>100</v>
      </c>
      <c r="N922" s="27" t="n">
        <v>1104</v>
      </c>
      <c r="O922" s="28" t="n">
        <v>153991.05</v>
      </c>
      <c r="P922" s="27" t="n">
        <v>3429</v>
      </c>
      <c r="Q922" s="29" t="n">
        <v>0.32</v>
      </c>
      <c r="R922" s="28" t="n">
        <v>53.6</v>
      </c>
      <c r="S922" s="28" t="n">
        <v>199</v>
      </c>
      <c r="T922" s="28" t="n">
        <v>139.48</v>
      </c>
      <c r="U922" s="13" t="n">
        <f aca="false">IFERROR(YEAR(A922),"")</f>
        <v>2023</v>
      </c>
      <c r="V922" s="28" t="n">
        <f aca="false">IFERROR(O922*B922,0)</f>
        <v>153991.05</v>
      </c>
      <c r="W922" s="27" t="n">
        <f aca="false">IFERROR(N922*B922,0)</f>
        <v>1104</v>
      </c>
      <c r="X922" s="13" t="n">
        <f aca="false">IF(OR(ISNUMBER(SEARCH("live nation",L922)),ISNUMBER(SEARCH("ocesa",L922))),1,0)</f>
        <v>0</v>
      </c>
      <c r="Y922" s="13" t="s">
        <v>49</v>
      </c>
    </row>
    <row r="923" customFormat="false" ht="15" hidden="false" customHeight="false" outlineLevel="0" collapsed="false">
      <c r="A923" s="30" t="n">
        <v>45193</v>
      </c>
      <c r="B923" s="11" t="n">
        <v>1</v>
      </c>
      <c r="C923" s="31" t="s">
        <v>522</v>
      </c>
      <c r="D923" s="31"/>
      <c r="E923" s="11" t="s">
        <v>878</v>
      </c>
      <c r="F923" s="11" t="s">
        <v>346</v>
      </c>
      <c r="G923" s="11" t="s">
        <v>347</v>
      </c>
      <c r="H923" s="11" t="s">
        <v>20</v>
      </c>
      <c r="I923" s="11" t="s">
        <v>346</v>
      </c>
      <c r="J923" s="11" t="s">
        <v>121</v>
      </c>
      <c r="K923" s="11" t="s">
        <v>107</v>
      </c>
      <c r="L923" s="11" t="s">
        <v>1023</v>
      </c>
      <c r="M923" s="11" t="s">
        <v>100</v>
      </c>
      <c r="N923" s="32" t="n">
        <v>316</v>
      </c>
      <c r="O923" s="33" t="n">
        <v>29059.85</v>
      </c>
      <c r="P923" s="32" t="n">
        <v>1572</v>
      </c>
      <c r="Q923" s="34" t="n">
        <v>0.2</v>
      </c>
      <c r="R923" s="33" t="n">
        <v>57</v>
      </c>
      <c r="S923" s="33" t="n">
        <v>107</v>
      </c>
      <c r="T923" s="33" t="n">
        <v>91.96</v>
      </c>
      <c r="U923" s="11" t="n">
        <f aca="false">IFERROR(YEAR(A923),"")</f>
        <v>2023</v>
      </c>
      <c r="V923" s="33" t="n">
        <f aca="false">IFERROR(O923*B923,0)</f>
        <v>29059.85</v>
      </c>
      <c r="W923" s="32" t="n">
        <f aca="false">IFERROR(N923*B923,0)</f>
        <v>316</v>
      </c>
      <c r="X923" s="11" t="n">
        <f aca="false">IF(OR(ISNUMBER(SEARCH("live nation",L923)),ISNUMBER(SEARCH("ocesa",L923))),1,0)</f>
        <v>1</v>
      </c>
      <c r="Y923" s="11" t="s">
        <v>49</v>
      </c>
    </row>
    <row r="924" customFormat="false" ht="15" hidden="false" customHeight="false" outlineLevel="0" collapsed="false">
      <c r="A924" s="25" t="n">
        <v>45189</v>
      </c>
      <c r="B924" s="13" t="n">
        <v>1</v>
      </c>
      <c r="C924" s="26" t="s">
        <v>1135</v>
      </c>
      <c r="D924" s="26"/>
      <c r="E924" s="13" t="s">
        <v>1085</v>
      </c>
      <c r="F924" s="13" t="s">
        <v>228</v>
      </c>
      <c r="G924" s="13" t="s">
        <v>229</v>
      </c>
      <c r="H924" s="13" t="s">
        <v>20</v>
      </c>
      <c r="I924" s="13" t="s">
        <v>190</v>
      </c>
      <c r="J924" s="13" t="s">
        <v>121</v>
      </c>
      <c r="K924" s="13" t="s">
        <v>107</v>
      </c>
      <c r="L924" s="13" t="s">
        <v>1144</v>
      </c>
      <c r="M924" s="13" t="s">
        <v>100</v>
      </c>
      <c r="N924" s="27" t="n">
        <v>1370</v>
      </c>
      <c r="O924" s="28" t="n">
        <v>148719</v>
      </c>
      <c r="P924" s="27" t="n">
        <v>1800</v>
      </c>
      <c r="Q924" s="29" t="n">
        <v>0.76</v>
      </c>
      <c r="R924" s="28" t="n">
        <v>59</v>
      </c>
      <c r="S924" s="28" t="n">
        <v>159</v>
      </c>
      <c r="T924" s="28" t="n">
        <v>108.55</v>
      </c>
      <c r="U924" s="13" t="n">
        <f aca="false">IFERROR(YEAR(A924),"")</f>
        <v>2023</v>
      </c>
      <c r="V924" s="28" t="n">
        <f aca="false">IFERROR(O924*B924,0)</f>
        <v>148719</v>
      </c>
      <c r="W924" s="27" t="n">
        <f aca="false">IFERROR(N924*B924,0)</f>
        <v>1370</v>
      </c>
      <c r="X924" s="13" t="n">
        <f aca="false">IF(OR(ISNUMBER(SEARCH("live nation",L924)),ISNUMBER(SEARCH("ocesa",L924))),1,0)</f>
        <v>1</v>
      </c>
      <c r="Y924" s="13" t="s">
        <v>49</v>
      </c>
    </row>
    <row r="925" customFormat="false" ht="15" hidden="false" customHeight="false" outlineLevel="0" collapsed="false">
      <c r="A925" s="30" t="n">
        <v>45186</v>
      </c>
      <c r="B925" s="11" t="n">
        <v>1</v>
      </c>
      <c r="C925" s="31" t="s">
        <v>1124</v>
      </c>
      <c r="D925" s="31" t="s">
        <v>466</v>
      </c>
      <c r="E925" s="11" t="s">
        <v>635</v>
      </c>
      <c r="F925" s="11" t="s">
        <v>636</v>
      </c>
      <c r="G925" s="11" t="s">
        <v>242</v>
      </c>
      <c r="H925" s="11" t="s">
        <v>20</v>
      </c>
      <c r="I925" s="11" t="s">
        <v>637</v>
      </c>
      <c r="J925" s="11" t="s">
        <v>275</v>
      </c>
      <c r="K925" s="11" t="s">
        <v>107</v>
      </c>
      <c r="L925" s="11" t="s">
        <v>177</v>
      </c>
      <c r="M925" s="11" t="s">
        <v>277</v>
      </c>
      <c r="N925" s="32" t="n">
        <v>4544</v>
      </c>
      <c r="O925" s="33" t="n">
        <v>220264</v>
      </c>
      <c r="P925" s="32" t="n">
        <v>7000</v>
      </c>
      <c r="Q925" s="34" t="n">
        <v>0.64</v>
      </c>
      <c r="R925" s="33" t="n">
        <v>45</v>
      </c>
      <c r="S925" s="33" t="n">
        <v>65</v>
      </c>
      <c r="T925" s="33" t="n">
        <v>48.47</v>
      </c>
      <c r="U925" s="11" t="n">
        <f aca="false">IFERROR(YEAR(A925),"")</f>
        <v>2023</v>
      </c>
      <c r="V925" s="33" t="n">
        <f aca="false">IFERROR(O925*B925,0)</f>
        <v>220264</v>
      </c>
      <c r="W925" s="32" t="n">
        <f aca="false">IFERROR(N925*B925,0)</f>
        <v>4544</v>
      </c>
      <c r="X925" s="11" t="n">
        <f aca="false">IF(OR(ISNUMBER(SEARCH("live nation",L925)),ISNUMBER(SEARCH("ocesa",L925))),1,0)</f>
        <v>1</v>
      </c>
      <c r="Y925" s="11" t="s">
        <v>49</v>
      </c>
    </row>
    <row r="926" customFormat="false" ht="15" hidden="false" customHeight="false" outlineLevel="0" collapsed="false">
      <c r="A926" s="25" t="n">
        <v>45185</v>
      </c>
      <c r="B926" s="13" t="n">
        <v>1</v>
      </c>
      <c r="C926" s="26" t="s">
        <v>94</v>
      </c>
      <c r="D926" s="26"/>
      <c r="E926" s="13" t="s">
        <v>734</v>
      </c>
      <c r="F926" s="13" t="s">
        <v>557</v>
      </c>
      <c r="G926" s="13"/>
      <c r="H926" s="13" t="s">
        <v>558</v>
      </c>
      <c r="I926" s="13"/>
      <c r="J926" s="13" t="s">
        <v>97</v>
      </c>
      <c r="K926" s="13" t="s">
        <v>173</v>
      </c>
      <c r="L926" s="13" t="s">
        <v>453</v>
      </c>
      <c r="M926" s="13" t="s">
        <v>100</v>
      </c>
      <c r="N926" s="27" t="n">
        <v>8232</v>
      </c>
      <c r="O926" s="28" t="n">
        <v>711234.07</v>
      </c>
      <c r="P926" s="27" t="n">
        <v>8289</v>
      </c>
      <c r="Q926" s="29" t="n">
        <v>0.99</v>
      </c>
      <c r="R926" s="28" t="n">
        <v>50.88</v>
      </c>
      <c r="S926" s="28" t="n">
        <v>135.32</v>
      </c>
      <c r="T926" s="28" t="n">
        <v>86.4</v>
      </c>
      <c r="U926" s="13" t="n">
        <f aca="false">IFERROR(YEAR(A926),"")</f>
        <v>2023</v>
      </c>
      <c r="V926" s="28" t="n">
        <f aca="false">IFERROR(O926*B926,0)</f>
        <v>711234.07</v>
      </c>
      <c r="W926" s="27" t="n">
        <f aca="false">IFERROR(N926*B926,0)</f>
        <v>8232</v>
      </c>
      <c r="X926" s="13" t="n">
        <f aca="false">IF(OR(ISNUMBER(SEARCH("live nation",L926)),ISNUMBER(SEARCH("ocesa",L926))),1,0)</f>
        <v>0</v>
      </c>
      <c r="Y926" s="13" t="s">
        <v>49</v>
      </c>
    </row>
    <row r="927" customFormat="false" ht="15" hidden="false" customHeight="false" outlineLevel="0" collapsed="false">
      <c r="A927" s="30" t="n">
        <v>45183</v>
      </c>
      <c r="B927" s="11" t="n">
        <v>1</v>
      </c>
      <c r="C927" s="31" t="s">
        <v>1124</v>
      </c>
      <c r="D927" s="31" t="s">
        <v>466</v>
      </c>
      <c r="E927" s="11" t="s">
        <v>482</v>
      </c>
      <c r="F927" s="11" t="s">
        <v>223</v>
      </c>
      <c r="G927" s="11" t="s">
        <v>224</v>
      </c>
      <c r="H927" s="11" t="s">
        <v>20</v>
      </c>
      <c r="I927" s="11" t="s">
        <v>225</v>
      </c>
      <c r="J927" s="11" t="s">
        <v>106</v>
      </c>
      <c r="K927" s="11" t="s">
        <v>107</v>
      </c>
      <c r="L927" s="11" t="s">
        <v>1145</v>
      </c>
      <c r="M927" s="11" t="s">
        <v>277</v>
      </c>
      <c r="N927" s="32" t="n">
        <v>4960</v>
      </c>
      <c r="O927" s="33" t="n">
        <v>264260</v>
      </c>
      <c r="P927" s="32" t="n">
        <v>5105</v>
      </c>
      <c r="Q927" s="34" t="n">
        <v>0.97</v>
      </c>
      <c r="R927" s="33" t="n">
        <v>20</v>
      </c>
      <c r="S927" s="33" t="n">
        <v>76.5</v>
      </c>
      <c r="T927" s="33" t="n">
        <v>53.28</v>
      </c>
      <c r="U927" s="11" t="n">
        <f aca="false">IFERROR(YEAR(A927),"")</f>
        <v>2023</v>
      </c>
      <c r="V927" s="33" t="n">
        <f aca="false">IFERROR(O927*B927,0)</f>
        <v>264260</v>
      </c>
      <c r="W927" s="32" t="n">
        <f aca="false">IFERROR(N927*B927,0)</f>
        <v>4960</v>
      </c>
      <c r="X927" s="11" t="n">
        <f aca="false">IF(OR(ISNUMBER(SEARCH("live nation",L927)),ISNUMBER(SEARCH("ocesa",L927))),1,0)</f>
        <v>1</v>
      </c>
      <c r="Y927" s="11" t="s">
        <v>49</v>
      </c>
    </row>
    <row r="928" customFormat="false" ht="15" hidden="false" customHeight="false" outlineLevel="0" collapsed="false">
      <c r="A928" s="25" t="n">
        <v>45182</v>
      </c>
      <c r="B928" s="13" t="n">
        <v>2</v>
      </c>
      <c r="C928" s="26" t="s">
        <v>68</v>
      </c>
      <c r="D928" s="26"/>
      <c r="E928" s="13" t="s">
        <v>1146</v>
      </c>
      <c r="F928" s="13" t="s">
        <v>349</v>
      </c>
      <c r="G928" s="13"/>
      <c r="H928" s="13" t="s">
        <v>350</v>
      </c>
      <c r="I928" s="13"/>
      <c r="J928" s="13" t="s">
        <v>97</v>
      </c>
      <c r="K928" s="13" t="s">
        <v>173</v>
      </c>
      <c r="L928" s="13" t="s">
        <v>177</v>
      </c>
      <c r="M928" s="13" t="s">
        <v>100</v>
      </c>
      <c r="N928" s="27" t="n">
        <v>11049</v>
      </c>
      <c r="O928" s="28" t="n">
        <v>1835627.21</v>
      </c>
      <c r="P928" s="27" t="n">
        <v>11049</v>
      </c>
      <c r="Q928" s="29" t="n">
        <v>1</v>
      </c>
      <c r="R928" s="28" t="n">
        <v>59.54</v>
      </c>
      <c r="S928" s="28" t="n">
        <v>221.93</v>
      </c>
      <c r="T928" s="28" t="n">
        <v>166.13</v>
      </c>
      <c r="U928" s="13" t="n">
        <f aca="false">IFERROR(YEAR(A928),"")</f>
        <v>2023</v>
      </c>
      <c r="V928" s="28" t="n">
        <f aca="false">IFERROR(O928*B928,0)</f>
        <v>3671254.42</v>
      </c>
      <c r="W928" s="27" t="n">
        <f aca="false">IFERROR(N928*B928,0)</f>
        <v>22098</v>
      </c>
      <c r="X928" s="13" t="n">
        <f aca="false">IF(OR(ISNUMBER(SEARCH("live nation",L928)),ISNUMBER(SEARCH("ocesa",L928))),1,0)</f>
        <v>1</v>
      </c>
      <c r="Y928" s="13" t="s">
        <v>49</v>
      </c>
    </row>
    <row r="929" customFormat="false" ht="15" hidden="false" customHeight="false" outlineLevel="0" collapsed="false">
      <c r="A929" s="30" t="n">
        <v>45182</v>
      </c>
      <c r="B929" s="11" t="n">
        <v>2</v>
      </c>
      <c r="C929" s="31" t="s">
        <v>64</v>
      </c>
      <c r="D929" s="31"/>
      <c r="E929" s="11" t="s">
        <v>184</v>
      </c>
      <c r="F929" s="11" t="s">
        <v>185</v>
      </c>
      <c r="G929" s="11"/>
      <c r="H929" s="11" t="s">
        <v>21</v>
      </c>
      <c r="I929" s="11"/>
      <c r="J929" s="11" t="s">
        <v>133</v>
      </c>
      <c r="K929" s="11" t="s">
        <v>113</v>
      </c>
      <c r="L929" s="11" t="s">
        <v>145</v>
      </c>
      <c r="M929" s="11" t="s">
        <v>100</v>
      </c>
      <c r="N929" s="32" t="n">
        <v>38287</v>
      </c>
      <c r="O929" s="33" t="n">
        <v>3457745.26</v>
      </c>
      <c r="P929" s="32" t="n">
        <v>43383</v>
      </c>
      <c r="Q929" s="34" t="n">
        <v>0.88</v>
      </c>
      <c r="R929" s="33" t="n">
        <v>81.62</v>
      </c>
      <c r="S929" s="33" t="n">
        <v>146.49</v>
      </c>
      <c r="T929" s="33" t="n">
        <v>90.31</v>
      </c>
      <c r="U929" s="11" t="n">
        <f aca="false">IFERROR(YEAR(A929),"")</f>
        <v>2023</v>
      </c>
      <c r="V929" s="33" t="n">
        <f aca="false">IFERROR(O929*B929,0)</f>
        <v>6915490.52</v>
      </c>
      <c r="W929" s="32" t="n">
        <f aca="false">IFERROR(N929*B929,0)</f>
        <v>76574</v>
      </c>
      <c r="X929" s="11" t="n">
        <f aca="false">IF(OR(ISNUMBER(SEARCH("live nation",L929)),ISNUMBER(SEARCH("ocesa",L929))),1,0)</f>
        <v>0</v>
      </c>
      <c r="Y929" s="11" t="s">
        <v>50</v>
      </c>
    </row>
    <row r="930" customFormat="false" ht="15" hidden="false" customHeight="false" outlineLevel="0" collapsed="false">
      <c r="A930" s="25" t="n">
        <v>45181</v>
      </c>
      <c r="B930" s="13" t="n">
        <v>1</v>
      </c>
      <c r="C930" s="26" t="s">
        <v>875</v>
      </c>
      <c r="D930" s="26"/>
      <c r="E930" s="13" t="s">
        <v>628</v>
      </c>
      <c r="F930" s="13" t="s">
        <v>629</v>
      </c>
      <c r="G930" s="13"/>
      <c r="H930" s="13" t="s">
        <v>630</v>
      </c>
      <c r="I930" s="13"/>
      <c r="J930" s="13" t="s">
        <v>97</v>
      </c>
      <c r="K930" s="13" t="s">
        <v>630</v>
      </c>
      <c r="L930" s="13" t="s">
        <v>177</v>
      </c>
      <c r="M930" s="13" t="s">
        <v>100</v>
      </c>
      <c r="N930" s="27" t="n">
        <v>6274</v>
      </c>
      <c r="O930" s="28" t="n">
        <v>685569.16</v>
      </c>
      <c r="P930" s="27" t="n">
        <v>6950</v>
      </c>
      <c r="Q930" s="29" t="n">
        <v>0.9</v>
      </c>
      <c r="R930" s="28" t="n">
        <v>57.89</v>
      </c>
      <c r="S930" s="28" t="n">
        <v>241.02</v>
      </c>
      <c r="T930" s="28" t="n">
        <v>109.27</v>
      </c>
      <c r="U930" s="13" t="n">
        <f aca="false">IFERROR(YEAR(A930),"")</f>
        <v>2023</v>
      </c>
      <c r="V930" s="28" t="n">
        <f aca="false">IFERROR(O930*B930,0)</f>
        <v>685569.16</v>
      </c>
      <c r="W930" s="27" t="n">
        <f aca="false">IFERROR(N930*B930,0)</f>
        <v>6274</v>
      </c>
      <c r="X930" s="13" t="n">
        <f aca="false">IF(OR(ISNUMBER(SEARCH("live nation",L930)),ISNUMBER(SEARCH("ocesa",L930))),1,0)</f>
        <v>1</v>
      </c>
      <c r="Y930" s="13" t="s">
        <v>49</v>
      </c>
    </row>
    <row r="931" customFormat="false" ht="15" hidden="false" customHeight="false" outlineLevel="0" collapsed="false">
      <c r="A931" s="30" t="n">
        <v>45180</v>
      </c>
      <c r="B931" s="11" t="n">
        <v>1</v>
      </c>
      <c r="C931" s="31" t="s">
        <v>68</v>
      </c>
      <c r="D931" s="31"/>
      <c r="E931" s="11" t="s">
        <v>551</v>
      </c>
      <c r="F931" s="11" t="s">
        <v>552</v>
      </c>
      <c r="G931" s="11"/>
      <c r="H931" s="11" t="s">
        <v>26</v>
      </c>
      <c r="I931" s="11"/>
      <c r="J931" s="11" t="s">
        <v>97</v>
      </c>
      <c r="K931" s="11" t="s">
        <v>173</v>
      </c>
      <c r="L931" s="11" t="s">
        <v>177</v>
      </c>
      <c r="M931" s="11" t="s">
        <v>100</v>
      </c>
      <c r="N931" s="32" t="n">
        <v>13523</v>
      </c>
      <c r="O931" s="33" t="n">
        <v>2104210.33</v>
      </c>
      <c r="P931" s="32" t="n">
        <v>14001</v>
      </c>
      <c r="Q931" s="34" t="n">
        <v>0.96</v>
      </c>
      <c r="R931" s="33" t="n">
        <v>90.94</v>
      </c>
      <c r="S931" s="33" t="n">
        <v>263.61</v>
      </c>
      <c r="T931" s="33" t="n">
        <v>155.6</v>
      </c>
      <c r="U931" s="11" t="n">
        <f aca="false">IFERROR(YEAR(A931),"")</f>
        <v>2023</v>
      </c>
      <c r="V931" s="33" t="n">
        <f aca="false">IFERROR(O931*B931,0)</f>
        <v>2104210.33</v>
      </c>
      <c r="W931" s="32" t="n">
        <f aca="false">IFERROR(N931*B931,0)</f>
        <v>13523</v>
      </c>
      <c r="X931" s="11" t="n">
        <f aca="false">IF(OR(ISNUMBER(SEARCH("live nation",L931)),ISNUMBER(SEARCH("ocesa",L931))),1,0)</f>
        <v>1</v>
      </c>
      <c r="Y931" s="11" t="s">
        <v>49</v>
      </c>
    </row>
    <row r="932" customFormat="false" ht="15" hidden="false" customHeight="false" outlineLevel="0" collapsed="false">
      <c r="A932" s="25" t="n">
        <v>45178</v>
      </c>
      <c r="B932" s="13" t="n">
        <v>1</v>
      </c>
      <c r="C932" s="26" t="s">
        <v>94</v>
      </c>
      <c r="D932" s="26"/>
      <c r="E932" s="13" t="s">
        <v>312</v>
      </c>
      <c r="F932" s="13" t="s">
        <v>313</v>
      </c>
      <c r="G932" s="13"/>
      <c r="H932" s="13" t="s">
        <v>27</v>
      </c>
      <c r="I932" s="13"/>
      <c r="J932" s="13" t="s">
        <v>97</v>
      </c>
      <c r="K932" s="13" t="s">
        <v>314</v>
      </c>
      <c r="L932" s="13" t="s">
        <v>531</v>
      </c>
      <c r="M932" s="13" t="s">
        <v>100</v>
      </c>
      <c r="N932" s="27" t="n">
        <v>9438</v>
      </c>
      <c r="O932" s="28" t="n">
        <v>996480.31</v>
      </c>
      <c r="P932" s="27" t="n">
        <v>9817</v>
      </c>
      <c r="Q932" s="29" t="n">
        <v>0.96</v>
      </c>
      <c r="R932" s="28" t="n">
        <v>56.75</v>
      </c>
      <c r="S932" s="28" t="n">
        <v>252.22</v>
      </c>
      <c r="T932" s="28" t="n">
        <v>105.58</v>
      </c>
      <c r="U932" s="13" t="n">
        <f aca="false">IFERROR(YEAR(A932),"")</f>
        <v>2023</v>
      </c>
      <c r="V932" s="28" t="n">
        <f aca="false">IFERROR(O932*B932,0)</f>
        <v>996480.31</v>
      </c>
      <c r="W932" s="27" t="n">
        <f aca="false">IFERROR(N932*B932,0)</f>
        <v>9438</v>
      </c>
      <c r="X932" s="13" t="n">
        <f aca="false">IF(OR(ISNUMBER(SEARCH("live nation",L932)),ISNUMBER(SEARCH("ocesa",L932))),1,0)</f>
        <v>0</v>
      </c>
      <c r="Y932" s="13" t="s">
        <v>49</v>
      </c>
    </row>
    <row r="933" customFormat="false" ht="15" hidden="false" customHeight="false" outlineLevel="0" collapsed="false">
      <c r="A933" s="30" t="n">
        <v>45177</v>
      </c>
      <c r="B933" s="11" t="n">
        <v>1</v>
      </c>
      <c r="C933" s="31" t="s">
        <v>1124</v>
      </c>
      <c r="D933" s="31" t="s">
        <v>466</v>
      </c>
      <c r="E933" s="11" t="s">
        <v>1147</v>
      </c>
      <c r="F933" s="11" t="s">
        <v>1148</v>
      </c>
      <c r="G933" s="11" t="s">
        <v>281</v>
      </c>
      <c r="H933" s="11" t="s">
        <v>20</v>
      </c>
      <c r="I933" s="11" t="s">
        <v>280</v>
      </c>
      <c r="J933" s="11" t="s">
        <v>97</v>
      </c>
      <c r="K933" s="11" t="s">
        <v>107</v>
      </c>
      <c r="L933" s="11" t="s">
        <v>177</v>
      </c>
      <c r="M933" s="11" t="s">
        <v>277</v>
      </c>
      <c r="N933" s="32" t="n">
        <v>3646</v>
      </c>
      <c r="O933" s="33" t="n">
        <v>192867.5</v>
      </c>
      <c r="P933" s="32" t="n">
        <v>3646</v>
      </c>
      <c r="Q933" s="34" t="n">
        <v>1</v>
      </c>
      <c r="R933" s="33" t="n">
        <v>49.5</v>
      </c>
      <c r="S933" s="33" t="n">
        <v>69.5</v>
      </c>
      <c r="T933" s="33" t="n">
        <v>52.9</v>
      </c>
      <c r="U933" s="11" t="n">
        <f aca="false">IFERROR(YEAR(A933),"")</f>
        <v>2023</v>
      </c>
      <c r="V933" s="33" t="n">
        <f aca="false">IFERROR(O933*B933,0)</f>
        <v>192867.5</v>
      </c>
      <c r="W933" s="32" t="n">
        <f aca="false">IFERROR(N933*B933,0)</f>
        <v>3646</v>
      </c>
      <c r="X933" s="11" t="n">
        <f aca="false">IF(OR(ISNUMBER(SEARCH("live nation",L933)),ISNUMBER(SEARCH("ocesa",L933))),1,0)</f>
        <v>1</v>
      </c>
      <c r="Y933" s="11" t="s">
        <v>49</v>
      </c>
    </row>
    <row r="934" customFormat="false" ht="15" hidden="false" customHeight="false" outlineLevel="0" collapsed="false">
      <c r="A934" s="25" t="n">
        <v>45176</v>
      </c>
      <c r="B934" s="13" t="n">
        <v>2</v>
      </c>
      <c r="C934" s="26" t="s">
        <v>68</v>
      </c>
      <c r="D934" s="26"/>
      <c r="E934" s="13" t="s">
        <v>567</v>
      </c>
      <c r="F934" s="13" t="s">
        <v>313</v>
      </c>
      <c r="G934" s="13"/>
      <c r="H934" s="13" t="s">
        <v>27</v>
      </c>
      <c r="I934" s="13"/>
      <c r="J934" s="13" t="s">
        <v>97</v>
      </c>
      <c r="K934" s="13" t="s">
        <v>314</v>
      </c>
      <c r="L934" s="13" t="s">
        <v>177</v>
      </c>
      <c r="M934" s="13" t="s">
        <v>100</v>
      </c>
      <c r="N934" s="27" t="n">
        <v>14074</v>
      </c>
      <c r="O934" s="28" t="n">
        <v>2881792.57</v>
      </c>
      <c r="P934" s="27" t="n">
        <v>14074</v>
      </c>
      <c r="Q934" s="29" t="n">
        <v>1</v>
      </c>
      <c r="R934" s="28" t="n">
        <v>81.97</v>
      </c>
      <c r="S934" s="28" t="n">
        <v>252.22</v>
      </c>
      <c r="T934" s="28" t="n">
        <v>204.76</v>
      </c>
      <c r="U934" s="13" t="n">
        <f aca="false">IFERROR(YEAR(A934),"")</f>
        <v>2023</v>
      </c>
      <c r="V934" s="28" t="n">
        <f aca="false">IFERROR(O934*B934,0)</f>
        <v>5763585.14</v>
      </c>
      <c r="W934" s="27" t="n">
        <f aca="false">IFERROR(N934*B934,0)</f>
        <v>28148</v>
      </c>
      <c r="X934" s="13" t="n">
        <f aca="false">IF(OR(ISNUMBER(SEARCH("live nation",L934)),ISNUMBER(SEARCH("ocesa",L934))),1,0)</f>
        <v>1</v>
      </c>
      <c r="Y934" s="13" t="s">
        <v>49</v>
      </c>
    </row>
    <row r="935" customFormat="false" ht="15" hidden="false" customHeight="false" outlineLevel="0" collapsed="false">
      <c r="A935" s="30" t="n">
        <v>45175</v>
      </c>
      <c r="B935" s="11" t="n">
        <v>2</v>
      </c>
      <c r="C935" s="31" t="s">
        <v>62</v>
      </c>
      <c r="D935" s="31"/>
      <c r="E935" s="11" t="s">
        <v>184</v>
      </c>
      <c r="F935" s="11" t="s">
        <v>185</v>
      </c>
      <c r="G935" s="11"/>
      <c r="H935" s="11" t="s">
        <v>21</v>
      </c>
      <c r="I935" s="11"/>
      <c r="J935" s="11" t="s">
        <v>133</v>
      </c>
      <c r="K935" s="11" t="s">
        <v>113</v>
      </c>
      <c r="L935" s="11" t="s">
        <v>145</v>
      </c>
      <c r="M935" s="11" t="s">
        <v>100</v>
      </c>
      <c r="N935" s="32" t="n">
        <v>44559</v>
      </c>
      <c r="O935" s="33" t="n">
        <v>4605170.73</v>
      </c>
      <c r="P935" s="32" t="n">
        <v>44599</v>
      </c>
      <c r="Q935" s="34" t="n">
        <v>0.99</v>
      </c>
      <c r="R935" s="33" t="n">
        <v>88.76</v>
      </c>
      <c r="S935" s="33" t="n">
        <v>163.86</v>
      </c>
      <c r="T935" s="33" t="n">
        <v>103.35</v>
      </c>
      <c r="U935" s="11" t="n">
        <f aca="false">IFERROR(YEAR(A935),"")</f>
        <v>2023</v>
      </c>
      <c r="V935" s="33" t="n">
        <f aca="false">IFERROR(O935*B935,0)</f>
        <v>9210341.46</v>
      </c>
      <c r="W935" s="32" t="n">
        <f aca="false">IFERROR(N935*B935,0)</f>
        <v>89118</v>
      </c>
      <c r="X935" s="11" t="n">
        <f aca="false">IF(OR(ISNUMBER(SEARCH("live nation",L935)),ISNUMBER(SEARCH("ocesa",L935))),1,0)</f>
        <v>0</v>
      </c>
      <c r="Y935" s="11" t="s">
        <v>50</v>
      </c>
    </row>
    <row r="936" customFormat="false" ht="15" hidden="false" customHeight="false" outlineLevel="0" collapsed="false">
      <c r="A936" s="25" t="n">
        <v>45171</v>
      </c>
      <c r="B936" s="13" t="n">
        <v>2</v>
      </c>
      <c r="C936" s="26" t="s">
        <v>64</v>
      </c>
      <c r="D936" s="26"/>
      <c r="E936" s="13" t="s">
        <v>369</v>
      </c>
      <c r="F936" s="13" t="s">
        <v>370</v>
      </c>
      <c r="G936" s="13"/>
      <c r="H936" s="13" t="s">
        <v>21</v>
      </c>
      <c r="I936" s="13"/>
      <c r="J936" s="13" t="s">
        <v>133</v>
      </c>
      <c r="K936" s="13" t="s">
        <v>113</v>
      </c>
      <c r="L936" s="13" t="s">
        <v>145</v>
      </c>
      <c r="M936" s="13" t="s">
        <v>100</v>
      </c>
      <c r="N936" s="27" t="n">
        <v>30247</v>
      </c>
      <c r="O936" s="28" t="n">
        <v>2731732.81</v>
      </c>
      <c r="P936" s="27" t="n">
        <v>34294</v>
      </c>
      <c r="Q936" s="29" t="n">
        <v>0.88</v>
      </c>
      <c r="R936" s="28" t="n">
        <v>81.62</v>
      </c>
      <c r="S936" s="28" t="n">
        <v>146.49</v>
      </c>
      <c r="T936" s="28" t="n">
        <v>90.31</v>
      </c>
      <c r="U936" s="13" t="n">
        <f aca="false">IFERROR(YEAR(A936),"")</f>
        <v>2023</v>
      </c>
      <c r="V936" s="28" t="n">
        <f aca="false">IFERROR(O936*B936,0)</f>
        <v>5463465.62</v>
      </c>
      <c r="W936" s="27" t="n">
        <f aca="false">IFERROR(N936*B936,0)</f>
        <v>60494</v>
      </c>
      <c r="X936" s="13" t="n">
        <f aca="false">IF(OR(ISNUMBER(SEARCH("live nation",L936)),ISNUMBER(SEARCH("ocesa",L936))),1,0)</f>
        <v>0</v>
      </c>
      <c r="Y936" s="13" t="s">
        <v>50</v>
      </c>
    </row>
    <row r="937" customFormat="false" ht="15" hidden="false" customHeight="false" outlineLevel="0" collapsed="false">
      <c r="A937" s="30" t="n">
        <v>45168</v>
      </c>
      <c r="B937" s="11" t="n">
        <v>1</v>
      </c>
      <c r="C937" s="31" t="s">
        <v>71</v>
      </c>
      <c r="D937" s="31"/>
      <c r="E937" s="11" t="s">
        <v>155</v>
      </c>
      <c r="F937" s="11" t="s">
        <v>156</v>
      </c>
      <c r="G937" s="11"/>
      <c r="H937" s="11" t="s">
        <v>157</v>
      </c>
      <c r="I937" s="11"/>
      <c r="J937" s="11" t="s">
        <v>97</v>
      </c>
      <c r="K937" s="11" t="s">
        <v>158</v>
      </c>
      <c r="L937" s="11" t="s">
        <v>1149</v>
      </c>
      <c r="M937" s="11" t="s">
        <v>100</v>
      </c>
      <c r="N937" s="32" t="n">
        <v>13666</v>
      </c>
      <c r="O937" s="33" t="n">
        <v>1349331.69</v>
      </c>
      <c r="P937" s="32" t="n">
        <v>16522</v>
      </c>
      <c r="Q937" s="34" t="n">
        <v>0.82</v>
      </c>
      <c r="R937" s="33" t="n">
        <v>46.8</v>
      </c>
      <c r="S937" s="33" t="n">
        <v>157.95</v>
      </c>
      <c r="T937" s="33" t="n">
        <v>98.74</v>
      </c>
      <c r="U937" s="11" t="n">
        <f aca="false">IFERROR(YEAR(A937),"")</f>
        <v>2023</v>
      </c>
      <c r="V937" s="33" t="n">
        <f aca="false">IFERROR(O937*B937,0)</f>
        <v>1349331.69</v>
      </c>
      <c r="W937" s="32" t="n">
        <f aca="false">IFERROR(N937*B937,0)</f>
        <v>13666</v>
      </c>
      <c r="X937" s="11" t="n">
        <f aca="false">IF(OR(ISNUMBER(SEARCH("live nation",L937)),ISNUMBER(SEARCH("ocesa",L937))),1,0)</f>
        <v>0</v>
      </c>
      <c r="Y937" s="11" t="s">
        <v>49</v>
      </c>
    </row>
    <row r="938" customFormat="false" ht="15" hidden="false" customHeight="false" outlineLevel="0" collapsed="false">
      <c r="A938" s="25" t="n">
        <v>45164</v>
      </c>
      <c r="B938" s="13" t="n">
        <v>1</v>
      </c>
      <c r="C938" s="26" t="s">
        <v>71</v>
      </c>
      <c r="D938" s="26"/>
      <c r="E938" s="13" t="s">
        <v>1069</v>
      </c>
      <c r="F938" s="13" t="s">
        <v>582</v>
      </c>
      <c r="G938" s="13"/>
      <c r="H938" s="13" t="s">
        <v>583</v>
      </c>
      <c r="I938" s="13"/>
      <c r="J938" s="13" t="s">
        <v>133</v>
      </c>
      <c r="K938" s="13" t="s">
        <v>584</v>
      </c>
      <c r="L938" s="13" t="s">
        <v>903</v>
      </c>
      <c r="M938" s="13" t="s">
        <v>100</v>
      </c>
      <c r="N938" s="27" t="n">
        <v>24786</v>
      </c>
      <c r="O938" s="28" t="n">
        <v>2326070.41</v>
      </c>
      <c r="P938" s="27" t="n">
        <v>37642</v>
      </c>
      <c r="Q938" s="29" t="n">
        <v>0.65</v>
      </c>
      <c r="R938" s="28" t="n">
        <v>81.07</v>
      </c>
      <c r="S938" s="28" t="n">
        <v>205.8</v>
      </c>
      <c r="T938" s="28" t="n">
        <v>93.85</v>
      </c>
      <c r="U938" s="13" t="n">
        <f aca="false">IFERROR(YEAR(A938),"")</f>
        <v>2023</v>
      </c>
      <c r="V938" s="28" t="n">
        <f aca="false">IFERROR(O938*B938,0)</f>
        <v>2326070.41</v>
      </c>
      <c r="W938" s="27" t="n">
        <f aca="false">IFERROR(N938*B938,0)</f>
        <v>24786</v>
      </c>
      <c r="X938" s="13" t="n">
        <f aca="false">IF(OR(ISNUMBER(SEARCH("live nation",L938)),ISNUMBER(SEARCH("ocesa",L938))),1,0)</f>
        <v>0</v>
      </c>
      <c r="Y938" s="13" t="s">
        <v>49</v>
      </c>
    </row>
    <row r="939" customFormat="false" ht="15" hidden="false" customHeight="false" outlineLevel="0" collapsed="false">
      <c r="A939" s="30" t="n">
        <v>45164</v>
      </c>
      <c r="B939" s="11" t="n">
        <v>1</v>
      </c>
      <c r="C939" s="31" t="s">
        <v>921</v>
      </c>
      <c r="D939" s="31" t="s">
        <v>1150</v>
      </c>
      <c r="E939" s="11" t="s">
        <v>355</v>
      </c>
      <c r="F939" s="11" t="s">
        <v>356</v>
      </c>
      <c r="G939" s="11" t="s">
        <v>139</v>
      </c>
      <c r="H939" s="11" t="s">
        <v>20</v>
      </c>
      <c r="I939" s="11" t="s">
        <v>139</v>
      </c>
      <c r="J939" s="11" t="s">
        <v>97</v>
      </c>
      <c r="K939" s="11" t="s">
        <v>107</v>
      </c>
      <c r="L939" s="11" t="s">
        <v>1151</v>
      </c>
      <c r="M939" s="11" t="s">
        <v>100</v>
      </c>
      <c r="N939" s="32" t="n">
        <v>4625</v>
      </c>
      <c r="O939" s="33" t="n">
        <v>457465.5</v>
      </c>
      <c r="P939" s="32" t="n">
        <v>5486</v>
      </c>
      <c r="Q939" s="34" t="n">
        <v>0.84</v>
      </c>
      <c r="R939" s="33" t="n">
        <v>59</v>
      </c>
      <c r="S939" s="33" t="n">
        <v>255</v>
      </c>
      <c r="T939" s="33" t="n">
        <v>98.91</v>
      </c>
      <c r="U939" s="11" t="n">
        <f aca="false">IFERROR(YEAR(A939),"")</f>
        <v>2023</v>
      </c>
      <c r="V939" s="33" t="n">
        <f aca="false">IFERROR(O939*B939,0)</f>
        <v>457465.5</v>
      </c>
      <c r="W939" s="32" t="n">
        <f aca="false">IFERROR(N939*B939,0)</f>
        <v>4625</v>
      </c>
      <c r="X939" s="11" t="n">
        <f aca="false">IF(OR(ISNUMBER(SEARCH("live nation",L939)),ISNUMBER(SEARCH("ocesa",L939))),1,0)</f>
        <v>0</v>
      </c>
      <c r="Y939" s="11" t="s">
        <v>49</v>
      </c>
    </row>
    <row r="940" customFormat="false" ht="15" hidden="false" customHeight="false" outlineLevel="0" collapsed="false">
      <c r="A940" s="25" t="n">
        <v>45161</v>
      </c>
      <c r="B940" s="13" t="n">
        <v>1</v>
      </c>
      <c r="C940" s="26" t="s">
        <v>71</v>
      </c>
      <c r="D940" s="26"/>
      <c r="E940" s="13" t="s">
        <v>460</v>
      </c>
      <c r="F940" s="13" t="s">
        <v>132</v>
      </c>
      <c r="G940" s="13"/>
      <c r="H940" s="13" t="s">
        <v>23</v>
      </c>
      <c r="I940" s="13"/>
      <c r="J940" s="13" t="s">
        <v>97</v>
      </c>
      <c r="K940" s="13" t="s">
        <v>134</v>
      </c>
      <c r="L940" s="13" t="s">
        <v>461</v>
      </c>
      <c r="M940" s="13" t="s">
        <v>100</v>
      </c>
      <c r="N940" s="27" t="n">
        <v>17129</v>
      </c>
      <c r="O940" s="28" t="n">
        <v>2418110.17</v>
      </c>
      <c r="P940" s="27" t="n">
        <v>19747</v>
      </c>
      <c r="Q940" s="29" t="n">
        <v>0.86</v>
      </c>
      <c r="R940" s="28" t="n">
        <v>35.2</v>
      </c>
      <c r="S940" s="28" t="n">
        <v>214.19</v>
      </c>
      <c r="T940" s="28" t="n">
        <v>141.17</v>
      </c>
      <c r="U940" s="13" t="n">
        <f aca="false">IFERROR(YEAR(A940),"")</f>
        <v>2023</v>
      </c>
      <c r="V940" s="28" t="n">
        <f aca="false">IFERROR(O940*B940,0)</f>
        <v>2418110.17</v>
      </c>
      <c r="W940" s="27" t="n">
        <f aca="false">IFERROR(N940*B940,0)</f>
        <v>17129</v>
      </c>
      <c r="X940" s="13" t="n">
        <f aca="false">IF(OR(ISNUMBER(SEARCH("live nation",L940)),ISNUMBER(SEARCH("ocesa",L940))),1,0)</f>
        <v>0</v>
      </c>
      <c r="Y940" s="13" t="s">
        <v>49</v>
      </c>
    </row>
    <row r="941" customFormat="false" ht="15" hidden="false" customHeight="false" outlineLevel="0" collapsed="false">
      <c r="A941" s="30" t="n">
        <v>45156</v>
      </c>
      <c r="B941" s="11" t="n">
        <v>1</v>
      </c>
      <c r="C941" s="31" t="s">
        <v>69</v>
      </c>
      <c r="D941" s="31"/>
      <c r="E941" s="11" t="s">
        <v>772</v>
      </c>
      <c r="F941" s="11" t="s">
        <v>395</v>
      </c>
      <c r="G941" s="11" t="s">
        <v>396</v>
      </c>
      <c r="H941" s="11" t="s">
        <v>20</v>
      </c>
      <c r="I941" s="11" t="s">
        <v>395</v>
      </c>
      <c r="J941" s="11" t="s">
        <v>133</v>
      </c>
      <c r="K941" s="11" t="s">
        <v>107</v>
      </c>
      <c r="L941" s="11" t="s">
        <v>531</v>
      </c>
      <c r="M941" s="11" t="s">
        <v>100</v>
      </c>
      <c r="N941" s="32" t="n">
        <v>44171</v>
      </c>
      <c r="O941" s="33" t="n">
        <v>11429129.74</v>
      </c>
      <c r="P941" s="32" t="n">
        <v>65000</v>
      </c>
      <c r="Q941" s="34" t="n">
        <v>0.67</v>
      </c>
      <c r="R941" s="33" t="n">
        <v>259</v>
      </c>
      <c r="S941" s="33" t="n">
        <v>259</v>
      </c>
      <c r="T941" s="33" t="n">
        <v>258.75</v>
      </c>
      <c r="U941" s="11" t="n">
        <f aca="false">IFERROR(YEAR(A941),"")</f>
        <v>2023</v>
      </c>
      <c r="V941" s="33" t="n">
        <f aca="false">IFERROR(O941*B941,0)</f>
        <v>11429129.74</v>
      </c>
      <c r="W941" s="32" t="n">
        <f aca="false">IFERROR(N941*B941,0)</f>
        <v>44171</v>
      </c>
      <c r="X941" s="11" t="n">
        <f aca="false">IF(OR(ISNUMBER(SEARCH("live nation",L941)),ISNUMBER(SEARCH("ocesa",L941))),1,0)</f>
        <v>0</v>
      </c>
      <c r="Y941" s="11" t="s">
        <v>49</v>
      </c>
    </row>
    <row r="942" customFormat="false" ht="15" hidden="false" customHeight="false" outlineLevel="0" collapsed="false">
      <c r="A942" s="25" t="n">
        <v>45156</v>
      </c>
      <c r="B942" s="13" t="n">
        <v>3</v>
      </c>
      <c r="C942" s="26" t="s">
        <v>968</v>
      </c>
      <c r="D942" s="26"/>
      <c r="E942" s="13" t="s">
        <v>970</v>
      </c>
      <c r="F942" s="13" t="s">
        <v>203</v>
      </c>
      <c r="G942" s="13" t="s">
        <v>202</v>
      </c>
      <c r="H942" s="13" t="s">
        <v>20</v>
      </c>
      <c r="I942" s="13" t="s">
        <v>203</v>
      </c>
      <c r="J942" s="13" t="s">
        <v>97</v>
      </c>
      <c r="K942" s="13" t="s">
        <v>107</v>
      </c>
      <c r="L942" s="13" t="s">
        <v>791</v>
      </c>
      <c r="M942" s="13" t="s">
        <v>100</v>
      </c>
      <c r="N942" s="27" t="n">
        <v>14751</v>
      </c>
      <c r="O942" s="28" t="n">
        <v>2784686.67</v>
      </c>
      <c r="P942" s="27" t="n">
        <v>16426</v>
      </c>
      <c r="Q942" s="29" t="n">
        <v>0.89</v>
      </c>
      <c r="R942" s="28" t="n">
        <v>98.35</v>
      </c>
      <c r="S942" s="28" t="n">
        <v>517.5</v>
      </c>
      <c r="T942" s="28" t="n">
        <v>188.78</v>
      </c>
      <c r="U942" s="13" t="n">
        <f aca="false">IFERROR(YEAR(A942),"")</f>
        <v>2023</v>
      </c>
      <c r="V942" s="28" t="n">
        <f aca="false">IFERROR(O942*B942,0)</f>
        <v>8354060.01</v>
      </c>
      <c r="W942" s="27" t="n">
        <f aca="false">IFERROR(N942*B942,0)</f>
        <v>44253</v>
      </c>
      <c r="X942" s="13" t="n">
        <f aca="false">IF(OR(ISNUMBER(SEARCH("live nation",L942)),ISNUMBER(SEARCH("ocesa",L942))),1,0)</f>
        <v>0</v>
      </c>
      <c r="Y942" s="13" t="s">
        <v>49</v>
      </c>
    </row>
    <row r="943" customFormat="false" ht="15" hidden="false" customHeight="false" outlineLevel="0" collapsed="false">
      <c r="A943" s="30" t="n">
        <v>45155</v>
      </c>
      <c r="B943" s="11" t="n">
        <v>1</v>
      </c>
      <c r="C943" s="31" t="s">
        <v>94</v>
      </c>
      <c r="D943" s="31"/>
      <c r="E943" s="11" t="s">
        <v>487</v>
      </c>
      <c r="F943" s="11" t="s">
        <v>207</v>
      </c>
      <c r="G943" s="11" t="s">
        <v>208</v>
      </c>
      <c r="H943" s="11" t="s">
        <v>20</v>
      </c>
      <c r="I943" s="11" t="s">
        <v>209</v>
      </c>
      <c r="J943" s="11" t="s">
        <v>121</v>
      </c>
      <c r="K943" s="11" t="s">
        <v>107</v>
      </c>
      <c r="L943" s="11" t="s">
        <v>531</v>
      </c>
      <c r="M943" s="11" t="s">
        <v>100</v>
      </c>
      <c r="N943" s="32" t="n">
        <v>4292</v>
      </c>
      <c r="O943" s="33" t="n">
        <v>611325</v>
      </c>
      <c r="P943" s="32" t="n">
        <v>4292</v>
      </c>
      <c r="Q943" s="34" t="n">
        <v>1</v>
      </c>
      <c r="R943" s="33" t="n">
        <v>65</v>
      </c>
      <c r="S943" s="33" t="n">
        <v>275</v>
      </c>
      <c r="T943" s="33" t="n">
        <v>142.43</v>
      </c>
      <c r="U943" s="11" t="n">
        <f aca="false">IFERROR(YEAR(A943),"")</f>
        <v>2023</v>
      </c>
      <c r="V943" s="33" t="n">
        <f aca="false">IFERROR(O943*B943,0)</f>
        <v>611325</v>
      </c>
      <c r="W943" s="32" t="n">
        <f aca="false">IFERROR(N943*B943,0)</f>
        <v>4292</v>
      </c>
      <c r="X943" s="11" t="n">
        <f aca="false">IF(OR(ISNUMBER(SEARCH("live nation",L943)),ISNUMBER(SEARCH("ocesa",L943))),1,0)</f>
        <v>0</v>
      </c>
      <c r="Y943" s="11" t="s">
        <v>49</v>
      </c>
    </row>
    <row r="944" customFormat="false" ht="15" hidden="false" customHeight="false" outlineLevel="0" collapsed="false">
      <c r="A944" s="25" t="n">
        <v>45153</v>
      </c>
      <c r="B944" s="13" t="n">
        <v>1</v>
      </c>
      <c r="C944" s="26" t="s">
        <v>94</v>
      </c>
      <c r="D944" s="26"/>
      <c r="E944" s="13" t="s">
        <v>731</v>
      </c>
      <c r="F944" s="13" t="s">
        <v>346</v>
      </c>
      <c r="G944" s="13" t="s">
        <v>347</v>
      </c>
      <c r="H944" s="13" t="s">
        <v>20</v>
      </c>
      <c r="I944" s="13" t="s">
        <v>346</v>
      </c>
      <c r="J944" s="13" t="s">
        <v>121</v>
      </c>
      <c r="K944" s="13" t="s">
        <v>107</v>
      </c>
      <c r="L944" s="13" t="s">
        <v>531</v>
      </c>
      <c r="M944" s="13" t="s">
        <v>100</v>
      </c>
      <c r="N944" s="27" t="n">
        <v>2732</v>
      </c>
      <c r="O944" s="28" t="n">
        <v>366145</v>
      </c>
      <c r="P944" s="27" t="n">
        <v>4359</v>
      </c>
      <c r="Q944" s="29" t="n">
        <v>0.62</v>
      </c>
      <c r="R944" s="28" t="n">
        <v>65</v>
      </c>
      <c r="S944" s="28" t="n">
        <v>275</v>
      </c>
      <c r="T944" s="28" t="n">
        <v>134.02</v>
      </c>
      <c r="U944" s="13" t="n">
        <f aca="false">IFERROR(YEAR(A944),"")</f>
        <v>2023</v>
      </c>
      <c r="V944" s="28" t="n">
        <f aca="false">IFERROR(O944*B944,0)</f>
        <v>366145</v>
      </c>
      <c r="W944" s="27" t="n">
        <f aca="false">IFERROR(N944*B944,0)</f>
        <v>2732</v>
      </c>
      <c r="X944" s="13" t="n">
        <f aca="false">IF(OR(ISNUMBER(SEARCH("live nation",L944)),ISNUMBER(SEARCH("ocesa",L944))),1,0)</f>
        <v>0</v>
      </c>
      <c r="Y944" s="13" t="s">
        <v>49</v>
      </c>
    </row>
    <row r="945" customFormat="false" ht="15" hidden="false" customHeight="false" outlineLevel="0" collapsed="false">
      <c r="A945" s="30" t="n">
        <v>45151</v>
      </c>
      <c r="B945" s="11" t="n">
        <v>1</v>
      </c>
      <c r="C945" s="31" t="s">
        <v>63</v>
      </c>
      <c r="D945" s="31"/>
      <c r="E945" s="11" t="s">
        <v>1152</v>
      </c>
      <c r="F945" s="11" t="s">
        <v>284</v>
      </c>
      <c r="G945" s="11"/>
      <c r="H945" s="11" t="s">
        <v>285</v>
      </c>
      <c r="I945" s="11"/>
      <c r="J945" s="11" t="s">
        <v>97</v>
      </c>
      <c r="K945" s="11" t="s">
        <v>134</v>
      </c>
      <c r="L945" s="11" t="s">
        <v>145</v>
      </c>
      <c r="M945" s="11" t="s">
        <v>100</v>
      </c>
      <c r="N945" s="32" t="n">
        <v>10886</v>
      </c>
      <c r="O945" s="33" t="n">
        <v>1721071.01</v>
      </c>
      <c r="P945" s="32" t="n">
        <v>21384</v>
      </c>
      <c r="Q945" s="34" t="n">
        <v>0.5</v>
      </c>
      <c r="R945" s="33" t="n">
        <v>68.7</v>
      </c>
      <c r="S945" s="33" t="n">
        <v>325.2</v>
      </c>
      <c r="T945" s="33" t="n">
        <v>158.1</v>
      </c>
      <c r="U945" s="11" t="n">
        <f aca="false">IFERROR(YEAR(A945),"")</f>
        <v>2023</v>
      </c>
      <c r="V945" s="33" t="n">
        <f aca="false">IFERROR(O945*B945,0)</f>
        <v>1721071.01</v>
      </c>
      <c r="W945" s="32" t="n">
        <f aca="false">IFERROR(N945*B945,0)</f>
        <v>10886</v>
      </c>
      <c r="X945" s="11" t="n">
        <f aca="false">IF(OR(ISNUMBER(SEARCH("live nation",L945)),ISNUMBER(SEARCH("ocesa",L945))),1,0)</f>
        <v>0</v>
      </c>
      <c r="Y945" s="11" t="s">
        <v>50</v>
      </c>
    </row>
    <row r="946" customFormat="false" ht="15" hidden="false" customHeight="false" outlineLevel="0" collapsed="false">
      <c r="A946" s="25" t="n">
        <v>45151</v>
      </c>
      <c r="B946" s="13" t="n">
        <v>1</v>
      </c>
      <c r="C946" s="26" t="s">
        <v>94</v>
      </c>
      <c r="D946" s="26"/>
      <c r="E946" s="13" t="s">
        <v>1120</v>
      </c>
      <c r="F946" s="13" t="s">
        <v>139</v>
      </c>
      <c r="G946" s="13" t="s">
        <v>139</v>
      </c>
      <c r="H946" s="13" t="s">
        <v>20</v>
      </c>
      <c r="I946" s="13" t="s">
        <v>139</v>
      </c>
      <c r="J946" s="13" t="s">
        <v>121</v>
      </c>
      <c r="K946" s="13" t="s">
        <v>107</v>
      </c>
      <c r="L946" s="13" t="s">
        <v>531</v>
      </c>
      <c r="M946" s="13" t="s">
        <v>100</v>
      </c>
      <c r="N946" s="27" t="n">
        <v>5175</v>
      </c>
      <c r="O946" s="28" t="n">
        <v>758380</v>
      </c>
      <c r="P946" s="27" t="n">
        <v>5175</v>
      </c>
      <c r="Q946" s="29" t="n">
        <v>1</v>
      </c>
      <c r="R946" s="28" t="n">
        <v>71</v>
      </c>
      <c r="S946" s="28" t="n">
        <v>71</v>
      </c>
      <c r="T946" s="28" t="n">
        <v>146.55</v>
      </c>
      <c r="U946" s="13" t="n">
        <f aca="false">IFERROR(YEAR(A946),"")</f>
        <v>2023</v>
      </c>
      <c r="V946" s="28" t="n">
        <f aca="false">IFERROR(O946*B946,0)</f>
        <v>758380</v>
      </c>
      <c r="W946" s="27" t="n">
        <f aca="false">IFERROR(N946*B946,0)</f>
        <v>5175</v>
      </c>
      <c r="X946" s="13" t="n">
        <f aca="false">IF(OR(ISNUMBER(SEARCH("live nation",L946)),ISNUMBER(SEARCH("ocesa",L946))),1,0)</f>
        <v>0</v>
      </c>
      <c r="Y946" s="13" t="s">
        <v>49</v>
      </c>
    </row>
    <row r="947" customFormat="false" ht="15" hidden="false" customHeight="false" outlineLevel="0" collapsed="false">
      <c r="A947" s="30" t="n">
        <v>45147</v>
      </c>
      <c r="B947" s="11" t="n">
        <v>1</v>
      </c>
      <c r="C947" s="31" t="s">
        <v>63</v>
      </c>
      <c r="D947" s="31"/>
      <c r="E947" s="11" t="s">
        <v>1153</v>
      </c>
      <c r="F947" s="11" t="s">
        <v>673</v>
      </c>
      <c r="G947" s="11"/>
      <c r="H947" s="11" t="s">
        <v>674</v>
      </c>
      <c r="I947" s="11"/>
      <c r="J947" s="11" t="s">
        <v>133</v>
      </c>
      <c r="K947" s="11" t="s">
        <v>675</v>
      </c>
      <c r="L947" s="11" t="s">
        <v>145</v>
      </c>
      <c r="M947" s="11" t="s">
        <v>100</v>
      </c>
      <c r="N947" s="32" t="n">
        <v>7231</v>
      </c>
      <c r="O947" s="33" t="n">
        <v>1159697.05</v>
      </c>
      <c r="P947" s="32" t="n">
        <v>7996</v>
      </c>
      <c r="Q947" s="34" t="n">
        <v>0.9</v>
      </c>
      <c r="R947" s="33" t="n">
        <v>103.25</v>
      </c>
      <c r="S947" s="33" t="n">
        <v>206.51</v>
      </c>
      <c r="T947" s="33" t="n">
        <v>160.38</v>
      </c>
      <c r="U947" s="11" t="n">
        <f aca="false">IFERROR(YEAR(A947),"")</f>
        <v>2023</v>
      </c>
      <c r="V947" s="33" t="n">
        <f aca="false">IFERROR(O947*B947,0)</f>
        <v>1159697.05</v>
      </c>
      <c r="W947" s="32" t="n">
        <f aca="false">IFERROR(N947*B947,0)</f>
        <v>7231</v>
      </c>
      <c r="X947" s="11" t="n">
        <f aca="false">IF(OR(ISNUMBER(SEARCH("live nation",L947)),ISNUMBER(SEARCH("ocesa",L947))),1,0)</f>
        <v>0</v>
      </c>
      <c r="Y947" s="11" t="s">
        <v>50</v>
      </c>
    </row>
    <row r="948" customFormat="false" ht="15" hidden="false" customHeight="false" outlineLevel="0" collapsed="false">
      <c r="A948" s="25" t="n">
        <v>45144</v>
      </c>
      <c r="B948" s="13" t="n">
        <v>1</v>
      </c>
      <c r="C948" s="26" t="s">
        <v>94</v>
      </c>
      <c r="D948" s="26"/>
      <c r="E948" s="13" t="s">
        <v>790</v>
      </c>
      <c r="F948" s="13" t="s">
        <v>203</v>
      </c>
      <c r="G948" s="13" t="s">
        <v>202</v>
      </c>
      <c r="H948" s="13" t="s">
        <v>20</v>
      </c>
      <c r="I948" s="13" t="s">
        <v>203</v>
      </c>
      <c r="J948" s="13" t="s">
        <v>121</v>
      </c>
      <c r="K948" s="13" t="s">
        <v>107</v>
      </c>
      <c r="L948" s="13" t="s">
        <v>531</v>
      </c>
      <c r="M948" s="13" t="s">
        <v>100</v>
      </c>
      <c r="N948" s="27" t="n">
        <v>6360</v>
      </c>
      <c r="O948" s="28" t="n">
        <v>806139</v>
      </c>
      <c r="P948" s="27" t="n">
        <v>6797</v>
      </c>
      <c r="Q948" s="29" t="n">
        <v>0.93</v>
      </c>
      <c r="R948" s="28" t="n">
        <v>71</v>
      </c>
      <c r="S948" s="28" t="n">
        <v>281</v>
      </c>
      <c r="T948" s="28" t="n">
        <v>126.75</v>
      </c>
      <c r="U948" s="13" t="n">
        <f aca="false">IFERROR(YEAR(A948),"")</f>
        <v>2023</v>
      </c>
      <c r="V948" s="28" t="n">
        <f aca="false">IFERROR(O948*B948,0)</f>
        <v>806139</v>
      </c>
      <c r="W948" s="27" t="n">
        <f aca="false">IFERROR(N948*B948,0)</f>
        <v>6360</v>
      </c>
      <c r="X948" s="13" t="n">
        <f aca="false">IF(OR(ISNUMBER(SEARCH("live nation",L948)),ISNUMBER(SEARCH("ocesa",L948))),1,0)</f>
        <v>0</v>
      </c>
      <c r="Y948" s="13" t="s">
        <v>49</v>
      </c>
    </row>
    <row r="949" customFormat="false" ht="15" hidden="false" customHeight="false" outlineLevel="0" collapsed="false">
      <c r="A949" s="30" t="n">
        <v>45142</v>
      </c>
      <c r="B949" s="11" t="n">
        <v>1</v>
      </c>
      <c r="C949" s="31" t="s">
        <v>94</v>
      </c>
      <c r="D949" s="31"/>
      <c r="E949" s="11" t="s">
        <v>1136</v>
      </c>
      <c r="F949" s="11" t="s">
        <v>535</v>
      </c>
      <c r="G949" s="11" t="s">
        <v>202</v>
      </c>
      <c r="H949" s="11" t="s">
        <v>20</v>
      </c>
      <c r="I949" s="11" t="s">
        <v>232</v>
      </c>
      <c r="J949" s="11" t="s">
        <v>121</v>
      </c>
      <c r="K949" s="11" t="s">
        <v>107</v>
      </c>
      <c r="L949" s="11" t="s">
        <v>671</v>
      </c>
      <c r="M949" s="11" t="s">
        <v>100</v>
      </c>
      <c r="N949" s="32" t="n">
        <v>5244</v>
      </c>
      <c r="O949" s="33" t="n">
        <v>751096.23</v>
      </c>
      <c r="P949" s="32" t="n">
        <v>5244</v>
      </c>
      <c r="Q949" s="34" t="n">
        <v>1</v>
      </c>
      <c r="R949" s="33" t="n">
        <v>70.5</v>
      </c>
      <c r="S949" s="33" t="n">
        <v>280.5</v>
      </c>
      <c r="T949" s="33" t="n">
        <v>143.23</v>
      </c>
      <c r="U949" s="11" t="n">
        <f aca="false">IFERROR(YEAR(A949),"")</f>
        <v>2023</v>
      </c>
      <c r="V949" s="33" t="n">
        <f aca="false">IFERROR(O949*B949,0)</f>
        <v>751096.23</v>
      </c>
      <c r="W949" s="32" t="n">
        <f aca="false">IFERROR(N949*B949,0)</f>
        <v>5244</v>
      </c>
      <c r="X949" s="11" t="n">
        <f aca="false">IF(OR(ISNUMBER(SEARCH("live nation",L949)),ISNUMBER(SEARCH("ocesa",L949))),1,0)</f>
        <v>0</v>
      </c>
      <c r="Y949" s="11" t="s">
        <v>49</v>
      </c>
    </row>
    <row r="950" customFormat="false" ht="15" hidden="false" customHeight="false" outlineLevel="0" collapsed="false">
      <c r="A950" s="25" t="n">
        <v>45142</v>
      </c>
      <c r="B950" s="13" t="n">
        <v>1</v>
      </c>
      <c r="C950" s="26" t="s">
        <v>1154</v>
      </c>
      <c r="D950" s="26" t="s">
        <v>1155</v>
      </c>
      <c r="E950" s="13" t="s">
        <v>544</v>
      </c>
      <c r="F950" s="13" t="s">
        <v>209</v>
      </c>
      <c r="G950" s="13" t="s">
        <v>208</v>
      </c>
      <c r="H950" s="13" t="s">
        <v>20</v>
      </c>
      <c r="I950" s="13" t="s">
        <v>209</v>
      </c>
      <c r="J950" s="13" t="s">
        <v>106</v>
      </c>
      <c r="K950" s="13" t="s">
        <v>107</v>
      </c>
      <c r="L950" s="13" t="s">
        <v>1156</v>
      </c>
      <c r="M950" s="13" t="s">
        <v>742</v>
      </c>
      <c r="N950" s="27" t="n">
        <v>1425</v>
      </c>
      <c r="O950" s="28" t="n">
        <v>62700</v>
      </c>
      <c r="P950" s="27" t="n">
        <v>1425</v>
      </c>
      <c r="Q950" s="29" t="n">
        <v>1</v>
      </c>
      <c r="R950" s="28" t="n">
        <v>44</v>
      </c>
      <c r="S950" s="28" t="n">
        <v>44</v>
      </c>
      <c r="T950" s="28" t="n">
        <v>44</v>
      </c>
      <c r="U950" s="13" t="n">
        <f aca="false">IFERROR(YEAR(A950),"")</f>
        <v>2023</v>
      </c>
      <c r="V950" s="28" t="n">
        <f aca="false">IFERROR(O950*B950,0)</f>
        <v>62700</v>
      </c>
      <c r="W950" s="27" t="n">
        <f aca="false">IFERROR(N950*B950,0)</f>
        <v>1425</v>
      </c>
      <c r="X950" s="13" t="n">
        <f aca="false">IF(OR(ISNUMBER(SEARCH("live nation",L950)),ISNUMBER(SEARCH("ocesa",L950))),1,0)</f>
        <v>0</v>
      </c>
      <c r="Y950" s="13" t="s">
        <v>49</v>
      </c>
    </row>
    <row r="951" customFormat="false" ht="15" hidden="false" customHeight="false" outlineLevel="0" collapsed="false">
      <c r="A951" s="30" t="n">
        <v>45142</v>
      </c>
      <c r="B951" s="11" t="n">
        <v>3</v>
      </c>
      <c r="C951" s="31" t="s">
        <v>1157</v>
      </c>
      <c r="D951" s="31"/>
      <c r="E951" s="11" t="s">
        <v>1046</v>
      </c>
      <c r="F951" s="11" t="s">
        <v>147</v>
      </c>
      <c r="G951" s="11"/>
      <c r="H951" s="11" t="s">
        <v>24</v>
      </c>
      <c r="I951" s="11"/>
      <c r="J951" s="11" t="s">
        <v>97</v>
      </c>
      <c r="K951" s="11" t="s">
        <v>148</v>
      </c>
      <c r="L951" s="11" t="s">
        <v>145</v>
      </c>
      <c r="M951" s="11" t="s">
        <v>100</v>
      </c>
      <c r="N951" s="32" t="n">
        <v>12841</v>
      </c>
      <c r="O951" s="33" t="n">
        <v>1859623.52</v>
      </c>
      <c r="P951" s="32" t="n">
        <v>12841</v>
      </c>
      <c r="Q951" s="34" t="n">
        <v>1</v>
      </c>
      <c r="R951" s="33" t="n">
        <v>130.41</v>
      </c>
      <c r="S951" s="33" t="n">
        <v>173.87</v>
      </c>
      <c r="T951" s="33" t="n">
        <v>144.82</v>
      </c>
      <c r="U951" s="11" t="n">
        <f aca="false">IFERROR(YEAR(A951),"")</f>
        <v>2023</v>
      </c>
      <c r="V951" s="33" t="n">
        <f aca="false">IFERROR(O951*B951,0)</f>
        <v>5578870.56</v>
      </c>
      <c r="W951" s="32" t="n">
        <f aca="false">IFERROR(N951*B951,0)</f>
        <v>38523</v>
      </c>
      <c r="X951" s="11" t="n">
        <f aca="false">IF(OR(ISNUMBER(SEARCH("live nation",L951)),ISNUMBER(SEARCH("ocesa",L951))),1,0)</f>
        <v>0</v>
      </c>
      <c r="Y951" s="11" t="s">
        <v>50</v>
      </c>
    </row>
    <row r="952" customFormat="false" ht="15" hidden="false" customHeight="false" outlineLevel="0" collapsed="false">
      <c r="A952" s="25" t="n">
        <v>45140</v>
      </c>
      <c r="B952" s="13" t="n">
        <v>1</v>
      </c>
      <c r="C952" s="26" t="s">
        <v>1158</v>
      </c>
      <c r="D952" s="26"/>
      <c r="E952" s="13" t="s">
        <v>1159</v>
      </c>
      <c r="F952" s="13" t="s">
        <v>1160</v>
      </c>
      <c r="G952" s="13" t="s">
        <v>1003</v>
      </c>
      <c r="H952" s="13" t="s">
        <v>20</v>
      </c>
      <c r="I952" s="13" t="s">
        <v>1004</v>
      </c>
      <c r="J952" s="13" t="s">
        <v>1161</v>
      </c>
      <c r="K952" s="13" t="s">
        <v>107</v>
      </c>
      <c r="L952" s="13" t="s">
        <v>1162</v>
      </c>
      <c r="M952" s="13" t="s">
        <v>100</v>
      </c>
      <c r="N952" s="27" t="n">
        <v>915</v>
      </c>
      <c r="O952" s="28" t="n">
        <v>56819</v>
      </c>
      <c r="P952" s="27" t="n">
        <v>2760</v>
      </c>
      <c r="Q952" s="29" t="n">
        <v>0.33</v>
      </c>
      <c r="R952" s="28" t="n">
        <v>42.5</v>
      </c>
      <c r="S952" s="28" t="n">
        <v>105</v>
      </c>
      <c r="T952" s="28" t="n">
        <v>62.1</v>
      </c>
      <c r="U952" s="13" t="n">
        <f aca="false">IFERROR(YEAR(A952),"")</f>
        <v>2023</v>
      </c>
      <c r="V952" s="28" t="n">
        <f aca="false">IFERROR(O952*B952,0)</f>
        <v>56819</v>
      </c>
      <c r="W952" s="27" t="n">
        <f aca="false">IFERROR(N952*B952,0)</f>
        <v>915</v>
      </c>
      <c r="X952" s="13" t="n">
        <f aca="false">IF(OR(ISNUMBER(SEARCH("live nation",L952)),ISNUMBER(SEARCH("ocesa",L952))),1,0)</f>
        <v>0</v>
      </c>
      <c r="Y952" s="13" t="s">
        <v>49</v>
      </c>
    </row>
    <row r="953" customFormat="false" ht="15" hidden="false" customHeight="false" outlineLevel="0" collapsed="false">
      <c r="A953" s="30" t="n">
        <v>45137</v>
      </c>
      <c r="B953" s="11" t="n">
        <v>1</v>
      </c>
      <c r="C953" s="31" t="s">
        <v>1158</v>
      </c>
      <c r="D953" s="31"/>
      <c r="E953" s="11" t="s">
        <v>1163</v>
      </c>
      <c r="F953" s="11" t="s">
        <v>1164</v>
      </c>
      <c r="G953" s="11" t="s">
        <v>1165</v>
      </c>
      <c r="H953" s="11" t="s">
        <v>20</v>
      </c>
      <c r="I953" s="11" t="s">
        <v>1166</v>
      </c>
      <c r="J953" s="11" t="s">
        <v>275</v>
      </c>
      <c r="K953" s="11" t="s">
        <v>107</v>
      </c>
      <c r="L953" s="11" t="s">
        <v>1167</v>
      </c>
      <c r="M953" s="11" t="s">
        <v>100</v>
      </c>
      <c r="N953" s="32" t="n">
        <v>2014</v>
      </c>
      <c r="O953" s="33" t="n">
        <v>98615</v>
      </c>
      <c r="P953" s="32" t="n">
        <v>3108</v>
      </c>
      <c r="Q953" s="34" t="n">
        <v>0.64</v>
      </c>
      <c r="R953" s="33" t="n">
        <v>35</v>
      </c>
      <c r="S953" s="33" t="n">
        <v>100</v>
      </c>
      <c r="T953" s="33" t="n">
        <v>48.96</v>
      </c>
      <c r="U953" s="11" t="n">
        <f aca="false">IFERROR(YEAR(A953),"")</f>
        <v>2023</v>
      </c>
      <c r="V953" s="33" t="n">
        <f aca="false">IFERROR(O953*B953,0)</f>
        <v>98615</v>
      </c>
      <c r="W953" s="32" t="n">
        <f aca="false">IFERROR(N953*B953,0)</f>
        <v>2014</v>
      </c>
      <c r="X953" s="11" t="n">
        <f aca="false">IF(OR(ISNUMBER(SEARCH("live nation",L953)),ISNUMBER(SEARCH("ocesa",L953))),1,0)</f>
        <v>0</v>
      </c>
      <c r="Y953" s="11" t="s">
        <v>49</v>
      </c>
    </row>
    <row r="954" customFormat="false" ht="15" hidden="false" customHeight="false" outlineLevel="0" collapsed="false">
      <c r="A954" s="25" t="n">
        <v>45136</v>
      </c>
      <c r="B954" s="13" t="n">
        <v>2</v>
      </c>
      <c r="C954" s="26" t="s">
        <v>64</v>
      </c>
      <c r="D954" s="26"/>
      <c r="E954" s="13" t="s">
        <v>1046</v>
      </c>
      <c r="F954" s="13" t="s">
        <v>147</v>
      </c>
      <c r="G954" s="13"/>
      <c r="H954" s="13" t="s">
        <v>24</v>
      </c>
      <c r="I954" s="13"/>
      <c r="J954" s="13" t="s">
        <v>97</v>
      </c>
      <c r="K954" s="13" t="s">
        <v>148</v>
      </c>
      <c r="L954" s="13" t="s">
        <v>145</v>
      </c>
      <c r="M954" s="13" t="s">
        <v>100</v>
      </c>
      <c r="N954" s="27" t="n">
        <v>7688</v>
      </c>
      <c r="O954" s="28" t="n">
        <v>994698.38</v>
      </c>
      <c r="P954" s="27" t="n">
        <v>7688</v>
      </c>
      <c r="Q954" s="29" t="n">
        <v>1</v>
      </c>
      <c r="R954" s="28" t="n">
        <v>121.71</v>
      </c>
      <c r="S954" s="28" t="n">
        <v>156.49</v>
      </c>
      <c r="T954" s="28" t="n">
        <v>129.38</v>
      </c>
      <c r="U954" s="13" t="n">
        <f aca="false">IFERROR(YEAR(A954),"")</f>
        <v>2023</v>
      </c>
      <c r="V954" s="28" t="n">
        <f aca="false">IFERROR(O954*B954,0)</f>
        <v>1989396.76</v>
      </c>
      <c r="W954" s="27" t="n">
        <f aca="false">IFERROR(N954*B954,0)</f>
        <v>15376</v>
      </c>
      <c r="X954" s="13" t="n">
        <f aca="false">IF(OR(ISNUMBER(SEARCH("live nation",L954)),ISNUMBER(SEARCH("ocesa",L954))),1,0)</f>
        <v>0</v>
      </c>
      <c r="Y954" s="13" t="s">
        <v>50</v>
      </c>
    </row>
    <row r="955" customFormat="false" ht="15" hidden="false" customHeight="false" outlineLevel="0" collapsed="false">
      <c r="A955" s="30" t="n">
        <v>45132</v>
      </c>
      <c r="B955" s="11" t="n">
        <v>1</v>
      </c>
      <c r="C955" s="31" t="s">
        <v>410</v>
      </c>
      <c r="D955" s="31"/>
      <c r="E955" s="11" t="s">
        <v>1101</v>
      </c>
      <c r="F955" s="11" t="s">
        <v>1102</v>
      </c>
      <c r="G955" s="11" t="s">
        <v>1103</v>
      </c>
      <c r="H955" s="11" t="s">
        <v>20</v>
      </c>
      <c r="I955" s="11" t="s">
        <v>1102</v>
      </c>
      <c r="J955" s="11" t="s">
        <v>121</v>
      </c>
      <c r="K955" s="11" t="s">
        <v>107</v>
      </c>
      <c r="L955" s="11" t="s">
        <v>177</v>
      </c>
      <c r="M955" s="11" t="s">
        <v>109</v>
      </c>
      <c r="N955" s="32" t="n">
        <v>1345</v>
      </c>
      <c r="O955" s="33" t="n">
        <v>111495</v>
      </c>
      <c r="P955" s="32" t="n">
        <v>2597</v>
      </c>
      <c r="Q955" s="34" t="n">
        <v>0.51</v>
      </c>
      <c r="R955" s="33" t="n">
        <v>15</v>
      </c>
      <c r="S955" s="33" t="n">
        <v>125</v>
      </c>
      <c r="T955" s="33" t="n">
        <v>82.9</v>
      </c>
      <c r="U955" s="11" t="n">
        <f aca="false">IFERROR(YEAR(A955),"")</f>
        <v>2023</v>
      </c>
      <c r="V955" s="33" t="n">
        <f aca="false">IFERROR(O955*B955,0)</f>
        <v>111495</v>
      </c>
      <c r="W955" s="32" t="n">
        <f aca="false">IFERROR(N955*B955,0)</f>
        <v>1345</v>
      </c>
      <c r="X955" s="11" t="n">
        <f aca="false">IF(OR(ISNUMBER(SEARCH("live nation",L955)),ISNUMBER(SEARCH("ocesa",L955))),1,0)</f>
        <v>1</v>
      </c>
      <c r="Y955" s="11" t="s">
        <v>49</v>
      </c>
    </row>
    <row r="956" customFormat="false" ht="15" hidden="false" customHeight="false" outlineLevel="0" collapsed="false">
      <c r="A956" s="25" t="n">
        <v>45130</v>
      </c>
      <c r="B956" s="13" t="n">
        <v>1</v>
      </c>
      <c r="C956" s="26" t="s">
        <v>410</v>
      </c>
      <c r="D956" s="26"/>
      <c r="E956" s="13" t="s">
        <v>540</v>
      </c>
      <c r="F956" s="13" t="s">
        <v>209</v>
      </c>
      <c r="G956" s="13" t="s">
        <v>208</v>
      </c>
      <c r="H956" s="13" t="s">
        <v>20</v>
      </c>
      <c r="I956" s="13" t="s">
        <v>209</v>
      </c>
      <c r="J956" s="13" t="s">
        <v>121</v>
      </c>
      <c r="K956" s="13" t="s">
        <v>107</v>
      </c>
      <c r="L956" s="13" t="s">
        <v>390</v>
      </c>
      <c r="M956" s="13" t="s">
        <v>109</v>
      </c>
      <c r="N956" s="27" t="n">
        <v>1786</v>
      </c>
      <c r="O956" s="28" t="n">
        <v>146868</v>
      </c>
      <c r="P956" s="27" t="n">
        <v>3553</v>
      </c>
      <c r="Q956" s="29" t="n">
        <v>0.5</v>
      </c>
      <c r="R956" s="28" t="n">
        <v>64</v>
      </c>
      <c r="S956" s="28" t="n">
        <v>200</v>
      </c>
      <c r="T956" s="28" t="n">
        <v>82.23</v>
      </c>
      <c r="U956" s="13" t="n">
        <f aca="false">IFERROR(YEAR(A956),"")</f>
        <v>2023</v>
      </c>
      <c r="V956" s="28" t="n">
        <f aca="false">IFERROR(O956*B956,0)</f>
        <v>146868</v>
      </c>
      <c r="W956" s="27" t="n">
        <f aca="false">IFERROR(N956*B956,0)</f>
        <v>1786</v>
      </c>
      <c r="X956" s="13" t="n">
        <f aca="false">IF(OR(ISNUMBER(SEARCH("live nation",L956)),ISNUMBER(SEARCH("ocesa",L956))),1,0)</f>
        <v>0</v>
      </c>
      <c r="Y956" s="13" t="s">
        <v>49</v>
      </c>
    </row>
    <row r="957" customFormat="false" ht="15" hidden="false" customHeight="false" outlineLevel="0" collapsed="false">
      <c r="A957" s="30" t="n">
        <v>45128</v>
      </c>
      <c r="B957" s="11" t="n">
        <v>2</v>
      </c>
      <c r="C957" s="31" t="s">
        <v>62</v>
      </c>
      <c r="D957" s="31"/>
      <c r="E957" s="11" t="s">
        <v>568</v>
      </c>
      <c r="F957" s="11" t="s">
        <v>147</v>
      </c>
      <c r="G957" s="11"/>
      <c r="H957" s="11" t="s">
        <v>24</v>
      </c>
      <c r="I957" s="11"/>
      <c r="J957" s="11" t="s">
        <v>133</v>
      </c>
      <c r="K957" s="11" t="s">
        <v>148</v>
      </c>
      <c r="L957" s="11" t="s">
        <v>145</v>
      </c>
      <c r="M957" s="11" t="s">
        <v>100</v>
      </c>
      <c r="N957" s="32" t="n">
        <v>17170</v>
      </c>
      <c r="O957" s="33" t="n">
        <v>2054532.08</v>
      </c>
      <c r="P957" s="32" t="n">
        <v>17170</v>
      </c>
      <c r="Q957" s="34" t="n">
        <v>1</v>
      </c>
      <c r="R957" s="33" t="n">
        <v>121.71</v>
      </c>
      <c r="S957" s="33" t="n">
        <v>156.49</v>
      </c>
      <c r="T957" s="33" t="n">
        <v>119.65</v>
      </c>
      <c r="U957" s="11" t="n">
        <f aca="false">IFERROR(YEAR(A957),"")</f>
        <v>2023</v>
      </c>
      <c r="V957" s="33" t="n">
        <f aca="false">IFERROR(O957*B957,0)</f>
        <v>4109064.16</v>
      </c>
      <c r="W957" s="32" t="n">
        <f aca="false">IFERROR(N957*B957,0)</f>
        <v>34340</v>
      </c>
      <c r="X957" s="11" t="n">
        <f aca="false">IF(OR(ISNUMBER(SEARCH("live nation",L957)),ISNUMBER(SEARCH("ocesa",L957))),1,0)</f>
        <v>0</v>
      </c>
      <c r="Y957" s="11" t="s">
        <v>50</v>
      </c>
    </row>
    <row r="958" customFormat="false" ht="15" hidden="false" customHeight="false" outlineLevel="0" collapsed="false">
      <c r="A958" s="25" t="n">
        <v>45126</v>
      </c>
      <c r="B958" s="13" t="n">
        <v>1</v>
      </c>
      <c r="C958" s="26" t="s">
        <v>410</v>
      </c>
      <c r="D958" s="26"/>
      <c r="E958" s="13" t="s">
        <v>1085</v>
      </c>
      <c r="F958" s="13" t="s">
        <v>228</v>
      </c>
      <c r="G958" s="13" t="s">
        <v>229</v>
      </c>
      <c r="H958" s="13" t="s">
        <v>20</v>
      </c>
      <c r="I958" s="13" t="s">
        <v>190</v>
      </c>
      <c r="J958" s="13" t="s">
        <v>121</v>
      </c>
      <c r="K958" s="13" t="s">
        <v>107</v>
      </c>
      <c r="L958" s="13" t="s">
        <v>1144</v>
      </c>
      <c r="M958" s="13" t="s">
        <v>109</v>
      </c>
      <c r="N958" s="27" t="n">
        <v>1547</v>
      </c>
      <c r="O958" s="28" t="n">
        <v>159819</v>
      </c>
      <c r="P958" s="27" t="n">
        <v>1742</v>
      </c>
      <c r="Q958" s="29" t="n">
        <v>0.88</v>
      </c>
      <c r="R958" s="28" t="n">
        <v>59</v>
      </c>
      <c r="S958" s="28" t="n">
        <v>199</v>
      </c>
      <c r="T958" s="28" t="n">
        <v>103.31</v>
      </c>
      <c r="U958" s="13" t="n">
        <f aca="false">IFERROR(YEAR(A958),"")</f>
        <v>2023</v>
      </c>
      <c r="V958" s="28" t="n">
        <f aca="false">IFERROR(O958*B958,0)</f>
        <v>159819</v>
      </c>
      <c r="W958" s="27" t="n">
        <f aca="false">IFERROR(N958*B958,0)</f>
        <v>1547</v>
      </c>
      <c r="X958" s="13" t="n">
        <f aca="false">IF(OR(ISNUMBER(SEARCH("live nation",L958)),ISNUMBER(SEARCH("ocesa",L958))),1,0)</f>
        <v>1</v>
      </c>
      <c r="Y958" s="13" t="s">
        <v>49</v>
      </c>
    </row>
    <row r="959" customFormat="false" ht="15" hidden="false" customHeight="false" outlineLevel="0" collapsed="false">
      <c r="A959" s="30" t="n">
        <v>45124</v>
      </c>
      <c r="B959" s="11" t="n">
        <v>1</v>
      </c>
      <c r="C959" s="31" t="s">
        <v>410</v>
      </c>
      <c r="D959" s="31"/>
      <c r="E959" s="11" t="s">
        <v>1120</v>
      </c>
      <c r="F959" s="11" t="s">
        <v>139</v>
      </c>
      <c r="G959" s="11" t="s">
        <v>139</v>
      </c>
      <c r="H959" s="11" t="s">
        <v>20</v>
      </c>
      <c r="I959" s="11" t="s">
        <v>139</v>
      </c>
      <c r="J959" s="11" t="s">
        <v>121</v>
      </c>
      <c r="K959" s="11" t="s">
        <v>107</v>
      </c>
      <c r="L959" s="11" t="s">
        <v>390</v>
      </c>
      <c r="M959" s="11" t="s">
        <v>109</v>
      </c>
      <c r="N959" s="32" t="n">
        <v>1539</v>
      </c>
      <c r="O959" s="33" t="n">
        <v>147175</v>
      </c>
      <c r="P959" s="32" t="n">
        <v>3554</v>
      </c>
      <c r="Q959" s="34" t="n">
        <v>0.43</v>
      </c>
      <c r="R959" s="33" t="n">
        <v>60</v>
      </c>
      <c r="S959" s="33" t="n">
        <v>195</v>
      </c>
      <c r="T959" s="33" t="n">
        <v>95.63</v>
      </c>
      <c r="U959" s="11" t="n">
        <f aca="false">IFERROR(YEAR(A959),"")</f>
        <v>2023</v>
      </c>
      <c r="V959" s="33" t="n">
        <f aca="false">IFERROR(O959*B959,0)</f>
        <v>147175</v>
      </c>
      <c r="W959" s="32" t="n">
        <f aca="false">IFERROR(N959*B959,0)</f>
        <v>1539</v>
      </c>
      <c r="X959" s="11" t="n">
        <f aca="false">IF(OR(ISNUMBER(SEARCH("live nation",L959)),ISNUMBER(SEARCH("ocesa",L959))),1,0)</f>
        <v>0</v>
      </c>
      <c r="Y959" s="11" t="s">
        <v>49</v>
      </c>
    </row>
    <row r="960" customFormat="false" ht="15" hidden="false" customHeight="false" outlineLevel="0" collapsed="false">
      <c r="A960" s="25" t="n">
        <v>45118</v>
      </c>
      <c r="B960" s="13" t="n">
        <v>1</v>
      </c>
      <c r="C960" s="26" t="s">
        <v>1158</v>
      </c>
      <c r="D960" s="26"/>
      <c r="E960" s="13" t="s">
        <v>1168</v>
      </c>
      <c r="F960" s="13" t="s">
        <v>1169</v>
      </c>
      <c r="G960" s="13" t="s">
        <v>221</v>
      </c>
      <c r="H960" s="13" t="s">
        <v>20</v>
      </c>
      <c r="I960" s="13" t="s">
        <v>139</v>
      </c>
      <c r="J960" s="13" t="s">
        <v>121</v>
      </c>
      <c r="K960" s="13" t="s">
        <v>107</v>
      </c>
      <c r="L960" s="13" t="s">
        <v>122</v>
      </c>
      <c r="M960" s="13" t="s">
        <v>100</v>
      </c>
      <c r="N960" s="27" t="n">
        <v>820</v>
      </c>
      <c r="O960" s="28" t="n">
        <v>52522.5</v>
      </c>
      <c r="P960" s="27" t="n">
        <v>1371</v>
      </c>
      <c r="Q960" s="29" t="n">
        <v>0.59</v>
      </c>
      <c r="R960" s="28" t="n">
        <v>35</v>
      </c>
      <c r="S960" s="28" t="n">
        <v>95</v>
      </c>
      <c r="T960" s="28" t="n">
        <v>64.05</v>
      </c>
      <c r="U960" s="13" t="n">
        <f aca="false">IFERROR(YEAR(A960),"")</f>
        <v>2023</v>
      </c>
      <c r="V960" s="28" t="n">
        <f aca="false">IFERROR(O960*B960,0)</f>
        <v>52522.5</v>
      </c>
      <c r="W960" s="27" t="n">
        <f aca="false">IFERROR(N960*B960,0)</f>
        <v>820</v>
      </c>
      <c r="X960" s="13" t="n">
        <f aca="false">IF(OR(ISNUMBER(SEARCH("live nation",L960)),ISNUMBER(SEARCH("ocesa",L960))),1,0)</f>
        <v>0</v>
      </c>
      <c r="Y960" s="13" t="s">
        <v>49</v>
      </c>
    </row>
    <row r="961" customFormat="false" ht="15" hidden="false" customHeight="false" outlineLevel="0" collapsed="false">
      <c r="A961" s="30" t="n">
        <v>45116</v>
      </c>
      <c r="B961" s="11" t="n">
        <v>1</v>
      </c>
      <c r="C961" s="31" t="s">
        <v>68</v>
      </c>
      <c r="D961" s="31"/>
      <c r="E961" s="11" t="s">
        <v>688</v>
      </c>
      <c r="F961" s="11" t="s">
        <v>346</v>
      </c>
      <c r="G961" s="11" t="s">
        <v>347</v>
      </c>
      <c r="H961" s="11" t="s">
        <v>20</v>
      </c>
      <c r="I961" s="11" t="s">
        <v>346</v>
      </c>
      <c r="J961" s="11" t="s">
        <v>133</v>
      </c>
      <c r="K961" s="11" t="s">
        <v>107</v>
      </c>
      <c r="L961" s="11" t="s">
        <v>177</v>
      </c>
      <c r="M961" s="11" t="s">
        <v>100</v>
      </c>
      <c r="N961" s="32" t="n">
        <v>28568</v>
      </c>
      <c r="O961" s="33" t="n">
        <v>4297650</v>
      </c>
      <c r="P961" s="32" t="n">
        <v>28568</v>
      </c>
      <c r="Q961" s="34" t="n">
        <v>1</v>
      </c>
      <c r="R961" s="33" t="n">
        <v>54.5</v>
      </c>
      <c r="S961" s="33" t="n">
        <v>224.5</v>
      </c>
      <c r="T961" s="33" t="n">
        <v>150.44</v>
      </c>
      <c r="U961" s="11" t="n">
        <f aca="false">IFERROR(YEAR(A961),"")</f>
        <v>2023</v>
      </c>
      <c r="V961" s="33" t="n">
        <f aca="false">IFERROR(O961*B961,0)</f>
        <v>4297650</v>
      </c>
      <c r="W961" s="32" t="n">
        <f aca="false">IFERROR(N961*B961,0)</f>
        <v>28568</v>
      </c>
      <c r="X961" s="11" t="n">
        <f aca="false">IF(OR(ISNUMBER(SEARCH("live nation",L961)),ISNUMBER(SEARCH("ocesa",L961))),1,0)</f>
        <v>1</v>
      </c>
      <c r="Y961" s="11" t="s">
        <v>49</v>
      </c>
    </row>
    <row r="962" customFormat="false" ht="15" hidden="false" customHeight="false" outlineLevel="0" collapsed="false">
      <c r="A962" s="25" t="n">
        <v>45113</v>
      </c>
      <c r="B962" s="13" t="n">
        <v>1</v>
      </c>
      <c r="C962" s="26" t="s">
        <v>68</v>
      </c>
      <c r="D962" s="26"/>
      <c r="E962" s="13" t="s">
        <v>1170</v>
      </c>
      <c r="F962" s="13" t="s">
        <v>1171</v>
      </c>
      <c r="G962" s="13" t="s">
        <v>221</v>
      </c>
      <c r="H962" s="13" t="s">
        <v>20</v>
      </c>
      <c r="I962" s="13" t="s">
        <v>139</v>
      </c>
      <c r="J962" s="13" t="s">
        <v>133</v>
      </c>
      <c r="K962" s="13" t="s">
        <v>107</v>
      </c>
      <c r="L962" s="13" t="s">
        <v>177</v>
      </c>
      <c r="M962" s="13" t="s">
        <v>100</v>
      </c>
      <c r="N962" s="27" t="n">
        <v>47907</v>
      </c>
      <c r="O962" s="28" t="n">
        <v>7557127</v>
      </c>
      <c r="P962" s="27" t="n">
        <v>47907</v>
      </c>
      <c r="Q962" s="29" t="n">
        <v>1</v>
      </c>
      <c r="R962" s="28" t="n">
        <v>53.5</v>
      </c>
      <c r="S962" s="28" t="n">
        <v>223.5</v>
      </c>
      <c r="T962" s="28" t="n">
        <v>157.75</v>
      </c>
      <c r="U962" s="13" t="n">
        <f aca="false">IFERROR(YEAR(A962),"")</f>
        <v>2023</v>
      </c>
      <c r="V962" s="28" t="n">
        <f aca="false">IFERROR(O962*B962,0)</f>
        <v>7557127</v>
      </c>
      <c r="W962" s="27" t="n">
        <f aca="false">IFERROR(N962*B962,0)</f>
        <v>47907</v>
      </c>
      <c r="X962" s="13" t="n">
        <f aca="false">IF(OR(ISNUMBER(SEARCH("live nation",L962)),ISNUMBER(SEARCH("ocesa",L962))),1,0)</f>
        <v>1</v>
      </c>
      <c r="Y962" s="13" t="s">
        <v>49</v>
      </c>
    </row>
    <row r="963" customFormat="false" ht="15" hidden="false" customHeight="false" outlineLevel="0" collapsed="false">
      <c r="A963" s="30" t="n">
        <v>45113</v>
      </c>
      <c r="B963" s="11" t="n">
        <v>1</v>
      </c>
      <c r="C963" s="31" t="s">
        <v>559</v>
      </c>
      <c r="D963" s="31"/>
      <c r="E963" s="11" t="s">
        <v>155</v>
      </c>
      <c r="F963" s="11" t="s">
        <v>156</v>
      </c>
      <c r="G963" s="11"/>
      <c r="H963" s="11" t="s">
        <v>157</v>
      </c>
      <c r="I963" s="11"/>
      <c r="J963" s="11" t="s">
        <v>97</v>
      </c>
      <c r="K963" s="11" t="s">
        <v>158</v>
      </c>
      <c r="L963" s="11" t="s">
        <v>1172</v>
      </c>
      <c r="M963" s="11" t="s">
        <v>100</v>
      </c>
      <c r="N963" s="32" t="n">
        <v>9062</v>
      </c>
      <c r="O963" s="33" t="n">
        <v>898772.83</v>
      </c>
      <c r="P963" s="32" t="n">
        <v>16522</v>
      </c>
      <c r="Q963" s="34" t="n">
        <v>0.54</v>
      </c>
      <c r="R963" s="33" t="n">
        <v>37.65</v>
      </c>
      <c r="S963" s="33" t="n">
        <v>188.25</v>
      </c>
      <c r="T963" s="33" t="n">
        <v>99.18</v>
      </c>
      <c r="U963" s="11" t="n">
        <f aca="false">IFERROR(YEAR(A963),"")</f>
        <v>2023</v>
      </c>
      <c r="V963" s="33" t="n">
        <f aca="false">IFERROR(O963*B963,0)</f>
        <v>898772.83</v>
      </c>
      <c r="W963" s="32" t="n">
        <f aca="false">IFERROR(N963*B963,0)</f>
        <v>9062</v>
      </c>
      <c r="X963" s="11" t="n">
        <f aca="false">IF(OR(ISNUMBER(SEARCH("live nation",L963)),ISNUMBER(SEARCH("ocesa",L963))),1,0)</f>
        <v>0</v>
      </c>
      <c r="Y963" s="11" t="s">
        <v>49</v>
      </c>
    </row>
    <row r="964" customFormat="false" ht="15" hidden="false" customHeight="false" outlineLevel="0" collapsed="false">
      <c r="A964" s="25" t="n">
        <v>45109</v>
      </c>
      <c r="B964" s="13" t="n">
        <v>2</v>
      </c>
      <c r="C964" s="26" t="s">
        <v>68</v>
      </c>
      <c r="D964" s="26"/>
      <c r="E964" s="13" t="s">
        <v>838</v>
      </c>
      <c r="F964" s="13" t="s">
        <v>550</v>
      </c>
      <c r="G964" s="13" t="s">
        <v>328</v>
      </c>
      <c r="H964" s="13" t="s">
        <v>128</v>
      </c>
      <c r="I964" s="13"/>
      <c r="J964" s="13" t="s">
        <v>97</v>
      </c>
      <c r="K964" s="13" t="s">
        <v>129</v>
      </c>
      <c r="L964" s="13" t="s">
        <v>177</v>
      </c>
      <c r="M964" s="13" t="s">
        <v>100</v>
      </c>
      <c r="N964" s="27" t="n">
        <v>12573</v>
      </c>
      <c r="O964" s="28" t="n">
        <v>1640792.71</v>
      </c>
      <c r="P964" s="27" t="n">
        <v>12573</v>
      </c>
      <c r="Q964" s="29" t="n">
        <v>1</v>
      </c>
      <c r="R964" s="28" t="n">
        <v>52.46</v>
      </c>
      <c r="S964" s="28" t="n">
        <v>188.33</v>
      </c>
      <c r="T964" s="28" t="n">
        <v>130.5</v>
      </c>
      <c r="U964" s="13" t="n">
        <f aca="false">IFERROR(YEAR(A964),"")</f>
        <v>2023</v>
      </c>
      <c r="V964" s="28" t="n">
        <f aca="false">IFERROR(O964*B964,0)</f>
        <v>3281585.42</v>
      </c>
      <c r="W964" s="27" t="n">
        <f aca="false">IFERROR(N964*B964,0)</f>
        <v>25146</v>
      </c>
      <c r="X964" s="13" t="n">
        <f aca="false">IF(OR(ISNUMBER(SEARCH("live nation",L964)),ISNUMBER(SEARCH("ocesa",L964))),1,0)</f>
        <v>1</v>
      </c>
      <c r="Y964" s="13" t="s">
        <v>49</v>
      </c>
    </row>
    <row r="965" customFormat="false" ht="15" hidden="false" customHeight="false" outlineLevel="0" collapsed="false">
      <c r="A965" s="30" t="n">
        <v>45108</v>
      </c>
      <c r="B965" s="11" t="n">
        <v>2</v>
      </c>
      <c r="C965" s="31" t="s">
        <v>63</v>
      </c>
      <c r="D965" s="31"/>
      <c r="E965" s="11" t="s">
        <v>369</v>
      </c>
      <c r="F965" s="11" t="s">
        <v>370</v>
      </c>
      <c r="G965" s="11"/>
      <c r="H965" s="11" t="s">
        <v>21</v>
      </c>
      <c r="I965" s="11"/>
      <c r="J965" s="11" t="s">
        <v>133</v>
      </c>
      <c r="K965" s="11" t="s">
        <v>113</v>
      </c>
      <c r="L965" s="11" t="s">
        <v>145</v>
      </c>
      <c r="M965" s="11" t="s">
        <v>100</v>
      </c>
      <c r="N965" s="32" t="n">
        <v>35878</v>
      </c>
      <c r="O965" s="33" t="n">
        <v>3284898.94</v>
      </c>
      <c r="P965" s="32" t="n">
        <v>35878</v>
      </c>
      <c r="Q965" s="34" t="n">
        <v>1</v>
      </c>
      <c r="R965" s="33" t="n">
        <v>0.57</v>
      </c>
      <c r="S965" s="33" t="n">
        <v>1.03</v>
      </c>
      <c r="T965" s="33" t="n">
        <v>91.56</v>
      </c>
      <c r="U965" s="11" t="n">
        <f aca="false">IFERROR(YEAR(A965),"")</f>
        <v>2023</v>
      </c>
      <c r="V965" s="33" t="n">
        <f aca="false">IFERROR(O965*B965,0)</f>
        <v>6569797.88</v>
      </c>
      <c r="W965" s="32" t="n">
        <f aca="false">IFERROR(N965*B965,0)</f>
        <v>71756</v>
      </c>
      <c r="X965" s="11" t="n">
        <f aca="false">IF(OR(ISNUMBER(SEARCH("live nation",L965)),ISNUMBER(SEARCH("ocesa",L965))),1,0)</f>
        <v>0</v>
      </c>
      <c r="Y965" s="11" t="s">
        <v>50</v>
      </c>
    </row>
    <row r="966" customFormat="false" ht="15" hidden="false" customHeight="false" outlineLevel="0" collapsed="false">
      <c r="A966" s="25" t="n">
        <v>45105</v>
      </c>
      <c r="B966" s="13" t="n">
        <v>2</v>
      </c>
      <c r="C966" s="26" t="s">
        <v>68</v>
      </c>
      <c r="D966" s="26"/>
      <c r="E966" s="13" t="s">
        <v>592</v>
      </c>
      <c r="F966" s="13" t="s">
        <v>209</v>
      </c>
      <c r="G966" s="13" t="s">
        <v>208</v>
      </c>
      <c r="H966" s="13" t="s">
        <v>20</v>
      </c>
      <c r="I966" s="13" t="s">
        <v>209</v>
      </c>
      <c r="J966" s="13" t="s">
        <v>97</v>
      </c>
      <c r="K966" s="13" t="s">
        <v>107</v>
      </c>
      <c r="L966" s="13" t="s">
        <v>177</v>
      </c>
      <c r="M966" s="13" t="s">
        <v>100</v>
      </c>
      <c r="N966" s="27" t="n">
        <v>11131</v>
      </c>
      <c r="O966" s="28" t="n">
        <v>1717124</v>
      </c>
      <c r="P966" s="27" t="n">
        <v>11131</v>
      </c>
      <c r="Q966" s="29" t="n">
        <v>1</v>
      </c>
      <c r="R966" s="28" t="n">
        <v>55.5</v>
      </c>
      <c r="S966" s="28" t="n">
        <v>225.5</v>
      </c>
      <c r="T966" s="28" t="n">
        <v>154.26</v>
      </c>
      <c r="U966" s="13" t="n">
        <f aca="false">IFERROR(YEAR(A966),"")</f>
        <v>2023</v>
      </c>
      <c r="V966" s="28" t="n">
        <f aca="false">IFERROR(O966*B966,0)</f>
        <v>3434248</v>
      </c>
      <c r="W966" s="27" t="n">
        <f aca="false">IFERROR(N966*B966,0)</f>
        <v>22262</v>
      </c>
      <c r="X966" s="13" t="n">
        <f aca="false">IF(OR(ISNUMBER(SEARCH("live nation",L966)),ISNUMBER(SEARCH("ocesa",L966))),1,0)</f>
        <v>1</v>
      </c>
      <c r="Y966" s="13" t="s">
        <v>49</v>
      </c>
    </row>
    <row r="967" customFormat="false" ht="15" hidden="false" customHeight="false" outlineLevel="0" collapsed="false">
      <c r="A967" s="30" t="n">
        <v>45105</v>
      </c>
      <c r="B967" s="11" t="n">
        <v>1</v>
      </c>
      <c r="C967" s="31" t="s">
        <v>380</v>
      </c>
      <c r="D967" s="31"/>
      <c r="E967" s="11" t="s">
        <v>1173</v>
      </c>
      <c r="F967" s="11" t="s">
        <v>463</v>
      </c>
      <c r="G967" s="11"/>
      <c r="H967" s="11" t="s">
        <v>23</v>
      </c>
      <c r="I967" s="11"/>
      <c r="J967" s="11" t="s">
        <v>121</v>
      </c>
      <c r="K967" s="11" t="s">
        <v>134</v>
      </c>
      <c r="L967" s="11" t="s">
        <v>122</v>
      </c>
      <c r="M967" s="11" t="s">
        <v>100</v>
      </c>
      <c r="N967" s="32" t="n">
        <v>1260</v>
      </c>
      <c r="O967" s="33" t="n">
        <v>109535.87</v>
      </c>
      <c r="P967" s="32" t="n">
        <v>2379</v>
      </c>
      <c r="Q967" s="34" t="n">
        <v>0.52</v>
      </c>
      <c r="R967" s="33" t="n">
        <v>59.63</v>
      </c>
      <c r="S967" s="33" t="n">
        <v>86</v>
      </c>
      <c r="T967" s="33" t="n">
        <v>86.93</v>
      </c>
      <c r="U967" s="11" t="n">
        <f aca="false">IFERROR(YEAR(A967),"")</f>
        <v>2023</v>
      </c>
      <c r="V967" s="33" t="n">
        <f aca="false">IFERROR(O967*B967,0)</f>
        <v>109535.87</v>
      </c>
      <c r="W967" s="32" t="n">
        <f aca="false">IFERROR(N967*B967,0)</f>
        <v>1260</v>
      </c>
      <c r="X967" s="11" t="n">
        <f aca="false">IF(OR(ISNUMBER(SEARCH("live nation",L967)),ISNUMBER(SEARCH("ocesa",L967))),1,0)</f>
        <v>0</v>
      </c>
      <c r="Y967" s="11" t="s">
        <v>49</v>
      </c>
    </row>
    <row r="968" customFormat="false" ht="15" hidden="false" customHeight="false" outlineLevel="0" collapsed="false">
      <c r="A968" s="25" t="n">
        <v>45101</v>
      </c>
      <c r="B968" s="13" t="n">
        <v>2</v>
      </c>
      <c r="C968" s="26" t="s">
        <v>68</v>
      </c>
      <c r="D968" s="26"/>
      <c r="E968" s="13" t="s">
        <v>585</v>
      </c>
      <c r="F968" s="13" t="s">
        <v>586</v>
      </c>
      <c r="G968" s="13" t="s">
        <v>143</v>
      </c>
      <c r="H968" s="13" t="s">
        <v>20</v>
      </c>
      <c r="I968" s="13" t="s">
        <v>586</v>
      </c>
      <c r="J968" s="13" t="s">
        <v>97</v>
      </c>
      <c r="K968" s="13" t="s">
        <v>107</v>
      </c>
      <c r="L968" s="13" t="s">
        <v>177</v>
      </c>
      <c r="M968" s="13" t="s">
        <v>100</v>
      </c>
      <c r="N968" s="27" t="n">
        <v>9802</v>
      </c>
      <c r="O968" s="28" t="n">
        <v>1584632.5</v>
      </c>
      <c r="P968" s="27" t="n">
        <v>9802</v>
      </c>
      <c r="Q968" s="29" t="n">
        <v>1</v>
      </c>
      <c r="R968" s="28" t="n">
        <v>59.5</v>
      </c>
      <c r="S968" s="28" t="n">
        <v>229.5</v>
      </c>
      <c r="T968" s="28" t="n">
        <v>161.66</v>
      </c>
      <c r="U968" s="13" t="n">
        <f aca="false">IFERROR(YEAR(A968),"")</f>
        <v>2023</v>
      </c>
      <c r="V968" s="28" t="n">
        <f aca="false">IFERROR(O968*B968,0)</f>
        <v>3169265</v>
      </c>
      <c r="W968" s="27" t="n">
        <f aca="false">IFERROR(N968*B968,0)</f>
        <v>19604</v>
      </c>
      <c r="X968" s="13" t="n">
        <f aca="false">IF(OR(ISNUMBER(SEARCH("live nation",L968)),ISNUMBER(SEARCH("ocesa",L968))),1,0)</f>
        <v>1</v>
      </c>
      <c r="Y968" s="13" t="s">
        <v>49</v>
      </c>
    </row>
    <row r="969" customFormat="false" ht="15" hidden="false" customHeight="false" outlineLevel="0" collapsed="false">
      <c r="A969" s="30" t="n">
        <v>45101</v>
      </c>
      <c r="B969" s="11" t="n">
        <v>2</v>
      </c>
      <c r="C969" s="31" t="s">
        <v>1157</v>
      </c>
      <c r="D969" s="31"/>
      <c r="E969" s="11" t="s">
        <v>1073</v>
      </c>
      <c r="F969" s="11" t="s">
        <v>147</v>
      </c>
      <c r="G969" s="11"/>
      <c r="H969" s="11" t="s">
        <v>24</v>
      </c>
      <c r="I969" s="11"/>
      <c r="J969" s="11" t="s">
        <v>97</v>
      </c>
      <c r="K969" s="11" t="s">
        <v>148</v>
      </c>
      <c r="L969" s="11" t="s">
        <v>145</v>
      </c>
      <c r="M969" s="11" t="s">
        <v>100</v>
      </c>
      <c r="N969" s="32" t="n">
        <v>7357</v>
      </c>
      <c r="O969" s="33" t="n">
        <v>954306.97</v>
      </c>
      <c r="P969" s="32" t="n">
        <v>7357</v>
      </c>
      <c r="Q969" s="34" t="n">
        <v>1</v>
      </c>
      <c r="R969" s="33" t="n">
        <v>126.1</v>
      </c>
      <c r="S969" s="33" t="n">
        <v>168.13</v>
      </c>
      <c r="T969" s="33" t="n">
        <v>129.71</v>
      </c>
      <c r="U969" s="11" t="n">
        <f aca="false">IFERROR(YEAR(A969),"")</f>
        <v>2023</v>
      </c>
      <c r="V969" s="33" t="n">
        <f aca="false">IFERROR(O969*B969,0)</f>
        <v>1908613.94</v>
      </c>
      <c r="W969" s="32" t="n">
        <f aca="false">IFERROR(N969*B969,0)</f>
        <v>14714</v>
      </c>
      <c r="X969" s="11" t="n">
        <f aca="false">IF(OR(ISNUMBER(SEARCH("live nation",L969)),ISNUMBER(SEARCH("ocesa",L969))),1,0)</f>
        <v>0</v>
      </c>
      <c r="Y969" s="11" t="s">
        <v>50</v>
      </c>
    </row>
    <row r="970" customFormat="false" ht="15" hidden="false" customHeight="false" outlineLevel="0" collapsed="false">
      <c r="A970" s="25" t="n">
        <v>45098</v>
      </c>
      <c r="B970" s="13" t="n">
        <v>1</v>
      </c>
      <c r="C970" s="26" t="s">
        <v>68</v>
      </c>
      <c r="D970" s="26"/>
      <c r="E970" s="13" t="s">
        <v>697</v>
      </c>
      <c r="F970" s="13" t="s">
        <v>698</v>
      </c>
      <c r="G970" s="13" t="s">
        <v>143</v>
      </c>
      <c r="H970" s="13" t="s">
        <v>20</v>
      </c>
      <c r="I970" s="13" t="s">
        <v>375</v>
      </c>
      <c r="J970" s="13" t="s">
        <v>133</v>
      </c>
      <c r="K970" s="13" t="s">
        <v>107</v>
      </c>
      <c r="L970" s="13" t="s">
        <v>177</v>
      </c>
      <c r="M970" s="13" t="s">
        <v>100</v>
      </c>
      <c r="N970" s="27" t="n">
        <v>24925</v>
      </c>
      <c r="O970" s="28" t="n">
        <v>3711432</v>
      </c>
      <c r="P970" s="27" t="n">
        <v>24925</v>
      </c>
      <c r="Q970" s="29" t="n">
        <v>1</v>
      </c>
      <c r="R970" s="28" t="n">
        <v>53.5</v>
      </c>
      <c r="S970" s="28" t="n">
        <v>223.5</v>
      </c>
      <c r="T970" s="28" t="n">
        <v>148.9</v>
      </c>
      <c r="U970" s="13" t="n">
        <f aca="false">IFERROR(YEAR(A970),"")</f>
        <v>2023</v>
      </c>
      <c r="V970" s="28" t="n">
        <f aca="false">IFERROR(O970*B970,0)</f>
        <v>3711432</v>
      </c>
      <c r="W970" s="27" t="n">
        <f aca="false">IFERROR(N970*B970,0)</f>
        <v>24925</v>
      </c>
      <c r="X970" s="13" t="n">
        <f aca="false">IF(OR(ISNUMBER(SEARCH("live nation",L970)),ISNUMBER(SEARCH("ocesa",L970))),1,0)</f>
        <v>1</v>
      </c>
      <c r="Y970" s="13" t="s">
        <v>49</v>
      </c>
    </row>
    <row r="971" customFormat="false" ht="15" hidden="false" customHeight="false" outlineLevel="0" collapsed="false">
      <c r="A971" s="30" t="n">
        <v>45098</v>
      </c>
      <c r="B971" s="11" t="n">
        <v>1</v>
      </c>
      <c r="C971" s="31" t="s">
        <v>475</v>
      </c>
      <c r="D971" s="31"/>
      <c r="E971" s="11" t="s">
        <v>1174</v>
      </c>
      <c r="F971" s="11" t="s">
        <v>802</v>
      </c>
      <c r="G971" s="11"/>
      <c r="H971" s="11" t="s">
        <v>27</v>
      </c>
      <c r="I971" s="11"/>
      <c r="J971" s="11" t="s">
        <v>106</v>
      </c>
      <c r="K971" s="11" t="s">
        <v>314</v>
      </c>
      <c r="L971" s="11" t="s">
        <v>1175</v>
      </c>
      <c r="M971" s="11" t="s">
        <v>100</v>
      </c>
      <c r="N971" s="32" t="n">
        <v>385</v>
      </c>
      <c r="O971" s="33" t="n">
        <v>11112.17</v>
      </c>
      <c r="P971" s="32" t="n">
        <v>600</v>
      </c>
      <c r="Q971" s="34" t="n">
        <v>0.64</v>
      </c>
      <c r="R971" s="33" t="n">
        <v>28.84</v>
      </c>
      <c r="S971" s="33" t="n">
        <v>32.04</v>
      </c>
      <c r="T971" s="33" t="n">
        <v>28.86</v>
      </c>
      <c r="U971" s="11" t="n">
        <f aca="false">IFERROR(YEAR(A971),"")</f>
        <v>2023</v>
      </c>
      <c r="V971" s="33" t="n">
        <f aca="false">IFERROR(O971*B971,0)</f>
        <v>11112.17</v>
      </c>
      <c r="W971" s="32" t="n">
        <f aca="false">IFERROR(N971*B971,0)</f>
        <v>385</v>
      </c>
      <c r="X971" s="11" t="n">
        <f aca="false">IF(OR(ISNUMBER(SEARCH("live nation",L971)),ISNUMBER(SEARCH("ocesa",L971))),1,0)</f>
        <v>0</v>
      </c>
      <c r="Y971" s="11" t="s">
        <v>49</v>
      </c>
    </row>
    <row r="972" customFormat="false" ht="15" hidden="false" customHeight="false" outlineLevel="0" collapsed="false">
      <c r="A972" s="25" t="n">
        <v>45094</v>
      </c>
      <c r="B972" s="13" t="n">
        <v>1</v>
      </c>
      <c r="C972" s="26" t="s">
        <v>69</v>
      </c>
      <c r="D972" s="26"/>
      <c r="E972" s="13" t="s">
        <v>95</v>
      </c>
      <c r="F972" s="13" t="s">
        <v>96</v>
      </c>
      <c r="G972" s="13"/>
      <c r="H972" s="13" t="s">
        <v>28</v>
      </c>
      <c r="I972" s="13"/>
      <c r="J972" s="13" t="s">
        <v>97</v>
      </c>
      <c r="K972" s="13" t="s">
        <v>98</v>
      </c>
      <c r="L972" s="13" t="s">
        <v>329</v>
      </c>
      <c r="M972" s="13" t="s">
        <v>100</v>
      </c>
      <c r="N972" s="27" t="n">
        <v>12953</v>
      </c>
      <c r="O972" s="28" t="n">
        <v>2362405.41</v>
      </c>
      <c r="P972" s="27" t="n">
        <v>12953</v>
      </c>
      <c r="Q972" s="29" t="n">
        <v>1</v>
      </c>
      <c r="R972" s="28" t="n">
        <v>68.64</v>
      </c>
      <c r="S972" s="28" t="n">
        <v>240.42</v>
      </c>
      <c r="T972" s="28" t="n">
        <v>182.38</v>
      </c>
      <c r="U972" s="13" t="n">
        <f aca="false">IFERROR(YEAR(A972),"")</f>
        <v>2023</v>
      </c>
      <c r="V972" s="28" t="n">
        <f aca="false">IFERROR(O972*B972,0)</f>
        <v>2362405.41</v>
      </c>
      <c r="W972" s="27" t="n">
        <f aca="false">IFERROR(N972*B972,0)</f>
        <v>12953</v>
      </c>
      <c r="X972" s="13" t="n">
        <f aca="false">IF(OR(ISNUMBER(SEARCH("live nation",L972)),ISNUMBER(SEARCH("ocesa",L972))),1,0)</f>
        <v>0</v>
      </c>
      <c r="Y972" s="13" t="s">
        <v>49</v>
      </c>
    </row>
    <row r="973" customFormat="false" ht="15" hidden="false" customHeight="false" outlineLevel="0" collapsed="false">
      <c r="A973" s="30" t="n">
        <v>45093</v>
      </c>
      <c r="B973" s="11" t="n">
        <v>1</v>
      </c>
      <c r="C973" s="31" t="s">
        <v>69</v>
      </c>
      <c r="D973" s="31"/>
      <c r="E973" s="11" t="s">
        <v>95</v>
      </c>
      <c r="F973" s="11" t="s">
        <v>96</v>
      </c>
      <c r="G973" s="11"/>
      <c r="H973" s="11" t="s">
        <v>28</v>
      </c>
      <c r="I973" s="11"/>
      <c r="J973" s="11" t="s">
        <v>97</v>
      </c>
      <c r="K973" s="11" t="s">
        <v>98</v>
      </c>
      <c r="L973" s="11" t="s">
        <v>329</v>
      </c>
      <c r="M973" s="11" t="s">
        <v>100</v>
      </c>
      <c r="N973" s="32" t="n">
        <v>12973</v>
      </c>
      <c r="O973" s="33" t="n">
        <v>2366921.91</v>
      </c>
      <c r="P973" s="32" t="n">
        <v>12973</v>
      </c>
      <c r="Q973" s="34" t="n">
        <v>1</v>
      </c>
      <c r="R973" s="33" t="n">
        <v>68.64</v>
      </c>
      <c r="S973" s="33" t="n">
        <v>240.41</v>
      </c>
      <c r="T973" s="33" t="n">
        <v>182.45</v>
      </c>
      <c r="U973" s="11" t="n">
        <f aca="false">IFERROR(YEAR(A973),"")</f>
        <v>2023</v>
      </c>
      <c r="V973" s="33" t="n">
        <f aca="false">IFERROR(O973*B973,0)</f>
        <v>2366921.91</v>
      </c>
      <c r="W973" s="32" t="n">
        <f aca="false">IFERROR(N973*B973,0)</f>
        <v>12973</v>
      </c>
      <c r="X973" s="11" t="n">
        <f aca="false">IF(OR(ISNUMBER(SEARCH("live nation",L973)),ISNUMBER(SEARCH("ocesa",L973))),1,0)</f>
        <v>0</v>
      </c>
      <c r="Y973" s="11" t="s">
        <v>49</v>
      </c>
    </row>
    <row r="974" customFormat="false" ht="15" hidden="false" customHeight="false" outlineLevel="0" collapsed="false">
      <c r="A974" s="25" t="n">
        <v>45093</v>
      </c>
      <c r="B974" s="13" t="n">
        <v>3</v>
      </c>
      <c r="C974" s="26" t="s">
        <v>1157</v>
      </c>
      <c r="D974" s="26"/>
      <c r="E974" s="13" t="s">
        <v>391</v>
      </c>
      <c r="F974" s="13" t="s">
        <v>324</v>
      </c>
      <c r="G974" s="13"/>
      <c r="H974" s="13" t="s">
        <v>324</v>
      </c>
      <c r="I974" s="13"/>
      <c r="J974" s="13" t="s">
        <v>97</v>
      </c>
      <c r="K974" s="13" t="s">
        <v>324</v>
      </c>
      <c r="L974" s="13" t="s">
        <v>145</v>
      </c>
      <c r="M974" s="13" t="s">
        <v>100</v>
      </c>
      <c r="N974" s="27" t="n">
        <v>9113</v>
      </c>
      <c r="O974" s="28" t="n">
        <v>1813220.06</v>
      </c>
      <c r="P974" s="27" t="n">
        <v>9113</v>
      </c>
      <c r="Q974" s="29" t="n">
        <v>1</v>
      </c>
      <c r="R974" s="28" t="n">
        <v>200.37</v>
      </c>
      <c r="S974" s="28" t="n">
        <v>260.18</v>
      </c>
      <c r="T974" s="28" t="n">
        <v>198.96</v>
      </c>
      <c r="U974" s="13" t="n">
        <f aca="false">IFERROR(YEAR(A974),"")</f>
        <v>2023</v>
      </c>
      <c r="V974" s="28" t="n">
        <f aca="false">IFERROR(O974*B974,0)</f>
        <v>5439660.18</v>
      </c>
      <c r="W974" s="27" t="n">
        <f aca="false">IFERROR(N974*B974,0)</f>
        <v>27339</v>
      </c>
      <c r="X974" s="13" t="n">
        <f aca="false">IF(OR(ISNUMBER(SEARCH("live nation",L974)),ISNUMBER(SEARCH("ocesa",L974))),1,0)</f>
        <v>0</v>
      </c>
      <c r="Y974" s="13" t="s">
        <v>50</v>
      </c>
    </row>
    <row r="975" customFormat="false" ht="15" hidden="false" customHeight="false" outlineLevel="0" collapsed="false">
      <c r="A975" s="30" t="n">
        <v>45093</v>
      </c>
      <c r="B975" s="11" t="n">
        <v>1</v>
      </c>
      <c r="C975" s="31" t="s">
        <v>68</v>
      </c>
      <c r="D975" s="31"/>
      <c r="E975" s="11" t="s">
        <v>493</v>
      </c>
      <c r="F975" s="11" t="s">
        <v>494</v>
      </c>
      <c r="G975" s="11" t="s">
        <v>188</v>
      </c>
      <c r="H975" s="11" t="s">
        <v>20</v>
      </c>
      <c r="I975" s="11" t="s">
        <v>307</v>
      </c>
      <c r="J975" s="11" t="s">
        <v>97</v>
      </c>
      <c r="K975" s="11" t="s">
        <v>107</v>
      </c>
      <c r="L975" s="11" t="s">
        <v>177</v>
      </c>
      <c r="M975" s="11" t="s">
        <v>100</v>
      </c>
      <c r="N975" s="32" t="n">
        <v>18023</v>
      </c>
      <c r="O975" s="33" t="n">
        <v>3190548</v>
      </c>
      <c r="P975" s="32" t="n">
        <v>18023</v>
      </c>
      <c r="Q975" s="34" t="n">
        <v>1</v>
      </c>
      <c r="R975" s="33" t="n">
        <v>75.5</v>
      </c>
      <c r="S975" s="33" t="n">
        <v>225.5</v>
      </c>
      <c r="T975" s="33" t="n">
        <v>177.03</v>
      </c>
      <c r="U975" s="11" t="n">
        <f aca="false">IFERROR(YEAR(A975),"")</f>
        <v>2023</v>
      </c>
      <c r="V975" s="33" t="n">
        <f aca="false">IFERROR(O975*B975,0)</f>
        <v>3190548</v>
      </c>
      <c r="W975" s="32" t="n">
        <f aca="false">IFERROR(N975*B975,0)</f>
        <v>18023</v>
      </c>
      <c r="X975" s="11" t="n">
        <f aca="false">IF(OR(ISNUMBER(SEARCH("live nation",L975)),ISNUMBER(SEARCH("ocesa",L975))),1,0)</f>
        <v>1</v>
      </c>
      <c r="Y975" s="11" t="s">
        <v>49</v>
      </c>
    </row>
    <row r="976" customFormat="false" ht="15" hidden="false" customHeight="false" outlineLevel="0" collapsed="false">
      <c r="A976" s="25" t="n">
        <v>45089</v>
      </c>
      <c r="B976" s="13" t="n">
        <v>2</v>
      </c>
      <c r="C976" s="26" t="s">
        <v>68</v>
      </c>
      <c r="D976" s="26"/>
      <c r="E976" s="13" t="s">
        <v>230</v>
      </c>
      <c r="F976" s="13" t="s">
        <v>231</v>
      </c>
      <c r="G976" s="13" t="s">
        <v>202</v>
      </c>
      <c r="H976" s="13" t="s">
        <v>20</v>
      </c>
      <c r="I976" s="13" t="s">
        <v>232</v>
      </c>
      <c r="J976" s="13" t="s">
        <v>97</v>
      </c>
      <c r="K976" s="13" t="s">
        <v>107</v>
      </c>
      <c r="L976" s="13" t="s">
        <v>177</v>
      </c>
      <c r="M976" s="13" t="s">
        <v>100</v>
      </c>
      <c r="N976" s="27" t="n">
        <v>11851</v>
      </c>
      <c r="O976" s="28" t="n">
        <v>1971519</v>
      </c>
      <c r="P976" s="27" t="n">
        <v>11851</v>
      </c>
      <c r="Q976" s="29" t="n">
        <v>1</v>
      </c>
      <c r="R976" s="28" t="n">
        <v>56.67</v>
      </c>
      <c r="S976" s="28" t="n">
        <v>218.57</v>
      </c>
      <c r="T976" s="28" t="n">
        <v>166.35</v>
      </c>
      <c r="U976" s="13" t="n">
        <f aca="false">IFERROR(YEAR(A976),"")</f>
        <v>2023</v>
      </c>
      <c r="V976" s="28" t="n">
        <f aca="false">IFERROR(O976*B976,0)</f>
        <v>3943038</v>
      </c>
      <c r="W976" s="27" t="n">
        <f aca="false">IFERROR(N976*B976,0)</f>
        <v>23702</v>
      </c>
      <c r="X976" s="13" t="n">
        <f aca="false">IF(OR(ISNUMBER(SEARCH("live nation",L976)),ISNUMBER(SEARCH("ocesa",L976))),1,0)</f>
        <v>1</v>
      </c>
      <c r="Y976" s="13" t="s">
        <v>49</v>
      </c>
    </row>
    <row r="977" customFormat="false" ht="15" hidden="false" customHeight="false" outlineLevel="0" collapsed="false">
      <c r="A977" s="30" t="n">
        <v>45088</v>
      </c>
      <c r="B977" s="11" t="n">
        <v>1</v>
      </c>
      <c r="C977" s="31" t="s">
        <v>69</v>
      </c>
      <c r="D977" s="31"/>
      <c r="E977" s="11" t="s">
        <v>330</v>
      </c>
      <c r="F977" s="11" t="s">
        <v>295</v>
      </c>
      <c r="G977" s="11"/>
      <c r="H977" s="11" t="s">
        <v>28</v>
      </c>
      <c r="I977" s="11"/>
      <c r="J977" s="11" t="s">
        <v>97</v>
      </c>
      <c r="K977" s="11" t="s">
        <v>98</v>
      </c>
      <c r="L977" s="11" t="s">
        <v>329</v>
      </c>
      <c r="M977" s="11" t="s">
        <v>100</v>
      </c>
      <c r="N977" s="32" t="n">
        <v>11572</v>
      </c>
      <c r="O977" s="33" t="n">
        <v>2052682.41</v>
      </c>
      <c r="P977" s="32" t="n">
        <v>11572</v>
      </c>
      <c r="Q977" s="34" t="n">
        <v>1</v>
      </c>
      <c r="R977" s="33" t="n">
        <v>67.36</v>
      </c>
      <c r="S977" s="33" t="n">
        <v>235.92</v>
      </c>
      <c r="T977" s="33" t="n">
        <v>177.38</v>
      </c>
      <c r="U977" s="11" t="n">
        <f aca="false">IFERROR(YEAR(A977),"")</f>
        <v>2023</v>
      </c>
      <c r="V977" s="33" t="n">
        <f aca="false">IFERROR(O977*B977,0)</f>
        <v>2052682.41</v>
      </c>
      <c r="W977" s="32" t="n">
        <f aca="false">IFERROR(N977*B977,0)</f>
        <v>11572</v>
      </c>
      <c r="X977" s="11" t="n">
        <f aca="false">IF(OR(ISNUMBER(SEARCH("live nation",L977)),ISNUMBER(SEARCH("ocesa",L977))),1,0)</f>
        <v>0</v>
      </c>
      <c r="Y977" s="11" t="s">
        <v>49</v>
      </c>
    </row>
    <row r="978" customFormat="false" ht="15" hidden="false" customHeight="false" outlineLevel="0" collapsed="false">
      <c r="A978" s="25" t="n">
        <v>45087</v>
      </c>
      <c r="B978" s="13" t="n">
        <v>1</v>
      </c>
      <c r="C978" s="26" t="s">
        <v>68</v>
      </c>
      <c r="D978" s="26"/>
      <c r="E978" s="13" t="s">
        <v>701</v>
      </c>
      <c r="F978" s="13" t="s">
        <v>201</v>
      </c>
      <c r="G978" s="13" t="s">
        <v>202</v>
      </c>
      <c r="H978" s="13" t="s">
        <v>20</v>
      </c>
      <c r="I978" s="13" t="s">
        <v>203</v>
      </c>
      <c r="J978" s="13" t="s">
        <v>133</v>
      </c>
      <c r="K978" s="13" t="s">
        <v>107</v>
      </c>
      <c r="L978" s="13" t="s">
        <v>177</v>
      </c>
      <c r="M978" s="13" t="s">
        <v>100</v>
      </c>
      <c r="N978" s="27" t="n">
        <v>48345</v>
      </c>
      <c r="O978" s="28" t="n">
        <v>7966286</v>
      </c>
      <c r="P978" s="27" t="n">
        <v>48345</v>
      </c>
      <c r="Q978" s="29" t="n">
        <v>1</v>
      </c>
      <c r="R978" s="28" t="n">
        <v>53.5</v>
      </c>
      <c r="S978" s="28" t="n">
        <v>223.5</v>
      </c>
      <c r="T978" s="28" t="n">
        <v>164.78</v>
      </c>
      <c r="U978" s="13" t="n">
        <f aca="false">IFERROR(YEAR(A978),"")</f>
        <v>2023</v>
      </c>
      <c r="V978" s="28" t="n">
        <f aca="false">IFERROR(O978*B978,0)</f>
        <v>7966286</v>
      </c>
      <c r="W978" s="27" t="n">
        <f aca="false">IFERROR(N978*B978,0)</f>
        <v>48345</v>
      </c>
      <c r="X978" s="13" t="n">
        <f aca="false">IF(OR(ISNUMBER(SEARCH("live nation",L978)),ISNUMBER(SEARCH("ocesa",L978))),1,0)</f>
        <v>1</v>
      </c>
      <c r="Y978" s="13" t="s">
        <v>49</v>
      </c>
    </row>
    <row r="979" customFormat="false" ht="15" hidden="false" customHeight="false" outlineLevel="0" collapsed="false">
      <c r="A979" s="30" t="n">
        <v>45087</v>
      </c>
      <c r="B979" s="11" t="n">
        <v>1</v>
      </c>
      <c r="C979" s="31" t="s">
        <v>69</v>
      </c>
      <c r="D979" s="31"/>
      <c r="E979" s="11" t="s">
        <v>330</v>
      </c>
      <c r="F979" s="11" t="s">
        <v>295</v>
      </c>
      <c r="G979" s="11"/>
      <c r="H979" s="11" t="s">
        <v>28</v>
      </c>
      <c r="I979" s="11"/>
      <c r="J979" s="11" t="s">
        <v>97</v>
      </c>
      <c r="K979" s="11" t="s">
        <v>98</v>
      </c>
      <c r="L979" s="11" t="s">
        <v>329</v>
      </c>
      <c r="M979" s="11" t="s">
        <v>100</v>
      </c>
      <c r="N979" s="32" t="n">
        <v>11573</v>
      </c>
      <c r="O979" s="33" t="n">
        <v>2053079.31</v>
      </c>
      <c r="P979" s="32" t="n">
        <v>11573</v>
      </c>
      <c r="Q979" s="34" t="n">
        <v>1</v>
      </c>
      <c r="R979" s="33" t="n">
        <v>67.33</v>
      </c>
      <c r="S979" s="33" t="n">
        <v>235.83</v>
      </c>
      <c r="T979" s="33" t="n">
        <v>177.4</v>
      </c>
      <c r="U979" s="11" t="n">
        <f aca="false">IFERROR(YEAR(A979),"")</f>
        <v>2023</v>
      </c>
      <c r="V979" s="33" t="n">
        <f aca="false">IFERROR(O979*B979,0)</f>
        <v>2053079.31</v>
      </c>
      <c r="W979" s="32" t="n">
        <f aca="false">IFERROR(N979*B979,0)</f>
        <v>11573</v>
      </c>
      <c r="X979" s="11" t="n">
        <f aca="false">IF(OR(ISNUMBER(SEARCH("live nation",L979)),ISNUMBER(SEARCH("ocesa",L979))),1,0)</f>
        <v>0</v>
      </c>
      <c r="Y979" s="11" t="s">
        <v>49</v>
      </c>
    </row>
    <row r="980" customFormat="false" ht="15" hidden="false" customHeight="false" outlineLevel="0" collapsed="false">
      <c r="A980" s="25" t="n">
        <v>45086</v>
      </c>
      <c r="B980" s="13" t="n">
        <v>3</v>
      </c>
      <c r="C980" s="26" t="s">
        <v>1157</v>
      </c>
      <c r="D980" s="26"/>
      <c r="E980" s="13" t="s">
        <v>735</v>
      </c>
      <c r="F980" s="13" t="s">
        <v>736</v>
      </c>
      <c r="G980" s="13"/>
      <c r="H980" s="13" t="s">
        <v>56</v>
      </c>
      <c r="I980" s="13"/>
      <c r="J980" s="13" t="s">
        <v>97</v>
      </c>
      <c r="K980" s="13" t="s">
        <v>300</v>
      </c>
      <c r="L980" s="13" t="s">
        <v>145</v>
      </c>
      <c r="M980" s="13" t="s">
        <v>100</v>
      </c>
      <c r="N980" s="27" t="n">
        <v>12035</v>
      </c>
      <c r="O980" s="28" t="n">
        <v>1484871.9</v>
      </c>
      <c r="P980" s="27" t="n">
        <v>12005</v>
      </c>
      <c r="Q980" s="29" t="n">
        <v>1</v>
      </c>
      <c r="R980" s="28" t="n">
        <v>72.09</v>
      </c>
      <c r="S980" s="28" t="n">
        <v>178.78</v>
      </c>
      <c r="T980" s="28" t="n">
        <v>123.37</v>
      </c>
      <c r="U980" s="13" t="n">
        <f aca="false">IFERROR(YEAR(A980),"")</f>
        <v>2023</v>
      </c>
      <c r="V980" s="28" t="n">
        <f aca="false">IFERROR(O980*B980,0)</f>
        <v>4454615.7</v>
      </c>
      <c r="W980" s="27" t="n">
        <f aca="false">IFERROR(N980*B980,0)</f>
        <v>36105</v>
      </c>
      <c r="X980" s="13" t="n">
        <f aca="false">IF(OR(ISNUMBER(SEARCH("live nation",L980)),ISNUMBER(SEARCH("ocesa",L980))),1,0)</f>
        <v>0</v>
      </c>
      <c r="Y980" s="13" t="s">
        <v>50</v>
      </c>
    </row>
    <row r="981" customFormat="false" ht="15" hidden="false" customHeight="false" outlineLevel="0" collapsed="false">
      <c r="A981" s="30" t="n">
        <v>45083</v>
      </c>
      <c r="B981" s="11" t="n">
        <v>1</v>
      </c>
      <c r="C981" s="31" t="s">
        <v>1176</v>
      </c>
      <c r="D981" s="31"/>
      <c r="E981" s="11" t="s">
        <v>312</v>
      </c>
      <c r="F981" s="11" t="s">
        <v>313</v>
      </c>
      <c r="G981" s="11"/>
      <c r="H981" s="11" t="s">
        <v>27</v>
      </c>
      <c r="I981" s="11"/>
      <c r="J981" s="11" t="s">
        <v>97</v>
      </c>
      <c r="K981" s="11" t="s">
        <v>314</v>
      </c>
      <c r="L981" s="11" t="s">
        <v>860</v>
      </c>
      <c r="M981" s="11" t="s">
        <v>251</v>
      </c>
      <c r="N981" s="32" t="n">
        <v>5517</v>
      </c>
      <c r="O981" s="33" t="n">
        <v>758319.79</v>
      </c>
      <c r="P981" s="32" t="n">
        <v>5711</v>
      </c>
      <c r="Q981" s="34" t="n">
        <v>0.96</v>
      </c>
      <c r="R981" s="33" t="n">
        <v>84.63</v>
      </c>
      <c r="S981" s="33" t="n">
        <v>582.45</v>
      </c>
      <c r="T981" s="33" t="n">
        <v>137.45</v>
      </c>
      <c r="U981" s="11" t="n">
        <f aca="false">IFERROR(YEAR(A981),"")</f>
        <v>2023</v>
      </c>
      <c r="V981" s="33" t="n">
        <f aca="false">IFERROR(O981*B981,0)</f>
        <v>758319.79</v>
      </c>
      <c r="W981" s="32" t="n">
        <f aca="false">IFERROR(N981*B981,0)</f>
        <v>5517</v>
      </c>
      <c r="X981" s="11" t="n">
        <f aca="false">IF(OR(ISNUMBER(SEARCH("live nation",L981)),ISNUMBER(SEARCH("ocesa",L981))),1,0)</f>
        <v>0</v>
      </c>
      <c r="Y981" s="11" t="s">
        <v>49</v>
      </c>
    </row>
    <row r="982" customFormat="false" ht="15" hidden="false" customHeight="false" outlineLevel="0" collapsed="false">
      <c r="A982" s="25" t="n">
        <v>45081</v>
      </c>
      <c r="B982" s="13" t="n">
        <v>1</v>
      </c>
      <c r="C982" s="26" t="s">
        <v>1177</v>
      </c>
      <c r="D982" s="26"/>
      <c r="E982" s="13" t="s">
        <v>822</v>
      </c>
      <c r="F982" s="13" t="s">
        <v>201</v>
      </c>
      <c r="G982" s="13" t="s">
        <v>202</v>
      </c>
      <c r="H982" s="13" t="s">
        <v>20</v>
      </c>
      <c r="I982" s="13" t="s">
        <v>203</v>
      </c>
      <c r="J982" s="13" t="s">
        <v>97</v>
      </c>
      <c r="K982" s="13" t="s">
        <v>107</v>
      </c>
      <c r="L982" s="13" t="s">
        <v>1088</v>
      </c>
      <c r="M982" s="13" t="s">
        <v>100</v>
      </c>
      <c r="N982" s="27" t="n">
        <v>11714</v>
      </c>
      <c r="O982" s="28" t="n">
        <v>1787174.75</v>
      </c>
      <c r="P982" s="27" t="n">
        <v>11900</v>
      </c>
      <c r="Q982" s="29" t="n">
        <v>0.98</v>
      </c>
      <c r="R982" s="28" t="n">
        <v>59.5</v>
      </c>
      <c r="S982" s="28" t="n">
        <v>519.5</v>
      </c>
      <c r="T982" s="28" t="n">
        <v>152.57</v>
      </c>
      <c r="U982" s="13" t="n">
        <f aca="false">IFERROR(YEAR(A982),"")</f>
        <v>2023</v>
      </c>
      <c r="V982" s="28" t="n">
        <f aca="false">IFERROR(O982*B982,0)</f>
        <v>1787174.75</v>
      </c>
      <c r="W982" s="27" t="n">
        <f aca="false">IFERROR(N982*B982,0)</f>
        <v>11714</v>
      </c>
      <c r="X982" s="13" t="n">
        <f aca="false">IF(OR(ISNUMBER(SEARCH("live nation",L982)),ISNUMBER(SEARCH("ocesa",L982))),1,0)</f>
        <v>0</v>
      </c>
      <c r="Y982" s="13" t="s">
        <v>49</v>
      </c>
    </row>
    <row r="983" customFormat="false" ht="15" hidden="false" customHeight="false" outlineLevel="0" collapsed="false">
      <c r="A983" s="30" t="n">
        <v>45079</v>
      </c>
      <c r="B983" s="11" t="n">
        <v>1</v>
      </c>
      <c r="C983" s="31" t="s">
        <v>1177</v>
      </c>
      <c r="D983" s="31"/>
      <c r="E983" s="11" t="s">
        <v>230</v>
      </c>
      <c r="F983" s="11" t="s">
        <v>231</v>
      </c>
      <c r="G983" s="11" t="s">
        <v>202</v>
      </c>
      <c r="H983" s="11" t="s">
        <v>20</v>
      </c>
      <c r="I983" s="11" t="s">
        <v>232</v>
      </c>
      <c r="J983" s="11" t="s">
        <v>97</v>
      </c>
      <c r="K983" s="11" t="s">
        <v>107</v>
      </c>
      <c r="L983" s="11" t="s">
        <v>1178</v>
      </c>
      <c r="M983" s="11" t="s">
        <v>100</v>
      </c>
      <c r="N983" s="32" t="n">
        <v>10118</v>
      </c>
      <c r="O983" s="33" t="n">
        <v>1529806.23</v>
      </c>
      <c r="P983" s="32" t="n">
        <v>12145</v>
      </c>
      <c r="Q983" s="34" t="n">
        <v>0.83</v>
      </c>
      <c r="R983" s="33" t="n">
        <v>47.14</v>
      </c>
      <c r="S983" s="33" t="n">
        <v>494.76</v>
      </c>
      <c r="T983" s="33" t="n">
        <v>151.2</v>
      </c>
      <c r="U983" s="11" t="n">
        <f aca="false">IFERROR(YEAR(A983),"")</f>
        <v>2023</v>
      </c>
      <c r="V983" s="33" t="n">
        <f aca="false">IFERROR(O983*B983,0)</f>
        <v>1529806.23</v>
      </c>
      <c r="W983" s="32" t="n">
        <f aca="false">IFERROR(N983*B983,0)</f>
        <v>10118</v>
      </c>
      <c r="X983" s="11" t="n">
        <f aca="false">IF(OR(ISNUMBER(SEARCH("live nation",L983)),ISNUMBER(SEARCH("ocesa",L983))),1,0)</f>
        <v>0</v>
      </c>
      <c r="Y983" s="11" t="s">
        <v>49</v>
      </c>
    </row>
    <row r="984" customFormat="false" ht="15" hidden="false" customHeight="false" outlineLevel="0" collapsed="false">
      <c r="A984" s="25" t="n">
        <v>45079</v>
      </c>
      <c r="B984" s="13" t="n">
        <v>3</v>
      </c>
      <c r="C984" s="26" t="s">
        <v>1157</v>
      </c>
      <c r="D984" s="26"/>
      <c r="E984" s="13" t="s">
        <v>1047</v>
      </c>
      <c r="F984" s="13" t="s">
        <v>112</v>
      </c>
      <c r="G984" s="13"/>
      <c r="H984" s="13" t="s">
        <v>21</v>
      </c>
      <c r="I984" s="13"/>
      <c r="J984" s="13" t="s">
        <v>97</v>
      </c>
      <c r="K984" s="13" t="s">
        <v>113</v>
      </c>
      <c r="L984" s="13" t="s">
        <v>145</v>
      </c>
      <c r="M984" s="13" t="s">
        <v>100</v>
      </c>
      <c r="N984" s="27" t="n">
        <v>8936</v>
      </c>
      <c r="O984" s="28" t="n">
        <v>1050798.02</v>
      </c>
      <c r="P984" s="27" t="n">
        <v>8936</v>
      </c>
      <c r="Q984" s="29" t="n">
        <v>1</v>
      </c>
      <c r="R984" s="28" t="n">
        <v>97.3</v>
      </c>
      <c r="S984" s="28" t="n">
        <v>172.98</v>
      </c>
      <c r="T984" s="28" t="n">
        <v>117.59</v>
      </c>
      <c r="U984" s="13" t="n">
        <f aca="false">IFERROR(YEAR(A984),"")</f>
        <v>2023</v>
      </c>
      <c r="V984" s="28" t="n">
        <f aca="false">IFERROR(O984*B984,0)</f>
        <v>3152394.06</v>
      </c>
      <c r="W984" s="27" t="n">
        <f aca="false">IFERROR(N984*B984,0)</f>
        <v>26808</v>
      </c>
      <c r="X984" s="13" t="n">
        <f aca="false">IF(OR(ISNUMBER(SEARCH("live nation",L984)),ISNUMBER(SEARCH("ocesa",L984))),1,0)</f>
        <v>0</v>
      </c>
      <c r="Y984" s="13" t="s">
        <v>50</v>
      </c>
    </row>
    <row r="985" customFormat="false" ht="15" hidden="false" customHeight="false" outlineLevel="0" collapsed="false">
      <c r="A985" s="30" t="n">
        <v>45077</v>
      </c>
      <c r="B985" s="11" t="n">
        <v>1</v>
      </c>
      <c r="C985" s="31" t="s">
        <v>1177</v>
      </c>
      <c r="D985" s="31"/>
      <c r="E985" s="11" t="s">
        <v>1125</v>
      </c>
      <c r="F985" s="11" t="s">
        <v>1126</v>
      </c>
      <c r="G985" s="11" t="s">
        <v>119</v>
      </c>
      <c r="H985" s="11" t="s">
        <v>20</v>
      </c>
      <c r="I985" s="11" t="s">
        <v>120</v>
      </c>
      <c r="J985" s="11" t="s">
        <v>97</v>
      </c>
      <c r="K985" s="11" t="s">
        <v>107</v>
      </c>
      <c r="L985" s="11" t="s">
        <v>1088</v>
      </c>
      <c r="M985" s="11" t="s">
        <v>100</v>
      </c>
      <c r="N985" s="32" t="n">
        <v>5284</v>
      </c>
      <c r="O985" s="33" t="n">
        <v>697932.5</v>
      </c>
      <c r="P985" s="32" t="n">
        <v>8190</v>
      </c>
      <c r="Q985" s="34" t="n">
        <v>0.64</v>
      </c>
      <c r="R985" s="33" t="n">
        <v>44.5</v>
      </c>
      <c r="S985" s="33" t="n">
        <v>514.5</v>
      </c>
      <c r="T985" s="33" t="n">
        <v>132.08</v>
      </c>
      <c r="U985" s="11" t="n">
        <f aca="false">IFERROR(YEAR(A985),"")</f>
        <v>2023</v>
      </c>
      <c r="V985" s="33" t="n">
        <f aca="false">IFERROR(O985*B985,0)</f>
        <v>697932.5</v>
      </c>
      <c r="W985" s="32" t="n">
        <f aca="false">IFERROR(N985*B985,0)</f>
        <v>5284</v>
      </c>
      <c r="X985" s="11" t="n">
        <f aca="false">IF(OR(ISNUMBER(SEARCH("live nation",L985)),ISNUMBER(SEARCH("ocesa",L985))),1,0)</f>
        <v>0</v>
      </c>
      <c r="Y985" s="11" t="s">
        <v>49</v>
      </c>
    </row>
    <row r="986" customFormat="false" ht="15" hidden="false" customHeight="false" outlineLevel="0" collapsed="false">
      <c r="A986" s="25" t="n">
        <v>45076</v>
      </c>
      <c r="B986" s="13" t="n">
        <v>1</v>
      </c>
      <c r="C986" s="26" t="s">
        <v>1056</v>
      </c>
      <c r="D986" s="26"/>
      <c r="E986" s="13" t="s">
        <v>1179</v>
      </c>
      <c r="F986" s="13" t="s">
        <v>349</v>
      </c>
      <c r="G986" s="13"/>
      <c r="H986" s="13" t="s">
        <v>350</v>
      </c>
      <c r="I986" s="13"/>
      <c r="J986" s="13" t="s">
        <v>106</v>
      </c>
      <c r="K986" s="13" t="s">
        <v>173</v>
      </c>
      <c r="L986" s="13" t="s">
        <v>351</v>
      </c>
      <c r="M986" s="13" t="s">
        <v>100</v>
      </c>
      <c r="N986" s="27" t="n">
        <v>3461</v>
      </c>
      <c r="O986" s="28" t="n">
        <v>138142.18</v>
      </c>
      <c r="P986" s="27" t="n">
        <v>3470</v>
      </c>
      <c r="Q986" s="29" t="n">
        <v>0.99</v>
      </c>
      <c r="R986" s="28" t="n">
        <v>44.97</v>
      </c>
      <c r="S986" s="28" t="n">
        <v>101.73</v>
      </c>
      <c r="T986" s="28" t="n">
        <v>39.91</v>
      </c>
      <c r="U986" s="13" t="n">
        <f aca="false">IFERROR(YEAR(A986),"")</f>
        <v>2023</v>
      </c>
      <c r="V986" s="28" t="n">
        <f aca="false">IFERROR(O986*B986,0)</f>
        <v>138142.18</v>
      </c>
      <c r="W986" s="27" t="n">
        <f aca="false">IFERROR(N986*B986,0)</f>
        <v>3461</v>
      </c>
      <c r="X986" s="13" t="n">
        <f aca="false">IF(OR(ISNUMBER(SEARCH("live nation",L986)),ISNUMBER(SEARCH("ocesa",L986))),1,0)</f>
        <v>0</v>
      </c>
      <c r="Y986" s="13" t="s">
        <v>49</v>
      </c>
    </row>
    <row r="987" customFormat="false" ht="15" hidden="false" customHeight="false" outlineLevel="0" collapsed="false">
      <c r="A987" s="30" t="n">
        <v>45073</v>
      </c>
      <c r="B987" s="11" t="n">
        <v>2</v>
      </c>
      <c r="C987" s="31" t="s">
        <v>63</v>
      </c>
      <c r="D987" s="31"/>
      <c r="E987" s="11" t="s">
        <v>486</v>
      </c>
      <c r="F987" s="11" t="s">
        <v>203</v>
      </c>
      <c r="G987" s="11" t="s">
        <v>202</v>
      </c>
      <c r="H987" s="11" t="s">
        <v>20</v>
      </c>
      <c r="I987" s="11" t="s">
        <v>203</v>
      </c>
      <c r="J987" s="11" t="s">
        <v>133</v>
      </c>
      <c r="K987" s="11" t="s">
        <v>107</v>
      </c>
      <c r="L987" s="11" t="s">
        <v>468</v>
      </c>
      <c r="M987" s="11" t="s">
        <v>100</v>
      </c>
      <c r="N987" s="32" t="n">
        <v>23378</v>
      </c>
      <c r="O987" s="33" t="n">
        <v>3767914</v>
      </c>
      <c r="P987" s="32" t="n">
        <v>23378</v>
      </c>
      <c r="Q987" s="34" t="n">
        <v>1</v>
      </c>
      <c r="R987" s="33" t="n">
        <v>59.5</v>
      </c>
      <c r="S987" s="33" t="n">
        <v>199.5</v>
      </c>
      <c r="T987" s="33" t="n">
        <v>161.17</v>
      </c>
      <c r="U987" s="11" t="n">
        <f aca="false">IFERROR(YEAR(A987),"")</f>
        <v>2023</v>
      </c>
      <c r="V987" s="33" t="n">
        <f aca="false">IFERROR(O987*B987,0)</f>
        <v>7535828</v>
      </c>
      <c r="W987" s="32" t="n">
        <f aca="false">IFERROR(N987*B987,0)</f>
        <v>46756</v>
      </c>
      <c r="X987" s="11" t="n">
        <f aca="false">IF(OR(ISNUMBER(SEARCH("live nation",L987)),ISNUMBER(SEARCH("ocesa",L987))),1,0)</f>
        <v>1</v>
      </c>
      <c r="Y987" s="11" t="s">
        <v>49</v>
      </c>
    </row>
    <row r="988" customFormat="false" ht="15" hidden="false" customHeight="false" outlineLevel="0" collapsed="false">
      <c r="A988" s="25" t="n">
        <v>45073</v>
      </c>
      <c r="B988" s="13" t="n">
        <v>1</v>
      </c>
      <c r="C988" s="26" t="s">
        <v>1177</v>
      </c>
      <c r="D988" s="26"/>
      <c r="E988" s="13" t="s">
        <v>1180</v>
      </c>
      <c r="F988" s="13" t="s">
        <v>209</v>
      </c>
      <c r="G988" s="13" t="s">
        <v>208</v>
      </c>
      <c r="H988" s="13" t="s">
        <v>20</v>
      </c>
      <c r="I988" s="13" t="s">
        <v>209</v>
      </c>
      <c r="J988" s="13" t="s">
        <v>97</v>
      </c>
      <c r="K988" s="13" t="s">
        <v>107</v>
      </c>
      <c r="L988" s="13" t="s">
        <v>1088</v>
      </c>
      <c r="M988" s="13" t="s">
        <v>100</v>
      </c>
      <c r="N988" s="27" t="n">
        <v>6431</v>
      </c>
      <c r="O988" s="28" t="n">
        <v>1026085</v>
      </c>
      <c r="P988" s="27" t="n">
        <v>6489</v>
      </c>
      <c r="Q988" s="29" t="n">
        <v>0.99</v>
      </c>
      <c r="R988" s="28" t="n">
        <v>60.5</v>
      </c>
      <c r="S988" s="28" t="n">
        <v>520.5</v>
      </c>
      <c r="T988" s="28" t="n">
        <v>159.55</v>
      </c>
      <c r="U988" s="13" t="n">
        <f aca="false">IFERROR(YEAR(A988),"")</f>
        <v>2023</v>
      </c>
      <c r="V988" s="28" t="n">
        <f aca="false">IFERROR(O988*B988,0)</f>
        <v>1026085</v>
      </c>
      <c r="W988" s="27" t="n">
        <f aca="false">IFERROR(N988*B988,0)</f>
        <v>6431</v>
      </c>
      <c r="X988" s="13" t="n">
        <f aca="false">IF(OR(ISNUMBER(SEARCH("live nation",L988)),ISNUMBER(SEARCH("ocesa",L988))),1,0)</f>
        <v>0</v>
      </c>
      <c r="Y988" s="13" t="s">
        <v>49</v>
      </c>
    </row>
    <row r="989" customFormat="false" ht="15" hidden="false" customHeight="false" outlineLevel="0" collapsed="false">
      <c r="A989" s="30" t="n">
        <v>45072</v>
      </c>
      <c r="B989" s="11" t="n">
        <v>3</v>
      </c>
      <c r="C989" s="31" t="s">
        <v>1157</v>
      </c>
      <c r="D989" s="31"/>
      <c r="E989" s="11" t="s">
        <v>915</v>
      </c>
      <c r="F989" s="11" t="s">
        <v>916</v>
      </c>
      <c r="G989" s="11"/>
      <c r="H989" s="11" t="s">
        <v>674</v>
      </c>
      <c r="I989" s="11"/>
      <c r="J989" s="11" t="s">
        <v>738</v>
      </c>
      <c r="K989" s="11" t="s">
        <v>675</v>
      </c>
      <c r="L989" s="11" t="s">
        <v>145</v>
      </c>
      <c r="M989" s="11" t="s">
        <v>100</v>
      </c>
      <c r="N989" s="32" t="n">
        <v>9248</v>
      </c>
      <c r="O989" s="33" t="n">
        <v>1451445.87</v>
      </c>
      <c r="P989" s="32" t="n">
        <v>9248</v>
      </c>
      <c r="Q989" s="34" t="n">
        <v>1</v>
      </c>
      <c r="R989" s="33" t="n">
        <v>90.25</v>
      </c>
      <c r="S989" s="33" t="n">
        <v>233.99</v>
      </c>
      <c r="T989" s="33" t="n">
        <v>156.94</v>
      </c>
      <c r="U989" s="11" t="n">
        <f aca="false">IFERROR(YEAR(A989),"")</f>
        <v>2023</v>
      </c>
      <c r="V989" s="33" t="n">
        <f aca="false">IFERROR(O989*B989,0)</f>
        <v>4354337.61</v>
      </c>
      <c r="W989" s="32" t="n">
        <f aca="false">IFERROR(N989*B989,0)</f>
        <v>27744</v>
      </c>
      <c r="X989" s="11" t="n">
        <f aca="false">IF(OR(ISNUMBER(SEARCH("live nation",L989)),ISNUMBER(SEARCH("ocesa",L989))),1,0)</f>
        <v>0</v>
      </c>
      <c r="Y989" s="11" t="s">
        <v>50</v>
      </c>
    </row>
    <row r="990" customFormat="false" ht="15" hidden="false" customHeight="false" outlineLevel="0" collapsed="false">
      <c r="A990" s="25" t="n">
        <v>45072</v>
      </c>
      <c r="B990" s="13" t="n">
        <v>1</v>
      </c>
      <c r="C990" s="26" t="s">
        <v>1056</v>
      </c>
      <c r="D990" s="26"/>
      <c r="E990" s="13" t="s">
        <v>1054</v>
      </c>
      <c r="F990" s="13" t="s">
        <v>455</v>
      </c>
      <c r="G990" s="13"/>
      <c r="H990" s="13" t="s">
        <v>350</v>
      </c>
      <c r="I990" s="13"/>
      <c r="J990" s="13" t="s">
        <v>106</v>
      </c>
      <c r="K990" s="13" t="s">
        <v>173</v>
      </c>
      <c r="L990" s="13" t="s">
        <v>351</v>
      </c>
      <c r="M990" s="13" t="s">
        <v>100</v>
      </c>
      <c r="N990" s="27" t="n">
        <v>3745</v>
      </c>
      <c r="O990" s="28" t="n">
        <v>144217.74</v>
      </c>
      <c r="P990" s="27" t="n">
        <v>3900</v>
      </c>
      <c r="Q990" s="29" t="n">
        <v>0.96</v>
      </c>
      <c r="R990" s="28" t="n">
        <v>45.1</v>
      </c>
      <c r="S990" s="28" t="n">
        <v>102.01</v>
      </c>
      <c r="T990" s="28" t="n">
        <v>38.51</v>
      </c>
      <c r="U990" s="13" t="n">
        <f aca="false">IFERROR(YEAR(A990),"")</f>
        <v>2023</v>
      </c>
      <c r="V990" s="28" t="n">
        <f aca="false">IFERROR(O990*B990,0)</f>
        <v>144217.74</v>
      </c>
      <c r="W990" s="27" t="n">
        <f aca="false">IFERROR(N990*B990,0)</f>
        <v>3745</v>
      </c>
      <c r="X990" s="13" t="n">
        <f aca="false">IF(OR(ISNUMBER(SEARCH("live nation",L990)),ISNUMBER(SEARCH("ocesa",L990))),1,0)</f>
        <v>0</v>
      </c>
      <c r="Y990" s="13" t="s">
        <v>49</v>
      </c>
    </row>
    <row r="991" customFormat="false" ht="15" hidden="false" customHeight="false" outlineLevel="0" collapsed="false">
      <c r="A991" s="30" t="n">
        <v>45071</v>
      </c>
      <c r="B991" s="11" t="n">
        <v>1</v>
      </c>
      <c r="C991" s="31" t="s">
        <v>153</v>
      </c>
      <c r="D991" s="31"/>
      <c r="E991" s="11" t="s">
        <v>460</v>
      </c>
      <c r="F991" s="11" t="s">
        <v>132</v>
      </c>
      <c r="G991" s="11"/>
      <c r="H991" s="11" t="s">
        <v>23</v>
      </c>
      <c r="I991" s="11"/>
      <c r="J991" s="11" t="s">
        <v>97</v>
      </c>
      <c r="K991" s="11" t="s">
        <v>134</v>
      </c>
      <c r="L991" s="11" t="s">
        <v>1181</v>
      </c>
      <c r="M991" s="11" t="s">
        <v>100</v>
      </c>
      <c r="N991" s="32" t="n">
        <v>21808</v>
      </c>
      <c r="O991" s="33" t="n">
        <v>1519778.07</v>
      </c>
      <c r="P991" s="32" t="n">
        <v>21916</v>
      </c>
      <c r="Q991" s="34" t="n">
        <v>0.99</v>
      </c>
      <c r="R991" s="33" t="n">
        <v>22.43</v>
      </c>
      <c r="S991" s="33" t="n">
        <v>340.92</v>
      </c>
      <c r="T991" s="33" t="n">
        <v>69.69</v>
      </c>
      <c r="U991" s="11" t="n">
        <f aca="false">IFERROR(YEAR(A991),"")</f>
        <v>2023</v>
      </c>
      <c r="V991" s="33" t="n">
        <f aca="false">IFERROR(O991*B991,0)</f>
        <v>1519778.07</v>
      </c>
      <c r="W991" s="32" t="n">
        <f aca="false">IFERROR(N991*B991,0)</f>
        <v>21808</v>
      </c>
      <c r="X991" s="11" t="n">
        <f aca="false">IF(OR(ISNUMBER(SEARCH("live nation",L991)),ISNUMBER(SEARCH("ocesa",L991))),1,0)</f>
        <v>0</v>
      </c>
      <c r="Y991" s="11" t="s">
        <v>49</v>
      </c>
    </row>
    <row r="992" customFormat="false" ht="15" hidden="false" customHeight="false" outlineLevel="0" collapsed="false">
      <c r="A992" s="25" t="n">
        <v>45070</v>
      </c>
      <c r="B992" s="13" t="n">
        <v>1</v>
      </c>
      <c r="C992" s="26" t="s">
        <v>1177</v>
      </c>
      <c r="D992" s="26"/>
      <c r="E992" s="13" t="s">
        <v>501</v>
      </c>
      <c r="F992" s="13" t="s">
        <v>502</v>
      </c>
      <c r="G992" s="13" t="s">
        <v>143</v>
      </c>
      <c r="H992" s="13" t="s">
        <v>20</v>
      </c>
      <c r="I992" s="13" t="s">
        <v>375</v>
      </c>
      <c r="J992" s="13" t="s">
        <v>97</v>
      </c>
      <c r="K992" s="13" t="s">
        <v>107</v>
      </c>
      <c r="L992" s="13" t="s">
        <v>1088</v>
      </c>
      <c r="M992" s="13" t="s">
        <v>100</v>
      </c>
      <c r="N992" s="27" t="n">
        <v>6387</v>
      </c>
      <c r="O992" s="28" t="n">
        <v>1018340.5</v>
      </c>
      <c r="P992" s="27" t="n">
        <v>10473</v>
      </c>
      <c r="Q992" s="29" t="n">
        <v>0.6</v>
      </c>
      <c r="R992" s="28" t="n">
        <v>49.5</v>
      </c>
      <c r="S992" s="28" t="n">
        <v>49.5</v>
      </c>
      <c r="T992" s="28" t="n">
        <v>159.44</v>
      </c>
      <c r="U992" s="13" t="n">
        <f aca="false">IFERROR(YEAR(A992),"")</f>
        <v>2023</v>
      </c>
      <c r="V992" s="28" t="n">
        <f aca="false">IFERROR(O992*B992,0)</f>
        <v>1018340.5</v>
      </c>
      <c r="W992" s="27" t="n">
        <f aca="false">IFERROR(N992*B992,0)</f>
        <v>6387</v>
      </c>
      <c r="X992" s="13" t="n">
        <f aca="false">IF(OR(ISNUMBER(SEARCH("live nation",L992)),ISNUMBER(SEARCH("ocesa",L992))),1,0)</f>
        <v>0</v>
      </c>
      <c r="Y992" s="13" t="s">
        <v>49</v>
      </c>
    </row>
    <row r="993" customFormat="false" ht="15" hidden="false" customHeight="false" outlineLevel="0" collapsed="false">
      <c r="A993" s="30" t="n">
        <v>45069</v>
      </c>
      <c r="B993" s="11" t="n">
        <v>2</v>
      </c>
      <c r="C993" s="31" t="s">
        <v>63</v>
      </c>
      <c r="D993" s="31"/>
      <c r="E993" s="11" t="s">
        <v>1182</v>
      </c>
      <c r="F993" s="11" t="s">
        <v>779</v>
      </c>
      <c r="G993" s="11" t="s">
        <v>143</v>
      </c>
      <c r="H993" s="11" t="s">
        <v>20</v>
      </c>
      <c r="I993" s="11" t="s">
        <v>779</v>
      </c>
      <c r="J993" s="11" t="s">
        <v>97</v>
      </c>
      <c r="K993" s="11" t="s">
        <v>107</v>
      </c>
      <c r="L993" s="11" t="s">
        <v>468</v>
      </c>
      <c r="M993" s="11" t="s">
        <v>100</v>
      </c>
      <c r="N993" s="32" t="n">
        <v>12228</v>
      </c>
      <c r="O993" s="33" t="n">
        <v>1693429.5</v>
      </c>
      <c r="P993" s="32" t="n">
        <v>12228</v>
      </c>
      <c r="Q993" s="34" t="n">
        <v>1</v>
      </c>
      <c r="R993" s="33" t="n">
        <v>59.5</v>
      </c>
      <c r="S993" s="33" t="n">
        <v>199.5</v>
      </c>
      <c r="T993" s="33" t="n">
        <v>138.49</v>
      </c>
      <c r="U993" s="11" t="n">
        <f aca="false">IFERROR(YEAR(A993),"")</f>
        <v>2023</v>
      </c>
      <c r="V993" s="33" t="n">
        <f aca="false">IFERROR(O993*B993,0)</f>
        <v>3386859</v>
      </c>
      <c r="W993" s="32" t="n">
        <f aca="false">IFERROR(N993*B993,0)</f>
        <v>24456</v>
      </c>
      <c r="X993" s="11" t="n">
        <f aca="false">IF(OR(ISNUMBER(SEARCH("live nation",L993)),ISNUMBER(SEARCH("ocesa",L993))),1,0)</f>
        <v>1</v>
      </c>
      <c r="Y993" s="11" t="s">
        <v>49</v>
      </c>
    </row>
    <row r="994" customFormat="false" ht="15" hidden="false" customHeight="false" outlineLevel="0" collapsed="false">
      <c r="A994" s="25" t="n">
        <v>45068</v>
      </c>
      <c r="B994" s="13" t="n">
        <v>1</v>
      </c>
      <c r="C994" s="26" t="s">
        <v>153</v>
      </c>
      <c r="D994" s="26"/>
      <c r="E994" s="13" t="s">
        <v>155</v>
      </c>
      <c r="F994" s="13" t="s">
        <v>156</v>
      </c>
      <c r="G994" s="13"/>
      <c r="H994" s="13" t="s">
        <v>157</v>
      </c>
      <c r="I994" s="13"/>
      <c r="J994" s="13" t="s">
        <v>97</v>
      </c>
      <c r="K994" s="13" t="s">
        <v>158</v>
      </c>
      <c r="L994" s="13" t="s">
        <v>1183</v>
      </c>
      <c r="M994" s="13" t="s">
        <v>100</v>
      </c>
      <c r="N994" s="27" t="n">
        <v>8410</v>
      </c>
      <c r="O994" s="28" t="n">
        <v>821312.48</v>
      </c>
      <c r="P994" s="27" t="n">
        <v>11325</v>
      </c>
      <c r="Q994" s="29" t="n">
        <v>0.74</v>
      </c>
      <c r="R994" s="28" t="n">
        <v>43.75</v>
      </c>
      <c r="S994" s="28" t="n">
        <v>137.5</v>
      </c>
      <c r="T994" s="28" t="n">
        <v>97.66</v>
      </c>
      <c r="U994" s="13" t="n">
        <f aca="false">IFERROR(YEAR(A994),"")</f>
        <v>2023</v>
      </c>
      <c r="V994" s="28" t="n">
        <f aca="false">IFERROR(O994*B994,0)</f>
        <v>821312.48</v>
      </c>
      <c r="W994" s="27" t="n">
        <f aca="false">IFERROR(N994*B994,0)</f>
        <v>8410</v>
      </c>
      <c r="X994" s="13" t="n">
        <f aca="false">IF(OR(ISNUMBER(SEARCH("live nation",L994)),ISNUMBER(SEARCH("ocesa",L994))),1,0)</f>
        <v>0</v>
      </c>
      <c r="Y994" s="13" t="s">
        <v>49</v>
      </c>
    </row>
    <row r="995" customFormat="false" ht="15" hidden="false" customHeight="false" outlineLevel="0" collapsed="false">
      <c r="A995" s="30" t="n">
        <v>45068</v>
      </c>
      <c r="B995" s="11" t="n">
        <v>1</v>
      </c>
      <c r="C995" s="31" t="s">
        <v>1177</v>
      </c>
      <c r="D995" s="31"/>
      <c r="E995" s="11" t="s">
        <v>1184</v>
      </c>
      <c r="F995" s="11" t="s">
        <v>953</v>
      </c>
      <c r="G995" s="11" t="s">
        <v>954</v>
      </c>
      <c r="H995" s="11" t="s">
        <v>20</v>
      </c>
      <c r="I995" s="11" t="s">
        <v>953</v>
      </c>
      <c r="J995" s="11" t="s">
        <v>97</v>
      </c>
      <c r="K995" s="11" t="s">
        <v>107</v>
      </c>
      <c r="L995" s="11" t="s">
        <v>1088</v>
      </c>
      <c r="M995" s="11" t="s">
        <v>100</v>
      </c>
      <c r="N995" s="32" t="n">
        <v>3401</v>
      </c>
      <c r="O995" s="33" t="n">
        <v>398345.25</v>
      </c>
      <c r="P995" s="32" t="n">
        <v>6229</v>
      </c>
      <c r="Q995" s="34" t="n">
        <v>0.54</v>
      </c>
      <c r="R995" s="33" t="n">
        <v>57.8</v>
      </c>
      <c r="S995" s="33" t="n">
        <v>57.8</v>
      </c>
      <c r="T995" s="33" t="n">
        <v>117.13</v>
      </c>
      <c r="U995" s="11" t="n">
        <f aca="false">IFERROR(YEAR(A995),"")</f>
        <v>2023</v>
      </c>
      <c r="V995" s="33" t="n">
        <f aca="false">IFERROR(O995*B995,0)</f>
        <v>398345.25</v>
      </c>
      <c r="W995" s="32" t="n">
        <f aca="false">IFERROR(N995*B995,0)</f>
        <v>3401</v>
      </c>
      <c r="X995" s="11" t="n">
        <f aca="false">IF(OR(ISNUMBER(SEARCH("live nation",L995)),ISNUMBER(SEARCH("ocesa",L995))),1,0)</f>
        <v>0</v>
      </c>
      <c r="Y995" s="11" t="s">
        <v>49</v>
      </c>
    </row>
    <row r="996" customFormat="false" ht="15" hidden="false" customHeight="false" outlineLevel="0" collapsed="false">
      <c r="A996" s="25" t="n">
        <v>45067</v>
      </c>
      <c r="B996" s="13" t="n">
        <v>1</v>
      </c>
      <c r="C996" s="26" t="s">
        <v>1056</v>
      </c>
      <c r="D996" s="26"/>
      <c r="E996" s="13" t="s">
        <v>1095</v>
      </c>
      <c r="F996" s="13" t="s">
        <v>313</v>
      </c>
      <c r="G996" s="13"/>
      <c r="H996" s="13" t="s">
        <v>27</v>
      </c>
      <c r="I996" s="13"/>
      <c r="J996" s="13" t="s">
        <v>121</v>
      </c>
      <c r="K996" s="13" t="s">
        <v>314</v>
      </c>
      <c r="L996" s="13" t="s">
        <v>1185</v>
      </c>
      <c r="M996" s="13" t="s">
        <v>100</v>
      </c>
      <c r="N996" s="27" t="n">
        <v>2803</v>
      </c>
      <c r="O996" s="28" t="n">
        <v>144404.24</v>
      </c>
      <c r="P996" s="27" t="n">
        <v>2826</v>
      </c>
      <c r="Q996" s="29" t="n">
        <v>0.99</v>
      </c>
      <c r="R996" s="28" t="n">
        <v>6.22</v>
      </c>
      <c r="S996" s="28" t="n">
        <v>217.81</v>
      </c>
      <c r="T996" s="28" t="n">
        <v>51.52</v>
      </c>
      <c r="U996" s="13" t="n">
        <f aca="false">IFERROR(YEAR(A996),"")</f>
        <v>2023</v>
      </c>
      <c r="V996" s="28" t="n">
        <f aca="false">IFERROR(O996*B996,0)</f>
        <v>144404.24</v>
      </c>
      <c r="W996" s="27" t="n">
        <f aca="false">IFERROR(N996*B996,0)</f>
        <v>2803</v>
      </c>
      <c r="X996" s="13" t="n">
        <f aca="false">IF(OR(ISNUMBER(SEARCH("live nation",L996)),ISNUMBER(SEARCH("ocesa",L996))),1,0)</f>
        <v>0</v>
      </c>
      <c r="Y996" s="13" t="s">
        <v>49</v>
      </c>
    </row>
    <row r="997" customFormat="false" ht="15" hidden="false" customHeight="false" outlineLevel="0" collapsed="false">
      <c r="A997" s="30" t="n">
        <v>45066</v>
      </c>
      <c r="B997" s="11" t="n">
        <v>1</v>
      </c>
      <c r="C997" s="31" t="s">
        <v>1177</v>
      </c>
      <c r="D997" s="31"/>
      <c r="E997" s="11" t="s">
        <v>345</v>
      </c>
      <c r="F997" s="11" t="s">
        <v>346</v>
      </c>
      <c r="G997" s="11" t="s">
        <v>347</v>
      </c>
      <c r="H997" s="11" t="s">
        <v>20</v>
      </c>
      <c r="I997" s="11" t="s">
        <v>346</v>
      </c>
      <c r="J997" s="11" t="s">
        <v>97</v>
      </c>
      <c r="K997" s="11" t="s">
        <v>107</v>
      </c>
      <c r="L997" s="11" t="s">
        <v>1088</v>
      </c>
      <c r="M997" s="11" t="s">
        <v>100</v>
      </c>
      <c r="N997" s="32" t="n">
        <v>5787</v>
      </c>
      <c r="O997" s="33" t="n">
        <v>847280.51</v>
      </c>
      <c r="P997" s="32" t="n">
        <v>7549</v>
      </c>
      <c r="Q997" s="34" t="n">
        <v>0.76</v>
      </c>
      <c r="R997" s="33" t="n">
        <v>49.5</v>
      </c>
      <c r="S997" s="33" t="n">
        <v>499.5</v>
      </c>
      <c r="T997" s="33" t="n">
        <v>146.41</v>
      </c>
      <c r="U997" s="11" t="n">
        <f aca="false">IFERROR(YEAR(A997),"")</f>
        <v>2023</v>
      </c>
      <c r="V997" s="33" t="n">
        <f aca="false">IFERROR(O997*B997,0)</f>
        <v>847280.51</v>
      </c>
      <c r="W997" s="32" t="n">
        <f aca="false">IFERROR(N997*B997,0)</f>
        <v>5787</v>
      </c>
      <c r="X997" s="11" t="n">
        <f aca="false">IF(OR(ISNUMBER(SEARCH("live nation",L997)),ISNUMBER(SEARCH("ocesa",L997))),1,0)</f>
        <v>0</v>
      </c>
      <c r="Y997" s="11" t="s">
        <v>49</v>
      </c>
    </row>
    <row r="998" customFormat="false" ht="15" hidden="false" customHeight="false" outlineLevel="0" collapsed="false">
      <c r="A998" s="25" t="n">
        <v>45065</v>
      </c>
      <c r="B998" s="13" t="n">
        <v>2</v>
      </c>
      <c r="C998" s="26" t="s">
        <v>63</v>
      </c>
      <c r="D998" s="26"/>
      <c r="E998" s="13" t="s">
        <v>962</v>
      </c>
      <c r="F998" s="13" t="s">
        <v>963</v>
      </c>
      <c r="G998" s="13" t="s">
        <v>347</v>
      </c>
      <c r="H998" s="13" t="s">
        <v>20</v>
      </c>
      <c r="I998" s="13" t="s">
        <v>346</v>
      </c>
      <c r="J998" s="13" t="s">
        <v>97</v>
      </c>
      <c r="K998" s="13" t="s">
        <v>107</v>
      </c>
      <c r="L998" s="13" t="s">
        <v>468</v>
      </c>
      <c r="M998" s="13" t="s">
        <v>100</v>
      </c>
      <c r="N998" s="27" t="n">
        <v>8902</v>
      </c>
      <c r="O998" s="28" t="n">
        <v>1322982</v>
      </c>
      <c r="P998" s="27" t="n">
        <v>9527</v>
      </c>
      <c r="Q998" s="29" t="n">
        <v>0.93</v>
      </c>
      <c r="R998" s="28" t="n">
        <v>59.5</v>
      </c>
      <c r="S998" s="28" t="n">
        <v>199.5</v>
      </c>
      <c r="T998" s="28" t="n">
        <v>148.62</v>
      </c>
      <c r="U998" s="13" t="n">
        <f aca="false">IFERROR(YEAR(A998),"")</f>
        <v>2023</v>
      </c>
      <c r="V998" s="28" t="n">
        <f aca="false">IFERROR(O998*B998,0)</f>
        <v>2645964</v>
      </c>
      <c r="W998" s="27" t="n">
        <f aca="false">IFERROR(N998*B998,0)</f>
        <v>17804</v>
      </c>
      <c r="X998" s="13" t="n">
        <f aca="false">IF(OR(ISNUMBER(SEARCH("live nation",L998)),ISNUMBER(SEARCH("ocesa",L998))),1,0)</f>
        <v>1</v>
      </c>
      <c r="Y998" s="13" t="s">
        <v>49</v>
      </c>
    </row>
    <row r="999" customFormat="false" ht="15" hidden="false" customHeight="false" outlineLevel="0" collapsed="false">
      <c r="A999" s="30" t="n">
        <v>45064</v>
      </c>
      <c r="B999" s="11" t="n">
        <v>1</v>
      </c>
      <c r="C999" s="31" t="s">
        <v>1177</v>
      </c>
      <c r="D999" s="31"/>
      <c r="E999" s="11" t="s">
        <v>601</v>
      </c>
      <c r="F999" s="11" t="s">
        <v>602</v>
      </c>
      <c r="G999" s="11" t="s">
        <v>229</v>
      </c>
      <c r="H999" s="11" t="s">
        <v>20</v>
      </c>
      <c r="I999" s="11" t="s">
        <v>602</v>
      </c>
      <c r="J999" s="11" t="s">
        <v>97</v>
      </c>
      <c r="K999" s="11" t="s">
        <v>107</v>
      </c>
      <c r="L999" s="11" t="s">
        <v>1088</v>
      </c>
      <c r="M999" s="11" t="s">
        <v>100</v>
      </c>
      <c r="N999" s="32" t="n">
        <v>5771</v>
      </c>
      <c r="O999" s="33" t="n">
        <v>827217.25</v>
      </c>
      <c r="P999" s="32" t="n">
        <v>8156</v>
      </c>
      <c r="Q999" s="34" t="n">
        <v>0.7</v>
      </c>
      <c r="R999" s="33" t="n">
        <v>49.5</v>
      </c>
      <c r="S999" s="33" t="n">
        <v>499.5</v>
      </c>
      <c r="T999" s="33" t="n">
        <v>143.34</v>
      </c>
      <c r="U999" s="11" t="n">
        <f aca="false">IFERROR(YEAR(A999),"")</f>
        <v>2023</v>
      </c>
      <c r="V999" s="33" t="n">
        <f aca="false">IFERROR(O999*B999,0)</f>
        <v>827217.25</v>
      </c>
      <c r="W999" s="32" t="n">
        <f aca="false">IFERROR(N999*B999,0)</f>
        <v>5771</v>
      </c>
      <c r="X999" s="11" t="n">
        <f aca="false">IF(OR(ISNUMBER(SEARCH("live nation",L999)),ISNUMBER(SEARCH("ocesa",L999))),1,0)</f>
        <v>0</v>
      </c>
      <c r="Y999" s="11" t="s">
        <v>49</v>
      </c>
    </row>
    <row r="1000" customFormat="false" ht="15" hidden="false" customHeight="false" outlineLevel="0" collapsed="false">
      <c r="A1000" s="25" t="n">
        <v>45064</v>
      </c>
      <c r="B1000" s="13" t="n">
        <v>1</v>
      </c>
      <c r="C1000" s="26" t="s">
        <v>153</v>
      </c>
      <c r="D1000" s="26"/>
      <c r="E1000" s="13" t="s">
        <v>155</v>
      </c>
      <c r="F1000" s="13" t="s">
        <v>578</v>
      </c>
      <c r="G1000" s="13"/>
      <c r="H1000" s="13" t="s">
        <v>579</v>
      </c>
      <c r="I1000" s="13"/>
      <c r="J1000" s="13" t="s">
        <v>97</v>
      </c>
      <c r="K1000" s="13" t="s">
        <v>134</v>
      </c>
      <c r="L1000" s="13" t="s">
        <v>1186</v>
      </c>
      <c r="M1000" s="13" t="s">
        <v>100</v>
      </c>
      <c r="N1000" s="27" t="n">
        <v>7386</v>
      </c>
      <c r="O1000" s="28" t="n">
        <v>910920.66</v>
      </c>
      <c r="P1000" s="27" t="n">
        <v>9230</v>
      </c>
      <c r="Q1000" s="29" t="n">
        <v>0.8</v>
      </c>
      <c r="R1000" s="28" t="n">
        <v>51.81</v>
      </c>
      <c r="S1000" s="28" t="n">
        <v>194.28</v>
      </c>
      <c r="T1000" s="28" t="n">
        <v>123.33</v>
      </c>
      <c r="U1000" s="13" t="n">
        <f aca="false">IFERROR(YEAR(A1000),"")</f>
        <v>2023</v>
      </c>
      <c r="V1000" s="28" t="n">
        <f aca="false">IFERROR(O1000*B1000,0)</f>
        <v>910920.66</v>
      </c>
      <c r="W1000" s="27" t="n">
        <f aca="false">IFERROR(N1000*B1000,0)</f>
        <v>7386</v>
      </c>
      <c r="X1000" s="13" t="n">
        <f aca="false">IF(OR(ISNUMBER(SEARCH("live nation",L1000)),ISNUMBER(SEARCH("ocesa",L1000))),1,0)</f>
        <v>0</v>
      </c>
      <c r="Y1000" s="13" t="s">
        <v>49</v>
      </c>
    </row>
    <row r="1001" customFormat="false" ht="15" hidden="false" customHeight="false" outlineLevel="0" collapsed="false">
      <c r="A1001" s="30" t="n">
        <v>45062</v>
      </c>
      <c r="B1001" s="11" t="n">
        <v>2</v>
      </c>
      <c r="C1001" s="31" t="s">
        <v>1157</v>
      </c>
      <c r="D1001" s="31"/>
      <c r="E1001" s="11" t="s">
        <v>230</v>
      </c>
      <c r="F1001" s="11" t="s">
        <v>231</v>
      </c>
      <c r="G1001" s="11" t="s">
        <v>202</v>
      </c>
      <c r="H1001" s="11" t="s">
        <v>20</v>
      </c>
      <c r="I1001" s="11" t="s">
        <v>232</v>
      </c>
      <c r="J1001" s="11" t="s">
        <v>97</v>
      </c>
      <c r="K1001" s="11" t="s">
        <v>107</v>
      </c>
      <c r="L1001" s="11" t="s">
        <v>468</v>
      </c>
      <c r="M1001" s="11" t="s">
        <v>100</v>
      </c>
      <c r="N1001" s="32" t="n">
        <v>13574</v>
      </c>
      <c r="O1001" s="33" t="n">
        <v>2976658.5</v>
      </c>
      <c r="P1001" s="32" t="n">
        <v>13574</v>
      </c>
      <c r="Q1001" s="34" t="n">
        <v>1</v>
      </c>
      <c r="R1001" s="33" t="n">
        <v>59.5</v>
      </c>
      <c r="S1001" s="33" t="n">
        <v>279.5</v>
      </c>
      <c r="T1001" s="33" t="n">
        <v>219.28</v>
      </c>
      <c r="U1001" s="11" t="n">
        <f aca="false">IFERROR(YEAR(A1001),"")</f>
        <v>2023</v>
      </c>
      <c r="V1001" s="33" t="n">
        <f aca="false">IFERROR(O1001*B1001,0)</f>
        <v>5953317</v>
      </c>
      <c r="W1001" s="32" t="n">
        <f aca="false">IFERROR(N1001*B1001,0)</f>
        <v>27148</v>
      </c>
      <c r="X1001" s="11" t="n">
        <f aca="false">IF(OR(ISNUMBER(SEARCH("live nation",L1001)),ISNUMBER(SEARCH("ocesa",L1001))),1,0)</f>
        <v>1</v>
      </c>
      <c r="Y1001" s="11" t="s">
        <v>49</v>
      </c>
    </row>
    <row r="1002" customFormat="false" ht="15" hidden="false" customHeight="false" outlineLevel="0" collapsed="false">
      <c r="A1002" s="25" t="n">
        <v>45062</v>
      </c>
      <c r="B1002" s="13" t="n">
        <v>1</v>
      </c>
      <c r="C1002" s="26" t="s">
        <v>199</v>
      </c>
      <c r="D1002" s="26"/>
      <c r="E1002" s="13" t="s">
        <v>392</v>
      </c>
      <c r="F1002" s="13" t="s">
        <v>197</v>
      </c>
      <c r="G1002" s="13" t="s">
        <v>139</v>
      </c>
      <c r="H1002" s="13" t="s">
        <v>20</v>
      </c>
      <c r="I1002" s="13" t="s">
        <v>139</v>
      </c>
      <c r="J1002" s="13" t="s">
        <v>121</v>
      </c>
      <c r="K1002" s="13" t="s">
        <v>107</v>
      </c>
      <c r="L1002" s="13" t="s">
        <v>177</v>
      </c>
      <c r="M1002" s="13" t="s">
        <v>100</v>
      </c>
      <c r="N1002" s="27" t="n">
        <v>1165</v>
      </c>
      <c r="O1002" s="28" t="n">
        <v>119803</v>
      </c>
      <c r="P1002" s="27" t="n">
        <v>3055</v>
      </c>
      <c r="Q1002" s="29" t="n">
        <v>0.38</v>
      </c>
      <c r="R1002" s="28" t="n">
        <v>59.5</v>
      </c>
      <c r="S1002" s="28" t="n">
        <v>149.5</v>
      </c>
      <c r="T1002" s="28" t="n">
        <v>102.84</v>
      </c>
      <c r="U1002" s="13" t="n">
        <f aca="false">IFERROR(YEAR(A1002),"")</f>
        <v>2023</v>
      </c>
      <c r="V1002" s="28" t="n">
        <f aca="false">IFERROR(O1002*B1002,0)</f>
        <v>119803</v>
      </c>
      <c r="W1002" s="27" t="n">
        <f aca="false">IFERROR(N1002*B1002,0)</f>
        <v>1165</v>
      </c>
      <c r="X1002" s="13" t="n">
        <f aca="false">IF(OR(ISNUMBER(SEARCH("live nation",L1002)),ISNUMBER(SEARCH("ocesa",L1002))),1,0)</f>
        <v>1</v>
      </c>
      <c r="Y1002" s="13" t="s">
        <v>49</v>
      </c>
    </row>
    <row r="1003" customFormat="false" ht="15" hidden="false" customHeight="false" outlineLevel="0" collapsed="false">
      <c r="A1003" s="30" t="n">
        <v>45062</v>
      </c>
      <c r="B1003" s="11" t="n">
        <v>1</v>
      </c>
      <c r="C1003" s="31" t="s">
        <v>63</v>
      </c>
      <c r="D1003" s="31"/>
      <c r="E1003" s="11" t="s">
        <v>365</v>
      </c>
      <c r="F1003" s="11" t="s">
        <v>188</v>
      </c>
      <c r="G1003" s="11" t="s">
        <v>189</v>
      </c>
      <c r="H1003" s="11" t="s">
        <v>20</v>
      </c>
      <c r="I1003" s="11" t="s">
        <v>190</v>
      </c>
      <c r="J1003" s="11" t="s">
        <v>97</v>
      </c>
      <c r="K1003" s="11" t="s">
        <v>107</v>
      </c>
      <c r="L1003" s="11" t="s">
        <v>177</v>
      </c>
      <c r="M1003" s="11" t="s">
        <v>100</v>
      </c>
      <c r="N1003" s="32" t="n">
        <v>12073</v>
      </c>
      <c r="O1003" s="33" t="n">
        <v>1813778.15</v>
      </c>
      <c r="P1003" s="32" t="n">
        <v>12204</v>
      </c>
      <c r="Q1003" s="34" t="n">
        <v>0.98</v>
      </c>
      <c r="R1003" s="33" t="n">
        <v>59.5</v>
      </c>
      <c r="S1003" s="33" t="n">
        <v>59.5</v>
      </c>
      <c r="T1003" s="33" t="n">
        <v>150.23</v>
      </c>
      <c r="U1003" s="11" t="n">
        <f aca="false">IFERROR(YEAR(A1003),"")</f>
        <v>2023</v>
      </c>
      <c r="V1003" s="33" t="n">
        <f aca="false">IFERROR(O1003*B1003,0)</f>
        <v>1813778.15</v>
      </c>
      <c r="W1003" s="32" t="n">
        <f aca="false">IFERROR(N1003*B1003,0)</f>
        <v>12073</v>
      </c>
      <c r="X1003" s="11" t="n">
        <f aca="false">IF(OR(ISNUMBER(SEARCH("live nation",L1003)),ISNUMBER(SEARCH("ocesa",L1003))),1,0)</f>
        <v>1</v>
      </c>
      <c r="Y1003" s="11" t="s">
        <v>49</v>
      </c>
    </row>
    <row r="1004" customFormat="false" ht="15" hidden="false" customHeight="false" outlineLevel="0" collapsed="false">
      <c r="A1004" s="25" t="n">
        <v>45062</v>
      </c>
      <c r="B1004" s="13" t="n">
        <v>1</v>
      </c>
      <c r="C1004" s="26" t="s">
        <v>1177</v>
      </c>
      <c r="D1004" s="26"/>
      <c r="E1004" s="13" t="s">
        <v>355</v>
      </c>
      <c r="F1004" s="13" t="s">
        <v>356</v>
      </c>
      <c r="G1004" s="13" t="s">
        <v>139</v>
      </c>
      <c r="H1004" s="13" t="s">
        <v>20</v>
      </c>
      <c r="I1004" s="13" t="s">
        <v>139</v>
      </c>
      <c r="J1004" s="13" t="s">
        <v>97</v>
      </c>
      <c r="K1004" s="13" t="s">
        <v>107</v>
      </c>
      <c r="L1004" s="13" t="s">
        <v>1187</v>
      </c>
      <c r="M1004" s="13" t="s">
        <v>100</v>
      </c>
      <c r="N1004" s="27" t="n">
        <v>9136</v>
      </c>
      <c r="O1004" s="28" t="n">
        <v>1067797.09</v>
      </c>
      <c r="P1004" s="27" t="n">
        <v>9790</v>
      </c>
      <c r="Q1004" s="29" t="n">
        <v>0.93</v>
      </c>
      <c r="R1004" s="28" t="n">
        <v>59.5</v>
      </c>
      <c r="S1004" s="28" t="n">
        <v>499.5</v>
      </c>
      <c r="T1004" s="28" t="n">
        <v>116.88</v>
      </c>
      <c r="U1004" s="13" t="n">
        <f aca="false">IFERROR(YEAR(A1004),"")</f>
        <v>2023</v>
      </c>
      <c r="V1004" s="28" t="n">
        <f aca="false">IFERROR(O1004*B1004,0)</f>
        <v>1067797.09</v>
      </c>
      <c r="W1004" s="27" t="n">
        <f aca="false">IFERROR(N1004*B1004,0)</f>
        <v>9136</v>
      </c>
      <c r="X1004" s="13" t="n">
        <f aca="false">IF(OR(ISNUMBER(SEARCH("live nation",L1004)),ISNUMBER(SEARCH("ocesa",L1004))),1,0)</f>
        <v>0</v>
      </c>
      <c r="Y1004" s="13" t="s">
        <v>49</v>
      </c>
    </row>
    <row r="1005" customFormat="false" ht="15" hidden="false" customHeight="false" outlineLevel="0" collapsed="false">
      <c r="A1005" s="30" t="n">
        <v>45061</v>
      </c>
      <c r="B1005" s="11" t="n">
        <v>1</v>
      </c>
      <c r="C1005" s="31" t="s">
        <v>153</v>
      </c>
      <c r="D1005" s="31"/>
      <c r="E1005" s="11" t="s">
        <v>1188</v>
      </c>
      <c r="F1005" s="11" t="s">
        <v>582</v>
      </c>
      <c r="G1005" s="11"/>
      <c r="H1005" s="11" t="s">
        <v>583</v>
      </c>
      <c r="I1005" s="11"/>
      <c r="J1005" s="11" t="s">
        <v>121</v>
      </c>
      <c r="K1005" s="11" t="s">
        <v>584</v>
      </c>
      <c r="L1005" s="11" t="s">
        <v>1186</v>
      </c>
      <c r="M1005" s="11" t="s">
        <v>100</v>
      </c>
      <c r="N1005" s="32" t="n">
        <v>6124</v>
      </c>
      <c r="O1005" s="33" t="n">
        <v>530315.96</v>
      </c>
      <c r="P1005" s="32" t="n">
        <v>6798</v>
      </c>
      <c r="Q1005" s="34" t="n">
        <v>0.9</v>
      </c>
      <c r="R1005" s="33" t="n">
        <v>93.46</v>
      </c>
      <c r="S1005" s="33" t="n">
        <v>243.82</v>
      </c>
      <c r="T1005" s="33" t="n">
        <v>86.6</v>
      </c>
      <c r="U1005" s="11" t="n">
        <f aca="false">IFERROR(YEAR(A1005),"")</f>
        <v>2023</v>
      </c>
      <c r="V1005" s="33" t="n">
        <f aca="false">IFERROR(O1005*B1005,0)</f>
        <v>530315.96</v>
      </c>
      <c r="W1005" s="32" t="n">
        <f aca="false">IFERROR(N1005*B1005,0)</f>
        <v>6124</v>
      </c>
      <c r="X1005" s="11" t="n">
        <f aca="false">IF(OR(ISNUMBER(SEARCH("live nation",L1005)),ISNUMBER(SEARCH("ocesa",L1005))),1,0)</f>
        <v>0</v>
      </c>
      <c r="Y1005" s="11" t="s">
        <v>49</v>
      </c>
    </row>
    <row r="1006" customFormat="false" ht="15" hidden="false" customHeight="false" outlineLevel="0" collapsed="false">
      <c r="A1006" s="25" t="n">
        <v>45057</v>
      </c>
      <c r="B1006" s="13" t="n">
        <v>1</v>
      </c>
      <c r="C1006" s="26" t="s">
        <v>153</v>
      </c>
      <c r="D1006" s="26"/>
      <c r="E1006" s="13" t="s">
        <v>196</v>
      </c>
      <c r="F1006" s="13" t="s">
        <v>197</v>
      </c>
      <c r="G1006" s="13" t="s">
        <v>139</v>
      </c>
      <c r="H1006" s="13" t="s">
        <v>20</v>
      </c>
      <c r="I1006" s="13" t="s">
        <v>139</v>
      </c>
      <c r="J1006" s="13" t="s">
        <v>97</v>
      </c>
      <c r="K1006" s="13" t="s">
        <v>107</v>
      </c>
      <c r="L1006" s="13" t="s">
        <v>597</v>
      </c>
      <c r="M1006" s="13" t="s">
        <v>100</v>
      </c>
      <c r="N1006" s="27" t="n">
        <v>13505</v>
      </c>
      <c r="O1006" s="28" t="n">
        <v>1212808.3</v>
      </c>
      <c r="P1006" s="27" t="n">
        <v>13505</v>
      </c>
      <c r="Q1006" s="29" t="n">
        <v>1</v>
      </c>
      <c r="R1006" s="28" t="n">
        <v>63.5</v>
      </c>
      <c r="S1006" s="28" t="n">
        <v>143.5</v>
      </c>
      <c r="T1006" s="28" t="n">
        <v>89.8</v>
      </c>
      <c r="U1006" s="13" t="n">
        <f aca="false">IFERROR(YEAR(A1006),"")</f>
        <v>2023</v>
      </c>
      <c r="V1006" s="28" t="n">
        <f aca="false">IFERROR(O1006*B1006,0)</f>
        <v>1212808.3</v>
      </c>
      <c r="W1006" s="27" t="n">
        <f aca="false">IFERROR(N1006*B1006,0)</f>
        <v>13505</v>
      </c>
      <c r="X1006" s="13" t="n">
        <f aca="false">IF(OR(ISNUMBER(SEARCH("live nation",L1006)),ISNUMBER(SEARCH("ocesa",L1006))),1,0)</f>
        <v>0</v>
      </c>
      <c r="Y1006" s="13" t="s">
        <v>49</v>
      </c>
    </row>
    <row r="1007" customFormat="false" ht="15" hidden="false" customHeight="false" outlineLevel="0" collapsed="false">
      <c r="A1007" s="30" t="n">
        <v>45056</v>
      </c>
      <c r="B1007" s="11" t="n">
        <v>3</v>
      </c>
      <c r="C1007" s="31" t="s">
        <v>1157</v>
      </c>
      <c r="D1007" s="31"/>
      <c r="E1007" s="11" t="s">
        <v>822</v>
      </c>
      <c r="F1007" s="11" t="s">
        <v>201</v>
      </c>
      <c r="G1007" s="11" t="s">
        <v>202</v>
      </c>
      <c r="H1007" s="11" t="s">
        <v>20</v>
      </c>
      <c r="I1007" s="11" t="s">
        <v>203</v>
      </c>
      <c r="J1007" s="11" t="s">
        <v>97</v>
      </c>
      <c r="K1007" s="11" t="s">
        <v>107</v>
      </c>
      <c r="L1007" s="11" t="s">
        <v>468</v>
      </c>
      <c r="M1007" s="11" t="s">
        <v>100</v>
      </c>
      <c r="N1007" s="32" t="n">
        <v>14164</v>
      </c>
      <c r="O1007" s="33" t="n">
        <v>3164177</v>
      </c>
      <c r="P1007" s="32" t="n">
        <v>14164</v>
      </c>
      <c r="Q1007" s="34" t="n">
        <v>1</v>
      </c>
      <c r="R1007" s="33" t="n">
        <v>59.5</v>
      </c>
      <c r="S1007" s="33" t="n">
        <v>279.5</v>
      </c>
      <c r="T1007" s="33" t="n">
        <v>223.4</v>
      </c>
      <c r="U1007" s="11" t="n">
        <f aca="false">IFERROR(YEAR(A1007),"")</f>
        <v>2023</v>
      </c>
      <c r="V1007" s="33" t="n">
        <f aca="false">IFERROR(O1007*B1007,0)</f>
        <v>9492531</v>
      </c>
      <c r="W1007" s="32" t="n">
        <f aca="false">IFERROR(N1007*B1007,0)</f>
        <v>42492</v>
      </c>
      <c r="X1007" s="11" t="n">
        <f aca="false">IF(OR(ISNUMBER(SEARCH("live nation",L1007)),ISNUMBER(SEARCH("ocesa",L1007))),1,0)</f>
        <v>1</v>
      </c>
      <c r="Y1007" s="11" t="s">
        <v>49</v>
      </c>
    </row>
    <row r="1008" customFormat="false" ht="15" hidden="false" customHeight="false" outlineLevel="0" collapsed="false">
      <c r="A1008" s="25" t="n">
        <v>45056</v>
      </c>
      <c r="B1008" s="13" t="n">
        <v>1</v>
      </c>
      <c r="C1008" s="26" t="s">
        <v>729</v>
      </c>
      <c r="D1008" s="26" t="s">
        <v>1189</v>
      </c>
      <c r="E1008" s="13" t="s">
        <v>95</v>
      </c>
      <c r="F1008" s="13" t="s">
        <v>96</v>
      </c>
      <c r="G1008" s="13"/>
      <c r="H1008" s="13" t="s">
        <v>28</v>
      </c>
      <c r="I1008" s="13"/>
      <c r="J1008" s="13" t="s">
        <v>97</v>
      </c>
      <c r="K1008" s="13" t="s">
        <v>98</v>
      </c>
      <c r="L1008" s="13" t="s">
        <v>177</v>
      </c>
      <c r="M1008" s="13" t="s">
        <v>100</v>
      </c>
      <c r="N1008" s="27" t="n">
        <v>11301</v>
      </c>
      <c r="O1008" s="28" t="n">
        <v>1834956.55</v>
      </c>
      <c r="P1008" s="27" t="n">
        <v>11705</v>
      </c>
      <c r="Q1008" s="29" t="n">
        <v>0.96</v>
      </c>
      <c r="R1008" s="28" t="n">
        <v>66.87</v>
      </c>
      <c r="S1008" s="28" t="n">
        <v>336.25</v>
      </c>
      <c r="T1008" s="28" t="n">
        <v>162.37</v>
      </c>
      <c r="U1008" s="13" t="n">
        <f aca="false">IFERROR(YEAR(A1008),"")</f>
        <v>2023</v>
      </c>
      <c r="V1008" s="28" t="n">
        <f aca="false">IFERROR(O1008*B1008,0)</f>
        <v>1834956.55</v>
      </c>
      <c r="W1008" s="27" t="n">
        <f aca="false">IFERROR(N1008*B1008,0)</f>
        <v>11301</v>
      </c>
      <c r="X1008" s="13" t="n">
        <f aca="false">IF(OR(ISNUMBER(SEARCH("live nation",L1008)),ISNUMBER(SEARCH("ocesa",L1008))),1,0)</f>
        <v>1</v>
      </c>
      <c r="Y1008" s="13" t="s">
        <v>49</v>
      </c>
    </row>
    <row r="1009" customFormat="false" ht="15" hidden="false" customHeight="false" outlineLevel="0" collapsed="false">
      <c r="A1009" s="30" t="n">
        <v>45056</v>
      </c>
      <c r="B1009" s="11" t="n">
        <v>2</v>
      </c>
      <c r="C1009" s="31" t="s">
        <v>63</v>
      </c>
      <c r="D1009" s="31"/>
      <c r="E1009" s="11" t="s">
        <v>355</v>
      </c>
      <c r="F1009" s="11" t="s">
        <v>356</v>
      </c>
      <c r="G1009" s="11" t="s">
        <v>139</v>
      </c>
      <c r="H1009" s="11" t="s">
        <v>20</v>
      </c>
      <c r="I1009" s="11" t="s">
        <v>139</v>
      </c>
      <c r="J1009" s="11" t="s">
        <v>97</v>
      </c>
      <c r="K1009" s="11" t="s">
        <v>107</v>
      </c>
      <c r="L1009" s="11" t="s">
        <v>468</v>
      </c>
      <c r="M1009" s="11" t="s">
        <v>100</v>
      </c>
      <c r="N1009" s="32" t="n">
        <v>11253</v>
      </c>
      <c r="O1009" s="33" t="n">
        <v>1503500</v>
      </c>
      <c r="P1009" s="32" t="n">
        <v>11253</v>
      </c>
      <c r="Q1009" s="34" t="n">
        <v>1</v>
      </c>
      <c r="R1009" s="33" t="n">
        <v>59.5</v>
      </c>
      <c r="S1009" s="33" t="n">
        <v>199.5</v>
      </c>
      <c r="T1009" s="33" t="n">
        <v>133.61</v>
      </c>
      <c r="U1009" s="11" t="n">
        <f aca="false">IFERROR(YEAR(A1009),"")</f>
        <v>2023</v>
      </c>
      <c r="V1009" s="33" t="n">
        <f aca="false">IFERROR(O1009*B1009,0)</f>
        <v>3007000</v>
      </c>
      <c r="W1009" s="32" t="n">
        <f aca="false">IFERROR(N1009*B1009,0)</f>
        <v>22506</v>
      </c>
      <c r="X1009" s="11" t="n">
        <f aca="false">IF(OR(ISNUMBER(SEARCH("live nation",L1009)),ISNUMBER(SEARCH("ocesa",L1009))),1,0)</f>
        <v>1</v>
      </c>
      <c r="Y1009" s="11" t="s">
        <v>49</v>
      </c>
    </row>
    <row r="1010" customFormat="false" ht="15" hidden="false" customHeight="false" outlineLevel="0" collapsed="false">
      <c r="A1010" s="25" t="n">
        <v>45052</v>
      </c>
      <c r="B1010" s="13" t="n">
        <v>1</v>
      </c>
      <c r="C1010" s="26" t="s">
        <v>153</v>
      </c>
      <c r="D1010" s="26"/>
      <c r="E1010" s="13" t="s">
        <v>1190</v>
      </c>
      <c r="F1010" s="13" t="s">
        <v>550</v>
      </c>
      <c r="G1010" s="13" t="s">
        <v>328</v>
      </c>
      <c r="H1010" s="13" t="s">
        <v>128</v>
      </c>
      <c r="I1010" s="13"/>
      <c r="J1010" s="13" t="s">
        <v>97</v>
      </c>
      <c r="K1010" s="13" t="s">
        <v>129</v>
      </c>
      <c r="L1010" s="13" t="s">
        <v>531</v>
      </c>
      <c r="M1010" s="13" t="s">
        <v>100</v>
      </c>
      <c r="N1010" s="27" t="n">
        <v>7841</v>
      </c>
      <c r="O1010" s="28" t="n">
        <v>674242.12</v>
      </c>
      <c r="P1010" s="27" t="n">
        <v>7841</v>
      </c>
      <c r="Q1010" s="29" t="n">
        <v>1</v>
      </c>
      <c r="R1010" s="28" t="n">
        <v>45.82</v>
      </c>
      <c r="S1010" s="28" t="n">
        <v>116.3</v>
      </c>
      <c r="T1010" s="28" t="n">
        <v>85.99</v>
      </c>
      <c r="U1010" s="13" t="n">
        <f aca="false">IFERROR(YEAR(A1010),"")</f>
        <v>2023</v>
      </c>
      <c r="V1010" s="28" t="n">
        <f aca="false">IFERROR(O1010*B1010,0)</f>
        <v>674242.12</v>
      </c>
      <c r="W1010" s="27" t="n">
        <f aca="false">IFERROR(N1010*B1010,0)</f>
        <v>7841</v>
      </c>
      <c r="X1010" s="13" t="n">
        <f aca="false">IF(OR(ISNUMBER(SEARCH("live nation",L1010)),ISNUMBER(SEARCH("ocesa",L1010))),1,0)</f>
        <v>0</v>
      </c>
      <c r="Y1010" s="13" t="s">
        <v>49</v>
      </c>
    </row>
    <row r="1011" customFormat="false" ht="15" hidden="false" customHeight="false" outlineLevel="0" collapsed="false">
      <c r="A1011" s="30" t="n">
        <v>45052</v>
      </c>
      <c r="B1011" s="11" t="n">
        <v>1</v>
      </c>
      <c r="C1011" s="31" t="s">
        <v>63</v>
      </c>
      <c r="D1011" s="31"/>
      <c r="E1011" s="11" t="s">
        <v>233</v>
      </c>
      <c r="F1011" s="11" t="s">
        <v>234</v>
      </c>
      <c r="G1011" s="11" t="s">
        <v>235</v>
      </c>
      <c r="H1011" s="11" t="s">
        <v>20</v>
      </c>
      <c r="I1011" s="11" t="s">
        <v>234</v>
      </c>
      <c r="J1011" s="11" t="s">
        <v>97</v>
      </c>
      <c r="K1011" s="11" t="s">
        <v>107</v>
      </c>
      <c r="L1011" s="11" t="s">
        <v>468</v>
      </c>
      <c r="M1011" s="11" t="s">
        <v>100</v>
      </c>
      <c r="N1011" s="32" t="n">
        <v>12662</v>
      </c>
      <c r="O1011" s="33" t="n">
        <v>1815180</v>
      </c>
      <c r="P1011" s="32" t="n">
        <v>12662</v>
      </c>
      <c r="Q1011" s="34" t="n">
        <v>1</v>
      </c>
      <c r="R1011" s="33" t="n">
        <v>59.5</v>
      </c>
      <c r="S1011" s="33" t="n">
        <v>199.5</v>
      </c>
      <c r="T1011" s="33" t="n">
        <v>143.36</v>
      </c>
      <c r="U1011" s="11" t="n">
        <f aca="false">IFERROR(YEAR(A1011),"")</f>
        <v>2023</v>
      </c>
      <c r="V1011" s="33" t="n">
        <f aca="false">IFERROR(O1011*B1011,0)</f>
        <v>1815180</v>
      </c>
      <c r="W1011" s="32" t="n">
        <f aca="false">IFERROR(N1011*B1011,0)</f>
        <v>12662</v>
      </c>
      <c r="X1011" s="11" t="n">
        <f aca="false">IF(OR(ISNUMBER(SEARCH("live nation",L1011)),ISNUMBER(SEARCH("ocesa",L1011))),1,0)</f>
        <v>1</v>
      </c>
      <c r="Y1011" s="11" t="s">
        <v>49</v>
      </c>
    </row>
    <row r="1012" customFormat="false" ht="15" hidden="false" customHeight="false" outlineLevel="0" collapsed="false">
      <c r="A1012" s="25" t="n">
        <v>45049</v>
      </c>
      <c r="B1012" s="13" t="n">
        <v>3</v>
      </c>
      <c r="C1012" s="26" t="s">
        <v>1157</v>
      </c>
      <c r="D1012" s="26"/>
      <c r="E1012" s="13" t="s">
        <v>206</v>
      </c>
      <c r="F1012" s="13" t="s">
        <v>207</v>
      </c>
      <c r="G1012" s="13" t="s">
        <v>208</v>
      </c>
      <c r="H1012" s="13" t="s">
        <v>20</v>
      </c>
      <c r="I1012" s="13" t="s">
        <v>209</v>
      </c>
      <c r="J1012" s="13" t="s">
        <v>97</v>
      </c>
      <c r="K1012" s="13" t="s">
        <v>107</v>
      </c>
      <c r="L1012" s="13" t="s">
        <v>468</v>
      </c>
      <c r="M1012" s="13" t="s">
        <v>100</v>
      </c>
      <c r="N1012" s="27" t="n">
        <v>12217</v>
      </c>
      <c r="O1012" s="28" t="n">
        <v>2694148.67</v>
      </c>
      <c r="P1012" s="27" t="n">
        <v>12217</v>
      </c>
      <c r="Q1012" s="29" t="n">
        <v>1</v>
      </c>
      <c r="R1012" s="28" t="n">
        <v>59.5</v>
      </c>
      <c r="S1012" s="28" t="n">
        <v>279.5</v>
      </c>
      <c r="T1012" s="28" t="n">
        <v>220.52</v>
      </c>
      <c r="U1012" s="13" t="n">
        <f aca="false">IFERROR(YEAR(A1012),"")</f>
        <v>2023</v>
      </c>
      <c r="V1012" s="28" t="n">
        <f aca="false">IFERROR(O1012*B1012,0)</f>
        <v>8082446.01</v>
      </c>
      <c r="W1012" s="27" t="n">
        <f aca="false">IFERROR(N1012*B1012,0)</f>
        <v>36651</v>
      </c>
      <c r="X1012" s="13" t="n">
        <f aca="false">IF(OR(ISNUMBER(SEARCH("live nation",L1012)),ISNUMBER(SEARCH("ocesa",L1012))),1,0)</f>
        <v>1</v>
      </c>
      <c r="Y1012" s="13" t="s">
        <v>49</v>
      </c>
    </row>
    <row r="1013" customFormat="false" ht="15" hidden="false" customHeight="false" outlineLevel="0" collapsed="false">
      <c r="A1013" s="30" t="n">
        <v>45048</v>
      </c>
      <c r="B1013" s="11" t="n">
        <v>1</v>
      </c>
      <c r="C1013" s="31" t="s">
        <v>199</v>
      </c>
      <c r="D1013" s="31"/>
      <c r="E1013" s="11" t="s">
        <v>797</v>
      </c>
      <c r="F1013" s="11" t="s">
        <v>306</v>
      </c>
      <c r="G1013" s="11" t="s">
        <v>188</v>
      </c>
      <c r="H1013" s="11" t="s">
        <v>20</v>
      </c>
      <c r="I1013" s="11" t="s">
        <v>307</v>
      </c>
      <c r="J1013" s="11" t="s">
        <v>121</v>
      </c>
      <c r="K1013" s="11" t="s">
        <v>107</v>
      </c>
      <c r="L1013" s="11" t="s">
        <v>177</v>
      </c>
      <c r="M1013" s="11" t="s">
        <v>100</v>
      </c>
      <c r="N1013" s="32" t="n">
        <v>1634</v>
      </c>
      <c r="O1013" s="33" t="n">
        <v>149874</v>
      </c>
      <c r="P1013" s="32" t="n">
        <v>1720</v>
      </c>
      <c r="Q1013" s="34" t="n">
        <v>0.95</v>
      </c>
      <c r="R1013" s="33" t="n">
        <v>56</v>
      </c>
      <c r="S1013" s="33" t="n">
        <v>296</v>
      </c>
      <c r="T1013" s="33" t="n">
        <v>91.72</v>
      </c>
      <c r="U1013" s="11" t="n">
        <f aca="false">IFERROR(YEAR(A1013),"")</f>
        <v>2023</v>
      </c>
      <c r="V1013" s="33" t="n">
        <f aca="false">IFERROR(O1013*B1013,0)</f>
        <v>149874</v>
      </c>
      <c r="W1013" s="32" t="n">
        <f aca="false">IFERROR(N1013*B1013,0)</f>
        <v>1634</v>
      </c>
      <c r="X1013" s="11" t="n">
        <f aca="false">IF(OR(ISNUMBER(SEARCH("live nation",L1013)),ISNUMBER(SEARCH("ocesa",L1013))),1,0)</f>
        <v>1</v>
      </c>
      <c r="Y1013" s="11" t="s">
        <v>49</v>
      </c>
    </row>
    <row r="1014" customFormat="false" ht="15" hidden="false" customHeight="false" outlineLevel="0" collapsed="false">
      <c r="A1014" s="25" t="n">
        <v>45048</v>
      </c>
      <c r="B1014" s="13" t="n">
        <v>1</v>
      </c>
      <c r="C1014" s="26" t="s">
        <v>711</v>
      </c>
      <c r="D1014" s="26"/>
      <c r="E1014" s="13" t="s">
        <v>312</v>
      </c>
      <c r="F1014" s="13" t="s">
        <v>313</v>
      </c>
      <c r="G1014" s="13"/>
      <c r="H1014" s="13" t="s">
        <v>27</v>
      </c>
      <c r="I1014" s="13"/>
      <c r="J1014" s="13" t="s">
        <v>97</v>
      </c>
      <c r="K1014" s="13" t="s">
        <v>314</v>
      </c>
      <c r="L1014" s="13" t="s">
        <v>860</v>
      </c>
      <c r="M1014" s="13" t="s">
        <v>100</v>
      </c>
      <c r="N1014" s="27" t="n">
        <v>2269</v>
      </c>
      <c r="O1014" s="28" t="n">
        <v>787573.95</v>
      </c>
      <c r="P1014" s="27" t="n">
        <v>5075</v>
      </c>
      <c r="Q1014" s="29" t="n">
        <v>0.44</v>
      </c>
      <c r="R1014" s="28" t="n">
        <v>122.48</v>
      </c>
      <c r="S1014" s="28" t="n">
        <v>447.41</v>
      </c>
      <c r="T1014" s="28" t="n">
        <v>347.1</v>
      </c>
      <c r="U1014" s="13" t="n">
        <f aca="false">IFERROR(YEAR(A1014),"")</f>
        <v>2023</v>
      </c>
      <c r="V1014" s="28" t="n">
        <f aca="false">IFERROR(O1014*B1014,0)</f>
        <v>787573.95</v>
      </c>
      <c r="W1014" s="27" t="n">
        <f aca="false">IFERROR(N1014*B1014,0)</f>
        <v>2269</v>
      </c>
      <c r="X1014" s="13" t="n">
        <f aca="false">IF(OR(ISNUMBER(SEARCH("live nation",L1014)),ISNUMBER(SEARCH("ocesa",L1014))),1,0)</f>
        <v>0</v>
      </c>
      <c r="Y1014" s="13" t="s">
        <v>49</v>
      </c>
    </row>
    <row r="1015" customFormat="false" ht="15" hidden="false" customHeight="false" outlineLevel="0" collapsed="false">
      <c r="A1015" s="30" t="n">
        <v>45048</v>
      </c>
      <c r="B1015" s="11" t="n">
        <v>2</v>
      </c>
      <c r="C1015" s="31" t="s">
        <v>68</v>
      </c>
      <c r="D1015" s="31"/>
      <c r="E1015" s="11" t="s">
        <v>95</v>
      </c>
      <c r="F1015" s="11" t="s">
        <v>96</v>
      </c>
      <c r="G1015" s="11"/>
      <c r="H1015" s="11" t="s">
        <v>28</v>
      </c>
      <c r="I1015" s="11"/>
      <c r="J1015" s="11" t="s">
        <v>97</v>
      </c>
      <c r="K1015" s="11" t="s">
        <v>98</v>
      </c>
      <c r="L1015" s="11" t="s">
        <v>177</v>
      </c>
      <c r="M1015" s="11" t="s">
        <v>100</v>
      </c>
      <c r="N1015" s="32" t="n">
        <v>11459</v>
      </c>
      <c r="O1015" s="33" t="n">
        <v>1484604.78</v>
      </c>
      <c r="P1015" s="32" t="n">
        <v>11580</v>
      </c>
      <c r="Q1015" s="34" t="n">
        <v>0.98</v>
      </c>
      <c r="R1015" s="33" t="n">
        <v>80.98</v>
      </c>
      <c r="S1015" s="33" t="n">
        <v>80.98</v>
      </c>
      <c r="T1015" s="33" t="n">
        <v>129.56</v>
      </c>
      <c r="U1015" s="11" t="n">
        <f aca="false">IFERROR(YEAR(A1015),"")</f>
        <v>2023</v>
      </c>
      <c r="V1015" s="33" t="n">
        <f aca="false">IFERROR(O1015*B1015,0)</f>
        <v>2969209.56</v>
      </c>
      <c r="W1015" s="32" t="n">
        <f aca="false">IFERROR(N1015*B1015,0)</f>
        <v>22918</v>
      </c>
      <c r="X1015" s="11" t="n">
        <f aca="false">IF(OR(ISNUMBER(SEARCH("live nation",L1015)),ISNUMBER(SEARCH("ocesa",L1015))),1,0)</f>
        <v>1</v>
      </c>
      <c r="Y1015" s="11" t="s">
        <v>49</v>
      </c>
    </row>
    <row r="1016" customFormat="false" ht="15" hidden="false" customHeight="false" outlineLevel="0" collapsed="false">
      <c r="A1016" s="25" t="n">
        <v>45047</v>
      </c>
      <c r="B1016" s="13" t="n">
        <v>1</v>
      </c>
      <c r="C1016" s="26" t="s">
        <v>711</v>
      </c>
      <c r="D1016" s="26"/>
      <c r="E1016" s="13" t="s">
        <v>312</v>
      </c>
      <c r="F1016" s="13" t="s">
        <v>313</v>
      </c>
      <c r="G1016" s="13"/>
      <c r="H1016" s="13" t="s">
        <v>27</v>
      </c>
      <c r="I1016" s="13"/>
      <c r="J1016" s="13" t="s">
        <v>97</v>
      </c>
      <c r="K1016" s="13" t="s">
        <v>314</v>
      </c>
      <c r="L1016" s="13" t="s">
        <v>860</v>
      </c>
      <c r="M1016" s="13" t="s">
        <v>100</v>
      </c>
      <c r="N1016" s="27" t="n">
        <v>9393</v>
      </c>
      <c r="O1016" s="28" t="n">
        <v>3022618.1</v>
      </c>
      <c r="P1016" s="27" t="n">
        <v>9625</v>
      </c>
      <c r="Q1016" s="29" t="n">
        <v>0.97</v>
      </c>
      <c r="R1016" s="28" t="n">
        <v>123.18</v>
      </c>
      <c r="S1016" s="28" t="n">
        <v>449.97</v>
      </c>
      <c r="T1016" s="28" t="n">
        <v>321.79</v>
      </c>
      <c r="U1016" s="13" t="n">
        <f aca="false">IFERROR(YEAR(A1016),"")</f>
        <v>2023</v>
      </c>
      <c r="V1016" s="28" t="n">
        <f aca="false">IFERROR(O1016*B1016,0)</f>
        <v>3022618.1</v>
      </c>
      <c r="W1016" s="27" t="n">
        <f aca="false">IFERROR(N1016*B1016,0)</f>
        <v>9393</v>
      </c>
      <c r="X1016" s="13" t="n">
        <f aca="false">IF(OR(ISNUMBER(SEARCH("live nation",L1016)),ISNUMBER(SEARCH("ocesa",L1016))),1,0)</f>
        <v>0</v>
      </c>
      <c r="Y1016" s="13" t="s">
        <v>49</v>
      </c>
    </row>
    <row r="1017" customFormat="false" ht="15" hidden="false" customHeight="false" outlineLevel="0" collapsed="false">
      <c r="A1017" s="30" t="n">
        <v>45046</v>
      </c>
      <c r="B1017" s="11" t="n">
        <v>1</v>
      </c>
      <c r="C1017" s="31" t="s">
        <v>711</v>
      </c>
      <c r="D1017" s="31"/>
      <c r="E1017" s="11" t="s">
        <v>312</v>
      </c>
      <c r="F1017" s="11" t="s">
        <v>313</v>
      </c>
      <c r="G1017" s="11"/>
      <c r="H1017" s="11" t="s">
        <v>27</v>
      </c>
      <c r="I1017" s="11"/>
      <c r="J1017" s="11" t="s">
        <v>97</v>
      </c>
      <c r="K1017" s="11" t="s">
        <v>314</v>
      </c>
      <c r="L1017" s="11" t="s">
        <v>860</v>
      </c>
      <c r="M1017" s="11" t="s">
        <v>100</v>
      </c>
      <c r="N1017" s="32" t="n">
        <v>9171</v>
      </c>
      <c r="O1017" s="33" t="n">
        <v>2895792.45</v>
      </c>
      <c r="P1017" s="32" t="n">
        <v>9171</v>
      </c>
      <c r="Q1017" s="34" t="n">
        <v>1</v>
      </c>
      <c r="R1017" s="33" t="n">
        <v>123.23</v>
      </c>
      <c r="S1017" s="33" t="n">
        <v>450.17</v>
      </c>
      <c r="T1017" s="33" t="n">
        <v>315.76</v>
      </c>
      <c r="U1017" s="11" t="n">
        <f aca="false">IFERROR(YEAR(A1017),"")</f>
        <v>2023</v>
      </c>
      <c r="V1017" s="33" t="n">
        <f aca="false">IFERROR(O1017*B1017,0)</f>
        <v>2895792.45</v>
      </c>
      <c r="W1017" s="32" t="n">
        <f aca="false">IFERROR(N1017*B1017,0)</f>
        <v>9171</v>
      </c>
      <c r="X1017" s="11" t="n">
        <f aca="false">IF(OR(ISNUMBER(SEARCH("live nation",L1017)),ISNUMBER(SEARCH("ocesa",L1017))),1,0)</f>
        <v>0</v>
      </c>
      <c r="Y1017" s="11" t="s">
        <v>49</v>
      </c>
    </row>
    <row r="1018" customFormat="false" ht="15" hidden="false" customHeight="false" outlineLevel="0" collapsed="false">
      <c r="A1018" s="25" t="n">
        <v>45045</v>
      </c>
      <c r="B1018" s="13" t="n">
        <v>2</v>
      </c>
      <c r="C1018" s="26" t="s">
        <v>63</v>
      </c>
      <c r="D1018" s="26"/>
      <c r="E1018" s="13" t="s">
        <v>737</v>
      </c>
      <c r="F1018" s="13" t="s">
        <v>423</v>
      </c>
      <c r="G1018" s="13"/>
      <c r="H1018" s="13" t="s">
        <v>21</v>
      </c>
      <c r="I1018" s="13"/>
      <c r="J1018" s="13" t="s">
        <v>738</v>
      </c>
      <c r="K1018" s="13" t="s">
        <v>113</v>
      </c>
      <c r="L1018" s="13" t="s">
        <v>145</v>
      </c>
      <c r="M1018" s="13" t="s">
        <v>100</v>
      </c>
      <c r="N1018" s="27" t="n">
        <v>13617</v>
      </c>
      <c r="O1018" s="28" t="n">
        <v>1277240.95</v>
      </c>
      <c r="P1018" s="27" t="n">
        <v>13617</v>
      </c>
      <c r="Q1018" s="29" t="n">
        <v>1</v>
      </c>
      <c r="R1018" s="28" t="n">
        <v>84.37</v>
      </c>
      <c r="S1018" s="28" t="n">
        <v>154.06</v>
      </c>
      <c r="T1018" s="28" t="n">
        <v>93.8</v>
      </c>
      <c r="U1018" s="13" t="n">
        <f aca="false">IFERROR(YEAR(A1018),"")</f>
        <v>2023</v>
      </c>
      <c r="V1018" s="28" t="n">
        <f aca="false">IFERROR(O1018*B1018,0)</f>
        <v>2554481.9</v>
      </c>
      <c r="W1018" s="27" t="n">
        <f aca="false">IFERROR(N1018*B1018,0)</f>
        <v>27234</v>
      </c>
      <c r="X1018" s="13" t="n">
        <f aca="false">IF(OR(ISNUMBER(SEARCH("live nation",L1018)),ISNUMBER(SEARCH("ocesa",L1018))),1,0)</f>
        <v>0</v>
      </c>
      <c r="Y1018" s="13" t="s">
        <v>50</v>
      </c>
    </row>
    <row r="1019" customFormat="false" ht="15" hidden="false" customHeight="false" outlineLevel="0" collapsed="false">
      <c r="A1019" s="30" t="n">
        <v>45045</v>
      </c>
      <c r="B1019" s="11" t="n">
        <v>1</v>
      </c>
      <c r="C1019" s="31" t="s">
        <v>1157</v>
      </c>
      <c r="D1019" s="31"/>
      <c r="E1019" s="11" t="s">
        <v>506</v>
      </c>
      <c r="F1019" s="11" t="s">
        <v>507</v>
      </c>
      <c r="G1019" s="11" t="s">
        <v>221</v>
      </c>
      <c r="H1019" s="11" t="s">
        <v>20</v>
      </c>
      <c r="I1019" s="11" t="s">
        <v>139</v>
      </c>
      <c r="J1019" s="11" t="s">
        <v>97</v>
      </c>
      <c r="K1019" s="11" t="s">
        <v>107</v>
      </c>
      <c r="L1019" s="11" t="s">
        <v>468</v>
      </c>
      <c r="M1019" s="11" t="s">
        <v>100</v>
      </c>
      <c r="N1019" s="32" t="n">
        <v>13286</v>
      </c>
      <c r="O1019" s="33" t="n">
        <v>2923465</v>
      </c>
      <c r="P1019" s="32" t="n">
        <v>13286</v>
      </c>
      <c r="Q1019" s="34" t="n">
        <v>1</v>
      </c>
      <c r="R1019" s="33" t="n">
        <v>59.5</v>
      </c>
      <c r="S1019" s="33" t="n">
        <v>279.5</v>
      </c>
      <c r="T1019" s="33" t="n">
        <v>220.04</v>
      </c>
      <c r="U1019" s="11" t="n">
        <f aca="false">IFERROR(YEAR(A1019),"")</f>
        <v>2023</v>
      </c>
      <c r="V1019" s="33" t="n">
        <f aca="false">IFERROR(O1019*B1019,0)</f>
        <v>2923465</v>
      </c>
      <c r="W1019" s="32" t="n">
        <f aca="false">IFERROR(N1019*B1019,0)</f>
        <v>13286</v>
      </c>
      <c r="X1019" s="11" t="n">
        <f aca="false">IF(OR(ISNUMBER(SEARCH("live nation",L1019)),ISNUMBER(SEARCH("ocesa",L1019))),1,0)</f>
        <v>1</v>
      </c>
      <c r="Y1019" s="11" t="s">
        <v>49</v>
      </c>
    </row>
    <row r="1020" customFormat="false" ht="15" hidden="false" customHeight="false" outlineLevel="0" collapsed="false">
      <c r="A1020" s="25" t="n">
        <v>45044</v>
      </c>
      <c r="B1020" s="13" t="n">
        <v>1</v>
      </c>
      <c r="C1020" s="26" t="s">
        <v>153</v>
      </c>
      <c r="D1020" s="26"/>
      <c r="E1020" s="13" t="s">
        <v>1136</v>
      </c>
      <c r="F1020" s="13" t="s">
        <v>535</v>
      </c>
      <c r="G1020" s="13" t="s">
        <v>202</v>
      </c>
      <c r="H1020" s="13" t="s">
        <v>20</v>
      </c>
      <c r="I1020" s="13" t="s">
        <v>232</v>
      </c>
      <c r="J1020" s="13" t="s">
        <v>121</v>
      </c>
      <c r="K1020" s="13" t="s">
        <v>107</v>
      </c>
      <c r="L1020" s="13" t="s">
        <v>1191</v>
      </c>
      <c r="M1020" s="13" t="s">
        <v>100</v>
      </c>
      <c r="N1020" s="27" t="n">
        <v>7433</v>
      </c>
      <c r="O1020" s="28" t="n">
        <v>1093755.95</v>
      </c>
      <c r="P1020" s="27" t="n">
        <v>7433</v>
      </c>
      <c r="Q1020" s="29" t="n">
        <v>1</v>
      </c>
      <c r="R1020" s="28" t="n">
        <v>69.5</v>
      </c>
      <c r="S1020" s="28" t="n">
        <v>129.5</v>
      </c>
      <c r="T1020" s="28" t="n">
        <v>147.15</v>
      </c>
      <c r="U1020" s="13" t="n">
        <f aca="false">IFERROR(YEAR(A1020),"")</f>
        <v>2023</v>
      </c>
      <c r="V1020" s="28" t="n">
        <f aca="false">IFERROR(O1020*B1020,0)</f>
        <v>1093755.95</v>
      </c>
      <c r="W1020" s="27" t="n">
        <f aca="false">IFERROR(N1020*B1020,0)</f>
        <v>7433</v>
      </c>
      <c r="X1020" s="13" t="n">
        <f aca="false">IF(OR(ISNUMBER(SEARCH("live nation",L1020)),ISNUMBER(SEARCH("ocesa",L1020))),1,0)</f>
        <v>0</v>
      </c>
      <c r="Y1020" s="13" t="s">
        <v>49</v>
      </c>
    </row>
    <row r="1021" customFormat="false" ht="15" hidden="false" customHeight="false" outlineLevel="0" collapsed="false">
      <c r="A1021" s="30" t="n">
        <v>45042</v>
      </c>
      <c r="B1021" s="11" t="n">
        <v>2</v>
      </c>
      <c r="C1021" s="31" t="s">
        <v>69</v>
      </c>
      <c r="D1021" s="31"/>
      <c r="E1021" s="11" t="s">
        <v>1070</v>
      </c>
      <c r="F1021" s="11" t="s">
        <v>132</v>
      </c>
      <c r="G1021" s="11"/>
      <c r="H1021" s="11" t="s">
        <v>23</v>
      </c>
      <c r="I1021" s="11"/>
      <c r="J1021" s="11" t="s">
        <v>133</v>
      </c>
      <c r="K1021" s="11" t="s">
        <v>134</v>
      </c>
      <c r="L1021" s="11" t="s">
        <v>135</v>
      </c>
      <c r="M1021" s="11" t="s">
        <v>100</v>
      </c>
      <c r="N1021" s="32" t="n">
        <v>56749</v>
      </c>
      <c r="O1021" s="33" t="n">
        <v>9969065.68</v>
      </c>
      <c r="P1021" s="32" t="n">
        <v>57254</v>
      </c>
      <c r="Q1021" s="34" t="n">
        <v>0.99</v>
      </c>
      <c r="R1021" s="33" t="n">
        <v>52.69</v>
      </c>
      <c r="S1021" s="33" t="n">
        <v>351.33</v>
      </c>
      <c r="T1021" s="33" t="n">
        <v>175.67</v>
      </c>
      <c r="U1021" s="11" t="n">
        <f aca="false">IFERROR(YEAR(A1021),"")</f>
        <v>2023</v>
      </c>
      <c r="V1021" s="33" t="n">
        <f aca="false">IFERROR(O1021*B1021,0)</f>
        <v>19938131.36</v>
      </c>
      <c r="W1021" s="32" t="n">
        <f aca="false">IFERROR(N1021*B1021,0)</f>
        <v>113498</v>
      </c>
      <c r="X1021" s="11" t="n">
        <f aca="false">IF(OR(ISNUMBER(SEARCH("live nation",L1021)),ISNUMBER(SEARCH("ocesa",L1021))),1,0)</f>
        <v>1</v>
      </c>
      <c r="Y1021" s="11" t="s">
        <v>49</v>
      </c>
    </row>
    <row r="1022" customFormat="false" ht="15" hidden="false" customHeight="false" outlineLevel="0" collapsed="false">
      <c r="A1022" s="25" t="n">
        <v>45042</v>
      </c>
      <c r="B1022" s="13" t="n">
        <v>2</v>
      </c>
      <c r="C1022" s="26" t="s">
        <v>1157</v>
      </c>
      <c r="D1022" s="26"/>
      <c r="E1022" s="13" t="s">
        <v>355</v>
      </c>
      <c r="F1022" s="13" t="s">
        <v>356</v>
      </c>
      <c r="G1022" s="13" t="s">
        <v>139</v>
      </c>
      <c r="H1022" s="13" t="s">
        <v>20</v>
      </c>
      <c r="I1022" s="13" t="s">
        <v>139</v>
      </c>
      <c r="J1022" s="13" t="s">
        <v>97</v>
      </c>
      <c r="K1022" s="13" t="s">
        <v>107</v>
      </c>
      <c r="L1022" s="13" t="s">
        <v>468</v>
      </c>
      <c r="M1022" s="13" t="s">
        <v>100</v>
      </c>
      <c r="N1022" s="27" t="n">
        <v>13777</v>
      </c>
      <c r="O1022" s="28" t="n">
        <v>3037355.5</v>
      </c>
      <c r="P1022" s="27" t="n">
        <v>13777</v>
      </c>
      <c r="Q1022" s="29" t="n">
        <v>1</v>
      </c>
      <c r="R1022" s="28" t="n">
        <v>59.5</v>
      </c>
      <c r="S1022" s="28" t="n">
        <v>279.5</v>
      </c>
      <c r="T1022" s="28" t="n">
        <v>220.47</v>
      </c>
      <c r="U1022" s="13" t="n">
        <f aca="false">IFERROR(YEAR(A1022),"")</f>
        <v>2023</v>
      </c>
      <c r="V1022" s="28" t="n">
        <f aca="false">IFERROR(O1022*B1022,0)</f>
        <v>6074711</v>
      </c>
      <c r="W1022" s="27" t="n">
        <f aca="false">IFERROR(N1022*B1022,0)</f>
        <v>27554</v>
      </c>
      <c r="X1022" s="13" t="n">
        <f aca="false">IF(OR(ISNUMBER(SEARCH("live nation",L1022)),ISNUMBER(SEARCH("ocesa",L1022))),1,0)</f>
        <v>1</v>
      </c>
      <c r="Y1022" s="13" t="s">
        <v>49</v>
      </c>
    </row>
    <row r="1023" customFormat="false" ht="15" hidden="false" customHeight="false" outlineLevel="0" collapsed="false">
      <c r="A1023" s="30" t="n">
        <v>45041</v>
      </c>
      <c r="B1023" s="11" t="n">
        <v>2</v>
      </c>
      <c r="C1023" s="31" t="s">
        <v>63</v>
      </c>
      <c r="D1023" s="31"/>
      <c r="E1023" s="11" t="s">
        <v>781</v>
      </c>
      <c r="F1023" s="11" t="s">
        <v>112</v>
      </c>
      <c r="G1023" s="11"/>
      <c r="H1023" s="11" t="s">
        <v>21</v>
      </c>
      <c r="I1023" s="11"/>
      <c r="J1023" s="11" t="s">
        <v>97</v>
      </c>
      <c r="K1023" s="11" t="s">
        <v>113</v>
      </c>
      <c r="L1023" s="11" t="s">
        <v>145</v>
      </c>
      <c r="M1023" s="11" t="s">
        <v>100</v>
      </c>
      <c r="N1023" s="32" t="n">
        <v>11248</v>
      </c>
      <c r="O1023" s="33" t="n">
        <v>1068981.57</v>
      </c>
      <c r="P1023" s="32" t="n">
        <v>11248</v>
      </c>
      <c r="Q1023" s="34" t="n">
        <v>1</v>
      </c>
      <c r="R1023" s="33" t="n">
        <v>85.59</v>
      </c>
      <c r="S1023" s="33" t="n">
        <v>156.29</v>
      </c>
      <c r="T1023" s="33" t="n">
        <v>95.03</v>
      </c>
      <c r="U1023" s="11" t="n">
        <f aca="false">IFERROR(YEAR(A1023),"")</f>
        <v>2023</v>
      </c>
      <c r="V1023" s="33" t="n">
        <f aca="false">IFERROR(O1023*B1023,0)</f>
        <v>2137963.14</v>
      </c>
      <c r="W1023" s="32" t="n">
        <f aca="false">IFERROR(N1023*B1023,0)</f>
        <v>22496</v>
      </c>
      <c r="X1023" s="11" t="n">
        <f aca="false">IF(OR(ISNUMBER(SEARCH("live nation",L1023)),ISNUMBER(SEARCH("ocesa",L1023))),1,0)</f>
        <v>0</v>
      </c>
      <c r="Y1023" s="11" t="s">
        <v>50</v>
      </c>
    </row>
    <row r="1024" customFormat="false" ht="15" hidden="false" customHeight="false" outlineLevel="0" collapsed="false">
      <c r="A1024" s="25" t="n">
        <v>45041</v>
      </c>
      <c r="B1024" s="13" t="n">
        <v>1</v>
      </c>
      <c r="C1024" s="26" t="s">
        <v>711</v>
      </c>
      <c r="D1024" s="26"/>
      <c r="E1024" s="13" t="s">
        <v>551</v>
      </c>
      <c r="F1024" s="13" t="s">
        <v>552</v>
      </c>
      <c r="G1024" s="13"/>
      <c r="H1024" s="13" t="s">
        <v>26</v>
      </c>
      <c r="I1024" s="13"/>
      <c r="J1024" s="13" t="s">
        <v>97</v>
      </c>
      <c r="K1024" s="13" t="s">
        <v>173</v>
      </c>
      <c r="L1024" s="13" t="s">
        <v>860</v>
      </c>
      <c r="M1024" s="13" t="s">
        <v>100</v>
      </c>
      <c r="N1024" s="27" t="n">
        <v>12344</v>
      </c>
      <c r="O1024" s="28" t="n">
        <v>2771203.05</v>
      </c>
      <c r="P1024" s="27" t="n">
        <v>12404</v>
      </c>
      <c r="Q1024" s="29" t="n">
        <v>0.99</v>
      </c>
      <c r="R1024" s="28" t="n">
        <v>120.81</v>
      </c>
      <c r="S1024" s="28" t="n">
        <v>436.92</v>
      </c>
      <c r="T1024" s="28" t="n">
        <v>224.5</v>
      </c>
      <c r="U1024" s="13" t="n">
        <f aca="false">IFERROR(YEAR(A1024),"")</f>
        <v>2023</v>
      </c>
      <c r="V1024" s="28" t="n">
        <f aca="false">IFERROR(O1024*B1024,0)</f>
        <v>2771203.05</v>
      </c>
      <c r="W1024" s="27" t="n">
        <f aca="false">IFERROR(N1024*B1024,0)</f>
        <v>12344</v>
      </c>
      <c r="X1024" s="13" t="n">
        <f aca="false">IF(OR(ISNUMBER(SEARCH("live nation",L1024)),ISNUMBER(SEARCH("ocesa",L1024))),1,0)</f>
        <v>0</v>
      </c>
      <c r="Y1024" s="13" t="s">
        <v>49</v>
      </c>
    </row>
    <row r="1025" customFormat="false" ht="15" hidden="false" customHeight="false" outlineLevel="0" collapsed="false">
      <c r="A1025" s="30" t="n">
        <v>45040</v>
      </c>
      <c r="B1025" s="11" t="n">
        <v>1</v>
      </c>
      <c r="C1025" s="31" t="s">
        <v>1056</v>
      </c>
      <c r="D1025" s="31"/>
      <c r="E1025" s="11" t="s">
        <v>894</v>
      </c>
      <c r="F1025" s="11" t="s">
        <v>209</v>
      </c>
      <c r="G1025" s="11" t="s">
        <v>208</v>
      </c>
      <c r="H1025" s="11" t="s">
        <v>20</v>
      </c>
      <c r="I1025" s="11" t="s">
        <v>209</v>
      </c>
      <c r="J1025" s="11" t="s">
        <v>106</v>
      </c>
      <c r="K1025" s="11" t="s">
        <v>107</v>
      </c>
      <c r="L1025" s="11" t="s">
        <v>545</v>
      </c>
      <c r="M1025" s="11" t="s">
        <v>100</v>
      </c>
      <c r="N1025" s="32" t="n">
        <v>2533</v>
      </c>
      <c r="O1025" s="33" t="n">
        <v>111117</v>
      </c>
      <c r="P1025" s="32" t="n">
        <v>2533</v>
      </c>
      <c r="Q1025" s="34" t="n">
        <v>1</v>
      </c>
      <c r="R1025" s="33" t="n">
        <v>39</v>
      </c>
      <c r="S1025" s="33" t="n">
        <v>94</v>
      </c>
      <c r="T1025" s="33" t="n">
        <v>43.87</v>
      </c>
      <c r="U1025" s="11" t="n">
        <f aca="false">IFERROR(YEAR(A1025),"")</f>
        <v>2023</v>
      </c>
      <c r="V1025" s="33" t="n">
        <f aca="false">IFERROR(O1025*B1025,0)</f>
        <v>111117</v>
      </c>
      <c r="W1025" s="32" t="n">
        <f aca="false">IFERROR(N1025*B1025,0)</f>
        <v>2533</v>
      </c>
      <c r="X1025" s="11" t="n">
        <f aca="false">IF(OR(ISNUMBER(SEARCH("live nation",L1025)),ISNUMBER(SEARCH("ocesa",L1025))),1,0)</f>
        <v>0</v>
      </c>
      <c r="Y1025" s="11" t="s">
        <v>49</v>
      </c>
    </row>
    <row r="1026" customFormat="false" ht="15" hidden="false" customHeight="false" outlineLevel="0" collapsed="false">
      <c r="A1026" s="25" t="n">
        <v>45038</v>
      </c>
      <c r="B1026" s="13" t="n">
        <v>1</v>
      </c>
      <c r="C1026" s="26" t="s">
        <v>1056</v>
      </c>
      <c r="D1026" s="26"/>
      <c r="E1026" s="13" t="s">
        <v>926</v>
      </c>
      <c r="F1026" s="13" t="s">
        <v>132</v>
      </c>
      <c r="G1026" s="13"/>
      <c r="H1026" s="13" t="s">
        <v>23</v>
      </c>
      <c r="I1026" s="13"/>
      <c r="J1026" s="13" t="s">
        <v>97</v>
      </c>
      <c r="K1026" s="13" t="s">
        <v>134</v>
      </c>
      <c r="L1026" s="13" t="s">
        <v>135</v>
      </c>
      <c r="M1026" s="13" t="s">
        <v>100</v>
      </c>
      <c r="N1026" s="27" t="n">
        <v>3838</v>
      </c>
      <c r="O1026" s="28" t="n">
        <v>145100.74</v>
      </c>
      <c r="P1026" s="27" t="n">
        <v>3938</v>
      </c>
      <c r="Q1026" s="29" t="n">
        <v>0.97</v>
      </c>
      <c r="R1026" s="28" t="n">
        <v>11.34</v>
      </c>
      <c r="S1026" s="28" t="n">
        <v>75.61</v>
      </c>
      <c r="T1026" s="28" t="n">
        <v>37.81</v>
      </c>
      <c r="U1026" s="13" t="n">
        <f aca="false">IFERROR(YEAR(A1026),"")</f>
        <v>2023</v>
      </c>
      <c r="V1026" s="28" t="n">
        <f aca="false">IFERROR(O1026*B1026,0)</f>
        <v>145100.74</v>
      </c>
      <c r="W1026" s="27" t="n">
        <f aca="false">IFERROR(N1026*B1026,0)</f>
        <v>3838</v>
      </c>
      <c r="X1026" s="13" t="n">
        <f aca="false">IF(OR(ISNUMBER(SEARCH("live nation",L1026)),ISNUMBER(SEARCH("ocesa",L1026))),1,0)</f>
        <v>1</v>
      </c>
      <c r="Y1026" s="13" t="s">
        <v>49</v>
      </c>
    </row>
    <row r="1027" customFormat="false" ht="15" hidden="false" customHeight="false" outlineLevel="0" collapsed="false">
      <c r="A1027" s="30" t="n">
        <v>45037</v>
      </c>
      <c r="B1027" s="11" t="n">
        <v>1</v>
      </c>
      <c r="C1027" s="31" t="s">
        <v>559</v>
      </c>
      <c r="D1027" s="31"/>
      <c r="E1027" s="11" t="s">
        <v>305</v>
      </c>
      <c r="F1027" s="11" t="s">
        <v>306</v>
      </c>
      <c r="G1027" s="11" t="s">
        <v>188</v>
      </c>
      <c r="H1027" s="11" t="s">
        <v>20</v>
      </c>
      <c r="I1027" s="11" t="s">
        <v>307</v>
      </c>
      <c r="J1027" s="11" t="s">
        <v>97</v>
      </c>
      <c r="K1027" s="11" t="s">
        <v>107</v>
      </c>
      <c r="L1027" s="11" t="s">
        <v>531</v>
      </c>
      <c r="M1027" s="11" t="s">
        <v>100</v>
      </c>
      <c r="N1027" s="32" t="n">
        <v>8380</v>
      </c>
      <c r="O1027" s="33" t="n">
        <v>1788492.5</v>
      </c>
      <c r="P1027" s="32" t="n">
        <v>12466</v>
      </c>
      <c r="Q1027" s="34" t="n">
        <v>0.67</v>
      </c>
      <c r="R1027" s="33" t="n">
        <v>69.5</v>
      </c>
      <c r="S1027" s="33" t="n">
        <v>219.5</v>
      </c>
      <c r="T1027" s="33" t="n">
        <v>213.42</v>
      </c>
      <c r="U1027" s="11" t="n">
        <f aca="false">IFERROR(YEAR(A1027),"")</f>
        <v>2023</v>
      </c>
      <c r="V1027" s="33" t="n">
        <f aca="false">IFERROR(O1027*B1027,0)</f>
        <v>1788492.5</v>
      </c>
      <c r="W1027" s="32" t="n">
        <f aca="false">IFERROR(N1027*B1027,0)</f>
        <v>8380</v>
      </c>
      <c r="X1027" s="11" t="n">
        <f aca="false">IF(OR(ISNUMBER(SEARCH("live nation",L1027)),ISNUMBER(SEARCH("ocesa",L1027))),1,0)</f>
        <v>0</v>
      </c>
      <c r="Y1027" s="11" t="s">
        <v>49</v>
      </c>
    </row>
    <row r="1028" customFormat="false" ht="15" hidden="false" customHeight="false" outlineLevel="0" collapsed="false">
      <c r="A1028" s="25" t="n">
        <v>45034</v>
      </c>
      <c r="B1028" s="13" t="n">
        <v>1</v>
      </c>
      <c r="C1028" s="26" t="s">
        <v>559</v>
      </c>
      <c r="D1028" s="26"/>
      <c r="E1028" s="13" t="s">
        <v>618</v>
      </c>
      <c r="F1028" s="13" t="s">
        <v>619</v>
      </c>
      <c r="G1028" s="13" t="s">
        <v>202</v>
      </c>
      <c r="H1028" s="13" t="s">
        <v>20</v>
      </c>
      <c r="I1028" s="13" t="s">
        <v>203</v>
      </c>
      <c r="J1028" s="13" t="s">
        <v>97</v>
      </c>
      <c r="K1028" s="13" t="s">
        <v>107</v>
      </c>
      <c r="L1028" s="13" t="s">
        <v>531</v>
      </c>
      <c r="M1028" s="13" t="s">
        <v>100</v>
      </c>
      <c r="N1028" s="27" t="n">
        <v>10084</v>
      </c>
      <c r="O1028" s="28" t="n">
        <v>2057856.29</v>
      </c>
      <c r="P1028" s="27" t="n">
        <v>10235</v>
      </c>
      <c r="Q1028" s="29" t="n">
        <v>0.98</v>
      </c>
      <c r="R1028" s="28" t="n">
        <v>64.5</v>
      </c>
      <c r="S1028" s="28" t="n">
        <v>204.5</v>
      </c>
      <c r="T1028" s="28" t="n">
        <v>204.07</v>
      </c>
      <c r="U1028" s="13" t="n">
        <f aca="false">IFERROR(YEAR(A1028),"")</f>
        <v>2023</v>
      </c>
      <c r="V1028" s="28" t="n">
        <f aca="false">IFERROR(O1028*B1028,0)</f>
        <v>2057856.29</v>
      </c>
      <c r="W1028" s="27" t="n">
        <f aca="false">IFERROR(N1028*B1028,0)</f>
        <v>10084</v>
      </c>
      <c r="X1028" s="13" t="n">
        <f aca="false">IF(OR(ISNUMBER(SEARCH("live nation",L1028)),ISNUMBER(SEARCH("ocesa",L1028))),1,0)</f>
        <v>0</v>
      </c>
      <c r="Y1028" s="13" t="s">
        <v>49</v>
      </c>
    </row>
    <row r="1029" customFormat="false" ht="15" hidden="false" customHeight="false" outlineLevel="0" collapsed="false">
      <c r="A1029" s="30" t="n">
        <v>45034</v>
      </c>
      <c r="B1029" s="11" t="n">
        <v>1</v>
      </c>
      <c r="C1029" s="31" t="s">
        <v>1056</v>
      </c>
      <c r="D1029" s="31"/>
      <c r="E1029" s="11" t="s">
        <v>200</v>
      </c>
      <c r="F1029" s="11" t="s">
        <v>201</v>
      </c>
      <c r="G1029" s="11" t="s">
        <v>202</v>
      </c>
      <c r="H1029" s="11" t="s">
        <v>20</v>
      </c>
      <c r="I1029" s="11" t="s">
        <v>203</v>
      </c>
      <c r="J1029" s="11" t="s">
        <v>121</v>
      </c>
      <c r="K1029" s="11" t="s">
        <v>107</v>
      </c>
      <c r="L1029" s="11" t="s">
        <v>177</v>
      </c>
      <c r="M1029" s="11" t="s">
        <v>100</v>
      </c>
      <c r="N1029" s="32" t="n">
        <v>5784</v>
      </c>
      <c r="O1029" s="33" t="n">
        <v>374072.5</v>
      </c>
      <c r="P1029" s="32" t="n">
        <v>5784</v>
      </c>
      <c r="Q1029" s="34" t="n">
        <v>1</v>
      </c>
      <c r="R1029" s="33" t="n">
        <v>29.5</v>
      </c>
      <c r="S1029" s="33" t="n">
        <v>95</v>
      </c>
      <c r="T1029" s="33" t="n">
        <v>64.67</v>
      </c>
      <c r="U1029" s="11" t="n">
        <f aca="false">IFERROR(YEAR(A1029),"")</f>
        <v>2023</v>
      </c>
      <c r="V1029" s="33" t="n">
        <f aca="false">IFERROR(O1029*B1029,0)</f>
        <v>374072.5</v>
      </c>
      <c r="W1029" s="32" t="n">
        <f aca="false">IFERROR(N1029*B1029,0)</f>
        <v>5784</v>
      </c>
      <c r="X1029" s="11" t="n">
        <f aca="false">IF(OR(ISNUMBER(SEARCH("live nation",L1029)),ISNUMBER(SEARCH("ocesa",L1029))),1,0)</f>
        <v>1</v>
      </c>
      <c r="Y1029" s="11" t="s">
        <v>49</v>
      </c>
    </row>
    <row r="1030" customFormat="false" ht="15" hidden="false" customHeight="false" outlineLevel="0" collapsed="false">
      <c r="A1030" s="25" t="n">
        <v>45034</v>
      </c>
      <c r="B1030" s="13" t="n">
        <v>2</v>
      </c>
      <c r="C1030" s="26" t="s">
        <v>63</v>
      </c>
      <c r="D1030" s="26"/>
      <c r="E1030" s="13" t="s">
        <v>473</v>
      </c>
      <c r="F1030" s="13" t="s">
        <v>474</v>
      </c>
      <c r="G1030" s="13"/>
      <c r="H1030" s="13" t="s">
        <v>21</v>
      </c>
      <c r="I1030" s="13"/>
      <c r="J1030" s="13" t="s">
        <v>97</v>
      </c>
      <c r="K1030" s="13" t="s">
        <v>113</v>
      </c>
      <c r="L1030" s="13" t="s">
        <v>145</v>
      </c>
      <c r="M1030" s="13" t="s">
        <v>100</v>
      </c>
      <c r="N1030" s="27" t="n">
        <v>20195</v>
      </c>
      <c r="O1030" s="28" t="n">
        <v>1906885.93</v>
      </c>
      <c r="P1030" s="27" t="n">
        <v>20195</v>
      </c>
      <c r="Q1030" s="29" t="n">
        <v>1</v>
      </c>
      <c r="R1030" s="28" t="n">
        <v>85.83</v>
      </c>
      <c r="S1030" s="28" t="n">
        <v>156.73</v>
      </c>
      <c r="T1030" s="28" t="n">
        <v>94.42</v>
      </c>
      <c r="U1030" s="13" t="n">
        <f aca="false">IFERROR(YEAR(A1030),"")</f>
        <v>2023</v>
      </c>
      <c r="V1030" s="28" t="n">
        <f aca="false">IFERROR(O1030*B1030,0)</f>
        <v>3813771.86</v>
      </c>
      <c r="W1030" s="27" t="n">
        <f aca="false">IFERROR(N1030*B1030,0)</f>
        <v>40390</v>
      </c>
      <c r="X1030" s="13" t="n">
        <f aca="false">IF(OR(ISNUMBER(SEARCH("live nation",L1030)),ISNUMBER(SEARCH("ocesa",L1030))),1,0)</f>
        <v>0</v>
      </c>
      <c r="Y1030" s="13" t="s">
        <v>50</v>
      </c>
    </row>
    <row r="1031" customFormat="false" ht="15" hidden="false" customHeight="false" outlineLevel="0" collapsed="false">
      <c r="A1031" s="30" t="n">
        <v>45032</v>
      </c>
      <c r="B1031" s="11" t="n">
        <v>1</v>
      </c>
      <c r="C1031" s="31" t="s">
        <v>1056</v>
      </c>
      <c r="D1031" s="31"/>
      <c r="E1031" s="11" t="s">
        <v>403</v>
      </c>
      <c r="F1031" s="11" t="s">
        <v>404</v>
      </c>
      <c r="G1031" s="11" t="s">
        <v>202</v>
      </c>
      <c r="H1031" s="11" t="s">
        <v>20</v>
      </c>
      <c r="I1031" s="11" t="s">
        <v>232</v>
      </c>
      <c r="J1031" s="11" t="s">
        <v>121</v>
      </c>
      <c r="K1031" s="11" t="s">
        <v>107</v>
      </c>
      <c r="L1031" s="11" t="s">
        <v>859</v>
      </c>
      <c r="M1031" s="11" t="s">
        <v>100</v>
      </c>
      <c r="N1031" s="32" t="n">
        <v>3326</v>
      </c>
      <c r="O1031" s="33" t="n">
        <v>141499</v>
      </c>
      <c r="P1031" s="32" t="n">
        <v>3326</v>
      </c>
      <c r="Q1031" s="34" t="n">
        <v>1</v>
      </c>
      <c r="R1031" s="33" t="n">
        <v>40</v>
      </c>
      <c r="S1031" s="33" t="n">
        <v>90</v>
      </c>
      <c r="T1031" s="33" t="n">
        <v>42.54</v>
      </c>
      <c r="U1031" s="11" t="n">
        <f aca="false">IFERROR(YEAR(A1031),"")</f>
        <v>2023</v>
      </c>
      <c r="V1031" s="33" t="n">
        <f aca="false">IFERROR(O1031*B1031,0)</f>
        <v>141499</v>
      </c>
      <c r="W1031" s="32" t="n">
        <f aca="false">IFERROR(N1031*B1031,0)</f>
        <v>3326</v>
      </c>
      <c r="X1031" s="11" t="n">
        <f aca="false">IF(OR(ISNUMBER(SEARCH("live nation",L1031)),ISNUMBER(SEARCH("ocesa",L1031))),1,0)</f>
        <v>0</v>
      </c>
      <c r="Y1031" s="11" t="s">
        <v>49</v>
      </c>
    </row>
    <row r="1032" customFormat="false" ht="15" hidden="false" customHeight="false" outlineLevel="0" collapsed="false">
      <c r="A1032" s="25" t="n">
        <v>45032</v>
      </c>
      <c r="B1032" s="13" t="n">
        <v>1</v>
      </c>
      <c r="C1032" s="26" t="s">
        <v>1192</v>
      </c>
      <c r="D1032" s="26"/>
      <c r="E1032" s="13" t="s">
        <v>797</v>
      </c>
      <c r="F1032" s="13" t="s">
        <v>306</v>
      </c>
      <c r="G1032" s="13" t="s">
        <v>188</v>
      </c>
      <c r="H1032" s="13" t="s">
        <v>20</v>
      </c>
      <c r="I1032" s="13" t="s">
        <v>307</v>
      </c>
      <c r="J1032" s="13" t="s">
        <v>121</v>
      </c>
      <c r="K1032" s="13" t="s">
        <v>107</v>
      </c>
      <c r="L1032" s="13" t="s">
        <v>1193</v>
      </c>
      <c r="M1032" s="13" t="s">
        <v>100</v>
      </c>
      <c r="N1032" s="27" t="n">
        <v>786</v>
      </c>
      <c r="O1032" s="28" t="n">
        <v>135530</v>
      </c>
      <c r="P1032" s="27" t="n">
        <v>1560</v>
      </c>
      <c r="Q1032" s="29" t="n">
        <v>0.5</v>
      </c>
      <c r="R1032" s="28" t="n">
        <v>90</v>
      </c>
      <c r="S1032" s="28" t="n">
        <v>250</v>
      </c>
      <c r="T1032" s="28" t="n">
        <v>172.43</v>
      </c>
      <c r="U1032" s="13" t="n">
        <f aca="false">IFERROR(YEAR(A1032),"")</f>
        <v>2023</v>
      </c>
      <c r="V1032" s="28" t="n">
        <f aca="false">IFERROR(O1032*B1032,0)</f>
        <v>135530</v>
      </c>
      <c r="W1032" s="27" t="n">
        <f aca="false">IFERROR(N1032*B1032,0)</f>
        <v>786</v>
      </c>
      <c r="X1032" s="13" t="n">
        <f aca="false">IF(OR(ISNUMBER(SEARCH("live nation",L1032)),ISNUMBER(SEARCH("ocesa",L1032))),1,0)</f>
        <v>0</v>
      </c>
      <c r="Y1032" s="13" t="s">
        <v>49</v>
      </c>
    </row>
    <row r="1033" customFormat="false" ht="15" hidden="false" customHeight="false" outlineLevel="0" collapsed="false">
      <c r="A1033" s="30" t="n">
        <v>45031</v>
      </c>
      <c r="B1033" s="11" t="n">
        <v>1</v>
      </c>
      <c r="C1033" s="31" t="s">
        <v>711</v>
      </c>
      <c r="D1033" s="31"/>
      <c r="E1033" s="11" t="s">
        <v>95</v>
      </c>
      <c r="F1033" s="11" t="s">
        <v>96</v>
      </c>
      <c r="G1033" s="11"/>
      <c r="H1033" s="11" t="s">
        <v>28</v>
      </c>
      <c r="I1033" s="11"/>
      <c r="J1033" s="11" t="s">
        <v>97</v>
      </c>
      <c r="K1033" s="11" t="s">
        <v>98</v>
      </c>
      <c r="L1033" s="11" t="s">
        <v>1194</v>
      </c>
      <c r="M1033" s="11" t="s">
        <v>100</v>
      </c>
      <c r="N1033" s="32" t="n">
        <v>11806</v>
      </c>
      <c r="O1033" s="33" t="n">
        <v>2373354.84</v>
      </c>
      <c r="P1033" s="32" t="n">
        <v>11936</v>
      </c>
      <c r="Q1033" s="34" t="n">
        <v>0.98</v>
      </c>
      <c r="R1033" s="33" t="n">
        <v>65.72</v>
      </c>
      <c r="S1033" s="33" t="n">
        <v>266.9</v>
      </c>
      <c r="T1033" s="33" t="n">
        <v>201.03</v>
      </c>
      <c r="U1033" s="11" t="n">
        <f aca="false">IFERROR(YEAR(A1033),"")</f>
        <v>2023</v>
      </c>
      <c r="V1033" s="33" t="n">
        <f aca="false">IFERROR(O1033*B1033,0)</f>
        <v>2373354.84</v>
      </c>
      <c r="W1033" s="32" t="n">
        <f aca="false">IFERROR(N1033*B1033,0)</f>
        <v>11806</v>
      </c>
      <c r="X1033" s="11" t="n">
        <f aca="false">IF(OR(ISNUMBER(SEARCH("live nation",L1033)),ISNUMBER(SEARCH("ocesa",L1033))),1,0)</f>
        <v>0</v>
      </c>
      <c r="Y1033" s="11" t="s">
        <v>49</v>
      </c>
    </row>
    <row r="1034" customFormat="false" ht="15" hidden="false" customHeight="false" outlineLevel="0" collapsed="false">
      <c r="A1034" s="25" t="n">
        <v>45030</v>
      </c>
      <c r="B1034" s="13" t="n">
        <v>2</v>
      </c>
      <c r="C1034" s="26" t="s">
        <v>63</v>
      </c>
      <c r="D1034" s="26"/>
      <c r="E1034" s="13" t="s">
        <v>1195</v>
      </c>
      <c r="F1034" s="13" t="s">
        <v>370</v>
      </c>
      <c r="G1034" s="13"/>
      <c r="H1034" s="13" t="s">
        <v>21</v>
      </c>
      <c r="I1034" s="13"/>
      <c r="J1034" s="13" t="s">
        <v>97</v>
      </c>
      <c r="K1034" s="13" t="s">
        <v>113</v>
      </c>
      <c r="L1034" s="13" t="s">
        <v>145</v>
      </c>
      <c r="M1034" s="13" t="s">
        <v>100</v>
      </c>
      <c r="N1034" s="27" t="n">
        <v>8602</v>
      </c>
      <c r="O1034" s="28" t="n">
        <v>858551.83</v>
      </c>
      <c r="P1034" s="27" t="n">
        <v>8602</v>
      </c>
      <c r="Q1034" s="29" t="n">
        <v>1</v>
      </c>
      <c r="R1034" s="28" t="n">
        <v>86.86</v>
      </c>
      <c r="S1034" s="28" t="n">
        <v>158.61</v>
      </c>
      <c r="T1034" s="28" t="n">
        <v>99.81</v>
      </c>
      <c r="U1034" s="13" t="n">
        <f aca="false">IFERROR(YEAR(A1034),"")</f>
        <v>2023</v>
      </c>
      <c r="V1034" s="28" t="n">
        <f aca="false">IFERROR(O1034*B1034,0)</f>
        <v>1717103.66</v>
      </c>
      <c r="W1034" s="27" t="n">
        <f aca="false">IFERROR(N1034*B1034,0)</f>
        <v>17204</v>
      </c>
      <c r="X1034" s="13" t="n">
        <f aca="false">IF(OR(ISNUMBER(SEARCH("live nation",L1034)),ISNUMBER(SEARCH("ocesa",L1034))),1,0)</f>
        <v>0</v>
      </c>
      <c r="Y1034" s="13" t="s">
        <v>50</v>
      </c>
    </row>
    <row r="1035" customFormat="false" ht="15" hidden="false" customHeight="false" outlineLevel="0" collapsed="false">
      <c r="A1035" s="30" t="n">
        <v>45024</v>
      </c>
      <c r="B1035" s="11" t="n">
        <v>1</v>
      </c>
      <c r="C1035" s="31" t="s">
        <v>1118</v>
      </c>
      <c r="D1035" s="31" t="s">
        <v>1196</v>
      </c>
      <c r="E1035" s="11" t="s">
        <v>529</v>
      </c>
      <c r="F1035" s="11" t="s">
        <v>530</v>
      </c>
      <c r="G1035" s="11"/>
      <c r="H1035" s="11" t="s">
        <v>26</v>
      </c>
      <c r="I1035" s="11"/>
      <c r="J1035" s="11" t="s">
        <v>97</v>
      </c>
      <c r="K1035" s="11" t="s">
        <v>173</v>
      </c>
      <c r="L1035" s="11" t="s">
        <v>1197</v>
      </c>
      <c r="M1035" s="11" t="s">
        <v>277</v>
      </c>
      <c r="N1035" s="32" t="n">
        <v>32969</v>
      </c>
      <c r="O1035" s="33" t="n">
        <v>5760721.65</v>
      </c>
      <c r="P1035" s="32" t="n">
        <v>33114</v>
      </c>
      <c r="Q1035" s="34" t="n">
        <v>0.99</v>
      </c>
      <c r="R1035" s="33" t="n">
        <v>109.3</v>
      </c>
      <c r="S1035" s="33" t="n">
        <v>307.68</v>
      </c>
      <c r="T1035" s="33" t="n">
        <v>174.73</v>
      </c>
      <c r="U1035" s="11" t="n">
        <f aca="false">IFERROR(YEAR(A1035),"")</f>
        <v>2023</v>
      </c>
      <c r="V1035" s="33" t="n">
        <f aca="false">IFERROR(O1035*B1035,0)</f>
        <v>5760721.65</v>
      </c>
      <c r="W1035" s="32" t="n">
        <f aca="false">IFERROR(N1035*B1035,0)</f>
        <v>32969</v>
      </c>
      <c r="X1035" s="11" t="n">
        <f aca="false">IF(OR(ISNUMBER(SEARCH("live nation",L1035)),ISNUMBER(SEARCH("ocesa",L1035))),1,0)</f>
        <v>0</v>
      </c>
      <c r="Y1035" s="11" t="s">
        <v>49</v>
      </c>
    </row>
    <row r="1036" customFormat="false" ht="15" hidden="false" customHeight="false" outlineLevel="0" collapsed="false">
      <c r="A1036" s="25" t="n">
        <v>45024</v>
      </c>
      <c r="B1036" s="13" t="n">
        <v>1</v>
      </c>
      <c r="C1036" s="26" t="s">
        <v>711</v>
      </c>
      <c r="D1036" s="26"/>
      <c r="E1036" s="13" t="s">
        <v>330</v>
      </c>
      <c r="F1036" s="13" t="s">
        <v>295</v>
      </c>
      <c r="G1036" s="13"/>
      <c r="H1036" s="13" t="s">
        <v>28</v>
      </c>
      <c r="I1036" s="13"/>
      <c r="J1036" s="13" t="s">
        <v>97</v>
      </c>
      <c r="K1036" s="13" t="s">
        <v>98</v>
      </c>
      <c r="L1036" s="13" t="s">
        <v>1066</v>
      </c>
      <c r="M1036" s="13" t="s">
        <v>100</v>
      </c>
      <c r="N1036" s="27" t="n">
        <v>10535</v>
      </c>
      <c r="O1036" s="28" t="n">
        <v>2136339.34</v>
      </c>
      <c r="P1036" s="27" t="n">
        <v>13970</v>
      </c>
      <c r="Q1036" s="29" t="n">
        <v>0.75</v>
      </c>
      <c r="R1036" s="28" t="n">
        <v>65.37</v>
      </c>
      <c r="S1036" s="28" t="n">
        <v>265.47</v>
      </c>
      <c r="T1036" s="28" t="n">
        <v>202.78</v>
      </c>
      <c r="U1036" s="13" t="n">
        <f aca="false">IFERROR(YEAR(A1036),"")</f>
        <v>2023</v>
      </c>
      <c r="V1036" s="28" t="n">
        <f aca="false">IFERROR(O1036*B1036,0)</f>
        <v>2136339.34</v>
      </c>
      <c r="W1036" s="27" t="n">
        <f aca="false">IFERROR(N1036*B1036,0)</f>
        <v>10535</v>
      </c>
      <c r="X1036" s="13" t="n">
        <f aca="false">IF(OR(ISNUMBER(SEARCH("live nation",L1036)),ISNUMBER(SEARCH("ocesa",L1036))),1,0)</f>
        <v>0</v>
      </c>
      <c r="Y1036" s="13" t="s">
        <v>49</v>
      </c>
    </row>
    <row r="1037" customFormat="false" ht="15" hidden="false" customHeight="false" outlineLevel="0" collapsed="false">
      <c r="A1037" s="30" t="n">
        <v>45021</v>
      </c>
      <c r="B1037" s="11" t="n">
        <v>1</v>
      </c>
      <c r="C1037" s="31" t="s">
        <v>559</v>
      </c>
      <c r="D1037" s="31"/>
      <c r="E1037" s="11" t="s">
        <v>506</v>
      </c>
      <c r="F1037" s="11" t="s">
        <v>507</v>
      </c>
      <c r="G1037" s="11" t="s">
        <v>221</v>
      </c>
      <c r="H1037" s="11" t="s">
        <v>20</v>
      </c>
      <c r="I1037" s="11" t="s">
        <v>139</v>
      </c>
      <c r="J1037" s="11" t="s">
        <v>97</v>
      </c>
      <c r="K1037" s="11" t="s">
        <v>107</v>
      </c>
      <c r="L1037" s="11" t="s">
        <v>531</v>
      </c>
      <c r="M1037" s="11" t="s">
        <v>100</v>
      </c>
      <c r="N1037" s="32" t="n">
        <v>9945</v>
      </c>
      <c r="O1037" s="33" t="n">
        <v>2266236.75</v>
      </c>
      <c r="P1037" s="32" t="n">
        <v>11710</v>
      </c>
      <c r="Q1037" s="34" t="n">
        <v>0.84</v>
      </c>
      <c r="R1037" s="33" t="n">
        <v>69.5</v>
      </c>
      <c r="S1037" s="33" t="n">
        <v>219</v>
      </c>
      <c r="T1037" s="33" t="n">
        <v>227.88</v>
      </c>
      <c r="U1037" s="11" t="n">
        <f aca="false">IFERROR(YEAR(A1037),"")</f>
        <v>2023</v>
      </c>
      <c r="V1037" s="33" t="n">
        <f aca="false">IFERROR(O1037*B1037,0)</f>
        <v>2266236.75</v>
      </c>
      <c r="W1037" s="32" t="n">
        <f aca="false">IFERROR(N1037*B1037,0)</f>
        <v>9945</v>
      </c>
      <c r="X1037" s="11" t="n">
        <f aca="false">IF(OR(ISNUMBER(SEARCH("live nation",L1037)),ISNUMBER(SEARCH("ocesa",L1037))),1,0)</f>
        <v>0</v>
      </c>
      <c r="Y1037" s="11" t="s">
        <v>49</v>
      </c>
    </row>
    <row r="1038" customFormat="false" ht="15" hidden="false" customHeight="false" outlineLevel="0" collapsed="false">
      <c r="A1038" s="25" t="n">
        <v>45020</v>
      </c>
      <c r="B1038" s="13" t="n">
        <v>2</v>
      </c>
      <c r="C1038" s="26" t="s">
        <v>63</v>
      </c>
      <c r="D1038" s="26"/>
      <c r="E1038" s="13" t="s">
        <v>668</v>
      </c>
      <c r="F1038" s="13" t="s">
        <v>377</v>
      </c>
      <c r="G1038" s="13"/>
      <c r="H1038" s="13" t="s">
        <v>378</v>
      </c>
      <c r="I1038" s="13"/>
      <c r="J1038" s="13" t="s">
        <v>97</v>
      </c>
      <c r="K1038" s="13" t="s">
        <v>379</v>
      </c>
      <c r="L1038" s="13" t="s">
        <v>145</v>
      </c>
      <c r="M1038" s="13" t="s">
        <v>100</v>
      </c>
      <c r="N1038" s="27" t="n">
        <v>8021</v>
      </c>
      <c r="O1038" s="28" t="n">
        <v>1345370.5</v>
      </c>
      <c r="P1038" s="27" t="n">
        <v>8021</v>
      </c>
      <c r="Q1038" s="29" t="n">
        <v>1</v>
      </c>
      <c r="R1038" s="28" t="n">
        <v>98.38</v>
      </c>
      <c r="S1038" s="28" t="n">
        <v>206.59</v>
      </c>
      <c r="T1038" s="28" t="n">
        <v>167.73</v>
      </c>
      <c r="U1038" s="13" t="n">
        <f aca="false">IFERROR(YEAR(A1038),"")</f>
        <v>2023</v>
      </c>
      <c r="V1038" s="28" t="n">
        <f aca="false">IFERROR(O1038*B1038,0)</f>
        <v>2690741</v>
      </c>
      <c r="W1038" s="27" t="n">
        <f aca="false">IFERROR(N1038*B1038,0)</f>
        <v>16042</v>
      </c>
      <c r="X1038" s="13" t="n">
        <f aca="false">IF(OR(ISNUMBER(SEARCH("live nation",L1038)),ISNUMBER(SEARCH("ocesa",L1038))),1,0)</f>
        <v>0</v>
      </c>
      <c r="Y1038" s="13" t="s">
        <v>50</v>
      </c>
    </row>
    <row r="1039" customFormat="false" ht="15" hidden="false" customHeight="false" outlineLevel="0" collapsed="false">
      <c r="A1039" s="30" t="n">
        <v>45017</v>
      </c>
      <c r="B1039" s="11" t="n">
        <v>1</v>
      </c>
      <c r="C1039" s="31" t="s">
        <v>63</v>
      </c>
      <c r="D1039" s="31"/>
      <c r="E1039" s="11" t="s">
        <v>391</v>
      </c>
      <c r="F1039" s="11" t="s">
        <v>324</v>
      </c>
      <c r="G1039" s="11"/>
      <c r="H1039" s="11" t="s">
        <v>324</v>
      </c>
      <c r="I1039" s="11"/>
      <c r="J1039" s="11" t="s">
        <v>97</v>
      </c>
      <c r="K1039" s="11" t="s">
        <v>324</v>
      </c>
      <c r="L1039" s="11" t="s">
        <v>145</v>
      </c>
      <c r="M1039" s="11" t="s">
        <v>100</v>
      </c>
      <c r="N1039" s="32" t="n">
        <v>7830</v>
      </c>
      <c r="O1039" s="33" t="n">
        <v>1636896.6</v>
      </c>
      <c r="P1039" s="32" t="n">
        <v>7830</v>
      </c>
      <c r="Q1039" s="34" t="n">
        <v>1</v>
      </c>
      <c r="R1039" s="33" t="n">
        <v>126.24</v>
      </c>
      <c r="S1039" s="33" t="n">
        <v>261.5</v>
      </c>
      <c r="T1039" s="33" t="n">
        <v>209.05</v>
      </c>
      <c r="U1039" s="11" t="n">
        <f aca="false">IFERROR(YEAR(A1039),"")</f>
        <v>2023</v>
      </c>
      <c r="V1039" s="33" t="n">
        <f aca="false">IFERROR(O1039*B1039,0)</f>
        <v>1636896.6</v>
      </c>
      <c r="W1039" s="32" t="n">
        <f aca="false">IFERROR(N1039*B1039,0)</f>
        <v>7830</v>
      </c>
      <c r="X1039" s="11" t="n">
        <f aca="false">IF(OR(ISNUMBER(SEARCH("live nation",L1039)),ISNUMBER(SEARCH("ocesa",L1039))),1,0)</f>
        <v>0</v>
      </c>
      <c r="Y1039" s="11" t="s">
        <v>50</v>
      </c>
    </row>
    <row r="1040" customFormat="false" ht="15" hidden="false" customHeight="false" outlineLevel="0" collapsed="false">
      <c r="A1040" s="25" t="n">
        <v>45016</v>
      </c>
      <c r="B1040" s="13" t="n">
        <v>2</v>
      </c>
      <c r="C1040" s="26" t="s">
        <v>66</v>
      </c>
      <c r="D1040" s="26"/>
      <c r="E1040" s="13" t="s">
        <v>1198</v>
      </c>
      <c r="F1040" s="13" t="s">
        <v>203</v>
      </c>
      <c r="G1040" s="13" t="s">
        <v>202</v>
      </c>
      <c r="H1040" s="13" t="s">
        <v>20</v>
      </c>
      <c r="I1040" s="13" t="s">
        <v>203</v>
      </c>
      <c r="J1040" s="13" t="s">
        <v>133</v>
      </c>
      <c r="K1040" s="13" t="s">
        <v>107</v>
      </c>
      <c r="L1040" s="13" t="s">
        <v>177</v>
      </c>
      <c r="M1040" s="13" t="s">
        <v>100</v>
      </c>
      <c r="N1040" s="27" t="n">
        <v>23340</v>
      </c>
      <c r="O1040" s="28" t="n">
        <v>3397648.64</v>
      </c>
      <c r="P1040" s="27" t="n">
        <v>23340</v>
      </c>
      <c r="Q1040" s="29" t="n">
        <v>1</v>
      </c>
      <c r="R1040" s="28" t="n">
        <v>49.5</v>
      </c>
      <c r="S1040" s="28" t="n">
        <v>179.5</v>
      </c>
      <c r="T1040" s="28" t="n">
        <v>145.57</v>
      </c>
      <c r="U1040" s="13" t="n">
        <f aca="false">IFERROR(YEAR(A1040),"")</f>
        <v>2023</v>
      </c>
      <c r="V1040" s="28" t="n">
        <f aca="false">IFERROR(O1040*B1040,0)</f>
        <v>6795297.28</v>
      </c>
      <c r="W1040" s="27" t="n">
        <f aca="false">IFERROR(N1040*B1040,0)</f>
        <v>46680</v>
      </c>
      <c r="X1040" s="13" t="n">
        <f aca="false">IF(OR(ISNUMBER(SEARCH("live nation",L1040)),ISNUMBER(SEARCH("ocesa",L1040))),1,0)</f>
        <v>1</v>
      </c>
      <c r="Y1040" s="13" t="s">
        <v>49</v>
      </c>
    </row>
    <row r="1041" customFormat="false" ht="15" hidden="false" customHeight="false" outlineLevel="0" collapsed="false">
      <c r="A1041" s="30" t="n">
        <v>45013</v>
      </c>
      <c r="B1041" s="11" t="n">
        <v>1</v>
      </c>
      <c r="C1041" s="31" t="s">
        <v>559</v>
      </c>
      <c r="D1041" s="31"/>
      <c r="E1041" s="11" t="s">
        <v>312</v>
      </c>
      <c r="F1041" s="11" t="s">
        <v>313</v>
      </c>
      <c r="G1041" s="11"/>
      <c r="H1041" s="11" t="s">
        <v>27</v>
      </c>
      <c r="I1041" s="11"/>
      <c r="J1041" s="11" t="s">
        <v>97</v>
      </c>
      <c r="K1041" s="11" t="s">
        <v>314</v>
      </c>
      <c r="L1041" s="11" t="s">
        <v>860</v>
      </c>
      <c r="M1041" s="11" t="s">
        <v>100</v>
      </c>
      <c r="N1041" s="32" t="n">
        <v>8535</v>
      </c>
      <c r="O1041" s="33" t="n">
        <v>1361114.43</v>
      </c>
      <c r="P1041" s="32" t="n">
        <v>8765</v>
      </c>
      <c r="Q1041" s="34" t="n">
        <v>0.97</v>
      </c>
      <c r="R1041" s="33" t="n">
        <v>83.77</v>
      </c>
      <c r="S1041" s="33" t="n">
        <v>243.91</v>
      </c>
      <c r="T1041" s="33" t="n">
        <v>159.47</v>
      </c>
      <c r="U1041" s="11" t="n">
        <f aca="false">IFERROR(YEAR(A1041),"")</f>
        <v>2023</v>
      </c>
      <c r="V1041" s="33" t="n">
        <f aca="false">IFERROR(O1041*B1041,0)</f>
        <v>1361114.43</v>
      </c>
      <c r="W1041" s="32" t="n">
        <f aca="false">IFERROR(N1041*B1041,0)</f>
        <v>8535</v>
      </c>
      <c r="X1041" s="11" t="n">
        <f aca="false">IF(OR(ISNUMBER(SEARCH("live nation",L1041)),ISNUMBER(SEARCH("ocesa",L1041))),1,0)</f>
        <v>0</v>
      </c>
      <c r="Y1041" s="11" t="s">
        <v>49</v>
      </c>
    </row>
    <row r="1042" customFormat="false" ht="15" hidden="false" customHeight="false" outlineLevel="0" collapsed="false">
      <c r="A1042" s="25" t="n">
        <v>45012</v>
      </c>
      <c r="B1042" s="13" t="n">
        <v>1</v>
      </c>
      <c r="C1042" s="26" t="s">
        <v>66</v>
      </c>
      <c r="D1042" s="26"/>
      <c r="E1042" s="13" t="s">
        <v>501</v>
      </c>
      <c r="F1042" s="13" t="s">
        <v>502</v>
      </c>
      <c r="G1042" s="13" t="s">
        <v>143</v>
      </c>
      <c r="H1042" s="13" t="s">
        <v>20</v>
      </c>
      <c r="I1042" s="13" t="s">
        <v>375</v>
      </c>
      <c r="J1042" s="13" t="s">
        <v>97</v>
      </c>
      <c r="K1042" s="13" t="s">
        <v>107</v>
      </c>
      <c r="L1042" s="13" t="s">
        <v>177</v>
      </c>
      <c r="M1042" s="13" t="s">
        <v>100</v>
      </c>
      <c r="N1042" s="27" t="n">
        <v>11306</v>
      </c>
      <c r="O1042" s="28" t="n">
        <v>1277449</v>
      </c>
      <c r="P1042" s="27" t="n">
        <v>11774</v>
      </c>
      <c r="Q1042" s="29" t="n">
        <v>0.96</v>
      </c>
      <c r="R1042" s="28" t="n">
        <v>49.5</v>
      </c>
      <c r="S1042" s="28" t="n">
        <v>179.5</v>
      </c>
      <c r="T1042" s="28" t="n">
        <v>112.99</v>
      </c>
      <c r="U1042" s="13" t="n">
        <f aca="false">IFERROR(YEAR(A1042),"")</f>
        <v>2023</v>
      </c>
      <c r="V1042" s="28" t="n">
        <f aca="false">IFERROR(O1042*B1042,0)</f>
        <v>1277449</v>
      </c>
      <c r="W1042" s="27" t="n">
        <f aca="false">IFERROR(N1042*B1042,0)</f>
        <v>11306</v>
      </c>
      <c r="X1042" s="13" t="n">
        <f aca="false">IF(OR(ISNUMBER(SEARCH("live nation",L1042)),ISNUMBER(SEARCH("ocesa",L1042))),1,0)</f>
        <v>1</v>
      </c>
      <c r="Y1042" s="13" t="s">
        <v>49</v>
      </c>
    </row>
    <row r="1043" customFormat="false" ht="15" hidden="false" customHeight="false" outlineLevel="0" collapsed="false">
      <c r="A1043" s="30" t="n">
        <v>45011</v>
      </c>
      <c r="B1043" s="11" t="n">
        <v>1</v>
      </c>
      <c r="C1043" s="31" t="s">
        <v>66</v>
      </c>
      <c r="D1043" s="31"/>
      <c r="E1043" s="11" t="s">
        <v>501</v>
      </c>
      <c r="F1043" s="11" t="s">
        <v>502</v>
      </c>
      <c r="G1043" s="11" t="s">
        <v>143</v>
      </c>
      <c r="H1043" s="11" t="s">
        <v>20</v>
      </c>
      <c r="I1043" s="11" t="s">
        <v>375</v>
      </c>
      <c r="J1043" s="11" t="s">
        <v>97</v>
      </c>
      <c r="K1043" s="11" t="s">
        <v>107</v>
      </c>
      <c r="L1043" s="11" t="s">
        <v>177</v>
      </c>
      <c r="M1043" s="11" t="s">
        <v>100</v>
      </c>
      <c r="N1043" s="32" t="n">
        <v>11320</v>
      </c>
      <c r="O1043" s="33" t="n">
        <v>1276495</v>
      </c>
      <c r="P1043" s="32" t="n">
        <v>11774</v>
      </c>
      <c r="Q1043" s="34" t="n">
        <v>0.96</v>
      </c>
      <c r="R1043" s="33" t="n">
        <v>49.5</v>
      </c>
      <c r="S1043" s="33" t="n">
        <v>179.5</v>
      </c>
      <c r="T1043" s="33" t="n">
        <v>112.76</v>
      </c>
      <c r="U1043" s="11" t="n">
        <f aca="false">IFERROR(YEAR(A1043),"")</f>
        <v>2023</v>
      </c>
      <c r="V1043" s="33" t="n">
        <f aca="false">IFERROR(O1043*B1043,0)</f>
        <v>1276495</v>
      </c>
      <c r="W1043" s="32" t="n">
        <f aca="false">IFERROR(N1043*B1043,0)</f>
        <v>11320</v>
      </c>
      <c r="X1043" s="11" t="n">
        <f aca="false">IF(OR(ISNUMBER(SEARCH("live nation",L1043)),ISNUMBER(SEARCH("ocesa",L1043))),1,0)</f>
        <v>1</v>
      </c>
      <c r="Y1043" s="11" t="s">
        <v>49</v>
      </c>
    </row>
    <row r="1044" customFormat="false" ht="15" hidden="false" customHeight="false" outlineLevel="0" collapsed="false">
      <c r="A1044" s="25" t="n">
        <v>45011</v>
      </c>
      <c r="B1044" s="13" t="n">
        <v>1</v>
      </c>
      <c r="C1044" s="26" t="s">
        <v>1036</v>
      </c>
      <c r="D1044" s="26"/>
      <c r="E1044" s="13" t="s">
        <v>503</v>
      </c>
      <c r="F1044" s="13" t="s">
        <v>231</v>
      </c>
      <c r="G1044" s="13" t="s">
        <v>202</v>
      </c>
      <c r="H1044" s="13" t="s">
        <v>20</v>
      </c>
      <c r="I1044" s="13" t="s">
        <v>232</v>
      </c>
      <c r="J1044" s="13" t="s">
        <v>121</v>
      </c>
      <c r="K1044" s="13" t="s">
        <v>107</v>
      </c>
      <c r="L1044" s="13" t="s">
        <v>390</v>
      </c>
      <c r="M1044" s="13" t="s">
        <v>100</v>
      </c>
      <c r="N1044" s="27" t="n">
        <v>930</v>
      </c>
      <c r="O1044" s="28" t="n">
        <v>113055</v>
      </c>
      <c r="P1044" s="27" t="n">
        <v>2992</v>
      </c>
      <c r="Q1044" s="29" t="n">
        <v>0.31</v>
      </c>
      <c r="R1044" s="28" t="n">
        <v>65</v>
      </c>
      <c r="S1044" s="28" t="n">
        <v>250</v>
      </c>
      <c r="T1044" s="28" t="n">
        <v>121.56</v>
      </c>
      <c r="U1044" s="13" t="n">
        <f aca="false">IFERROR(YEAR(A1044),"")</f>
        <v>2023</v>
      </c>
      <c r="V1044" s="28" t="n">
        <f aca="false">IFERROR(O1044*B1044,0)</f>
        <v>113055</v>
      </c>
      <c r="W1044" s="27" t="n">
        <f aca="false">IFERROR(N1044*B1044,0)</f>
        <v>930</v>
      </c>
      <c r="X1044" s="13" t="n">
        <f aca="false">IF(OR(ISNUMBER(SEARCH("live nation",L1044)),ISNUMBER(SEARCH("ocesa",L1044))),1,0)</f>
        <v>0</v>
      </c>
      <c r="Y1044" s="13" t="s">
        <v>49</v>
      </c>
    </row>
    <row r="1045" customFormat="false" ht="15" hidden="false" customHeight="false" outlineLevel="0" collapsed="false">
      <c r="A1045" s="30" t="n">
        <v>45010</v>
      </c>
      <c r="B1045" s="11" t="n">
        <v>2</v>
      </c>
      <c r="C1045" s="31" t="s">
        <v>63</v>
      </c>
      <c r="D1045" s="31"/>
      <c r="E1045" s="11" t="s">
        <v>1046</v>
      </c>
      <c r="F1045" s="11" t="s">
        <v>147</v>
      </c>
      <c r="G1045" s="11"/>
      <c r="H1045" s="11" t="s">
        <v>24</v>
      </c>
      <c r="I1045" s="11"/>
      <c r="J1045" s="11" t="s">
        <v>97</v>
      </c>
      <c r="K1045" s="11" t="s">
        <v>148</v>
      </c>
      <c r="L1045" s="11" t="s">
        <v>145</v>
      </c>
      <c r="M1045" s="11" t="s">
        <v>100</v>
      </c>
      <c r="N1045" s="32" t="n">
        <v>10722</v>
      </c>
      <c r="O1045" s="33" t="n">
        <v>1231039.44</v>
      </c>
      <c r="P1045" s="32" t="n">
        <v>10722</v>
      </c>
      <c r="Q1045" s="34" t="n">
        <v>1</v>
      </c>
      <c r="R1045" s="33" t="n">
        <v>118.84</v>
      </c>
      <c r="S1045" s="33" t="n">
        <v>152.8</v>
      </c>
      <c r="T1045" s="33" t="n">
        <v>114.81</v>
      </c>
      <c r="U1045" s="11" t="n">
        <f aca="false">IFERROR(YEAR(A1045),"")</f>
        <v>2023</v>
      </c>
      <c r="V1045" s="33" t="n">
        <f aca="false">IFERROR(O1045*B1045,0)</f>
        <v>2462078.88</v>
      </c>
      <c r="W1045" s="32" t="n">
        <f aca="false">IFERROR(N1045*B1045,0)</f>
        <v>21444</v>
      </c>
      <c r="X1045" s="11" t="n">
        <f aca="false">IF(OR(ISNUMBER(SEARCH("live nation",L1045)),ISNUMBER(SEARCH("ocesa",L1045))),1,0)</f>
        <v>0</v>
      </c>
      <c r="Y1045" s="11" t="s">
        <v>50</v>
      </c>
    </row>
    <row r="1046" customFormat="false" ht="15" hidden="false" customHeight="false" outlineLevel="0" collapsed="false">
      <c r="A1046" s="25" t="n">
        <v>45009</v>
      </c>
      <c r="B1046" s="13" t="n">
        <v>1</v>
      </c>
      <c r="C1046" s="26" t="s">
        <v>1036</v>
      </c>
      <c r="D1046" s="26"/>
      <c r="E1046" s="13" t="s">
        <v>400</v>
      </c>
      <c r="F1046" s="13" t="s">
        <v>203</v>
      </c>
      <c r="G1046" s="13" t="s">
        <v>202</v>
      </c>
      <c r="H1046" s="13" t="s">
        <v>20</v>
      </c>
      <c r="I1046" s="13" t="s">
        <v>203</v>
      </c>
      <c r="J1046" s="13" t="s">
        <v>121</v>
      </c>
      <c r="K1046" s="13" t="s">
        <v>107</v>
      </c>
      <c r="L1046" s="13" t="s">
        <v>390</v>
      </c>
      <c r="M1046" s="13" t="s">
        <v>100</v>
      </c>
      <c r="N1046" s="27" t="n">
        <v>1282</v>
      </c>
      <c r="O1046" s="28" t="n">
        <v>139675</v>
      </c>
      <c r="P1046" s="27" t="n">
        <v>1976</v>
      </c>
      <c r="Q1046" s="29" t="n">
        <v>0.64</v>
      </c>
      <c r="R1046" s="28" t="n">
        <v>60</v>
      </c>
      <c r="S1046" s="28" t="n">
        <v>175</v>
      </c>
      <c r="T1046" s="28" t="n">
        <v>108.95</v>
      </c>
      <c r="U1046" s="13" t="n">
        <f aca="false">IFERROR(YEAR(A1046),"")</f>
        <v>2023</v>
      </c>
      <c r="V1046" s="28" t="n">
        <f aca="false">IFERROR(O1046*B1046,0)</f>
        <v>139675</v>
      </c>
      <c r="W1046" s="27" t="n">
        <f aca="false">IFERROR(N1046*B1046,0)</f>
        <v>1282</v>
      </c>
      <c r="X1046" s="13" t="n">
        <f aca="false">IF(OR(ISNUMBER(SEARCH("live nation",L1046)),ISNUMBER(SEARCH("ocesa",L1046))),1,0)</f>
        <v>0</v>
      </c>
      <c r="Y1046" s="13" t="s">
        <v>49</v>
      </c>
    </row>
    <row r="1047" customFormat="false" ht="15" hidden="false" customHeight="false" outlineLevel="0" collapsed="false">
      <c r="A1047" s="30" t="n">
        <v>45007</v>
      </c>
      <c r="B1047" s="11" t="n">
        <v>2</v>
      </c>
      <c r="C1047" s="31" t="s">
        <v>66</v>
      </c>
      <c r="D1047" s="31"/>
      <c r="E1047" s="11" t="s">
        <v>345</v>
      </c>
      <c r="F1047" s="11" t="s">
        <v>346</v>
      </c>
      <c r="G1047" s="11" t="s">
        <v>347</v>
      </c>
      <c r="H1047" s="11" t="s">
        <v>20</v>
      </c>
      <c r="I1047" s="11" t="s">
        <v>346</v>
      </c>
      <c r="J1047" s="11" t="s">
        <v>97</v>
      </c>
      <c r="K1047" s="11" t="s">
        <v>107</v>
      </c>
      <c r="L1047" s="11" t="s">
        <v>177</v>
      </c>
      <c r="M1047" s="11" t="s">
        <v>100</v>
      </c>
      <c r="N1047" s="32" t="n">
        <v>11509</v>
      </c>
      <c r="O1047" s="33" t="n">
        <v>1276752.5</v>
      </c>
      <c r="P1047" s="32" t="n">
        <v>11509</v>
      </c>
      <c r="Q1047" s="34" t="n">
        <v>1</v>
      </c>
      <c r="R1047" s="33" t="n">
        <v>49.5</v>
      </c>
      <c r="S1047" s="33" t="n">
        <v>179.5</v>
      </c>
      <c r="T1047" s="33" t="n">
        <v>110.93</v>
      </c>
      <c r="U1047" s="11" t="n">
        <f aca="false">IFERROR(YEAR(A1047),"")</f>
        <v>2023</v>
      </c>
      <c r="V1047" s="33" t="n">
        <f aca="false">IFERROR(O1047*B1047,0)</f>
        <v>2553505</v>
      </c>
      <c r="W1047" s="32" t="n">
        <f aca="false">IFERROR(N1047*B1047,0)</f>
        <v>23018</v>
      </c>
      <c r="X1047" s="11" t="n">
        <f aca="false">IF(OR(ISNUMBER(SEARCH("live nation",L1047)),ISNUMBER(SEARCH("ocesa",L1047))),1,0)</f>
        <v>1</v>
      </c>
      <c r="Y1047" s="11" t="s">
        <v>49</v>
      </c>
    </row>
    <row r="1048" customFormat="false" ht="15" hidden="false" customHeight="false" outlineLevel="0" collapsed="false">
      <c r="A1048" s="25" t="n">
        <v>45007</v>
      </c>
      <c r="B1048" s="13" t="n">
        <v>1</v>
      </c>
      <c r="C1048" s="26" t="s">
        <v>1036</v>
      </c>
      <c r="D1048" s="26"/>
      <c r="E1048" s="13" t="s">
        <v>841</v>
      </c>
      <c r="F1048" s="13" t="s">
        <v>842</v>
      </c>
      <c r="G1048" s="13" t="s">
        <v>119</v>
      </c>
      <c r="H1048" s="13" t="s">
        <v>20</v>
      </c>
      <c r="I1048" s="13" t="s">
        <v>120</v>
      </c>
      <c r="J1048" s="13" t="s">
        <v>106</v>
      </c>
      <c r="K1048" s="13" t="s">
        <v>107</v>
      </c>
      <c r="L1048" s="13" t="s">
        <v>883</v>
      </c>
      <c r="M1048" s="13" t="s">
        <v>100</v>
      </c>
      <c r="N1048" s="27" t="n">
        <v>571</v>
      </c>
      <c r="O1048" s="28" t="n">
        <v>33118</v>
      </c>
      <c r="P1048" s="27" t="n">
        <v>2200</v>
      </c>
      <c r="Q1048" s="29" t="n">
        <v>0.25</v>
      </c>
      <c r="R1048" s="28" t="n">
        <v>58</v>
      </c>
      <c r="S1048" s="28" t="n">
        <v>58</v>
      </c>
      <c r="T1048" s="28" t="n">
        <v>58</v>
      </c>
      <c r="U1048" s="13" t="n">
        <f aca="false">IFERROR(YEAR(A1048),"")</f>
        <v>2023</v>
      </c>
      <c r="V1048" s="28" t="n">
        <f aca="false">IFERROR(O1048*B1048,0)</f>
        <v>33118</v>
      </c>
      <c r="W1048" s="27" t="n">
        <f aca="false">IFERROR(N1048*B1048,0)</f>
        <v>571</v>
      </c>
      <c r="X1048" s="13" t="n">
        <f aca="false">IF(OR(ISNUMBER(SEARCH("live nation",L1048)),ISNUMBER(SEARCH("ocesa",L1048))),1,0)</f>
        <v>0</v>
      </c>
      <c r="Y1048" s="13" t="s">
        <v>49</v>
      </c>
    </row>
    <row r="1049" customFormat="false" ht="15" hidden="false" customHeight="false" outlineLevel="0" collapsed="false">
      <c r="A1049" s="30" t="n">
        <v>45005</v>
      </c>
      <c r="B1049" s="11" t="n">
        <v>1</v>
      </c>
      <c r="C1049" s="31" t="s">
        <v>1036</v>
      </c>
      <c r="D1049" s="31"/>
      <c r="E1049" s="11" t="s">
        <v>1112</v>
      </c>
      <c r="F1049" s="11" t="s">
        <v>502</v>
      </c>
      <c r="G1049" s="11" t="s">
        <v>143</v>
      </c>
      <c r="H1049" s="11" t="s">
        <v>20</v>
      </c>
      <c r="I1049" s="11" t="s">
        <v>375</v>
      </c>
      <c r="J1049" s="11" t="s">
        <v>121</v>
      </c>
      <c r="K1049" s="11" t="s">
        <v>107</v>
      </c>
      <c r="L1049" s="11" t="s">
        <v>1023</v>
      </c>
      <c r="M1049" s="11" t="s">
        <v>100</v>
      </c>
      <c r="N1049" s="32" t="n">
        <v>864</v>
      </c>
      <c r="O1049" s="33" t="n">
        <v>80256.8</v>
      </c>
      <c r="P1049" s="32" t="n">
        <v>1693</v>
      </c>
      <c r="Q1049" s="34" t="n">
        <v>0.51</v>
      </c>
      <c r="R1049" s="33" t="n">
        <v>49.95</v>
      </c>
      <c r="S1049" s="33" t="n">
        <v>129.95</v>
      </c>
      <c r="T1049" s="33" t="n">
        <v>92.89</v>
      </c>
      <c r="U1049" s="11" t="n">
        <f aca="false">IFERROR(YEAR(A1049),"")</f>
        <v>2023</v>
      </c>
      <c r="V1049" s="33" t="n">
        <f aca="false">IFERROR(O1049*B1049,0)</f>
        <v>80256.8</v>
      </c>
      <c r="W1049" s="32" t="n">
        <f aca="false">IFERROR(N1049*B1049,0)</f>
        <v>864</v>
      </c>
      <c r="X1049" s="11" t="n">
        <f aca="false">IF(OR(ISNUMBER(SEARCH("live nation",L1049)),ISNUMBER(SEARCH("ocesa",L1049))),1,0)</f>
        <v>1</v>
      </c>
      <c r="Y1049" s="11" t="s">
        <v>49</v>
      </c>
    </row>
    <row r="1050" customFormat="false" ht="15" hidden="false" customHeight="false" outlineLevel="0" collapsed="false">
      <c r="A1050" s="25" t="n">
        <v>45005</v>
      </c>
      <c r="B1050" s="13" t="n">
        <v>1</v>
      </c>
      <c r="C1050" s="26" t="s">
        <v>1036</v>
      </c>
      <c r="D1050" s="26"/>
      <c r="E1050" s="13" t="s">
        <v>503</v>
      </c>
      <c r="F1050" s="13" t="s">
        <v>231</v>
      </c>
      <c r="G1050" s="13" t="s">
        <v>202</v>
      </c>
      <c r="H1050" s="13" t="s">
        <v>20</v>
      </c>
      <c r="I1050" s="13" t="s">
        <v>232</v>
      </c>
      <c r="J1050" s="13" t="s">
        <v>121</v>
      </c>
      <c r="K1050" s="13" t="s">
        <v>107</v>
      </c>
      <c r="L1050" s="13" t="s">
        <v>390</v>
      </c>
      <c r="M1050" s="13" t="s">
        <v>100</v>
      </c>
      <c r="N1050" s="27" t="n">
        <v>930</v>
      </c>
      <c r="O1050" s="28" t="n">
        <v>113055</v>
      </c>
      <c r="P1050" s="27" t="n">
        <v>2940</v>
      </c>
      <c r="Q1050" s="29" t="n">
        <v>0.31</v>
      </c>
      <c r="R1050" s="28" t="n">
        <v>65</v>
      </c>
      <c r="S1050" s="28" t="n">
        <v>250</v>
      </c>
      <c r="T1050" s="28" t="n">
        <v>121.56</v>
      </c>
      <c r="U1050" s="13" t="n">
        <f aca="false">IFERROR(YEAR(A1050),"")</f>
        <v>2023</v>
      </c>
      <c r="V1050" s="28" t="n">
        <f aca="false">IFERROR(O1050*B1050,0)</f>
        <v>113055</v>
      </c>
      <c r="W1050" s="27" t="n">
        <f aca="false">IFERROR(N1050*B1050,0)</f>
        <v>930</v>
      </c>
      <c r="X1050" s="13" t="n">
        <f aca="false">IF(OR(ISNUMBER(SEARCH("live nation",L1050)),ISNUMBER(SEARCH("ocesa",L1050))),1,0)</f>
        <v>0</v>
      </c>
      <c r="Y1050" s="13" t="s">
        <v>49</v>
      </c>
    </row>
    <row r="1051" customFormat="false" ht="15" hidden="false" customHeight="false" outlineLevel="0" collapsed="false">
      <c r="A1051" s="30" t="n">
        <v>45003</v>
      </c>
      <c r="B1051" s="11" t="n">
        <v>1</v>
      </c>
      <c r="C1051" s="31" t="s">
        <v>1036</v>
      </c>
      <c r="D1051" s="31"/>
      <c r="E1051" s="11" t="s">
        <v>1127</v>
      </c>
      <c r="F1051" s="11" t="s">
        <v>586</v>
      </c>
      <c r="G1051" s="11" t="s">
        <v>143</v>
      </c>
      <c r="H1051" s="11" t="s">
        <v>20</v>
      </c>
      <c r="I1051" s="11" t="s">
        <v>586</v>
      </c>
      <c r="J1051" s="11" t="s">
        <v>121</v>
      </c>
      <c r="K1051" s="11" t="s">
        <v>107</v>
      </c>
      <c r="L1051" s="11" t="s">
        <v>1023</v>
      </c>
      <c r="M1051" s="11" t="s">
        <v>100</v>
      </c>
      <c r="N1051" s="32" t="n">
        <v>926</v>
      </c>
      <c r="O1051" s="33" t="n">
        <v>89557</v>
      </c>
      <c r="P1051" s="32" t="n">
        <v>1329</v>
      </c>
      <c r="Q1051" s="34" t="n">
        <v>0.69</v>
      </c>
      <c r="R1051" s="33" t="n">
        <v>59.5</v>
      </c>
      <c r="S1051" s="33" t="n">
        <v>129.5</v>
      </c>
      <c r="T1051" s="33" t="n">
        <v>96.71</v>
      </c>
      <c r="U1051" s="11" t="n">
        <f aca="false">IFERROR(YEAR(A1051),"")</f>
        <v>2023</v>
      </c>
      <c r="V1051" s="33" t="n">
        <f aca="false">IFERROR(O1051*B1051,0)</f>
        <v>89557</v>
      </c>
      <c r="W1051" s="32" t="n">
        <f aca="false">IFERROR(N1051*B1051,0)</f>
        <v>926</v>
      </c>
      <c r="X1051" s="11" t="n">
        <f aca="false">IF(OR(ISNUMBER(SEARCH("live nation",L1051)),ISNUMBER(SEARCH("ocesa",L1051))),1,0)</f>
        <v>1</v>
      </c>
      <c r="Y1051" s="11" t="s">
        <v>49</v>
      </c>
    </row>
    <row r="1052" customFormat="false" ht="15" hidden="false" customHeight="false" outlineLevel="0" collapsed="false">
      <c r="A1052" s="25" t="n">
        <v>45001</v>
      </c>
      <c r="B1052" s="13" t="n">
        <v>1</v>
      </c>
      <c r="C1052" s="26" t="s">
        <v>1036</v>
      </c>
      <c r="D1052" s="26"/>
      <c r="E1052" s="13" t="s">
        <v>1199</v>
      </c>
      <c r="F1052" s="13" t="s">
        <v>209</v>
      </c>
      <c r="G1052" s="13" t="s">
        <v>208</v>
      </c>
      <c r="H1052" s="13" t="s">
        <v>20</v>
      </c>
      <c r="I1052" s="13" t="s">
        <v>209</v>
      </c>
      <c r="J1052" s="13" t="s">
        <v>106</v>
      </c>
      <c r="K1052" s="13" t="s">
        <v>107</v>
      </c>
      <c r="L1052" s="13" t="s">
        <v>1200</v>
      </c>
      <c r="M1052" s="13" t="s">
        <v>100</v>
      </c>
      <c r="N1052" s="27" t="n">
        <v>703</v>
      </c>
      <c r="O1052" s="28" t="n">
        <v>63041</v>
      </c>
      <c r="P1052" s="27" t="n">
        <v>3800</v>
      </c>
      <c r="Q1052" s="29" t="n">
        <v>0.18</v>
      </c>
      <c r="R1052" s="28" t="n">
        <v>55</v>
      </c>
      <c r="S1052" s="28" t="n">
        <v>125</v>
      </c>
      <c r="T1052" s="28" t="n">
        <v>89.67</v>
      </c>
      <c r="U1052" s="13" t="n">
        <f aca="false">IFERROR(YEAR(A1052),"")</f>
        <v>2023</v>
      </c>
      <c r="V1052" s="28" t="n">
        <f aca="false">IFERROR(O1052*B1052,0)</f>
        <v>63041</v>
      </c>
      <c r="W1052" s="27" t="n">
        <f aca="false">IFERROR(N1052*B1052,0)</f>
        <v>703</v>
      </c>
      <c r="X1052" s="13" t="n">
        <f aca="false">IF(OR(ISNUMBER(SEARCH("live nation",L1052)),ISNUMBER(SEARCH("ocesa",L1052))),1,0)</f>
        <v>0</v>
      </c>
      <c r="Y1052" s="13" t="s">
        <v>49</v>
      </c>
    </row>
    <row r="1053" customFormat="false" ht="15" hidden="false" customHeight="false" outlineLevel="0" collapsed="false">
      <c r="A1053" s="30" t="n">
        <v>44999</v>
      </c>
      <c r="B1053" s="11" t="n">
        <v>1</v>
      </c>
      <c r="C1053" s="31" t="s">
        <v>1036</v>
      </c>
      <c r="D1053" s="31"/>
      <c r="E1053" s="11" t="s">
        <v>1085</v>
      </c>
      <c r="F1053" s="11" t="s">
        <v>228</v>
      </c>
      <c r="G1053" s="11" t="s">
        <v>229</v>
      </c>
      <c r="H1053" s="11" t="s">
        <v>20</v>
      </c>
      <c r="I1053" s="11" t="s">
        <v>190</v>
      </c>
      <c r="J1053" s="11" t="s">
        <v>121</v>
      </c>
      <c r="K1053" s="11" t="s">
        <v>107</v>
      </c>
      <c r="L1053" s="11" t="s">
        <v>177</v>
      </c>
      <c r="M1053" s="11" t="s">
        <v>100</v>
      </c>
      <c r="N1053" s="32" t="n">
        <v>1781</v>
      </c>
      <c r="O1053" s="33" t="n">
        <v>99731</v>
      </c>
      <c r="P1053" s="32" t="n">
        <v>1781</v>
      </c>
      <c r="Q1053" s="34" t="n">
        <v>1</v>
      </c>
      <c r="R1053" s="33" t="n">
        <v>59</v>
      </c>
      <c r="S1053" s="33" t="n">
        <v>129</v>
      </c>
      <c r="T1053" s="33" t="n">
        <v>56</v>
      </c>
      <c r="U1053" s="11" t="n">
        <f aca="false">IFERROR(YEAR(A1053),"")</f>
        <v>2023</v>
      </c>
      <c r="V1053" s="33" t="n">
        <f aca="false">IFERROR(O1053*B1053,0)</f>
        <v>99731</v>
      </c>
      <c r="W1053" s="32" t="n">
        <f aca="false">IFERROR(N1053*B1053,0)</f>
        <v>1781</v>
      </c>
      <c r="X1053" s="11" t="n">
        <f aca="false">IF(OR(ISNUMBER(SEARCH("live nation",L1053)),ISNUMBER(SEARCH("ocesa",L1053))),1,0)</f>
        <v>1</v>
      </c>
      <c r="Y1053" s="11" t="s">
        <v>49</v>
      </c>
    </row>
    <row r="1054" customFormat="false" ht="15" hidden="false" customHeight="false" outlineLevel="0" collapsed="false">
      <c r="A1054" s="25" t="n">
        <v>44997</v>
      </c>
      <c r="B1054" s="13" t="n">
        <v>1</v>
      </c>
      <c r="C1054" s="26" t="s">
        <v>1036</v>
      </c>
      <c r="D1054" s="26"/>
      <c r="E1054" s="13" t="s">
        <v>1201</v>
      </c>
      <c r="F1054" s="13" t="s">
        <v>1202</v>
      </c>
      <c r="G1054" s="13" t="s">
        <v>281</v>
      </c>
      <c r="H1054" s="13" t="s">
        <v>20</v>
      </c>
      <c r="I1054" s="13" t="s">
        <v>890</v>
      </c>
      <c r="J1054" s="13" t="s">
        <v>121</v>
      </c>
      <c r="K1054" s="13" t="s">
        <v>107</v>
      </c>
      <c r="L1054" s="13" t="s">
        <v>1203</v>
      </c>
      <c r="M1054" s="13" t="s">
        <v>100</v>
      </c>
      <c r="N1054" s="27" t="n">
        <v>606</v>
      </c>
      <c r="O1054" s="28" t="n">
        <v>64107</v>
      </c>
      <c r="P1054" s="27" t="n">
        <v>1166</v>
      </c>
      <c r="Q1054" s="29" t="n">
        <v>0.51</v>
      </c>
      <c r="R1054" s="28" t="n">
        <v>64.5</v>
      </c>
      <c r="S1054" s="28" t="n">
        <v>149.5</v>
      </c>
      <c r="T1054" s="28" t="n">
        <v>105.79</v>
      </c>
      <c r="U1054" s="13" t="n">
        <f aca="false">IFERROR(YEAR(A1054),"")</f>
        <v>2023</v>
      </c>
      <c r="V1054" s="28" t="n">
        <f aca="false">IFERROR(O1054*B1054,0)</f>
        <v>64107</v>
      </c>
      <c r="W1054" s="27" t="n">
        <f aca="false">IFERROR(N1054*B1054,0)</f>
        <v>606</v>
      </c>
      <c r="X1054" s="13" t="n">
        <f aca="false">IF(OR(ISNUMBER(SEARCH("live nation",L1054)),ISNUMBER(SEARCH("ocesa",L1054))),1,0)</f>
        <v>0</v>
      </c>
      <c r="Y1054" s="13" t="s">
        <v>49</v>
      </c>
    </row>
    <row r="1055" customFormat="false" ht="15" hidden="false" customHeight="false" outlineLevel="0" collapsed="false">
      <c r="A1055" s="30" t="n">
        <v>44995</v>
      </c>
      <c r="B1055" s="11" t="n">
        <v>1</v>
      </c>
      <c r="C1055" s="31" t="s">
        <v>1036</v>
      </c>
      <c r="D1055" s="31"/>
      <c r="E1055" s="11" t="s">
        <v>1204</v>
      </c>
      <c r="F1055" s="11" t="s">
        <v>139</v>
      </c>
      <c r="G1055" s="11" t="s">
        <v>139</v>
      </c>
      <c r="H1055" s="11" t="s">
        <v>20</v>
      </c>
      <c r="I1055" s="11" t="s">
        <v>139</v>
      </c>
      <c r="J1055" s="11" t="s">
        <v>106</v>
      </c>
      <c r="K1055" s="11" t="s">
        <v>107</v>
      </c>
      <c r="L1055" s="11" t="s">
        <v>390</v>
      </c>
      <c r="M1055" s="11" t="s">
        <v>100</v>
      </c>
      <c r="N1055" s="32" t="n">
        <v>681</v>
      </c>
      <c r="O1055" s="33" t="n">
        <v>64500</v>
      </c>
      <c r="P1055" s="32" t="n">
        <v>2359</v>
      </c>
      <c r="Q1055" s="34" t="n">
        <v>0.28</v>
      </c>
      <c r="R1055" s="33" t="n">
        <v>60</v>
      </c>
      <c r="S1055" s="33" t="n">
        <v>195</v>
      </c>
      <c r="T1055" s="33" t="n">
        <v>94.71</v>
      </c>
      <c r="U1055" s="11" t="n">
        <f aca="false">IFERROR(YEAR(A1055),"")</f>
        <v>2023</v>
      </c>
      <c r="V1055" s="33" t="n">
        <f aca="false">IFERROR(O1055*B1055,0)</f>
        <v>64500</v>
      </c>
      <c r="W1055" s="32" t="n">
        <f aca="false">IFERROR(N1055*B1055,0)</f>
        <v>681</v>
      </c>
      <c r="X1055" s="11" t="n">
        <f aca="false">IF(OR(ISNUMBER(SEARCH("live nation",L1055)),ISNUMBER(SEARCH("ocesa",L1055))),1,0)</f>
        <v>0</v>
      </c>
      <c r="Y1055" s="11" t="s">
        <v>49</v>
      </c>
    </row>
    <row r="1056" customFormat="false" ht="15" hidden="false" customHeight="false" outlineLevel="0" collapsed="false">
      <c r="A1056" s="25" t="n">
        <v>44992</v>
      </c>
      <c r="B1056" s="13" t="n">
        <v>2</v>
      </c>
      <c r="C1056" s="26" t="s">
        <v>71</v>
      </c>
      <c r="D1056" s="26"/>
      <c r="E1056" s="13" t="s">
        <v>551</v>
      </c>
      <c r="F1056" s="13" t="s">
        <v>552</v>
      </c>
      <c r="G1056" s="13"/>
      <c r="H1056" s="13" t="s">
        <v>26</v>
      </c>
      <c r="I1056" s="13"/>
      <c r="J1056" s="13" t="s">
        <v>97</v>
      </c>
      <c r="K1056" s="13" t="s">
        <v>173</v>
      </c>
      <c r="L1056" s="13" t="s">
        <v>531</v>
      </c>
      <c r="M1056" s="13" t="s">
        <v>100</v>
      </c>
      <c r="N1056" s="27" t="n">
        <v>12686</v>
      </c>
      <c r="O1056" s="28" t="n">
        <v>1376477.97</v>
      </c>
      <c r="P1056" s="27" t="n">
        <v>14950</v>
      </c>
      <c r="Q1056" s="29" t="n">
        <v>0.84</v>
      </c>
      <c r="R1056" s="28" t="n">
        <v>71.09</v>
      </c>
      <c r="S1056" s="28" t="n">
        <v>165.06</v>
      </c>
      <c r="T1056" s="28" t="n">
        <v>108.5</v>
      </c>
      <c r="U1056" s="13" t="n">
        <f aca="false">IFERROR(YEAR(A1056),"")</f>
        <v>2023</v>
      </c>
      <c r="V1056" s="28" t="n">
        <f aca="false">IFERROR(O1056*B1056,0)</f>
        <v>2752955.94</v>
      </c>
      <c r="W1056" s="27" t="n">
        <f aca="false">IFERROR(N1056*B1056,0)</f>
        <v>25372</v>
      </c>
      <c r="X1056" s="13" t="n">
        <f aca="false">IF(OR(ISNUMBER(SEARCH("live nation",L1056)),ISNUMBER(SEARCH("ocesa",L1056))),1,0)</f>
        <v>0</v>
      </c>
      <c r="Y1056" s="13" t="s">
        <v>49</v>
      </c>
    </row>
    <row r="1057" customFormat="false" ht="15" hidden="false" customHeight="false" outlineLevel="0" collapsed="false">
      <c r="A1057" s="30" t="n">
        <v>44989</v>
      </c>
      <c r="B1057" s="11" t="n">
        <v>1</v>
      </c>
      <c r="C1057" s="31" t="s">
        <v>643</v>
      </c>
      <c r="D1057" s="31"/>
      <c r="E1057" s="11" t="s">
        <v>1205</v>
      </c>
      <c r="F1057" s="11" t="s">
        <v>96</v>
      </c>
      <c r="G1057" s="11"/>
      <c r="H1057" s="11" t="s">
        <v>28</v>
      </c>
      <c r="I1057" s="11"/>
      <c r="J1057" s="11" t="s">
        <v>133</v>
      </c>
      <c r="K1057" s="11" t="s">
        <v>98</v>
      </c>
      <c r="L1057" s="11" t="s">
        <v>1066</v>
      </c>
      <c r="M1057" s="11" t="s">
        <v>100</v>
      </c>
      <c r="N1057" s="32" t="n">
        <v>28631</v>
      </c>
      <c r="O1057" s="33" t="n">
        <v>8578564.81</v>
      </c>
      <c r="P1057" s="32" t="n">
        <v>32475</v>
      </c>
      <c r="Q1057" s="34" t="n">
        <v>0.88</v>
      </c>
      <c r="R1057" s="33" t="n">
        <v>66.33</v>
      </c>
      <c r="S1057" s="33" t="n">
        <v>472.44</v>
      </c>
      <c r="T1057" s="33" t="n">
        <v>299.63</v>
      </c>
      <c r="U1057" s="11" t="n">
        <f aca="false">IFERROR(YEAR(A1057),"")</f>
        <v>2023</v>
      </c>
      <c r="V1057" s="33" t="n">
        <f aca="false">IFERROR(O1057*B1057,0)</f>
        <v>8578564.81</v>
      </c>
      <c r="W1057" s="32" t="n">
        <f aca="false">IFERROR(N1057*B1057,0)</f>
        <v>28631</v>
      </c>
      <c r="X1057" s="11" t="n">
        <f aca="false">IF(OR(ISNUMBER(SEARCH("live nation",L1057)),ISNUMBER(SEARCH("ocesa",L1057))),1,0)</f>
        <v>0</v>
      </c>
      <c r="Y1057" s="11" t="s">
        <v>49</v>
      </c>
    </row>
    <row r="1058" customFormat="false" ht="15" hidden="false" customHeight="false" outlineLevel="0" collapsed="false">
      <c r="A1058" s="25" t="n">
        <v>44985</v>
      </c>
      <c r="B1058" s="13" t="n">
        <v>1</v>
      </c>
      <c r="C1058" s="26" t="s">
        <v>71</v>
      </c>
      <c r="D1058" s="26"/>
      <c r="E1058" s="13" t="s">
        <v>1206</v>
      </c>
      <c r="F1058" s="13" t="s">
        <v>609</v>
      </c>
      <c r="G1058" s="13"/>
      <c r="H1058" s="13" t="s">
        <v>610</v>
      </c>
      <c r="I1058" s="13"/>
      <c r="J1058" s="13" t="s">
        <v>97</v>
      </c>
      <c r="K1058" s="13" t="s">
        <v>173</v>
      </c>
      <c r="L1058" s="13" t="s">
        <v>1207</v>
      </c>
      <c r="M1058" s="13" t="s">
        <v>100</v>
      </c>
      <c r="N1058" s="27" t="n">
        <v>9905</v>
      </c>
      <c r="O1058" s="28" t="n">
        <v>1038478.76</v>
      </c>
      <c r="P1058" s="27" t="n">
        <v>14873</v>
      </c>
      <c r="Q1058" s="29" t="n">
        <v>0.66</v>
      </c>
      <c r="R1058" s="28" t="n">
        <v>62.48</v>
      </c>
      <c r="S1058" s="28" t="n">
        <v>147.21</v>
      </c>
      <c r="T1058" s="28" t="n">
        <v>104.84</v>
      </c>
      <c r="U1058" s="13" t="n">
        <f aca="false">IFERROR(YEAR(A1058),"")</f>
        <v>2023</v>
      </c>
      <c r="V1058" s="28" t="n">
        <f aca="false">IFERROR(O1058*B1058,0)</f>
        <v>1038478.76</v>
      </c>
      <c r="W1058" s="27" t="n">
        <f aca="false">IFERROR(N1058*B1058,0)</f>
        <v>9905</v>
      </c>
      <c r="X1058" s="13" t="n">
        <f aca="false">IF(OR(ISNUMBER(SEARCH("live nation",L1058)),ISNUMBER(SEARCH("ocesa",L1058))),1,0)</f>
        <v>0</v>
      </c>
      <c r="Y1058" s="13" t="s">
        <v>49</v>
      </c>
    </row>
    <row r="1059" customFormat="false" ht="15" hidden="false" customHeight="false" outlineLevel="0" collapsed="false">
      <c r="A1059" s="30" t="n">
        <v>44980</v>
      </c>
      <c r="B1059" s="11" t="n">
        <v>2</v>
      </c>
      <c r="C1059" s="31" t="s">
        <v>711</v>
      </c>
      <c r="D1059" s="31"/>
      <c r="E1059" s="11" t="s">
        <v>1190</v>
      </c>
      <c r="F1059" s="11" t="s">
        <v>550</v>
      </c>
      <c r="G1059" s="11" t="s">
        <v>328</v>
      </c>
      <c r="H1059" s="11" t="s">
        <v>128</v>
      </c>
      <c r="I1059" s="11"/>
      <c r="J1059" s="11" t="s">
        <v>97</v>
      </c>
      <c r="K1059" s="11" t="s">
        <v>129</v>
      </c>
      <c r="L1059" s="11" t="s">
        <v>1208</v>
      </c>
      <c r="M1059" s="11" t="s">
        <v>100</v>
      </c>
      <c r="N1059" s="32" t="n">
        <v>6533</v>
      </c>
      <c r="O1059" s="33" t="n">
        <v>1650741.59</v>
      </c>
      <c r="P1059" s="32" t="n">
        <v>6533</v>
      </c>
      <c r="Q1059" s="34" t="n">
        <v>1</v>
      </c>
      <c r="R1059" s="33" t="n">
        <v>94.66</v>
      </c>
      <c r="S1059" s="33" t="n">
        <v>323.93</v>
      </c>
      <c r="T1059" s="33" t="n">
        <v>252.68</v>
      </c>
      <c r="U1059" s="11" t="n">
        <f aca="false">IFERROR(YEAR(A1059),"")</f>
        <v>2023</v>
      </c>
      <c r="V1059" s="33" t="n">
        <f aca="false">IFERROR(O1059*B1059,0)</f>
        <v>3301483.18</v>
      </c>
      <c r="W1059" s="32" t="n">
        <f aca="false">IFERROR(N1059*B1059,0)</f>
        <v>13066</v>
      </c>
      <c r="X1059" s="11" t="n">
        <f aca="false">IF(OR(ISNUMBER(SEARCH("live nation",L1059)),ISNUMBER(SEARCH("ocesa",L1059))),1,0)</f>
        <v>0</v>
      </c>
      <c r="Y1059" s="11" t="s">
        <v>49</v>
      </c>
    </row>
    <row r="1060" customFormat="false" ht="15" hidden="false" customHeight="false" outlineLevel="0" collapsed="false">
      <c r="A1060" s="25" t="n">
        <v>44978</v>
      </c>
      <c r="B1060" s="13" t="n">
        <v>2</v>
      </c>
      <c r="C1060" s="26" t="s">
        <v>66</v>
      </c>
      <c r="D1060" s="26"/>
      <c r="E1060" s="13" t="s">
        <v>95</v>
      </c>
      <c r="F1060" s="13" t="s">
        <v>96</v>
      </c>
      <c r="G1060" s="13"/>
      <c r="H1060" s="13" t="s">
        <v>28</v>
      </c>
      <c r="I1060" s="13"/>
      <c r="J1060" s="13" t="s">
        <v>97</v>
      </c>
      <c r="K1060" s="13" t="s">
        <v>98</v>
      </c>
      <c r="L1060" s="13" t="s">
        <v>177</v>
      </c>
      <c r="M1060" s="13" t="s">
        <v>100</v>
      </c>
      <c r="N1060" s="27" t="n">
        <v>11948</v>
      </c>
      <c r="O1060" s="28" t="n">
        <v>1403346.39</v>
      </c>
      <c r="P1060" s="27" t="n">
        <v>12342</v>
      </c>
      <c r="Q1060" s="29" t="n">
        <v>0.96</v>
      </c>
      <c r="R1060" s="28" t="n">
        <v>77.2</v>
      </c>
      <c r="S1060" s="28" t="n">
        <v>147.44</v>
      </c>
      <c r="T1060" s="28" t="n">
        <v>117.45</v>
      </c>
      <c r="U1060" s="13" t="n">
        <f aca="false">IFERROR(YEAR(A1060),"")</f>
        <v>2023</v>
      </c>
      <c r="V1060" s="28" t="n">
        <f aca="false">IFERROR(O1060*B1060,0)</f>
        <v>2806692.78</v>
      </c>
      <c r="W1060" s="27" t="n">
        <f aca="false">IFERROR(N1060*B1060,0)</f>
        <v>23896</v>
      </c>
      <c r="X1060" s="13" t="n">
        <f aca="false">IF(OR(ISNUMBER(SEARCH("live nation",L1060)),ISNUMBER(SEARCH("ocesa",L1060))),1,0)</f>
        <v>1</v>
      </c>
      <c r="Y1060" s="13" t="s">
        <v>49</v>
      </c>
    </row>
    <row r="1061" customFormat="false" ht="15" hidden="false" customHeight="false" outlineLevel="0" collapsed="false">
      <c r="A1061" s="30" t="n">
        <v>44975</v>
      </c>
      <c r="B1061" s="11" t="n">
        <v>1</v>
      </c>
      <c r="C1061" s="31" t="s">
        <v>71</v>
      </c>
      <c r="D1061" s="31"/>
      <c r="E1061" s="11" t="s">
        <v>1209</v>
      </c>
      <c r="F1061" s="11" t="s">
        <v>557</v>
      </c>
      <c r="G1061" s="11"/>
      <c r="H1061" s="11" t="s">
        <v>558</v>
      </c>
      <c r="I1061" s="11"/>
      <c r="J1061" s="11" t="s">
        <v>97</v>
      </c>
      <c r="K1061" s="11" t="s">
        <v>173</v>
      </c>
      <c r="L1061" s="11" t="s">
        <v>453</v>
      </c>
      <c r="M1061" s="11" t="s">
        <v>100</v>
      </c>
      <c r="N1061" s="32" t="n">
        <v>10179</v>
      </c>
      <c r="O1061" s="33" t="n">
        <v>1292522.61</v>
      </c>
      <c r="P1061" s="32" t="n">
        <v>12188</v>
      </c>
      <c r="Q1061" s="34" t="n">
        <v>0.83</v>
      </c>
      <c r="R1061" s="33" t="n">
        <v>60.55</v>
      </c>
      <c r="S1061" s="33" t="n">
        <v>60.55</v>
      </c>
      <c r="T1061" s="33" t="n">
        <v>126.98</v>
      </c>
      <c r="U1061" s="11" t="n">
        <f aca="false">IFERROR(YEAR(A1061),"")</f>
        <v>2023</v>
      </c>
      <c r="V1061" s="33" t="n">
        <f aca="false">IFERROR(O1061*B1061,0)</f>
        <v>1292522.61</v>
      </c>
      <c r="W1061" s="32" t="n">
        <f aca="false">IFERROR(N1061*B1061,0)</f>
        <v>10179</v>
      </c>
      <c r="X1061" s="11" t="n">
        <f aca="false">IF(OR(ISNUMBER(SEARCH("live nation",L1061)),ISNUMBER(SEARCH("ocesa",L1061))),1,0)</f>
        <v>0</v>
      </c>
      <c r="Y1061" s="11" t="s">
        <v>49</v>
      </c>
    </row>
    <row r="1062" customFormat="false" ht="15" hidden="false" customHeight="false" outlineLevel="0" collapsed="false">
      <c r="A1062" s="25" t="n">
        <v>44974</v>
      </c>
      <c r="B1062" s="13" t="n">
        <v>2</v>
      </c>
      <c r="C1062" s="26" t="s">
        <v>711</v>
      </c>
      <c r="D1062" s="26"/>
      <c r="E1062" s="13" t="s">
        <v>196</v>
      </c>
      <c r="F1062" s="13" t="s">
        <v>197</v>
      </c>
      <c r="G1062" s="13" t="s">
        <v>139</v>
      </c>
      <c r="H1062" s="13" t="s">
        <v>20</v>
      </c>
      <c r="I1062" s="13" t="s">
        <v>139</v>
      </c>
      <c r="J1062" s="13" t="s">
        <v>97</v>
      </c>
      <c r="K1062" s="13" t="s">
        <v>107</v>
      </c>
      <c r="L1062" s="13" t="s">
        <v>322</v>
      </c>
      <c r="M1062" s="13" t="s">
        <v>100</v>
      </c>
      <c r="N1062" s="27" t="n">
        <v>12444</v>
      </c>
      <c r="O1062" s="28" t="n">
        <v>3344031</v>
      </c>
      <c r="P1062" s="27" t="n">
        <v>12445</v>
      </c>
      <c r="Q1062" s="29" t="n">
        <v>0.99</v>
      </c>
      <c r="R1062" s="28" t="n">
        <v>98</v>
      </c>
      <c r="S1062" s="28" t="n">
        <v>398</v>
      </c>
      <c r="T1062" s="28" t="n">
        <v>268.72</v>
      </c>
      <c r="U1062" s="13" t="n">
        <f aca="false">IFERROR(YEAR(A1062),"")</f>
        <v>2023</v>
      </c>
      <c r="V1062" s="28" t="n">
        <f aca="false">IFERROR(O1062*B1062,0)</f>
        <v>6688062</v>
      </c>
      <c r="W1062" s="27" t="n">
        <f aca="false">IFERROR(N1062*B1062,0)</f>
        <v>24888</v>
      </c>
      <c r="X1062" s="13" t="n">
        <f aca="false">IF(OR(ISNUMBER(SEARCH("live nation",L1062)),ISNUMBER(SEARCH("ocesa",L1062))),1,0)</f>
        <v>0</v>
      </c>
      <c r="Y1062" s="13" t="s">
        <v>49</v>
      </c>
    </row>
    <row r="1063" customFormat="false" ht="15" hidden="false" customHeight="false" outlineLevel="0" collapsed="false">
      <c r="A1063" s="30" t="n">
        <v>44973</v>
      </c>
      <c r="B1063" s="11" t="n">
        <v>1</v>
      </c>
      <c r="C1063" s="31" t="s">
        <v>380</v>
      </c>
      <c r="D1063" s="31"/>
      <c r="E1063" s="11" t="s">
        <v>1082</v>
      </c>
      <c r="F1063" s="11" t="s">
        <v>374</v>
      </c>
      <c r="G1063" s="11" t="s">
        <v>143</v>
      </c>
      <c r="H1063" s="11" t="s">
        <v>20</v>
      </c>
      <c r="I1063" s="11" t="s">
        <v>375</v>
      </c>
      <c r="J1063" s="11" t="s">
        <v>121</v>
      </c>
      <c r="K1063" s="11" t="s">
        <v>107</v>
      </c>
      <c r="L1063" s="11" t="s">
        <v>177</v>
      </c>
      <c r="M1063" s="11" t="s">
        <v>100</v>
      </c>
      <c r="N1063" s="32" t="n">
        <v>2724</v>
      </c>
      <c r="O1063" s="33" t="n">
        <v>248937.85</v>
      </c>
      <c r="P1063" s="32" t="n">
        <v>3420</v>
      </c>
      <c r="Q1063" s="34" t="n">
        <v>0.79</v>
      </c>
      <c r="R1063" s="33" t="n">
        <v>65.45</v>
      </c>
      <c r="S1063" s="33" t="n">
        <v>155.45</v>
      </c>
      <c r="T1063" s="33" t="n">
        <v>91.39</v>
      </c>
      <c r="U1063" s="11" t="n">
        <f aca="false">IFERROR(YEAR(A1063),"")</f>
        <v>2023</v>
      </c>
      <c r="V1063" s="33" t="n">
        <f aca="false">IFERROR(O1063*B1063,0)</f>
        <v>248937.85</v>
      </c>
      <c r="W1063" s="32" t="n">
        <f aca="false">IFERROR(N1063*B1063,0)</f>
        <v>2724</v>
      </c>
      <c r="X1063" s="11" t="n">
        <f aca="false">IF(OR(ISNUMBER(SEARCH("live nation",L1063)),ISNUMBER(SEARCH("ocesa",L1063))),1,0)</f>
        <v>1</v>
      </c>
      <c r="Y1063" s="11" t="s">
        <v>49</v>
      </c>
    </row>
    <row r="1064" customFormat="false" ht="15" hidden="false" customHeight="false" outlineLevel="0" collapsed="false">
      <c r="A1064" s="25" t="n">
        <v>44971</v>
      </c>
      <c r="B1064" s="13" t="n">
        <v>1</v>
      </c>
      <c r="C1064" s="26" t="s">
        <v>380</v>
      </c>
      <c r="D1064" s="26"/>
      <c r="E1064" s="13" t="s">
        <v>1210</v>
      </c>
      <c r="F1064" s="13" t="s">
        <v>176</v>
      </c>
      <c r="G1064" s="13" t="s">
        <v>143</v>
      </c>
      <c r="H1064" s="13" t="s">
        <v>20</v>
      </c>
      <c r="I1064" s="13" t="s">
        <v>176</v>
      </c>
      <c r="J1064" s="13" t="s">
        <v>121</v>
      </c>
      <c r="K1064" s="13" t="s">
        <v>107</v>
      </c>
      <c r="L1064" s="13" t="s">
        <v>1211</v>
      </c>
      <c r="M1064" s="13" t="s">
        <v>100</v>
      </c>
      <c r="N1064" s="27" t="n">
        <v>1852</v>
      </c>
      <c r="O1064" s="28" t="n">
        <v>214838</v>
      </c>
      <c r="P1064" s="27" t="n">
        <v>3046</v>
      </c>
      <c r="Q1064" s="29" t="n">
        <v>0.6</v>
      </c>
      <c r="R1064" s="28" t="n">
        <v>89</v>
      </c>
      <c r="S1064" s="28" t="n">
        <v>165</v>
      </c>
      <c r="T1064" s="28" t="n">
        <v>116</v>
      </c>
      <c r="U1064" s="13" t="n">
        <f aca="false">IFERROR(YEAR(A1064),"")</f>
        <v>2023</v>
      </c>
      <c r="V1064" s="28" t="n">
        <f aca="false">IFERROR(O1064*B1064,0)</f>
        <v>214838</v>
      </c>
      <c r="W1064" s="27" t="n">
        <f aca="false">IFERROR(N1064*B1064,0)</f>
        <v>1852</v>
      </c>
      <c r="X1064" s="13" t="n">
        <f aca="false">IF(OR(ISNUMBER(SEARCH("live nation",L1064)),ISNUMBER(SEARCH("ocesa",L1064))),1,0)</f>
        <v>0</v>
      </c>
      <c r="Y1064" s="13" t="s">
        <v>49</v>
      </c>
    </row>
    <row r="1065" customFormat="false" ht="15" hidden="false" customHeight="false" outlineLevel="0" collapsed="false">
      <c r="A1065" s="30" t="n">
        <v>44971</v>
      </c>
      <c r="B1065" s="11" t="n">
        <v>2</v>
      </c>
      <c r="C1065" s="31" t="s">
        <v>484</v>
      </c>
      <c r="D1065" s="31"/>
      <c r="E1065" s="11" t="s">
        <v>460</v>
      </c>
      <c r="F1065" s="11" t="s">
        <v>132</v>
      </c>
      <c r="G1065" s="11"/>
      <c r="H1065" s="11" t="s">
        <v>23</v>
      </c>
      <c r="I1065" s="11"/>
      <c r="J1065" s="11" t="s">
        <v>97</v>
      </c>
      <c r="K1065" s="11" t="s">
        <v>134</v>
      </c>
      <c r="L1065" s="11" t="s">
        <v>1212</v>
      </c>
      <c r="M1065" s="11" t="s">
        <v>251</v>
      </c>
      <c r="N1065" s="32" t="n">
        <v>14818</v>
      </c>
      <c r="O1065" s="33" t="n">
        <v>1485676.61</v>
      </c>
      <c r="P1065" s="32" t="n">
        <v>17249</v>
      </c>
      <c r="Q1065" s="34" t="n">
        <v>0.85</v>
      </c>
      <c r="R1065" s="33" t="n">
        <v>53.34</v>
      </c>
      <c r="S1065" s="33" t="n">
        <v>753.78</v>
      </c>
      <c r="T1065" s="33" t="n">
        <v>100.26</v>
      </c>
      <c r="U1065" s="11" t="n">
        <f aca="false">IFERROR(YEAR(A1065),"")</f>
        <v>2023</v>
      </c>
      <c r="V1065" s="33" t="n">
        <f aca="false">IFERROR(O1065*B1065,0)</f>
        <v>2971353.22</v>
      </c>
      <c r="W1065" s="32" t="n">
        <f aca="false">IFERROR(N1065*B1065,0)</f>
        <v>29636</v>
      </c>
      <c r="X1065" s="11" t="n">
        <f aca="false">IF(OR(ISNUMBER(SEARCH("live nation",L1065)),ISNUMBER(SEARCH("ocesa",L1065))),1,0)</f>
        <v>0</v>
      </c>
      <c r="Y1065" s="11" t="s">
        <v>49</v>
      </c>
    </row>
    <row r="1066" customFormat="false" ht="15" hidden="false" customHeight="false" outlineLevel="0" collapsed="false">
      <c r="A1066" s="25" t="n">
        <v>44969</v>
      </c>
      <c r="B1066" s="13" t="n">
        <v>1</v>
      </c>
      <c r="C1066" s="26" t="s">
        <v>380</v>
      </c>
      <c r="D1066" s="26"/>
      <c r="E1066" s="13" t="s">
        <v>1213</v>
      </c>
      <c r="F1066" s="13" t="s">
        <v>953</v>
      </c>
      <c r="G1066" s="13" t="s">
        <v>954</v>
      </c>
      <c r="H1066" s="13" t="s">
        <v>20</v>
      </c>
      <c r="I1066" s="13" t="s">
        <v>953</v>
      </c>
      <c r="J1066" s="13" t="s">
        <v>121</v>
      </c>
      <c r="K1066" s="13" t="s">
        <v>107</v>
      </c>
      <c r="L1066" s="13" t="s">
        <v>1214</v>
      </c>
      <c r="M1066" s="13" t="s">
        <v>100</v>
      </c>
      <c r="N1066" s="27" t="n">
        <v>3434</v>
      </c>
      <c r="O1066" s="28" t="n">
        <v>361856.4</v>
      </c>
      <c r="P1066" s="27" t="n">
        <v>4292</v>
      </c>
      <c r="Q1066" s="29" t="n">
        <v>0.8</v>
      </c>
      <c r="R1066" s="28" t="n">
        <v>60</v>
      </c>
      <c r="S1066" s="28" t="n">
        <v>60</v>
      </c>
      <c r="T1066" s="28" t="n">
        <v>105.37</v>
      </c>
      <c r="U1066" s="13" t="n">
        <f aca="false">IFERROR(YEAR(A1066),"")</f>
        <v>2023</v>
      </c>
      <c r="V1066" s="28" t="n">
        <f aca="false">IFERROR(O1066*B1066,0)</f>
        <v>361856.4</v>
      </c>
      <c r="W1066" s="27" t="n">
        <f aca="false">IFERROR(N1066*B1066,0)</f>
        <v>3434</v>
      </c>
      <c r="X1066" s="13" t="n">
        <f aca="false">IF(OR(ISNUMBER(SEARCH("live nation",L1066)),ISNUMBER(SEARCH("ocesa",L1066))),1,0)</f>
        <v>0</v>
      </c>
      <c r="Y1066" s="13" t="s">
        <v>49</v>
      </c>
    </row>
    <row r="1067" customFormat="false" ht="15" hidden="false" customHeight="false" outlineLevel="0" collapsed="false">
      <c r="A1067" s="30" t="n">
        <v>44968</v>
      </c>
      <c r="B1067" s="11" t="n">
        <v>1</v>
      </c>
      <c r="C1067" s="31" t="s">
        <v>711</v>
      </c>
      <c r="D1067" s="31"/>
      <c r="E1067" s="11" t="s">
        <v>305</v>
      </c>
      <c r="F1067" s="11" t="s">
        <v>306</v>
      </c>
      <c r="G1067" s="11" t="s">
        <v>188</v>
      </c>
      <c r="H1067" s="11" t="s">
        <v>20</v>
      </c>
      <c r="I1067" s="11" t="s">
        <v>307</v>
      </c>
      <c r="J1067" s="11" t="s">
        <v>97</v>
      </c>
      <c r="K1067" s="11" t="s">
        <v>107</v>
      </c>
      <c r="L1067" s="11" t="s">
        <v>308</v>
      </c>
      <c r="M1067" s="11" t="s">
        <v>100</v>
      </c>
      <c r="N1067" s="32" t="n">
        <v>11536</v>
      </c>
      <c r="O1067" s="33" t="n">
        <v>3019116.25</v>
      </c>
      <c r="P1067" s="32" t="n">
        <v>11742</v>
      </c>
      <c r="Q1067" s="34" t="n">
        <v>0.98</v>
      </c>
      <c r="R1067" s="33" t="n">
        <v>153.5</v>
      </c>
      <c r="S1067" s="33" t="n">
        <v>403.5</v>
      </c>
      <c r="T1067" s="33" t="n">
        <v>261.71</v>
      </c>
      <c r="U1067" s="11" t="n">
        <f aca="false">IFERROR(YEAR(A1067),"")</f>
        <v>2023</v>
      </c>
      <c r="V1067" s="33" t="n">
        <f aca="false">IFERROR(O1067*B1067,0)</f>
        <v>3019116.25</v>
      </c>
      <c r="W1067" s="32" t="n">
        <f aca="false">IFERROR(N1067*B1067,0)</f>
        <v>11536</v>
      </c>
      <c r="X1067" s="11" t="n">
        <f aca="false">IF(OR(ISNUMBER(SEARCH("live nation",L1067)),ISNUMBER(SEARCH("ocesa",L1067))),1,0)</f>
        <v>0</v>
      </c>
      <c r="Y1067" s="11" t="s">
        <v>49</v>
      </c>
    </row>
    <row r="1068" customFormat="false" ht="15" hidden="false" customHeight="false" outlineLevel="0" collapsed="false">
      <c r="A1068" s="25" t="n">
        <v>44968</v>
      </c>
      <c r="B1068" s="13" t="n">
        <v>1</v>
      </c>
      <c r="C1068" s="26" t="s">
        <v>484</v>
      </c>
      <c r="D1068" s="26"/>
      <c r="E1068" s="13" t="s">
        <v>1215</v>
      </c>
      <c r="F1068" s="13" t="s">
        <v>757</v>
      </c>
      <c r="G1068" s="13"/>
      <c r="H1068" s="13" t="s">
        <v>758</v>
      </c>
      <c r="I1068" s="13"/>
      <c r="J1068" s="13" t="s">
        <v>133</v>
      </c>
      <c r="K1068" s="13" t="s">
        <v>759</v>
      </c>
      <c r="L1068" s="13" t="s">
        <v>1014</v>
      </c>
      <c r="M1068" s="13" t="s">
        <v>251</v>
      </c>
      <c r="N1068" s="27" t="n">
        <v>14250</v>
      </c>
      <c r="O1068" s="28" t="n">
        <v>1211576.92</v>
      </c>
      <c r="P1068" s="27" t="n">
        <v>15000</v>
      </c>
      <c r="Q1068" s="29" t="n">
        <v>0.95</v>
      </c>
      <c r="R1068" s="28" t="n">
        <v>42.97</v>
      </c>
      <c r="S1068" s="28" t="n">
        <v>119.79</v>
      </c>
      <c r="T1068" s="28" t="n">
        <v>85.02</v>
      </c>
      <c r="U1068" s="13" t="n">
        <f aca="false">IFERROR(YEAR(A1068),"")</f>
        <v>2023</v>
      </c>
      <c r="V1068" s="28" t="n">
        <f aca="false">IFERROR(O1068*B1068,0)</f>
        <v>1211576.92</v>
      </c>
      <c r="W1068" s="27" t="n">
        <f aca="false">IFERROR(N1068*B1068,0)</f>
        <v>14250</v>
      </c>
      <c r="X1068" s="13" t="n">
        <f aca="false">IF(OR(ISNUMBER(SEARCH("live nation",L1068)),ISNUMBER(SEARCH("ocesa",L1068))),1,0)</f>
        <v>0</v>
      </c>
      <c r="Y1068" s="13" t="s">
        <v>49</v>
      </c>
    </row>
    <row r="1069" customFormat="false" ht="15" hidden="false" customHeight="false" outlineLevel="0" collapsed="false">
      <c r="A1069" s="30" t="n">
        <v>44967</v>
      </c>
      <c r="B1069" s="11" t="n">
        <v>1</v>
      </c>
      <c r="C1069" s="31" t="s">
        <v>587</v>
      </c>
      <c r="D1069" s="31"/>
      <c r="E1069" s="11" t="s">
        <v>959</v>
      </c>
      <c r="F1069" s="11" t="s">
        <v>455</v>
      </c>
      <c r="G1069" s="11"/>
      <c r="H1069" s="11" t="s">
        <v>350</v>
      </c>
      <c r="I1069" s="11"/>
      <c r="J1069" s="11" t="s">
        <v>121</v>
      </c>
      <c r="K1069" s="11" t="s">
        <v>173</v>
      </c>
      <c r="L1069" s="11" t="s">
        <v>1216</v>
      </c>
      <c r="M1069" s="11" t="s">
        <v>100</v>
      </c>
      <c r="N1069" s="32" t="n">
        <v>1400</v>
      </c>
      <c r="O1069" s="33" t="n">
        <v>60026.39</v>
      </c>
      <c r="P1069" s="32" t="n">
        <v>1400</v>
      </c>
      <c r="Q1069" s="34" t="n">
        <v>1</v>
      </c>
      <c r="R1069" s="33" t="n">
        <v>42.88</v>
      </c>
      <c r="S1069" s="33" t="n">
        <v>42.88</v>
      </c>
      <c r="T1069" s="33" t="n">
        <v>42.88</v>
      </c>
      <c r="U1069" s="11" t="n">
        <f aca="false">IFERROR(YEAR(A1069),"")</f>
        <v>2023</v>
      </c>
      <c r="V1069" s="33" t="n">
        <f aca="false">IFERROR(O1069*B1069,0)</f>
        <v>60026.39</v>
      </c>
      <c r="W1069" s="32" t="n">
        <f aca="false">IFERROR(N1069*B1069,0)</f>
        <v>1400</v>
      </c>
      <c r="X1069" s="11" t="n">
        <f aca="false">IF(OR(ISNUMBER(SEARCH("live nation",L1069)),ISNUMBER(SEARCH("ocesa",L1069))),1,0)</f>
        <v>0</v>
      </c>
      <c r="Y1069" s="11" t="s">
        <v>49</v>
      </c>
    </row>
    <row r="1070" customFormat="false" ht="15" hidden="false" customHeight="false" outlineLevel="0" collapsed="false">
      <c r="A1070" s="25" t="n">
        <v>44966</v>
      </c>
      <c r="B1070" s="13" t="n">
        <v>1</v>
      </c>
      <c r="C1070" s="26" t="s">
        <v>484</v>
      </c>
      <c r="D1070" s="26"/>
      <c r="E1070" s="13" t="s">
        <v>1188</v>
      </c>
      <c r="F1070" s="13" t="s">
        <v>582</v>
      </c>
      <c r="G1070" s="13"/>
      <c r="H1070" s="13" t="s">
        <v>583</v>
      </c>
      <c r="I1070" s="13"/>
      <c r="J1070" s="13" t="s">
        <v>121</v>
      </c>
      <c r="K1070" s="13" t="s">
        <v>584</v>
      </c>
      <c r="L1070" s="13" t="s">
        <v>1217</v>
      </c>
      <c r="M1070" s="13" t="s">
        <v>251</v>
      </c>
      <c r="N1070" s="27" t="n">
        <v>4312</v>
      </c>
      <c r="O1070" s="28" t="n">
        <v>429690.61</v>
      </c>
      <c r="P1070" s="27" t="n">
        <v>7173</v>
      </c>
      <c r="Q1070" s="29" t="n">
        <v>0.6</v>
      </c>
      <c r="R1070" s="28" t="n">
        <v>86.52</v>
      </c>
      <c r="S1070" s="28" t="n">
        <v>173.05</v>
      </c>
      <c r="T1070" s="28" t="n">
        <v>99.65</v>
      </c>
      <c r="U1070" s="13" t="n">
        <f aca="false">IFERROR(YEAR(A1070),"")</f>
        <v>2023</v>
      </c>
      <c r="V1070" s="28" t="n">
        <f aca="false">IFERROR(O1070*B1070,0)</f>
        <v>429690.61</v>
      </c>
      <c r="W1070" s="27" t="n">
        <f aca="false">IFERROR(N1070*B1070,0)</f>
        <v>4312</v>
      </c>
      <c r="X1070" s="13" t="n">
        <f aca="false">IF(OR(ISNUMBER(SEARCH("live nation",L1070)),ISNUMBER(SEARCH("ocesa",L1070))),1,0)</f>
        <v>0</v>
      </c>
      <c r="Y1070" s="13" t="s">
        <v>49</v>
      </c>
    </row>
    <row r="1071" customFormat="false" ht="15" hidden="false" customHeight="false" outlineLevel="0" collapsed="false">
      <c r="A1071" s="30" t="n">
        <v>44965</v>
      </c>
      <c r="B1071" s="11" t="n">
        <v>1</v>
      </c>
      <c r="C1071" s="31" t="s">
        <v>380</v>
      </c>
      <c r="D1071" s="31"/>
      <c r="E1071" s="11" t="s">
        <v>1085</v>
      </c>
      <c r="F1071" s="11" t="s">
        <v>228</v>
      </c>
      <c r="G1071" s="11" t="s">
        <v>229</v>
      </c>
      <c r="H1071" s="11" t="s">
        <v>20</v>
      </c>
      <c r="I1071" s="11" t="s">
        <v>190</v>
      </c>
      <c r="J1071" s="11" t="s">
        <v>121</v>
      </c>
      <c r="K1071" s="11" t="s">
        <v>107</v>
      </c>
      <c r="L1071" s="11" t="s">
        <v>1144</v>
      </c>
      <c r="M1071" s="11" t="s">
        <v>100</v>
      </c>
      <c r="N1071" s="32" t="n">
        <v>2836</v>
      </c>
      <c r="O1071" s="33" t="n">
        <v>328488</v>
      </c>
      <c r="P1071" s="32" t="n">
        <v>2836</v>
      </c>
      <c r="Q1071" s="34" t="n">
        <v>1</v>
      </c>
      <c r="R1071" s="33" t="n">
        <v>69</v>
      </c>
      <c r="S1071" s="33" t="n">
        <v>179</v>
      </c>
      <c r="T1071" s="33" t="n">
        <v>115.83</v>
      </c>
      <c r="U1071" s="11" t="n">
        <f aca="false">IFERROR(YEAR(A1071),"")</f>
        <v>2023</v>
      </c>
      <c r="V1071" s="33" t="n">
        <f aca="false">IFERROR(O1071*B1071,0)</f>
        <v>328488</v>
      </c>
      <c r="W1071" s="32" t="n">
        <f aca="false">IFERROR(N1071*B1071,0)</f>
        <v>2836</v>
      </c>
      <c r="X1071" s="11" t="n">
        <f aca="false">IF(OR(ISNUMBER(SEARCH("live nation",L1071)),ISNUMBER(SEARCH("ocesa",L1071))),1,0)</f>
        <v>1</v>
      </c>
      <c r="Y1071" s="11" t="s">
        <v>49</v>
      </c>
    </row>
    <row r="1072" customFormat="false" ht="15" hidden="false" customHeight="false" outlineLevel="0" collapsed="false">
      <c r="A1072" s="25" t="n">
        <v>44964</v>
      </c>
      <c r="B1072" s="13" t="n">
        <v>1</v>
      </c>
      <c r="C1072" s="26" t="s">
        <v>711</v>
      </c>
      <c r="D1072" s="26"/>
      <c r="E1072" s="13" t="s">
        <v>1218</v>
      </c>
      <c r="F1072" s="13" t="s">
        <v>404</v>
      </c>
      <c r="G1072" s="13" t="s">
        <v>202</v>
      </c>
      <c r="H1072" s="13" t="s">
        <v>20</v>
      </c>
      <c r="I1072" s="13" t="s">
        <v>232</v>
      </c>
      <c r="J1072" s="13" t="s">
        <v>97</v>
      </c>
      <c r="K1072" s="13" t="s">
        <v>107</v>
      </c>
      <c r="L1072" s="13" t="s">
        <v>322</v>
      </c>
      <c r="M1072" s="13" t="s">
        <v>100</v>
      </c>
      <c r="N1072" s="27" t="n">
        <v>10767</v>
      </c>
      <c r="O1072" s="28" t="n">
        <v>3518496</v>
      </c>
      <c r="P1072" s="27" t="n">
        <v>11600</v>
      </c>
      <c r="Q1072" s="29" t="n">
        <v>0.92</v>
      </c>
      <c r="R1072" s="28" t="n">
        <v>188</v>
      </c>
      <c r="S1072" s="28" t="n">
        <v>448</v>
      </c>
      <c r="T1072" s="28" t="n">
        <v>326.79</v>
      </c>
      <c r="U1072" s="13" t="n">
        <f aca="false">IFERROR(YEAR(A1072),"")</f>
        <v>2023</v>
      </c>
      <c r="V1072" s="28" t="n">
        <f aca="false">IFERROR(O1072*B1072,0)</f>
        <v>3518496</v>
      </c>
      <c r="W1072" s="27" t="n">
        <f aca="false">IFERROR(N1072*B1072,0)</f>
        <v>10767</v>
      </c>
      <c r="X1072" s="13" t="n">
        <f aca="false">IF(OR(ISNUMBER(SEARCH("live nation",L1072)),ISNUMBER(SEARCH("ocesa",L1072))),1,0)</f>
        <v>0</v>
      </c>
      <c r="Y1072" s="13" t="s">
        <v>49</v>
      </c>
    </row>
    <row r="1073" customFormat="false" ht="15" hidden="false" customHeight="false" outlineLevel="0" collapsed="false">
      <c r="A1073" s="30" t="n">
        <v>44964</v>
      </c>
      <c r="B1073" s="11" t="n">
        <v>1</v>
      </c>
      <c r="C1073" s="31" t="s">
        <v>484</v>
      </c>
      <c r="D1073" s="31"/>
      <c r="E1073" s="11" t="s">
        <v>155</v>
      </c>
      <c r="F1073" s="11" t="s">
        <v>156</v>
      </c>
      <c r="G1073" s="11"/>
      <c r="H1073" s="11" t="s">
        <v>157</v>
      </c>
      <c r="I1073" s="11"/>
      <c r="J1073" s="11" t="s">
        <v>97</v>
      </c>
      <c r="K1073" s="11" t="s">
        <v>158</v>
      </c>
      <c r="L1073" s="11" t="s">
        <v>1219</v>
      </c>
      <c r="M1073" s="11" t="s">
        <v>251</v>
      </c>
      <c r="N1073" s="32" t="n">
        <v>6402</v>
      </c>
      <c r="O1073" s="33" t="n">
        <v>862926.37</v>
      </c>
      <c r="P1073" s="32" t="n">
        <v>15766</v>
      </c>
      <c r="Q1073" s="34" t="n">
        <v>0.4</v>
      </c>
      <c r="R1073" s="33" t="n">
        <v>49.73</v>
      </c>
      <c r="S1073" s="33" t="n">
        <v>186.47</v>
      </c>
      <c r="T1073" s="33" t="n">
        <v>134.79</v>
      </c>
      <c r="U1073" s="11" t="n">
        <f aca="false">IFERROR(YEAR(A1073),"")</f>
        <v>2023</v>
      </c>
      <c r="V1073" s="33" t="n">
        <f aca="false">IFERROR(O1073*B1073,0)</f>
        <v>862926.37</v>
      </c>
      <c r="W1073" s="32" t="n">
        <f aca="false">IFERROR(N1073*B1073,0)</f>
        <v>6402</v>
      </c>
      <c r="X1073" s="11" t="n">
        <f aca="false">IF(OR(ISNUMBER(SEARCH("live nation",L1073)),ISNUMBER(SEARCH("ocesa",L1073))),1,0)</f>
        <v>0</v>
      </c>
      <c r="Y1073" s="11" t="s">
        <v>49</v>
      </c>
    </row>
    <row r="1074" customFormat="false" ht="15" hidden="false" customHeight="false" outlineLevel="0" collapsed="false">
      <c r="A1074" s="25" t="n">
        <v>44962</v>
      </c>
      <c r="B1074" s="13" t="n">
        <v>1</v>
      </c>
      <c r="C1074" s="26" t="s">
        <v>711</v>
      </c>
      <c r="D1074" s="26"/>
      <c r="E1074" s="13" t="s">
        <v>651</v>
      </c>
      <c r="F1074" s="13" t="s">
        <v>652</v>
      </c>
      <c r="G1074" s="13" t="s">
        <v>653</v>
      </c>
      <c r="H1074" s="13" t="s">
        <v>20</v>
      </c>
      <c r="I1074" s="13" t="s">
        <v>654</v>
      </c>
      <c r="J1074" s="13" t="s">
        <v>97</v>
      </c>
      <c r="K1074" s="13" t="s">
        <v>107</v>
      </c>
      <c r="L1074" s="13" t="s">
        <v>322</v>
      </c>
      <c r="M1074" s="13" t="s">
        <v>100</v>
      </c>
      <c r="N1074" s="27" t="n">
        <v>5673</v>
      </c>
      <c r="O1074" s="28" t="n">
        <v>1603214</v>
      </c>
      <c r="P1074" s="27" t="n">
        <v>5982</v>
      </c>
      <c r="Q1074" s="29" t="n">
        <v>0.94</v>
      </c>
      <c r="R1074" s="28" t="n">
        <v>178</v>
      </c>
      <c r="S1074" s="28" t="n">
        <v>398</v>
      </c>
      <c r="T1074" s="28" t="n">
        <v>282.6</v>
      </c>
      <c r="U1074" s="13" t="n">
        <f aca="false">IFERROR(YEAR(A1074),"")</f>
        <v>2023</v>
      </c>
      <c r="V1074" s="28" t="n">
        <f aca="false">IFERROR(O1074*B1074,0)</f>
        <v>1603214</v>
      </c>
      <c r="W1074" s="27" t="n">
        <f aca="false">IFERROR(N1074*B1074,0)</f>
        <v>5673</v>
      </c>
      <c r="X1074" s="13" t="n">
        <f aca="false">IF(OR(ISNUMBER(SEARCH("live nation",L1074)),ISNUMBER(SEARCH("ocesa",L1074))),1,0)</f>
        <v>0</v>
      </c>
      <c r="Y1074" s="13" t="s">
        <v>49</v>
      </c>
    </row>
    <row r="1075" customFormat="false" ht="15" hidden="false" customHeight="false" outlineLevel="0" collapsed="false">
      <c r="A1075" s="30" t="n">
        <v>44962</v>
      </c>
      <c r="B1075" s="11" t="n">
        <v>1</v>
      </c>
      <c r="C1075" s="31" t="s">
        <v>380</v>
      </c>
      <c r="D1075" s="31"/>
      <c r="E1075" s="11" t="s">
        <v>1204</v>
      </c>
      <c r="F1075" s="11" t="s">
        <v>139</v>
      </c>
      <c r="G1075" s="11" t="s">
        <v>139</v>
      </c>
      <c r="H1075" s="11" t="s">
        <v>20</v>
      </c>
      <c r="I1075" s="11" t="s">
        <v>139</v>
      </c>
      <c r="J1075" s="11" t="s">
        <v>106</v>
      </c>
      <c r="K1075" s="11" t="s">
        <v>107</v>
      </c>
      <c r="L1075" s="11" t="s">
        <v>390</v>
      </c>
      <c r="M1075" s="11" t="s">
        <v>100</v>
      </c>
      <c r="N1075" s="32" t="n">
        <v>1698</v>
      </c>
      <c r="O1075" s="33" t="n">
        <v>176060</v>
      </c>
      <c r="P1075" s="32" t="n">
        <v>3000</v>
      </c>
      <c r="Q1075" s="34" t="n">
        <v>0.56</v>
      </c>
      <c r="R1075" s="33" t="n">
        <v>60</v>
      </c>
      <c r="S1075" s="33" t="n">
        <v>250</v>
      </c>
      <c r="T1075" s="33" t="n">
        <v>103.69</v>
      </c>
      <c r="U1075" s="11" t="n">
        <f aca="false">IFERROR(YEAR(A1075),"")</f>
        <v>2023</v>
      </c>
      <c r="V1075" s="33" t="n">
        <f aca="false">IFERROR(O1075*B1075,0)</f>
        <v>176060</v>
      </c>
      <c r="W1075" s="32" t="n">
        <f aca="false">IFERROR(N1075*B1075,0)</f>
        <v>1698</v>
      </c>
      <c r="X1075" s="11" t="n">
        <f aca="false">IF(OR(ISNUMBER(SEARCH("live nation",L1075)),ISNUMBER(SEARCH("ocesa",L1075))),1,0)</f>
        <v>0</v>
      </c>
      <c r="Y1075" s="11" t="s">
        <v>49</v>
      </c>
    </row>
    <row r="1076" customFormat="false" ht="15" hidden="false" customHeight="false" outlineLevel="0" collapsed="false">
      <c r="A1076" s="25" t="n">
        <v>44960</v>
      </c>
      <c r="B1076" s="13" t="n">
        <v>1</v>
      </c>
      <c r="C1076" s="26" t="s">
        <v>380</v>
      </c>
      <c r="D1076" s="26"/>
      <c r="E1076" s="13" t="s">
        <v>1220</v>
      </c>
      <c r="F1076" s="13" t="s">
        <v>1202</v>
      </c>
      <c r="G1076" s="13" t="s">
        <v>281</v>
      </c>
      <c r="H1076" s="13" t="s">
        <v>20</v>
      </c>
      <c r="I1076" s="13" t="s">
        <v>890</v>
      </c>
      <c r="J1076" s="13" t="s">
        <v>97</v>
      </c>
      <c r="K1076" s="13" t="s">
        <v>107</v>
      </c>
      <c r="L1076" s="13" t="s">
        <v>1203</v>
      </c>
      <c r="M1076" s="13" t="s">
        <v>100</v>
      </c>
      <c r="N1076" s="27" t="n">
        <v>2709</v>
      </c>
      <c r="O1076" s="28" t="n">
        <v>284202.19</v>
      </c>
      <c r="P1076" s="27" t="n">
        <v>4713</v>
      </c>
      <c r="Q1076" s="29" t="n">
        <v>0.57</v>
      </c>
      <c r="R1076" s="28" t="n">
        <v>59.5</v>
      </c>
      <c r="S1076" s="28" t="n">
        <v>135.5</v>
      </c>
      <c r="T1076" s="28" t="n">
        <v>104.91</v>
      </c>
      <c r="U1076" s="13" t="n">
        <f aca="false">IFERROR(YEAR(A1076),"")</f>
        <v>2023</v>
      </c>
      <c r="V1076" s="28" t="n">
        <f aca="false">IFERROR(O1076*B1076,0)</f>
        <v>284202.19</v>
      </c>
      <c r="W1076" s="27" t="n">
        <f aca="false">IFERROR(N1076*B1076,0)</f>
        <v>2709</v>
      </c>
      <c r="X1076" s="13" t="n">
        <f aca="false">IF(OR(ISNUMBER(SEARCH("live nation",L1076)),ISNUMBER(SEARCH("ocesa",L1076))),1,0)</f>
        <v>0</v>
      </c>
      <c r="Y1076" s="13" t="s">
        <v>49</v>
      </c>
    </row>
    <row r="1077" customFormat="false" ht="15" hidden="false" customHeight="false" outlineLevel="0" collapsed="false">
      <c r="A1077" s="30" t="n">
        <v>44960</v>
      </c>
      <c r="B1077" s="11" t="n">
        <v>3</v>
      </c>
      <c r="C1077" s="31" t="s">
        <v>64</v>
      </c>
      <c r="D1077" s="31"/>
      <c r="E1077" s="11" t="s">
        <v>1221</v>
      </c>
      <c r="F1077" s="11" t="s">
        <v>752</v>
      </c>
      <c r="G1077" s="11"/>
      <c r="H1077" s="11" t="s">
        <v>285</v>
      </c>
      <c r="I1077" s="11"/>
      <c r="J1077" s="11" t="s">
        <v>97</v>
      </c>
      <c r="K1077" s="11" t="s">
        <v>134</v>
      </c>
      <c r="L1077" s="11" t="s">
        <v>145</v>
      </c>
      <c r="M1077" s="11" t="s">
        <v>100</v>
      </c>
      <c r="N1077" s="32" t="n">
        <v>8550</v>
      </c>
      <c r="O1077" s="33" t="n">
        <v>1517415.36</v>
      </c>
      <c r="P1077" s="32" t="n">
        <v>8550</v>
      </c>
      <c r="Q1077" s="34" t="n">
        <v>1</v>
      </c>
      <c r="R1077" s="33" t="n">
        <v>46.59</v>
      </c>
      <c r="S1077" s="33" t="n">
        <v>279.54</v>
      </c>
      <c r="T1077" s="33" t="n">
        <v>177.48</v>
      </c>
      <c r="U1077" s="11" t="n">
        <f aca="false">IFERROR(YEAR(A1077),"")</f>
        <v>2023</v>
      </c>
      <c r="V1077" s="33" t="n">
        <f aca="false">IFERROR(O1077*B1077,0)</f>
        <v>4552246.08</v>
      </c>
      <c r="W1077" s="32" t="n">
        <f aca="false">IFERROR(N1077*B1077,0)</f>
        <v>25650</v>
      </c>
      <c r="X1077" s="11" t="n">
        <f aca="false">IF(OR(ISNUMBER(SEARCH("live nation",L1077)),ISNUMBER(SEARCH("ocesa",L1077))),1,0)</f>
        <v>0</v>
      </c>
      <c r="Y1077" s="11" t="s">
        <v>50</v>
      </c>
    </row>
    <row r="1078" customFormat="false" ht="15" hidden="false" customHeight="false" outlineLevel="0" collapsed="false">
      <c r="A1078" s="25" t="n">
        <v>44959</v>
      </c>
      <c r="B1078" s="13" t="n">
        <v>1</v>
      </c>
      <c r="C1078" s="26" t="s">
        <v>587</v>
      </c>
      <c r="D1078" s="26"/>
      <c r="E1078" s="13" t="s">
        <v>436</v>
      </c>
      <c r="F1078" s="13" t="s">
        <v>349</v>
      </c>
      <c r="G1078" s="13"/>
      <c r="H1078" s="13" t="s">
        <v>350</v>
      </c>
      <c r="I1078" s="13"/>
      <c r="J1078" s="13" t="s">
        <v>106</v>
      </c>
      <c r="K1078" s="13" t="s">
        <v>173</v>
      </c>
      <c r="L1078" s="13" t="s">
        <v>1216</v>
      </c>
      <c r="M1078" s="13" t="s">
        <v>100</v>
      </c>
      <c r="N1078" s="27" t="n">
        <v>1700</v>
      </c>
      <c r="O1078" s="28" t="n">
        <v>74934.52</v>
      </c>
      <c r="P1078" s="27" t="n">
        <v>1700</v>
      </c>
      <c r="Q1078" s="29" t="n">
        <v>1</v>
      </c>
      <c r="R1078" s="28" t="n">
        <v>44.08</v>
      </c>
      <c r="S1078" s="28" t="n">
        <v>44.08</v>
      </c>
      <c r="T1078" s="28" t="n">
        <v>44.08</v>
      </c>
      <c r="U1078" s="13" t="n">
        <f aca="false">IFERROR(YEAR(A1078),"")</f>
        <v>2023</v>
      </c>
      <c r="V1078" s="28" t="n">
        <f aca="false">IFERROR(O1078*B1078,0)</f>
        <v>74934.52</v>
      </c>
      <c r="W1078" s="27" t="n">
        <f aca="false">IFERROR(N1078*B1078,0)</f>
        <v>1700</v>
      </c>
      <c r="X1078" s="13" t="n">
        <f aca="false">IF(OR(ISNUMBER(SEARCH("live nation",L1078)),ISNUMBER(SEARCH("ocesa",L1078))),1,0)</f>
        <v>0</v>
      </c>
      <c r="Y1078" s="13" t="s">
        <v>49</v>
      </c>
    </row>
    <row r="1079" customFormat="false" ht="15" hidden="false" customHeight="false" outlineLevel="0" collapsed="false">
      <c r="A1079" s="30" t="n">
        <v>44958</v>
      </c>
      <c r="B1079" s="11" t="n">
        <v>1</v>
      </c>
      <c r="C1079" s="31" t="s">
        <v>380</v>
      </c>
      <c r="D1079" s="31"/>
      <c r="E1079" s="11" t="s">
        <v>1083</v>
      </c>
      <c r="F1079" s="11" t="s">
        <v>346</v>
      </c>
      <c r="G1079" s="11" t="s">
        <v>347</v>
      </c>
      <c r="H1079" s="11" t="s">
        <v>20</v>
      </c>
      <c r="I1079" s="11" t="s">
        <v>346</v>
      </c>
      <c r="J1079" s="11" t="s">
        <v>121</v>
      </c>
      <c r="K1079" s="11" t="s">
        <v>107</v>
      </c>
      <c r="L1079" s="11" t="s">
        <v>1023</v>
      </c>
      <c r="M1079" s="11" t="s">
        <v>100</v>
      </c>
      <c r="N1079" s="32" t="n">
        <v>2461</v>
      </c>
      <c r="O1079" s="33" t="n">
        <v>197957.5</v>
      </c>
      <c r="P1079" s="32" t="n">
        <v>3898</v>
      </c>
      <c r="Q1079" s="34" t="n">
        <v>0.63</v>
      </c>
      <c r="R1079" s="33" t="n">
        <v>65.5</v>
      </c>
      <c r="S1079" s="33" t="n">
        <v>176.5</v>
      </c>
      <c r="T1079" s="33" t="n">
        <v>80.44</v>
      </c>
      <c r="U1079" s="11" t="n">
        <f aca="false">IFERROR(YEAR(A1079),"")</f>
        <v>2023</v>
      </c>
      <c r="V1079" s="33" t="n">
        <f aca="false">IFERROR(O1079*B1079,0)</f>
        <v>197957.5</v>
      </c>
      <c r="W1079" s="32" t="n">
        <f aca="false">IFERROR(N1079*B1079,0)</f>
        <v>2461</v>
      </c>
      <c r="X1079" s="11" t="n">
        <f aca="false">IF(OR(ISNUMBER(SEARCH("live nation",L1079)),ISNUMBER(SEARCH("ocesa",L1079))),1,0)</f>
        <v>1</v>
      </c>
      <c r="Y1079" s="11" t="s">
        <v>49</v>
      </c>
    </row>
    <row r="1080" customFormat="false" ht="15" hidden="false" customHeight="false" outlineLevel="0" collapsed="false">
      <c r="A1080" s="25" t="n">
        <v>44955</v>
      </c>
      <c r="B1080" s="13" t="n">
        <v>1</v>
      </c>
      <c r="C1080" s="26" t="s">
        <v>380</v>
      </c>
      <c r="D1080" s="26"/>
      <c r="E1080" s="13" t="s">
        <v>540</v>
      </c>
      <c r="F1080" s="13" t="s">
        <v>209</v>
      </c>
      <c r="G1080" s="13" t="s">
        <v>208</v>
      </c>
      <c r="H1080" s="13" t="s">
        <v>20</v>
      </c>
      <c r="I1080" s="13" t="s">
        <v>209</v>
      </c>
      <c r="J1080" s="13" t="s">
        <v>121</v>
      </c>
      <c r="K1080" s="13" t="s">
        <v>107</v>
      </c>
      <c r="L1080" s="13" t="s">
        <v>1222</v>
      </c>
      <c r="M1080" s="13" t="s">
        <v>100</v>
      </c>
      <c r="N1080" s="27" t="n">
        <v>3424</v>
      </c>
      <c r="O1080" s="28" t="n">
        <v>399545.35</v>
      </c>
      <c r="P1080" s="27" t="n">
        <v>3535</v>
      </c>
      <c r="Q1080" s="29" t="n">
        <v>0.96</v>
      </c>
      <c r="R1080" s="28" t="n">
        <v>62.5</v>
      </c>
      <c r="S1080" s="28" t="n">
        <v>203.5</v>
      </c>
      <c r="T1080" s="28" t="n">
        <v>116.69</v>
      </c>
      <c r="U1080" s="13" t="n">
        <f aca="false">IFERROR(YEAR(A1080),"")</f>
        <v>2023</v>
      </c>
      <c r="V1080" s="28" t="n">
        <f aca="false">IFERROR(O1080*B1080,0)</f>
        <v>399545.35</v>
      </c>
      <c r="W1080" s="27" t="n">
        <f aca="false">IFERROR(N1080*B1080,0)</f>
        <v>3424</v>
      </c>
      <c r="X1080" s="13" t="n">
        <f aca="false">IF(OR(ISNUMBER(SEARCH("live nation",L1080)),ISNUMBER(SEARCH("ocesa",L1080))),1,0)</f>
        <v>0</v>
      </c>
      <c r="Y1080" s="13" t="s">
        <v>49</v>
      </c>
    </row>
    <row r="1081" customFormat="false" ht="15" hidden="false" customHeight="false" outlineLevel="0" collapsed="false">
      <c r="A1081" s="30" t="n">
        <v>44955</v>
      </c>
      <c r="B1081" s="11" t="n">
        <v>1</v>
      </c>
      <c r="C1081" s="31" t="s">
        <v>587</v>
      </c>
      <c r="D1081" s="31"/>
      <c r="E1081" s="11" t="s">
        <v>1223</v>
      </c>
      <c r="F1081" s="11" t="s">
        <v>821</v>
      </c>
      <c r="G1081" s="11"/>
      <c r="H1081" s="11" t="s">
        <v>350</v>
      </c>
      <c r="I1081" s="11"/>
      <c r="J1081" s="11" t="s">
        <v>121</v>
      </c>
      <c r="K1081" s="11" t="s">
        <v>173</v>
      </c>
      <c r="L1081" s="11" t="s">
        <v>1216</v>
      </c>
      <c r="M1081" s="11" t="s">
        <v>100</v>
      </c>
      <c r="N1081" s="32" t="n">
        <v>1500</v>
      </c>
      <c r="O1081" s="33" t="n">
        <v>62167.8</v>
      </c>
      <c r="P1081" s="32" t="n">
        <v>1500</v>
      </c>
      <c r="Q1081" s="34" t="n">
        <v>1</v>
      </c>
      <c r="R1081" s="33" t="n">
        <v>43.6</v>
      </c>
      <c r="S1081" s="33" t="n">
        <v>43.6</v>
      </c>
      <c r="T1081" s="33" t="n">
        <v>41.45</v>
      </c>
      <c r="U1081" s="11" t="n">
        <f aca="false">IFERROR(YEAR(A1081),"")</f>
        <v>2023</v>
      </c>
      <c r="V1081" s="33" t="n">
        <f aca="false">IFERROR(O1081*B1081,0)</f>
        <v>62167.8</v>
      </c>
      <c r="W1081" s="32" t="n">
        <f aca="false">IFERROR(N1081*B1081,0)</f>
        <v>1500</v>
      </c>
      <c r="X1081" s="11" t="n">
        <f aca="false">IF(OR(ISNUMBER(SEARCH("live nation",L1081)),ISNUMBER(SEARCH("ocesa",L1081))),1,0)</f>
        <v>0</v>
      </c>
      <c r="Y1081" s="11" t="s">
        <v>49</v>
      </c>
    </row>
    <row r="1082" customFormat="false" ht="15" hidden="false" customHeight="false" outlineLevel="0" collapsed="false">
      <c r="A1082" s="25" t="n">
        <v>44954</v>
      </c>
      <c r="B1082" s="13" t="n">
        <v>2</v>
      </c>
      <c r="C1082" s="26" t="s">
        <v>711</v>
      </c>
      <c r="D1082" s="26"/>
      <c r="E1082" s="13" t="s">
        <v>792</v>
      </c>
      <c r="F1082" s="13" t="s">
        <v>395</v>
      </c>
      <c r="G1082" s="13" t="s">
        <v>396</v>
      </c>
      <c r="H1082" s="13" t="s">
        <v>20</v>
      </c>
      <c r="I1082" s="13" t="s">
        <v>395</v>
      </c>
      <c r="J1082" s="13" t="s">
        <v>97</v>
      </c>
      <c r="K1082" s="13" t="s">
        <v>107</v>
      </c>
      <c r="L1082" s="13" t="s">
        <v>322</v>
      </c>
      <c r="M1082" s="13" t="s">
        <v>100</v>
      </c>
      <c r="N1082" s="27" t="n">
        <v>8099</v>
      </c>
      <c r="O1082" s="28" t="n">
        <v>2464991.5</v>
      </c>
      <c r="P1082" s="27" t="n">
        <v>9459</v>
      </c>
      <c r="Q1082" s="29" t="n">
        <v>0.85</v>
      </c>
      <c r="R1082" s="28" t="n">
        <v>154.42</v>
      </c>
      <c r="S1082" s="28" t="n">
        <v>492.32</v>
      </c>
      <c r="T1082" s="28" t="n">
        <v>304.34</v>
      </c>
      <c r="U1082" s="13" t="n">
        <f aca="false">IFERROR(YEAR(A1082),"")</f>
        <v>2023</v>
      </c>
      <c r="V1082" s="28" t="n">
        <f aca="false">IFERROR(O1082*B1082,0)</f>
        <v>4929983</v>
      </c>
      <c r="W1082" s="27" t="n">
        <f aca="false">IFERROR(N1082*B1082,0)</f>
        <v>16198</v>
      </c>
      <c r="X1082" s="13" t="n">
        <f aca="false">IF(OR(ISNUMBER(SEARCH("live nation",L1082)),ISNUMBER(SEARCH("ocesa",L1082))),1,0)</f>
        <v>0</v>
      </c>
      <c r="Y1082" s="13" t="s">
        <v>49</v>
      </c>
    </row>
    <row r="1083" customFormat="false" ht="15" hidden="false" customHeight="false" outlineLevel="0" collapsed="false">
      <c r="A1083" s="30" t="n">
        <v>44954</v>
      </c>
      <c r="B1083" s="11" t="n">
        <v>2</v>
      </c>
      <c r="C1083" s="31" t="s">
        <v>64</v>
      </c>
      <c r="D1083" s="31"/>
      <c r="E1083" s="11" t="s">
        <v>735</v>
      </c>
      <c r="F1083" s="11" t="s">
        <v>736</v>
      </c>
      <c r="G1083" s="11"/>
      <c r="H1083" s="11" t="s">
        <v>56</v>
      </c>
      <c r="I1083" s="11"/>
      <c r="J1083" s="11" t="s">
        <v>97</v>
      </c>
      <c r="K1083" s="11" t="s">
        <v>300</v>
      </c>
      <c r="L1083" s="11" t="s">
        <v>145</v>
      </c>
      <c r="M1083" s="11" t="s">
        <v>100</v>
      </c>
      <c r="N1083" s="32" t="n">
        <v>9700</v>
      </c>
      <c r="O1083" s="33" t="n">
        <v>1366123.5</v>
      </c>
      <c r="P1083" s="32" t="n">
        <v>9700</v>
      </c>
      <c r="Q1083" s="34" t="n">
        <v>1</v>
      </c>
      <c r="R1083" s="33" t="n">
        <v>76.13</v>
      </c>
      <c r="S1083" s="33" t="n">
        <v>207.06</v>
      </c>
      <c r="T1083" s="33" t="n">
        <v>140.84</v>
      </c>
      <c r="U1083" s="11" t="n">
        <f aca="false">IFERROR(YEAR(A1083),"")</f>
        <v>2023</v>
      </c>
      <c r="V1083" s="33" t="n">
        <f aca="false">IFERROR(O1083*B1083,0)</f>
        <v>2732247</v>
      </c>
      <c r="W1083" s="32" t="n">
        <f aca="false">IFERROR(N1083*B1083,0)</f>
        <v>19400</v>
      </c>
      <c r="X1083" s="11" t="n">
        <f aca="false">IF(OR(ISNUMBER(SEARCH("live nation",L1083)),ISNUMBER(SEARCH("ocesa",L1083))),1,0)</f>
        <v>0</v>
      </c>
      <c r="Y1083" s="11" t="s">
        <v>50</v>
      </c>
    </row>
    <row r="1084" customFormat="false" ht="15" hidden="false" customHeight="false" outlineLevel="0" collapsed="false">
      <c r="A1084" s="25" t="n">
        <v>44954</v>
      </c>
      <c r="B1084" s="13" t="n">
        <v>1</v>
      </c>
      <c r="C1084" s="26" t="s">
        <v>798</v>
      </c>
      <c r="D1084" s="26"/>
      <c r="E1084" s="13" t="s">
        <v>926</v>
      </c>
      <c r="F1084" s="13" t="s">
        <v>132</v>
      </c>
      <c r="G1084" s="13"/>
      <c r="H1084" s="13" t="s">
        <v>23</v>
      </c>
      <c r="I1084" s="13"/>
      <c r="J1084" s="13" t="s">
        <v>97</v>
      </c>
      <c r="K1084" s="13" t="s">
        <v>134</v>
      </c>
      <c r="L1084" s="13" t="s">
        <v>135</v>
      </c>
      <c r="M1084" s="13" t="s">
        <v>100</v>
      </c>
      <c r="N1084" s="27" t="n">
        <v>15979</v>
      </c>
      <c r="O1084" s="28" t="n">
        <v>1863312.62</v>
      </c>
      <c r="P1084" s="27" t="n">
        <v>17655</v>
      </c>
      <c r="Q1084" s="29" t="n">
        <v>0.9</v>
      </c>
      <c r="R1084" s="28" t="n">
        <v>26.59</v>
      </c>
      <c r="S1084" s="28" t="n">
        <v>159.55</v>
      </c>
      <c r="T1084" s="28" t="n">
        <v>116.61</v>
      </c>
      <c r="U1084" s="13" t="n">
        <f aca="false">IFERROR(YEAR(A1084),"")</f>
        <v>2023</v>
      </c>
      <c r="V1084" s="28" t="n">
        <f aca="false">IFERROR(O1084*B1084,0)</f>
        <v>1863312.62</v>
      </c>
      <c r="W1084" s="27" t="n">
        <f aca="false">IFERROR(N1084*B1084,0)</f>
        <v>15979</v>
      </c>
      <c r="X1084" s="13" t="n">
        <f aca="false">IF(OR(ISNUMBER(SEARCH("live nation",L1084)),ISNUMBER(SEARCH("ocesa",L1084))),1,0)</f>
        <v>1</v>
      </c>
      <c r="Y1084" s="13" t="s">
        <v>49</v>
      </c>
    </row>
    <row r="1085" customFormat="false" ht="15" hidden="false" customHeight="false" outlineLevel="0" collapsed="false">
      <c r="A1085" s="30" t="n">
        <v>44952</v>
      </c>
      <c r="B1085" s="11" t="n">
        <v>1</v>
      </c>
      <c r="C1085" s="31" t="s">
        <v>380</v>
      </c>
      <c r="D1085" s="31"/>
      <c r="E1085" s="11" t="s">
        <v>1033</v>
      </c>
      <c r="F1085" s="11" t="s">
        <v>586</v>
      </c>
      <c r="G1085" s="11" t="s">
        <v>143</v>
      </c>
      <c r="H1085" s="11" t="s">
        <v>20</v>
      </c>
      <c r="I1085" s="11" t="s">
        <v>586</v>
      </c>
      <c r="J1085" s="11" t="s">
        <v>106</v>
      </c>
      <c r="K1085" s="11" t="s">
        <v>107</v>
      </c>
      <c r="L1085" s="11" t="s">
        <v>177</v>
      </c>
      <c r="M1085" s="11" t="s">
        <v>100</v>
      </c>
      <c r="N1085" s="32" t="n">
        <v>2274</v>
      </c>
      <c r="O1085" s="33" t="n">
        <v>149265</v>
      </c>
      <c r="P1085" s="32" t="n">
        <v>4737</v>
      </c>
      <c r="Q1085" s="34" t="n">
        <v>0.48</v>
      </c>
      <c r="R1085" s="33" t="n">
        <v>55.5</v>
      </c>
      <c r="S1085" s="33" t="n">
        <v>125.5</v>
      </c>
      <c r="T1085" s="33" t="n">
        <v>65.64</v>
      </c>
      <c r="U1085" s="11" t="n">
        <f aca="false">IFERROR(YEAR(A1085),"")</f>
        <v>2023</v>
      </c>
      <c r="V1085" s="33" t="n">
        <f aca="false">IFERROR(O1085*B1085,0)</f>
        <v>149265</v>
      </c>
      <c r="W1085" s="32" t="n">
        <f aca="false">IFERROR(N1085*B1085,0)</f>
        <v>2274</v>
      </c>
      <c r="X1085" s="11" t="n">
        <f aca="false">IF(OR(ISNUMBER(SEARCH("live nation",L1085)),ISNUMBER(SEARCH("ocesa",L1085))),1,0)</f>
        <v>1</v>
      </c>
      <c r="Y1085" s="11" t="s">
        <v>49</v>
      </c>
    </row>
    <row r="1086" customFormat="false" ht="15" hidden="false" customHeight="false" outlineLevel="0" collapsed="false">
      <c r="A1086" s="25" t="n">
        <v>44951</v>
      </c>
      <c r="B1086" s="13" t="n">
        <v>1</v>
      </c>
      <c r="C1086" s="26" t="s">
        <v>587</v>
      </c>
      <c r="D1086" s="26"/>
      <c r="E1086" s="13" t="s">
        <v>1224</v>
      </c>
      <c r="F1086" s="13" t="s">
        <v>827</v>
      </c>
      <c r="G1086" s="13"/>
      <c r="H1086" s="13" t="s">
        <v>693</v>
      </c>
      <c r="I1086" s="13"/>
      <c r="J1086" s="13" t="s">
        <v>106</v>
      </c>
      <c r="K1086" s="13" t="s">
        <v>694</v>
      </c>
      <c r="L1086" s="13" t="s">
        <v>1225</v>
      </c>
      <c r="M1086" s="13" t="s">
        <v>100</v>
      </c>
      <c r="N1086" s="27" t="n">
        <v>1730</v>
      </c>
      <c r="O1086" s="28" t="n">
        <v>127360.71</v>
      </c>
      <c r="P1086" s="27" t="n">
        <v>1730</v>
      </c>
      <c r="Q1086" s="29" t="n">
        <v>1</v>
      </c>
      <c r="R1086" s="28" t="n">
        <v>52.02</v>
      </c>
      <c r="S1086" s="28" t="n">
        <v>216.75</v>
      </c>
      <c r="T1086" s="28" t="n">
        <v>73.62</v>
      </c>
      <c r="U1086" s="13" t="n">
        <f aca="false">IFERROR(YEAR(A1086),"")</f>
        <v>2023</v>
      </c>
      <c r="V1086" s="28" t="n">
        <f aca="false">IFERROR(O1086*B1086,0)</f>
        <v>127360.71</v>
      </c>
      <c r="W1086" s="27" t="n">
        <f aca="false">IFERROR(N1086*B1086,0)</f>
        <v>1730</v>
      </c>
      <c r="X1086" s="13" t="n">
        <f aca="false">IF(OR(ISNUMBER(SEARCH("live nation",L1086)),ISNUMBER(SEARCH("ocesa",L1086))),1,0)</f>
        <v>0</v>
      </c>
      <c r="Y1086" s="13" t="s">
        <v>49</v>
      </c>
    </row>
    <row r="1087" customFormat="false" ht="15" hidden="false" customHeight="false" outlineLevel="0" collapsed="false">
      <c r="A1087" s="30" t="n">
        <v>44950</v>
      </c>
      <c r="B1087" s="11" t="n">
        <v>1</v>
      </c>
      <c r="C1087" s="31" t="s">
        <v>380</v>
      </c>
      <c r="D1087" s="31"/>
      <c r="E1087" s="11" t="s">
        <v>537</v>
      </c>
      <c r="F1087" s="11" t="s">
        <v>538</v>
      </c>
      <c r="G1087" s="11" t="s">
        <v>539</v>
      </c>
      <c r="H1087" s="11" t="s">
        <v>20</v>
      </c>
      <c r="I1087" s="11" t="s">
        <v>538</v>
      </c>
      <c r="J1087" s="11" t="s">
        <v>106</v>
      </c>
      <c r="K1087" s="11" t="s">
        <v>107</v>
      </c>
      <c r="L1087" s="11" t="s">
        <v>177</v>
      </c>
      <c r="M1087" s="11" t="s">
        <v>100</v>
      </c>
      <c r="N1087" s="32" t="n">
        <v>2151</v>
      </c>
      <c r="O1087" s="33" t="n">
        <v>164012</v>
      </c>
      <c r="P1087" s="32" t="n">
        <v>3700</v>
      </c>
      <c r="Q1087" s="34" t="n">
        <v>0.58</v>
      </c>
      <c r="R1087" s="33" t="n">
        <v>69.5</v>
      </c>
      <c r="S1087" s="33" t="n">
        <v>149.5</v>
      </c>
      <c r="T1087" s="33" t="n">
        <v>76.25</v>
      </c>
      <c r="U1087" s="11" t="n">
        <f aca="false">IFERROR(YEAR(A1087),"")</f>
        <v>2023</v>
      </c>
      <c r="V1087" s="33" t="n">
        <f aca="false">IFERROR(O1087*B1087,0)</f>
        <v>164012</v>
      </c>
      <c r="W1087" s="32" t="n">
        <f aca="false">IFERROR(N1087*B1087,0)</f>
        <v>2151</v>
      </c>
      <c r="X1087" s="11" t="n">
        <f aca="false">IF(OR(ISNUMBER(SEARCH("live nation",L1087)),ISNUMBER(SEARCH("ocesa",L1087))),1,0)</f>
        <v>1</v>
      </c>
      <c r="Y1087" s="11" t="s">
        <v>49</v>
      </c>
    </row>
    <row r="1088" customFormat="false" ht="15" hidden="false" customHeight="false" outlineLevel="0" collapsed="false">
      <c r="A1088" s="25" t="n">
        <v>44948</v>
      </c>
      <c r="B1088" s="13" t="n">
        <v>1</v>
      </c>
      <c r="C1088" s="26" t="s">
        <v>380</v>
      </c>
      <c r="D1088" s="26"/>
      <c r="E1088" s="13" t="s">
        <v>503</v>
      </c>
      <c r="F1088" s="13" t="s">
        <v>231</v>
      </c>
      <c r="G1088" s="13" t="s">
        <v>202</v>
      </c>
      <c r="H1088" s="13" t="s">
        <v>20</v>
      </c>
      <c r="I1088" s="13" t="s">
        <v>232</v>
      </c>
      <c r="J1088" s="13" t="s">
        <v>121</v>
      </c>
      <c r="K1088" s="13" t="s">
        <v>107</v>
      </c>
      <c r="L1088" s="13" t="s">
        <v>390</v>
      </c>
      <c r="M1088" s="13" t="s">
        <v>100</v>
      </c>
      <c r="N1088" s="27" t="n">
        <v>2909</v>
      </c>
      <c r="O1088" s="28" t="n">
        <v>359295.95</v>
      </c>
      <c r="P1088" s="27" t="n">
        <v>3040</v>
      </c>
      <c r="Q1088" s="29" t="n">
        <v>0.95</v>
      </c>
      <c r="R1088" s="28" t="n">
        <v>59</v>
      </c>
      <c r="S1088" s="28" t="n">
        <v>250</v>
      </c>
      <c r="T1088" s="28" t="n">
        <v>123.51</v>
      </c>
      <c r="U1088" s="13" t="n">
        <f aca="false">IFERROR(YEAR(A1088),"")</f>
        <v>2023</v>
      </c>
      <c r="V1088" s="28" t="n">
        <f aca="false">IFERROR(O1088*B1088,0)</f>
        <v>359295.95</v>
      </c>
      <c r="W1088" s="27" t="n">
        <f aca="false">IFERROR(N1088*B1088,0)</f>
        <v>2909</v>
      </c>
      <c r="X1088" s="13" t="n">
        <f aca="false">IF(OR(ISNUMBER(SEARCH("live nation",L1088)),ISNUMBER(SEARCH("ocesa",L1088))),1,0)</f>
        <v>0</v>
      </c>
      <c r="Y1088" s="13" t="s">
        <v>49</v>
      </c>
    </row>
    <row r="1089" customFormat="false" ht="15" hidden="false" customHeight="false" outlineLevel="0" collapsed="false">
      <c r="A1089" s="30" t="n">
        <v>44948</v>
      </c>
      <c r="B1089" s="11" t="n">
        <v>1</v>
      </c>
      <c r="C1089" s="31" t="s">
        <v>798</v>
      </c>
      <c r="D1089" s="31"/>
      <c r="E1089" s="11" t="s">
        <v>155</v>
      </c>
      <c r="F1089" s="11" t="s">
        <v>156</v>
      </c>
      <c r="G1089" s="11"/>
      <c r="H1089" s="11" t="s">
        <v>157</v>
      </c>
      <c r="I1089" s="11"/>
      <c r="J1089" s="11" t="s">
        <v>97</v>
      </c>
      <c r="K1089" s="11" t="s">
        <v>158</v>
      </c>
      <c r="L1089" s="11" t="s">
        <v>1172</v>
      </c>
      <c r="M1089" s="11" t="s">
        <v>100</v>
      </c>
      <c r="N1089" s="32" t="n">
        <v>9806</v>
      </c>
      <c r="O1089" s="33" t="n">
        <v>1229939.92</v>
      </c>
      <c r="P1089" s="32" t="n">
        <v>15766</v>
      </c>
      <c r="Q1089" s="34" t="n">
        <v>0.62</v>
      </c>
      <c r="R1089" s="33" t="n">
        <v>36.8</v>
      </c>
      <c r="S1089" s="33" t="n">
        <v>183.98</v>
      </c>
      <c r="T1089" s="33" t="n">
        <v>125.43</v>
      </c>
      <c r="U1089" s="11" t="n">
        <f aca="false">IFERROR(YEAR(A1089),"")</f>
        <v>2023</v>
      </c>
      <c r="V1089" s="33" t="n">
        <f aca="false">IFERROR(O1089*B1089,0)</f>
        <v>1229939.92</v>
      </c>
      <c r="W1089" s="32" t="n">
        <f aca="false">IFERROR(N1089*B1089,0)</f>
        <v>9806</v>
      </c>
      <c r="X1089" s="11" t="n">
        <f aca="false">IF(OR(ISNUMBER(SEARCH("live nation",L1089)),ISNUMBER(SEARCH("ocesa",L1089))),1,0)</f>
        <v>0</v>
      </c>
      <c r="Y1089" s="11" t="s">
        <v>49</v>
      </c>
    </row>
    <row r="1090" customFormat="false" ht="15" hidden="false" customHeight="false" outlineLevel="0" collapsed="false">
      <c r="A1090" s="25" t="n">
        <v>44947</v>
      </c>
      <c r="B1090" s="13" t="n">
        <v>2</v>
      </c>
      <c r="C1090" s="26" t="s">
        <v>64</v>
      </c>
      <c r="D1090" s="26"/>
      <c r="E1090" s="13" t="s">
        <v>369</v>
      </c>
      <c r="F1090" s="13" t="s">
        <v>370</v>
      </c>
      <c r="G1090" s="13"/>
      <c r="H1090" s="13" t="s">
        <v>21</v>
      </c>
      <c r="I1090" s="13"/>
      <c r="J1090" s="13" t="s">
        <v>133</v>
      </c>
      <c r="K1090" s="13" t="s">
        <v>113</v>
      </c>
      <c r="L1090" s="13" t="s">
        <v>145</v>
      </c>
      <c r="M1090" s="13" t="s">
        <v>100</v>
      </c>
      <c r="N1090" s="27" t="n">
        <v>40185</v>
      </c>
      <c r="O1090" s="28" t="n">
        <v>3000979.95</v>
      </c>
      <c r="P1090" s="27" t="n">
        <v>40185</v>
      </c>
      <c r="Q1090" s="29" t="n">
        <v>1</v>
      </c>
      <c r="R1090" s="28" t="n">
        <v>81.05</v>
      </c>
      <c r="S1090" s="28" t="n">
        <v>92.62</v>
      </c>
      <c r="T1090" s="28" t="n">
        <v>74.68</v>
      </c>
      <c r="U1090" s="13" t="n">
        <f aca="false">IFERROR(YEAR(A1090),"")</f>
        <v>2023</v>
      </c>
      <c r="V1090" s="28" t="n">
        <f aca="false">IFERROR(O1090*B1090,0)</f>
        <v>6001959.9</v>
      </c>
      <c r="W1090" s="27" t="n">
        <f aca="false">IFERROR(N1090*B1090,0)</f>
        <v>80370</v>
      </c>
      <c r="X1090" s="13" t="n">
        <f aca="false">IF(OR(ISNUMBER(SEARCH("live nation",L1090)),ISNUMBER(SEARCH("ocesa",L1090))),1,0)</f>
        <v>0</v>
      </c>
      <c r="Y1090" s="13" t="s">
        <v>50</v>
      </c>
    </row>
    <row r="1091" customFormat="false" ht="15" hidden="false" customHeight="false" outlineLevel="0" collapsed="false">
      <c r="A1091" s="30" t="n">
        <v>44946</v>
      </c>
      <c r="B1091" s="11" t="n">
        <v>1</v>
      </c>
      <c r="C1091" s="31" t="s">
        <v>380</v>
      </c>
      <c r="D1091" s="31"/>
      <c r="E1091" s="11" t="s">
        <v>1226</v>
      </c>
      <c r="F1091" s="11" t="s">
        <v>896</v>
      </c>
      <c r="G1091" s="11" t="s">
        <v>202</v>
      </c>
      <c r="H1091" s="11" t="s">
        <v>20</v>
      </c>
      <c r="I1091" s="11" t="s">
        <v>203</v>
      </c>
      <c r="J1091" s="11" t="s">
        <v>121</v>
      </c>
      <c r="K1091" s="11" t="s">
        <v>107</v>
      </c>
      <c r="L1091" s="11" t="s">
        <v>390</v>
      </c>
      <c r="M1091" s="11" t="s">
        <v>100</v>
      </c>
      <c r="N1091" s="32" t="n">
        <v>3059</v>
      </c>
      <c r="O1091" s="33" t="n">
        <v>295435</v>
      </c>
      <c r="P1091" s="32" t="n">
        <v>3700</v>
      </c>
      <c r="Q1091" s="34" t="n">
        <v>0.82</v>
      </c>
      <c r="R1091" s="33" t="n">
        <v>60</v>
      </c>
      <c r="S1091" s="33" t="n">
        <v>250</v>
      </c>
      <c r="T1091" s="33" t="n">
        <v>96.58</v>
      </c>
      <c r="U1091" s="11" t="n">
        <f aca="false">IFERROR(YEAR(A1091),"")</f>
        <v>2023</v>
      </c>
      <c r="V1091" s="33" t="n">
        <f aca="false">IFERROR(O1091*B1091,0)</f>
        <v>295435</v>
      </c>
      <c r="W1091" s="32" t="n">
        <f aca="false">IFERROR(N1091*B1091,0)</f>
        <v>3059</v>
      </c>
      <c r="X1091" s="11" t="n">
        <f aca="false">IF(OR(ISNUMBER(SEARCH("live nation",L1091)),ISNUMBER(SEARCH("ocesa",L1091))),1,0)</f>
        <v>0</v>
      </c>
      <c r="Y1091" s="11" t="s">
        <v>49</v>
      </c>
    </row>
    <row r="1092" customFormat="false" ht="15" hidden="false" customHeight="false" outlineLevel="0" collapsed="false">
      <c r="A1092" s="25" t="n">
        <v>44944</v>
      </c>
      <c r="B1092" s="13" t="n">
        <v>1</v>
      </c>
      <c r="C1092" s="26" t="s">
        <v>1036</v>
      </c>
      <c r="D1092" s="26"/>
      <c r="E1092" s="13" t="s">
        <v>451</v>
      </c>
      <c r="F1092" s="13" t="s">
        <v>452</v>
      </c>
      <c r="G1092" s="13"/>
      <c r="H1092" s="13" t="s">
        <v>449</v>
      </c>
      <c r="I1092" s="13"/>
      <c r="J1092" s="13" t="s">
        <v>106</v>
      </c>
      <c r="K1092" s="13" t="s">
        <v>173</v>
      </c>
      <c r="L1092" s="13" t="s">
        <v>453</v>
      </c>
      <c r="M1092" s="13" t="s">
        <v>100</v>
      </c>
      <c r="N1092" s="27" t="n">
        <v>475</v>
      </c>
      <c r="O1092" s="28" t="n">
        <v>50977.6</v>
      </c>
      <c r="P1092" s="27" t="n">
        <v>3000</v>
      </c>
      <c r="Q1092" s="29" t="n">
        <v>0.15</v>
      </c>
      <c r="R1092" s="28" t="n">
        <v>75.42</v>
      </c>
      <c r="S1092" s="28" t="n">
        <v>199.33</v>
      </c>
      <c r="T1092" s="28" t="n">
        <v>107.32</v>
      </c>
      <c r="U1092" s="13" t="n">
        <f aca="false">IFERROR(YEAR(A1092),"")</f>
        <v>2023</v>
      </c>
      <c r="V1092" s="28" t="n">
        <f aca="false">IFERROR(O1092*B1092,0)</f>
        <v>50977.6</v>
      </c>
      <c r="W1092" s="27" t="n">
        <f aca="false">IFERROR(N1092*B1092,0)</f>
        <v>475</v>
      </c>
      <c r="X1092" s="13" t="n">
        <f aca="false">IF(OR(ISNUMBER(SEARCH("live nation",L1092)),ISNUMBER(SEARCH("ocesa",L1092))),1,0)</f>
        <v>0</v>
      </c>
      <c r="Y1092" s="13" t="s">
        <v>49</v>
      </c>
    </row>
    <row r="1093" customFormat="false" ht="15" hidden="false" customHeight="false" outlineLevel="0" collapsed="false">
      <c r="A1093" s="30" t="n">
        <v>44939</v>
      </c>
      <c r="B1093" s="11" t="n">
        <v>1</v>
      </c>
      <c r="C1093" s="31" t="s">
        <v>798</v>
      </c>
      <c r="D1093" s="31"/>
      <c r="E1093" s="11" t="s">
        <v>345</v>
      </c>
      <c r="F1093" s="11" t="s">
        <v>346</v>
      </c>
      <c r="G1093" s="11" t="s">
        <v>347</v>
      </c>
      <c r="H1093" s="11" t="s">
        <v>20</v>
      </c>
      <c r="I1093" s="11" t="s">
        <v>346</v>
      </c>
      <c r="J1093" s="11" t="s">
        <v>97</v>
      </c>
      <c r="K1093" s="11" t="s">
        <v>107</v>
      </c>
      <c r="L1093" s="11" t="s">
        <v>982</v>
      </c>
      <c r="M1093" s="11" t="s">
        <v>100</v>
      </c>
      <c r="N1093" s="32" t="n">
        <v>10101</v>
      </c>
      <c r="O1093" s="33" t="n">
        <v>1344596.5</v>
      </c>
      <c r="P1093" s="32" t="n">
        <v>10101</v>
      </c>
      <c r="Q1093" s="34" t="n">
        <v>1</v>
      </c>
      <c r="R1093" s="33" t="n">
        <v>59.5</v>
      </c>
      <c r="S1093" s="33" t="n">
        <v>59.5</v>
      </c>
      <c r="T1093" s="33" t="n">
        <v>133.12</v>
      </c>
      <c r="U1093" s="11" t="n">
        <f aca="false">IFERROR(YEAR(A1093),"")</f>
        <v>2023</v>
      </c>
      <c r="V1093" s="33" t="n">
        <f aca="false">IFERROR(O1093*B1093,0)</f>
        <v>1344596.5</v>
      </c>
      <c r="W1093" s="32" t="n">
        <f aca="false">IFERROR(N1093*B1093,0)</f>
        <v>10101</v>
      </c>
      <c r="X1093" s="11" t="n">
        <f aca="false">IF(OR(ISNUMBER(SEARCH("live nation",L1093)),ISNUMBER(SEARCH("ocesa",L1093))),1,0)</f>
        <v>0</v>
      </c>
      <c r="Y1093" s="11" t="s">
        <v>49</v>
      </c>
    </row>
    <row r="1094" customFormat="false" ht="15" hidden="false" customHeight="false" outlineLevel="0" collapsed="false">
      <c r="A1094" s="25" t="n">
        <v>44923</v>
      </c>
      <c r="B1094" s="13" t="n">
        <v>1</v>
      </c>
      <c r="C1094" s="26" t="s">
        <v>62</v>
      </c>
      <c r="D1094" s="26"/>
      <c r="E1094" s="13" t="s">
        <v>1227</v>
      </c>
      <c r="F1094" s="13" t="s">
        <v>673</v>
      </c>
      <c r="G1094" s="13"/>
      <c r="H1094" s="13" t="s">
        <v>674</v>
      </c>
      <c r="I1094" s="13"/>
      <c r="J1094" s="13" t="s">
        <v>133</v>
      </c>
      <c r="K1094" s="13" t="s">
        <v>675</v>
      </c>
      <c r="L1094" s="13" t="s">
        <v>145</v>
      </c>
      <c r="M1094" s="13" t="s">
        <v>100</v>
      </c>
      <c r="N1094" s="27" t="n">
        <v>25079</v>
      </c>
      <c r="O1094" s="28" t="n">
        <v>3725916</v>
      </c>
      <c r="P1094" s="27" t="n">
        <v>28630</v>
      </c>
      <c r="Q1094" s="29" t="n">
        <v>0.87</v>
      </c>
      <c r="R1094" s="28" t="n">
        <v>66</v>
      </c>
      <c r="S1094" s="28" t="n">
        <v>180</v>
      </c>
      <c r="T1094" s="28" t="n">
        <v>148.57</v>
      </c>
      <c r="U1094" s="13" t="n">
        <f aca="false">IFERROR(YEAR(A1094),"")</f>
        <v>2022</v>
      </c>
      <c r="V1094" s="28" t="n">
        <f aca="false">IFERROR(O1094*B1094,0)</f>
        <v>3725916</v>
      </c>
      <c r="W1094" s="27" t="n">
        <f aca="false">IFERROR(N1094*B1094,0)</f>
        <v>25079</v>
      </c>
      <c r="X1094" s="13" t="n">
        <f aca="false">IF(OR(ISNUMBER(SEARCH("live nation",L1094)),ISNUMBER(SEARCH("ocesa",L1094))),1,0)</f>
        <v>0</v>
      </c>
      <c r="Y1094" s="13" t="s">
        <v>50</v>
      </c>
    </row>
    <row r="1095" customFormat="false" ht="15" hidden="false" customHeight="false" outlineLevel="0" collapsed="false">
      <c r="A1095" s="30" t="n">
        <v>44912</v>
      </c>
      <c r="B1095" s="11" t="n">
        <v>1</v>
      </c>
      <c r="C1095" s="31" t="s">
        <v>62</v>
      </c>
      <c r="D1095" s="31"/>
      <c r="E1095" s="11" t="s">
        <v>1152</v>
      </c>
      <c r="F1095" s="11" t="s">
        <v>284</v>
      </c>
      <c r="G1095" s="11"/>
      <c r="H1095" s="11" t="s">
        <v>285</v>
      </c>
      <c r="I1095" s="11"/>
      <c r="J1095" s="11" t="s">
        <v>97</v>
      </c>
      <c r="K1095" s="11" t="s">
        <v>134</v>
      </c>
      <c r="L1095" s="11" t="s">
        <v>145</v>
      </c>
      <c r="M1095" s="11" t="s">
        <v>100</v>
      </c>
      <c r="N1095" s="32" t="n">
        <v>39480</v>
      </c>
      <c r="O1095" s="33" t="n">
        <v>5579770.15</v>
      </c>
      <c r="P1095" s="32" t="n">
        <v>39499</v>
      </c>
      <c r="Q1095" s="34" t="n">
        <v>0.99</v>
      </c>
      <c r="R1095" s="33" t="n">
        <v>36.33</v>
      </c>
      <c r="S1095" s="33" t="n">
        <v>283.8</v>
      </c>
      <c r="T1095" s="33" t="n">
        <v>141.33</v>
      </c>
      <c r="U1095" s="11" t="n">
        <f aca="false">IFERROR(YEAR(A1095),"")</f>
        <v>2022</v>
      </c>
      <c r="V1095" s="33" t="n">
        <f aca="false">IFERROR(O1095*B1095,0)</f>
        <v>5579770.15</v>
      </c>
      <c r="W1095" s="32" t="n">
        <f aca="false">IFERROR(N1095*B1095,0)</f>
        <v>39480</v>
      </c>
      <c r="X1095" s="11" t="n">
        <f aca="false">IF(OR(ISNUMBER(SEARCH("live nation",L1095)),ISNUMBER(SEARCH("ocesa",L1095))),1,0)</f>
        <v>0</v>
      </c>
      <c r="Y1095" s="11" t="s">
        <v>50</v>
      </c>
    </row>
    <row r="1096" customFormat="false" ht="15" hidden="false" customHeight="false" outlineLevel="0" collapsed="false">
      <c r="A1096" s="25" t="n">
        <v>44910</v>
      </c>
      <c r="B1096" s="13" t="n">
        <v>1</v>
      </c>
      <c r="C1096" s="26" t="s">
        <v>1228</v>
      </c>
      <c r="D1096" s="26"/>
      <c r="E1096" s="13" t="s">
        <v>1123</v>
      </c>
      <c r="F1096" s="13" t="s">
        <v>295</v>
      </c>
      <c r="G1096" s="13"/>
      <c r="H1096" s="13" t="s">
        <v>28</v>
      </c>
      <c r="I1096" s="13"/>
      <c r="J1096" s="13" t="s">
        <v>106</v>
      </c>
      <c r="K1096" s="13" t="s">
        <v>98</v>
      </c>
      <c r="L1096" s="13" t="s">
        <v>1229</v>
      </c>
      <c r="M1096" s="13" t="s">
        <v>277</v>
      </c>
      <c r="N1096" s="27" t="n">
        <v>1890</v>
      </c>
      <c r="O1096" s="28" t="n">
        <v>104701.02</v>
      </c>
      <c r="P1096" s="27" t="n">
        <v>1900</v>
      </c>
      <c r="Q1096" s="29" t="n">
        <v>0.99</v>
      </c>
      <c r="R1096" s="28" t="n">
        <v>53.8</v>
      </c>
      <c r="S1096" s="28" t="n">
        <v>53.8</v>
      </c>
      <c r="T1096" s="28" t="n">
        <v>55.4</v>
      </c>
      <c r="U1096" s="13" t="n">
        <f aca="false">IFERROR(YEAR(A1096),"")</f>
        <v>2022</v>
      </c>
      <c r="V1096" s="28" t="n">
        <f aca="false">IFERROR(O1096*B1096,0)</f>
        <v>104701.02</v>
      </c>
      <c r="W1096" s="27" t="n">
        <f aca="false">IFERROR(N1096*B1096,0)</f>
        <v>1890</v>
      </c>
      <c r="X1096" s="13" t="n">
        <f aca="false">IF(OR(ISNUMBER(SEARCH("live nation",L1096)),ISNUMBER(SEARCH("ocesa",L1096))),1,0)</f>
        <v>0</v>
      </c>
      <c r="Y1096" s="13" t="s">
        <v>49</v>
      </c>
    </row>
    <row r="1097" customFormat="false" ht="15" hidden="false" customHeight="false" outlineLevel="0" collapsed="false">
      <c r="A1097" s="30" t="n">
        <v>44907</v>
      </c>
      <c r="B1097" s="11" t="n">
        <v>2</v>
      </c>
      <c r="C1097" s="31" t="s">
        <v>69</v>
      </c>
      <c r="D1097" s="31"/>
      <c r="E1097" s="11" t="s">
        <v>551</v>
      </c>
      <c r="F1097" s="11" t="s">
        <v>552</v>
      </c>
      <c r="G1097" s="11"/>
      <c r="H1097" s="11" t="s">
        <v>26</v>
      </c>
      <c r="I1097" s="11"/>
      <c r="J1097" s="11" t="s">
        <v>97</v>
      </c>
      <c r="K1097" s="11" t="s">
        <v>173</v>
      </c>
      <c r="L1097" s="11" t="s">
        <v>531</v>
      </c>
      <c r="M1097" s="11" t="s">
        <v>100</v>
      </c>
      <c r="N1097" s="32" t="n">
        <v>15349</v>
      </c>
      <c r="O1097" s="33" t="n">
        <v>2246825.11</v>
      </c>
      <c r="P1097" s="32" t="n">
        <v>15790</v>
      </c>
      <c r="Q1097" s="34" t="n">
        <v>0.97</v>
      </c>
      <c r="R1097" s="33" t="n">
        <v>69.94</v>
      </c>
      <c r="S1097" s="33" t="n">
        <v>206.71</v>
      </c>
      <c r="T1097" s="33" t="n">
        <v>146.38</v>
      </c>
      <c r="U1097" s="11" t="n">
        <f aca="false">IFERROR(YEAR(A1097),"")</f>
        <v>2022</v>
      </c>
      <c r="V1097" s="33" t="n">
        <f aca="false">IFERROR(O1097*B1097,0)</f>
        <v>4493650.22</v>
      </c>
      <c r="W1097" s="32" t="n">
        <f aca="false">IFERROR(N1097*B1097,0)</f>
        <v>30698</v>
      </c>
      <c r="X1097" s="11" t="n">
        <f aca="false">IF(OR(ISNUMBER(SEARCH("live nation",L1097)),ISNUMBER(SEARCH("ocesa",L1097))),1,0)</f>
        <v>0</v>
      </c>
      <c r="Y1097" s="11" t="s">
        <v>49</v>
      </c>
    </row>
    <row r="1098" customFormat="false" ht="15" hidden="false" customHeight="false" outlineLevel="0" collapsed="false">
      <c r="A1098" s="25" t="n">
        <v>44903</v>
      </c>
      <c r="B1098" s="13" t="n">
        <v>1</v>
      </c>
      <c r="C1098" s="26" t="s">
        <v>69</v>
      </c>
      <c r="D1098" s="26"/>
      <c r="E1098" s="13" t="s">
        <v>845</v>
      </c>
      <c r="F1098" s="13" t="s">
        <v>455</v>
      </c>
      <c r="G1098" s="13"/>
      <c r="H1098" s="13" t="s">
        <v>350</v>
      </c>
      <c r="I1098" s="13"/>
      <c r="J1098" s="13" t="s">
        <v>97</v>
      </c>
      <c r="K1098" s="13" t="s">
        <v>173</v>
      </c>
      <c r="L1098" s="13" t="s">
        <v>846</v>
      </c>
      <c r="M1098" s="13" t="s">
        <v>100</v>
      </c>
      <c r="N1098" s="27" t="n">
        <v>15347</v>
      </c>
      <c r="O1098" s="28" t="n">
        <v>1425352.23</v>
      </c>
      <c r="P1098" s="27" t="n">
        <v>15899</v>
      </c>
      <c r="Q1098" s="29" t="n">
        <v>0.96</v>
      </c>
      <c r="R1098" s="28" t="n">
        <v>79.78</v>
      </c>
      <c r="S1098" s="28" t="n">
        <v>205.15</v>
      </c>
      <c r="T1098" s="28" t="n">
        <v>92.87</v>
      </c>
      <c r="U1098" s="13" t="n">
        <f aca="false">IFERROR(YEAR(A1098),"")</f>
        <v>2022</v>
      </c>
      <c r="V1098" s="28" t="n">
        <f aca="false">IFERROR(O1098*B1098,0)</f>
        <v>1425352.23</v>
      </c>
      <c r="W1098" s="27" t="n">
        <f aca="false">IFERROR(N1098*B1098,0)</f>
        <v>15347</v>
      </c>
      <c r="X1098" s="13" t="n">
        <f aca="false">IF(OR(ISNUMBER(SEARCH("live nation",L1098)),ISNUMBER(SEARCH("ocesa",L1098))),1,0)</f>
        <v>0</v>
      </c>
      <c r="Y1098" s="13" t="s">
        <v>49</v>
      </c>
    </row>
    <row r="1099" customFormat="false" ht="15" hidden="false" customHeight="false" outlineLevel="0" collapsed="false">
      <c r="A1099" s="30" t="n">
        <v>44898</v>
      </c>
      <c r="B1099" s="11" t="n">
        <v>2</v>
      </c>
      <c r="C1099" s="31" t="s">
        <v>62</v>
      </c>
      <c r="D1099" s="31"/>
      <c r="E1099" s="11" t="s">
        <v>1230</v>
      </c>
      <c r="F1099" s="11" t="s">
        <v>423</v>
      </c>
      <c r="G1099" s="11"/>
      <c r="H1099" s="11" t="s">
        <v>21</v>
      </c>
      <c r="I1099" s="11"/>
      <c r="J1099" s="11" t="s">
        <v>133</v>
      </c>
      <c r="K1099" s="11" t="s">
        <v>113</v>
      </c>
      <c r="L1099" s="11" t="s">
        <v>145</v>
      </c>
      <c r="M1099" s="11" t="s">
        <v>100</v>
      </c>
      <c r="N1099" s="32" t="n">
        <v>40822</v>
      </c>
      <c r="O1099" s="33" t="n">
        <v>3171109.34</v>
      </c>
      <c r="P1099" s="32" t="n">
        <v>40822</v>
      </c>
      <c r="Q1099" s="34" t="n">
        <v>1</v>
      </c>
      <c r="R1099" s="33" t="n">
        <v>70.77</v>
      </c>
      <c r="S1099" s="33" t="n">
        <v>134.8</v>
      </c>
      <c r="T1099" s="33" t="n">
        <v>77.68</v>
      </c>
      <c r="U1099" s="11" t="n">
        <f aca="false">IFERROR(YEAR(A1099),"")</f>
        <v>2022</v>
      </c>
      <c r="V1099" s="33" t="n">
        <f aca="false">IFERROR(O1099*B1099,0)</f>
        <v>6342218.68</v>
      </c>
      <c r="W1099" s="32" t="n">
        <f aca="false">IFERROR(N1099*B1099,0)</f>
        <v>81644</v>
      </c>
      <c r="X1099" s="11" t="n">
        <f aca="false">IF(OR(ISNUMBER(SEARCH("live nation",L1099)),ISNUMBER(SEARCH("ocesa",L1099))),1,0)</f>
        <v>0</v>
      </c>
      <c r="Y1099" s="11" t="s">
        <v>50</v>
      </c>
    </row>
    <row r="1100" customFormat="false" ht="15" hidden="false" customHeight="false" outlineLevel="0" collapsed="false">
      <c r="A1100" s="25" t="n">
        <v>44897</v>
      </c>
      <c r="B1100" s="13" t="n">
        <v>1</v>
      </c>
      <c r="C1100" s="26" t="s">
        <v>71</v>
      </c>
      <c r="D1100" s="26"/>
      <c r="E1100" s="13" t="s">
        <v>1231</v>
      </c>
      <c r="F1100" s="13" t="s">
        <v>327</v>
      </c>
      <c r="G1100" s="13" t="s">
        <v>328</v>
      </c>
      <c r="H1100" s="13" t="s">
        <v>128</v>
      </c>
      <c r="I1100" s="13"/>
      <c r="J1100" s="13" t="s">
        <v>97</v>
      </c>
      <c r="K1100" s="13" t="s">
        <v>129</v>
      </c>
      <c r="L1100" s="13" t="s">
        <v>531</v>
      </c>
      <c r="M1100" s="13" t="s">
        <v>100</v>
      </c>
      <c r="N1100" s="27" t="n">
        <v>10806</v>
      </c>
      <c r="O1100" s="28" t="n">
        <v>1491147.19</v>
      </c>
      <c r="P1100" s="27" t="n">
        <v>11728</v>
      </c>
      <c r="Q1100" s="29" t="n">
        <v>0.92</v>
      </c>
      <c r="R1100" s="28" t="n">
        <v>52.12</v>
      </c>
      <c r="S1100" s="28" t="n">
        <v>277.6</v>
      </c>
      <c r="T1100" s="28" t="n">
        <v>137.99</v>
      </c>
      <c r="U1100" s="13" t="n">
        <f aca="false">IFERROR(YEAR(A1100),"")</f>
        <v>2022</v>
      </c>
      <c r="V1100" s="28" t="n">
        <f aca="false">IFERROR(O1100*B1100,0)</f>
        <v>1491147.19</v>
      </c>
      <c r="W1100" s="27" t="n">
        <f aca="false">IFERROR(N1100*B1100,0)</f>
        <v>10806</v>
      </c>
      <c r="X1100" s="13" t="n">
        <f aca="false">IF(OR(ISNUMBER(SEARCH("live nation",L1100)),ISNUMBER(SEARCH("ocesa",L1100))),1,0)</f>
        <v>0</v>
      </c>
      <c r="Y1100" s="13" t="s">
        <v>49</v>
      </c>
    </row>
    <row r="1101" customFormat="false" ht="15" hidden="false" customHeight="false" outlineLevel="0" collapsed="false">
      <c r="A1101" s="30" t="n">
        <v>44892</v>
      </c>
      <c r="B1101" s="11" t="n">
        <v>2</v>
      </c>
      <c r="C1101" s="31" t="s">
        <v>71</v>
      </c>
      <c r="D1101" s="31"/>
      <c r="E1101" s="11" t="s">
        <v>506</v>
      </c>
      <c r="F1101" s="11" t="s">
        <v>507</v>
      </c>
      <c r="G1101" s="11" t="s">
        <v>221</v>
      </c>
      <c r="H1101" s="11" t="s">
        <v>20</v>
      </c>
      <c r="I1101" s="11" t="s">
        <v>139</v>
      </c>
      <c r="J1101" s="11" t="s">
        <v>97</v>
      </c>
      <c r="K1101" s="11" t="s">
        <v>107</v>
      </c>
      <c r="L1101" s="11" t="s">
        <v>531</v>
      </c>
      <c r="M1101" s="11" t="s">
        <v>100</v>
      </c>
      <c r="N1101" s="32" t="n">
        <v>10963</v>
      </c>
      <c r="O1101" s="33" t="n">
        <v>1613007</v>
      </c>
      <c r="P1101" s="32" t="n">
        <v>10963</v>
      </c>
      <c r="Q1101" s="34" t="n">
        <v>1</v>
      </c>
      <c r="R1101" s="33" t="n">
        <v>54.5</v>
      </c>
      <c r="S1101" s="33" t="n">
        <v>280.5</v>
      </c>
      <c r="T1101" s="33" t="n">
        <v>147.13</v>
      </c>
      <c r="U1101" s="11" t="n">
        <f aca="false">IFERROR(YEAR(A1101),"")</f>
        <v>2022</v>
      </c>
      <c r="V1101" s="33" t="n">
        <f aca="false">IFERROR(O1101*B1101,0)</f>
        <v>3226014</v>
      </c>
      <c r="W1101" s="32" t="n">
        <f aca="false">IFERROR(N1101*B1101,0)</f>
        <v>21926</v>
      </c>
      <c r="X1101" s="11" t="n">
        <f aca="false">IF(OR(ISNUMBER(SEARCH("live nation",L1101)),ISNUMBER(SEARCH("ocesa",L1101))),1,0)</f>
        <v>0</v>
      </c>
      <c r="Y1101" s="11" t="s">
        <v>49</v>
      </c>
    </row>
    <row r="1102" customFormat="false" ht="15" hidden="false" customHeight="false" outlineLevel="0" collapsed="false">
      <c r="A1102" s="25" t="n">
        <v>44891</v>
      </c>
      <c r="B1102" s="13" t="n">
        <v>2</v>
      </c>
      <c r="C1102" s="26" t="s">
        <v>62</v>
      </c>
      <c r="D1102" s="26"/>
      <c r="E1102" s="13" t="s">
        <v>184</v>
      </c>
      <c r="F1102" s="13" t="s">
        <v>185</v>
      </c>
      <c r="G1102" s="13"/>
      <c r="H1102" s="13" t="s">
        <v>21</v>
      </c>
      <c r="I1102" s="13"/>
      <c r="J1102" s="13" t="s">
        <v>133</v>
      </c>
      <c r="K1102" s="13" t="s">
        <v>113</v>
      </c>
      <c r="L1102" s="13" t="s">
        <v>145</v>
      </c>
      <c r="M1102" s="13" t="s">
        <v>100</v>
      </c>
      <c r="N1102" s="27" t="n">
        <v>46031</v>
      </c>
      <c r="O1102" s="28" t="n">
        <v>3582727.88</v>
      </c>
      <c r="P1102" s="27" t="n">
        <v>46031</v>
      </c>
      <c r="Q1102" s="29" t="n">
        <v>1</v>
      </c>
      <c r="R1102" s="28" t="n">
        <v>70.77</v>
      </c>
      <c r="S1102" s="28" t="n">
        <v>134.8</v>
      </c>
      <c r="T1102" s="28" t="n">
        <v>77.83</v>
      </c>
      <c r="U1102" s="13" t="n">
        <f aca="false">IFERROR(YEAR(A1102),"")</f>
        <v>2022</v>
      </c>
      <c r="V1102" s="28" t="n">
        <f aca="false">IFERROR(O1102*B1102,0)</f>
        <v>7165455.76</v>
      </c>
      <c r="W1102" s="27" t="n">
        <f aca="false">IFERROR(N1102*B1102,0)</f>
        <v>92062</v>
      </c>
      <c r="X1102" s="13" t="n">
        <f aca="false">IF(OR(ISNUMBER(SEARCH("live nation",L1102)),ISNUMBER(SEARCH("ocesa",L1102))),1,0)</f>
        <v>0</v>
      </c>
      <c r="Y1102" s="13" t="s">
        <v>50</v>
      </c>
    </row>
    <row r="1103" customFormat="false" ht="15" hidden="false" customHeight="false" outlineLevel="0" collapsed="false">
      <c r="A1103" s="30" t="n">
        <v>44884</v>
      </c>
      <c r="B1103" s="11" t="n">
        <v>1</v>
      </c>
      <c r="C1103" s="31" t="s">
        <v>729</v>
      </c>
      <c r="D1103" s="31"/>
      <c r="E1103" s="11" t="s">
        <v>196</v>
      </c>
      <c r="F1103" s="11" t="s">
        <v>197</v>
      </c>
      <c r="G1103" s="11" t="s">
        <v>139</v>
      </c>
      <c r="H1103" s="11" t="s">
        <v>20</v>
      </c>
      <c r="I1103" s="11" t="s">
        <v>139</v>
      </c>
      <c r="J1103" s="11" t="s">
        <v>97</v>
      </c>
      <c r="K1103" s="11" t="s">
        <v>107</v>
      </c>
      <c r="L1103" s="11" t="s">
        <v>322</v>
      </c>
      <c r="M1103" s="11" t="s">
        <v>100</v>
      </c>
      <c r="N1103" s="32" t="n">
        <v>11687</v>
      </c>
      <c r="O1103" s="33" t="n">
        <v>2784695</v>
      </c>
      <c r="P1103" s="32" t="n">
        <v>11687</v>
      </c>
      <c r="Q1103" s="34" t="n">
        <v>1</v>
      </c>
      <c r="R1103" s="33" t="n">
        <v>88</v>
      </c>
      <c r="S1103" s="33" t="n">
        <v>388</v>
      </c>
      <c r="T1103" s="33" t="n">
        <v>238.27</v>
      </c>
      <c r="U1103" s="11" t="n">
        <f aca="false">IFERROR(YEAR(A1103),"")</f>
        <v>2022</v>
      </c>
      <c r="V1103" s="33" t="n">
        <f aca="false">IFERROR(O1103*B1103,0)</f>
        <v>2784695</v>
      </c>
      <c r="W1103" s="32" t="n">
        <f aca="false">IFERROR(N1103*B1103,0)</f>
        <v>11687</v>
      </c>
      <c r="X1103" s="11" t="n">
        <f aca="false">IF(OR(ISNUMBER(SEARCH("live nation",L1103)),ISNUMBER(SEARCH("ocesa",L1103))),1,0)</f>
        <v>0</v>
      </c>
      <c r="Y1103" s="11" t="s">
        <v>49</v>
      </c>
    </row>
    <row r="1104" customFormat="false" ht="15" hidden="false" customHeight="false" outlineLevel="0" collapsed="false">
      <c r="A1104" s="25" t="n">
        <v>44884</v>
      </c>
      <c r="B1104" s="13" t="n">
        <v>2</v>
      </c>
      <c r="C1104" s="26" t="s">
        <v>69</v>
      </c>
      <c r="D1104" s="26"/>
      <c r="E1104" s="13" t="s">
        <v>1198</v>
      </c>
      <c r="F1104" s="13" t="s">
        <v>203</v>
      </c>
      <c r="G1104" s="13" t="s">
        <v>202</v>
      </c>
      <c r="H1104" s="13" t="s">
        <v>20</v>
      </c>
      <c r="I1104" s="13" t="s">
        <v>203</v>
      </c>
      <c r="J1104" s="13" t="s">
        <v>133</v>
      </c>
      <c r="K1104" s="13" t="s">
        <v>107</v>
      </c>
      <c r="L1104" s="13" t="s">
        <v>531</v>
      </c>
      <c r="M1104" s="13" t="s">
        <v>100</v>
      </c>
      <c r="N1104" s="27" t="n">
        <v>23147</v>
      </c>
      <c r="O1104" s="28" t="n">
        <v>7673483</v>
      </c>
      <c r="P1104" s="27" t="n">
        <v>23148</v>
      </c>
      <c r="Q1104" s="29" t="n">
        <v>0.99</v>
      </c>
      <c r="R1104" s="28" t="n">
        <v>331.5</v>
      </c>
      <c r="S1104" s="28" t="n">
        <v>331.5</v>
      </c>
      <c r="T1104" s="28" t="n">
        <v>331.5</v>
      </c>
      <c r="U1104" s="13" t="n">
        <f aca="false">IFERROR(YEAR(A1104),"")</f>
        <v>2022</v>
      </c>
      <c r="V1104" s="28" t="n">
        <f aca="false">IFERROR(O1104*B1104,0)</f>
        <v>15346966</v>
      </c>
      <c r="W1104" s="27" t="n">
        <f aca="false">IFERROR(N1104*B1104,0)</f>
        <v>46294</v>
      </c>
      <c r="X1104" s="13" t="n">
        <f aca="false">IF(OR(ISNUMBER(SEARCH("live nation",L1104)),ISNUMBER(SEARCH("ocesa",L1104))),1,0)</f>
        <v>0</v>
      </c>
      <c r="Y1104" s="13" t="s">
        <v>49</v>
      </c>
    </row>
    <row r="1105" customFormat="false" ht="15" hidden="false" customHeight="false" outlineLevel="0" collapsed="false">
      <c r="A1105" s="30" t="n">
        <v>44884</v>
      </c>
      <c r="B1105" s="11" t="n">
        <v>2</v>
      </c>
      <c r="C1105" s="31" t="s">
        <v>62</v>
      </c>
      <c r="D1105" s="31"/>
      <c r="E1105" s="11" t="s">
        <v>369</v>
      </c>
      <c r="F1105" s="11" t="s">
        <v>370</v>
      </c>
      <c r="G1105" s="11"/>
      <c r="H1105" s="11" t="s">
        <v>21</v>
      </c>
      <c r="I1105" s="11"/>
      <c r="J1105" s="11" t="s">
        <v>133</v>
      </c>
      <c r="K1105" s="11" t="s">
        <v>113</v>
      </c>
      <c r="L1105" s="11" t="s">
        <v>145</v>
      </c>
      <c r="M1105" s="11" t="s">
        <v>100</v>
      </c>
      <c r="N1105" s="32" t="n">
        <v>39296</v>
      </c>
      <c r="O1105" s="33" t="n">
        <v>2991363.65</v>
      </c>
      <c r="P1105" s="32" t="n">
        <v>39296</v>
      </c>
      <c r="Q1105" s="34" t="n">
        <v>1</v>
      </c>
      <c r="R1105" s="33" t="n">
        <v>70.77</v>
      </c>
      <c r="S1105" s="33" t="n">
        <v>134.8</v>
      </c>
      <c r="T1105" s="33" t="n">
        <v>76.12</v>
      </c>
      <c r="U1105" s="11" t="n">
        <f aca="false">IFERROR(YEAR(A1105),"")</f>
        <v>2022</v>
      </c>
      <c r="V1105" s="33" t="n">
        <f aca="false">IFERROR(O1105*B1105,0)</f>
        <v>5982727.3</v>
      </c>
      <c r="W1105" s="32" t="n">
        <f aca="false">IFERROR(N1105*B1105,0)</f>
        <v>78592</v>
      </c>
      <c r="X1105" s="11" t="n">
        <f aca="false">IF(OR(ISNUMBER(SEARCH("live nation",L1105)),ISNUMBER(SEARCH("ocesa",L1105))),1,0)</f>
        <v>0</v>
      </c>
      <c r="Y1105" s="11" t="s">
        <v>50</v>
      </c>
    </row>
    <row r="1106" customFormat="false" ht="15" hidden="false" customHeight="false" outlineLevel="0" collapsed="false">
      <c r="A1106" s="25" t="n">
        <v>44881</v>
      </c>
      <c r="B1106" s="13" t="n">
        <v>1</v>
      </c>
      <c r="C1106" s="26" t="s">
        <v>71</v>
      </c>
      <c r="D1106" s="26"/>
      <c r="E1106" s="13" t="s">
        <v>501</v>
      </c>
      <c r="F1106" s="13" t="s">
        <v>502</v>
      </c>
      <c r="G1106" s="13" t="s">
        <v>143</v>
      </c>
      <c r="H1106" s="13" t="s">
        <v>20</v>
      </c>
      <c r="I1106" s="13" t="s">
        <v>375</v>
      </c>
      <c r="J1106" s="13" t="s">
        <v>97</v>
      </c>
      <c r="K1106" s="13" t="s">
        <v>107</v>
      </c>
      <c r="L1106" s="13" t="s">
        <v>531</v>
      </c>
      <c r="M1106" s="13" t="s">
        <v>100</v>
      </c>
      <c r="N1106" s="27" t="n">
        <v>11023</v>
      </c>
      <c r="O1106" s="28" t="n">
        <v>1476046</v>
      </c>
      <c r="P1106" s="27" t="n">
        <v>11291</v>
      </c>
      <c r="Q1106" s="29" t="n">
        <v>0.97</v>
      </c>
      <c r="R1106" s="28" t="n">
        <v>54</v>
      </c>
      <c r="S1106" s="28" t="n">
        <v>280</v>
      </c>
      <c r="T1106" s="28" t="n">
        <v>133.91</v>
      </c>
      <c r="U1106" s="13" t="n">
        <f aca="false">IFERROR(YEAR(A1106),"")</f>
        <v>2022</v>
      </c>
      <c r="V1106" s="28" t="n">
        <f aca="false">IFERROR(O1106*B1106,0)</f>
        <v>1476046</v>
      </c>
      <c r="W1106" s="27" t="n">
        <f aca="false">IFERROR(N1106*B1106,0)</f>
        <v>11023</v>
      </c>
      <c r="X1106" s="13" t="n">
        <f aca="false">IF(OR(ISNUMBER(SEARCH("live nation",L1106)),ISNUMBER(SEARCH("ocesa",L1106))),1,0)</f>
        <v>0</v>
      </c>
      <c r="Y1106" s="13" t="s">
        <v>49</v>
      </c>
    </row>
    <row r="1107" customFormat="false" ht="15" hidden="false" customHeight="false" outlineLevel="0" collapsed="false">
      <c r="A1107" s="30" t="n">
        <v>44880</v>
      </c>
      <c r="B1107" s="11" t="n">
        <v>2</v>
      </c>
      <c r="C1107" s="31" t="s">
        <v>64</v>
      </c>
      <c r="D1107" s="31"/>
      <c r="E1107" s="11" t="s">
        <v>781</v>
      </c>
      <c r="F1107" s="11" t="s">
        <v>112</v>
      </c>
      <c r="G1107" s="11"/>
      <c r="H1107" s="11" t="s">
        <v>21</v>
      </c>
      <c r="I1107" s="11"/>
      <c r="J1107" s="11" t="s">
        <v>97</v>
      </c>
      <c r="K1107" s="11" t="s">
        <v>113</v>
      </c>
      <c r="L1107" s="11" t="s">
        <v>145</v>
      </c>
      <c r="M1107" s="11" t="s">
        <v>100</v>
      </c>
      <c r="N1107" s="32" t="n">
        <v>11361</v>
      </c>
      <c r="O1107" s="33" t="n">
        <v>821608</v>
      </c>
      <c r="P1107" s="32" t="n">
        <v>11361</v>
      </c>
      <c r="Q1107" s="34" t="n">
        <v>1</v>
      </c>
      <c r="R1107" s="33" t="n">
        <v>64.03</v>
      </c>
      <c r="S1107" s="33" t="n">
        <v>74.14</v>
      </c>
      <c r="T1107" s="33" t="n">
        <v>72.32</v>
      </c>
      <c r="U1107" s="11" t="n">
        <f aca="false">IFERROR(YEAR(A1107),"")</f>
        <v>2022</v>
      </c>
      <c r="V1107" s="33" t="n">
        <f aca="false">IFERROR(O1107*B1107,0)</f>
        <v>1643216</v>
      </c>
      <c r="W1107" s="32" t="n">
        <f aca="false">IFERROR(N1107*B1107,0)</f>
        <v>22722</v>
      </c>
      <c r="X1107" s="11" t="n">
        <f aca="false">IF(OR(ISNUMBER(SEARCH("live nation",L1107)),ISNUMBER(SEARCH("ocesa",L1107))),1,0)</f>
        <v>0</v>
      </c>
      <c r="Y1107" s="11" t="s">
        <v>50</v>
      </c>
    </row>
    <row r="1108" customFormat="false" ht="15" hidden="false" customHeight="false" outlineLevel="0" collapsed="false">
      <c r="A1108" s="25" t="n">
        <v>44879</v>
      </c>
      <c r="B1108" s="13" t="n">
        <v>2</v>
      </c>
      <c r="C1108" s="26" t="s">
        <v>69</v>
      </c>
      <c r="D1108" s="26"/>
      <c r="E1108" s="13" t="s">
        <v>506</v>
      </c>
      <c r="F1108" s="13" t="s">
        <v>507</v>
      </c>
      <c r="G1108" s="13" t="s">
        <v>221</v>
      </c>
      <c r="H1108" s="13" t="s">
        <v>20</v>
      </c>
      <c r="I1108" s="13" t="s">
        <v>139</v>
      </c>
      <c r="J1108" s="13" t="s">
        <v>97</v>
      </c>
      <c r="K1108" s="13" t="s">
        <v>107</v>
      </c>
      <c r="L1108" s="13" t="s">
        <v>531</v>
      </c>
      <c r="M1108" s="13" t="s">
        <v>100</v>
      </c>
      <c r="N1108" s="27" t="n">
        <v>11964</v>
      </c>
      <c r="O1108" s="28" t="n">
        <v>3297758.38</v>
      </c>
      <c r="P1108" s="27" t="n">
        <v>11964</v>
      </c>
      <c r="Q1108" s="29" t="n">
        <v>1</v>
      </c>
      <c r="R1108" s="28" t="n">
        <v>79.5</v>
      </c>
      <c r="S1108" s="28" t="n">
        <v>1250</v>
      </c>
      <c r="T1108" s="28" t="n">
        <v>275.64</v>
      </c>
      <c r="U1108" s="13" t="n">
        <f aca="false">IFERROR(YEAR(A1108),"")</f>
        <v>2022</v>
      </c>
      <c r="V1108" s="28" t="n">
        <f aca="false">IFERROR(O1108*B1108,0)</f>
        <v>6595516.76</v>
      </c>
      <c r="W1108" s="27" t="n">
        <f aca="false">IFERROR(N1108*B1108,0)</f>
        <v>23928</v>
      </c>
      <c r="X1108" s="13" t="n">
        <f aca="false">IF(OR(ISNUMBER(SEARCH("live nation",L1108)),ISNUMBER(SEARCH("ocesa",L1108))),1,0)</f>
        <v>0</v>
      </c>
      <c r="Y1108" s="13" t="s">
        <v>49</v>
      </c>
    </row>
    <row r="1109" customFormat="false" ht="15" hidden="false" customHeight="false" outlineLevel="0" collapsed="false">
      <c r="A1109" s="30" t="n">
        <v>44878</v>
      </c>
      <c r="B1109" s="11" t="n">
        <v>1</v>
      </c>
      <c r="C1109" s="31" t="s">
        <v>1009</v>
      </c>
      <c r="D1109" s="31"/>
      <c r="E1109" s="11" t="s">
        <v>1232</v>
      </c>
      <c r="F1109" s="11" t="s">
        <v>139</v>
      </c>
      <c r="G1109" s="11" t="s">
        <v>139</v>
      </c>
      <c r="H1109" s="11" t="s">
        <v>20</v>
      </c>
      <c r="I1109" s="11" t="s">
        <v>139</v>
      </c>
      <c r="J1109" s="11" t="s">
        <v>121</v>
      </c>
      <c r="K1109" s="11" t="s">
        <v>107</v>
      </c>
      <c r="L1109" s="11" t="s">
        <v>177</v>
      </c>
      <c r="M1109" s="11" t="s">
        <v>100</v>
      </c>
      <c r="N1109" s="32" t="n">
        <v>5266</v>
      </c>
      <c r="O1109" s="33" t="n">
        <v>458866.5</v>
      </c>
      <c r="P1109" s="32" t="n">
        <v>5266</v>
      </c>
      <c r="Q1109" s="34" t="n">
        <v>1</v>
      </c>
      <c r="R1109" s="33" t="n">
        <v>59.5</v>
      </c>
      <c r="S1109" s="33" t="n">
        <v>159.5</v>
      </c>
      <c r="T1109" s="33" t="n">
        <v>87.14</v>
      </c>
      <c r="U1109" s="11" t="n">
        <f aca="false">IFERROR(YEAR(A1109),"")</f>
        <v>2022</v>
      </c>
      <c r="V1109" s="33" t="n">
        <f aca="false">IFERROR(O1109*B1109,0)</f>
        <v>458866.5</v>
      </c>
      <c r="W1109" s="32" t="n">
        <f aca="false">IFERROR(N1109*B1109,0)</f>
        <v>5266</v>
      </c>
      <c r="X1109" s="11" t="n">
        <f aca="false">IF(OR(ISNUMBER(SEARCH("live nation",L1109)),ISNUMBER(SEARCH("ocesa",L1109))),1,0)</f>
        <v>1</v>
      </c>
      <c r="Y1109" s="11" t="s">
        <v>49</v>
      </c>
    </row>
    <row r="1110" customFormat="false" ht="15" hidden="false" customHeight="false" outlineLevel="0" collapsed="false">
      <c r="A1110" s="25" t="n">
        <v>44877</v>
      </c>
      <c r="B1110" s="13" t="n">
        <v>2</v>
      </c>
      <c r="C1110" s="26" t="s">
        <v>729</v>
      </c>
      <c r="D1110" s="26"/>
      <c r="E1110" s="13" t="s">
        <v>792</v>
      </c>
      <c r="F1110" s="13" t="s">
        <v>395</v>
      </c>
      <c r="G1110" s="13" t="s">
        <v>396</v>
      </c>
      <c r="H1110" s="13" t="s">
        <v>20</v>
      </c>
      <c r="I1110" s="13" t="s">
        <v>395</v>
      </c>
      <c r="J1110" s="13" t="s">
        <v>97</v>
      </c>
      <c r="K1110" s="13" t="s">
        <v>107</v>
      </c>
      <c r="L1110" s="13" t="s">
        <v>322</v>
      </c>
      <c r="M1110" s="13" t="s">
        <v>100</v>
      </c>
      <c r="N1110" s="27" t="n">
        <v>9999</v>
      </c>
      <c r="O1110" s="28" t="n">
        <v>2402609</v>
      </c>
      <c r="P1110" s="27" t="n">
        <v>9999</v>
      </c>
      <c r="Q1110" s="29" t="n">
        <v>1</v>
      </c>
      <c r="R1110" s="28" t="n">
        <v>99.92</v>
      </c>
      <c r="S1110" s="28" t="n">
        <v>426.92</v>
      </c>
      <c r="T1110" s="28" t="n">
        <v>240.28</v>
      </c>
      <c r="U1110" s="13" t="n">
        <f aca="false">IFERROR(YEAR(A1110),"")</f>
        <v>2022</v>
      </c>
      <c r="V1110" s="28" t="n">
        <f aca="false">IFERROR(O1110*B1110,0)</f>
        <v>4805218</v>
      </c>
      <c r="W1110" s="27" t="n">
        <f aca="false">IFERROR(N1110*B1110,0)</f>
        <v>19998</v>
      </c>
      <c r="X1110" s="13" t="n">
        <f aca="false">IF(OR(ISNUMBER(SEARCH("live nation",L1110)),ISNUMBER(SEARCH("ocesa",L1110))),1,0)</f>
        <v>0</v>
      </c>
      <c r="Y1110" s="13" t="s">
        <v>49</v>
      </c>
    </row>
    <row r="1111" customFormat="false" ht="15" hidden="false" customHeight="false" outlineLevel="0" collapsed="false">
      <c r="A1111" s="30" t="n">
        <v>44875</v>
      </c>
      <c r="B1111" s="11" t="n">
        <v>1</v>
      </c>
      <c r="C1111" s="31" t="s">
        <v>1009</v>
      </c>
      <c r="D1111" s="31"/>
      <c r="E1111" s="11" t="s">
        <v>482</v>
      </c>
      <c r="F1111" s="11" t="s">
        <v>223</v>
      </c>
      <c r="G1111" s="11" t="s">
        <v>224</v>
      </c>
      <c r="H1111" s="11" t="s">
        <v>20</v>
      </c>
      <c r="I1111" s="11" t="s">
        <v>225</v>
      </c>
      <c r="J1111" s="11" t="s">
        <v>106</v>
      </c>
      <c r="K1111" s="11" t="s">
        <v>107</v>
      </c>
      <c r="L1111" s="11" t="s">
        <v>624</v>
      </c>
      <c r="M1111" s="11" t="s">
        <v>100</v>
      </c>
      <c r="N1111" s="32" t="n">
        <v>4052</v>
      </c>
      <c r="O1111" s="33" t="n">
        <v>406148</v>
      </c>
      <c r="P1111" s="32" t="n">
        <v>4052</v>
      </c>
      <c r="Q1111" s="34" t="n">
        <v>1</v>
      </c>
      <c r="R1111" s="33" t="n">
        <v>59.5</v>
      </c>
      <c r="S1111" s="33" t="n">
        <v>159.5</v>
      </c>
      <c r="T1111" s="33" t="n">
        <v>100.23</v>
      </c>
      <c r="U1111" s="11" t="n">
        <f aca="false">IFERROR(YEAR(A1111),"")</f>
        <v>2022</v>
      </c>
      <c r="V1111" s="33" t="n">
        <f aca="false">IFERROR(O1111*B1111,0)</f>
        <v>406148</v>
      </c>
      <c r="W1111" s="32" t="n">
        <f aca="false">IFERROR(N1111*B1111,0)</f>
        <v>4052</v>
      </c>
      <c r="X1111" s="11" t="n">
        <f aca="false">IF(OR(ISNUMBER(SEARCH("live nation",L1111)),ISNUMBER(SEARCH("ocesa",L1111))),1,0)</f>
        <v>0</v>
      </c>
      <c r="Y1111" s="11" t="s">
        <v>49</v>
      </c>
    </row>
    <row r="1112" customFormat="false" ht="15" hidden="false" customHeight="false" outlineLevel="0" collapsed="false">
      <c r="A1112" s="25" t="n">
        <v>44875</v>
      </c>
      <c r="B1112" s="13" t="n">
        <v>1</v>
      </c>
      <c r="C1112" s="26" t="s">
        <v>71</v>
      </c>
      <c r="D1112" s="26"/>
      <c r="E1112" s="13" t="s">
        <v>1125</v>
      </c>
      <c r="F1112" s="13" t="s">
        <v>1126</v>
      </c>
      <c r="G1112" s="13" t="s">
        <v>119</v>
      </c>
      <c r="H1112" s="13" t="s">
        <v>20</v>
      </c>
      <c r="I1112" s="13" t="s">
        <v>120</v>
      </c>
      <c r="J1112" s="13" t="s">
        <v>97</v>
      </c>
      <c r="K1112" s="13" t="s">
        <v>107</v>
      </c>
      <c r="L1112" s="13" t="s">
        <v>531</v>
      </c>
      <c r="M1112" s="13" t="s">
        <v>100</v>
      </c>
      <c r="N1112" s="27" t="n">
        <v>9129</v>
      </c>
      <c r="O1112" s="28" t="n">
        <v>1278515.5</v>
      </c>
      <c r="P1112" s="27" t="n">
        <v>9309</v>
      </c>
      <c r="Q1112" s="29" t="n">
        <v>0.98</v>
      </c>
      <c r="R1112" s="28" t="n">
        <v>49.5</v>
      </c>
      <c r="S1112" s="28" t="n">
        <v>275.5</v>
      </c>
      <c r="T1112" s="28" t="n">
        <v>140.05</v>
      </c>
      <c r="U1112" s="13" t="n">
        <f aca="false">IFERROR(YEAR(A1112),"")</f>
        <v>2022</v>
      </c>
      <c r="V1112" s="28" t="n">
        <f aca="false">IFERROR(O1112*B1112,0)</f>
        <v>1278515.5</v>
      </c>
      <c r="W1112" s="27" t="n">
        <f aca="false">IFERROR(N1112*B1112,0)</f>
        <v>9129</v>
      </c>
      <c r="X1112" s="13" t="n">
        <f aca="false">IF(OR(ISNUMBER(SEARCH("live nation",L1112)),ISNUMBER(SEARCH("ocesa",L1112))),1,0)</f>
        <v>0</v>
      </c>
      <c r="Y1112" s="13" t="s">
        <v>49</v>
      </c>
    </row>
    <row r="1113" customFormat="false" ht="15" hidden="false" customHeight="false" outlineLevel="0" collapsed="false">
      <c r="A1113" s="30" t="n">
        <v>44874</v>
      </c>
      <c r="B1113" s="11" t="n">
        <v>2</v>
      </c>
      <c r="C1113" s="31" t="s">
        <v>64</v>
      </c>
      <c r="D1113" s="31"/>
      <c r="E1113" s="11" t="s">
        <v>1067</v>
      </c>
      <c r="F1113" s="11" t="s">
        <v>370</v>
      </c>
      <c r="G1113" s="11"/>
      <c r="H1113" s="11" t="s">
        <v>21</v>
      </c>
      <c r="I1113" s="11"/>
      <c r="J1113" s="11" t="s">
        <v>97</v>
      </c>
      <c r="K1113" s="11" t="s">
        <v>113</v>
      </c>
      <c r="L1113" s="11" t="s">
        <v>145</v>
      </c>
      <c r="M1113" s="11" t="s">
        <v>100</v>
      </c>
      <c r="N1113" s="32" t="n">
        <v>9400</v>
      </c>
      <c r="O1113" s="33" t="n">
        <v>639683.29</v>
      </c>
      <c r="P1113" s="32" t="n">
        <v>9400</v>
      </c>
      <c r="Q1113" s="34" t="n">
        <v>1</v>
      </c>
      <c r="R1113" s="33" t="n">
        <v>64.03</v>
      </c>
      <c r="S1113" s="33" t="n">
        <v>74.14</v>
      </c>
      <c r="T1113" s="33" t="n">
        <v>68.05</v>
      </c>
      <c r="U1113" s="11" t="n">
        <f aca="false">IFERROR(YEAR(A1113),"")</f>
        <v>2022</v>
      </c>
      <c r="V1113" s="33" t="n">
        <f aca="false">IFERROR(O1113*B1113,0)</f>
        <v>1279366.58</v>
      </c>
      <c r="W1113" s="32" t="n">
        <f aca="false">IFERROR(N1113*B1113,0)</f>
        <v>18800</v>
      </c>
      <c r="X1113" s="11" t="n">
        <f aca="false">IF(OR(ISNUMBER(SEARCH("live nation",L1113)),ISNUMBER(SEARCH("ocesa",L1113))),1,0)</f>
        <v>0</v>
      </c>
      <c r="Y1113" s="11" t="s">
        <v>50</v>
      </c>
    </row>
    <row r="1114" customFormat="false" ht="15" hidden="false" customHeight="false" outlineLevel="0" collapsed="false">
      <c r="A1114" s="25" t="n">
        <v>44872</v>
      </c>
      <c r="B1114" s="13" t="n">
        <v>1</v>
      </c>
      <c r="C1114" s="26" t="s">
        <v>1009</v>
      </c>
      <c r="D1114" s="26"/>
      <c r="E1114" s="13" t="s">
        <v>487</v>
      </c>
      <c r="F1114" s="13" t="s">
        <v>207</v>
      </c>
      <c r="G1114" s="13" t="s">
        <v>208</v>
      </c>
      <c r="H1114" s="13" t="s">
        <v>20</v>
      </c>
      <c r="I1114" s="13" t="s">
        <v>209</v>
      </c>
      <c r="J1114" s="13" t="s">
        <v>121</v>
      </c>
      <c r="K1114" s="13" t="s">
        <v>107</v>
      </c>
      <c r="L1114" s="13" t="s">
        <v>177</v>
      </c>
      <c r="M1114" s="13" t="s">
        <v>100</v>
      </c>
      <c r="N1114" s="27" t="n">
        <v>4297</v>
      </c>
      <c r="O1114" s="28" t="n">
        <v>438935</v>
      </c>
      <c r="P1114" s="27" t="n">
        <v>4297</v>
      </c>
      <c r="Q1114" s="29" t="n">
        <v>1</v>
      </c>
      <c r="R1114" s="28" t="n">
        <v>57.5</v>
      </c>
      <c r="S1114" s="28" t="n">
        <v>157.5</v>
      </c>
      <c r="T1114" s="28" t="n">
        <v>102.15</v>
      </c>
      <c r="U1114" s="13" t="n">
        <f aca="false">IFERROR(YEAR(A1114),"")</f>
        <v>2022</v>
      </c>
      <c r="V1114" s="28" t="n">
        <f aca="false">IFERROR(O1114*B1114,0)</f>
        <v>438935</v>
      </c>
      <c r="W1114" s="27" t="n">
        <f aca="false">IFERROR(N1114*B1114,0)</f>
        <v>4297</v>
      </c>
      <c r="X1114" s="13" t="n">
        <f aca="false">IF(OR(ISNUMBER(SEARCH("live nation",L1114)),ISNUMBER(SEARCH("ocesa",L1114))),1,0)</f>
        <v>1</v>
      </c>
      <c r="Y1114" s="13" t="s">
        <v>49</v>
      </c>
    </row>
    <row r="1115" customFormat="false" ht="15" hidden="false" customHeight="false" outlineLevel="0" collapsed="false">
      <c r="A1115" s="30" t="n">
        <v>44871</v>
      </c>
      <c r="B1115" s="11" t="n">
        <v>2</v>
      </c>
      <c r="C1115" s="31" t="s">
        <v>69</v>
      </c>
      <c r="D1115" s="31"/>
      <c r="E1115" s="11" t="s">
        <v>1231</v>
      </c>
      <c r="F1115" s="11" t="s">
        <v>327</v>
      </c>
      <c r="G1115" s="11" t="s">
        <v>328</v>
      </c>
      <c r="H1115" s="11" t="s">
        <v>128</v>
      </c>
      <c r="I1115" s="11"/>
      <c r="J1115" s="11" t="s">
        <v>97</v>
      </c>
      <c r="K1115" s="11" t="s">
        <v>129</v>
      </c>
      <c r="L1115" s="11" t="s">
        <v>531</v>
      </c>
      <c r="M1115" s="11" t="s">
        <v>100</v>
      </c>
      <c r="N1115" s="32" t="n">
        <v>11995</v>
      </c>
      <c r="O1115" s="33" t="n">
        <v>2214526.76</v>
      </c>
      <c r="P1115" s="32" t="n">
        <v>11995</v>
      </c>
      <c r="Q1115" s="34" t="n">
        <v>1</v>
      </c>
      <c r="R1115" s="33" t="n">
        <v>62.89</v>
      </c>
      <c r="S1115" s="33" t="n">
        <v>914.02</v>
      </c>
      <c r="T1115" s="33" t="n">
        <v>184.62</v>
      </c>
      <c r="U1115" s="11" t="n">
        <f aca="false">IFERROR(YEAR(A1115),"")</f>
        <v>2022</v>
      </c>
      <c r="V1115" s="33" t="n">
        <f aca="false">IFERROR(O1115*B1115,0)</f>
        <v>4429053.52</v>
      </c>
      <c r="W1115" s="32" t="n">
        <f aca="false">IFERROR(N1115*B1115,0)</f>
        <v>23990</v>
      </c>
      <c r="X1115" s="11" t="n">
        <f aca="false">IF(OR(ISNUMBER(SEARCH("live nation",L1115)),ISNUMBER(SEARCH("ocesa",L1115))),1,0)</f>
        <v>0</v>
      </c>
      <c r="Y1115" s="11" t="s">
        <v>49</v>
      </c>
    </row>
    <row r="1116" customFormat="false" ht="15" hidden="false" customHeight="false" outlineLevel="0" collapsed="false">
      <c r="A1116" s="25" t="n">
        <v>44870</v>
      </c>
      <c r="B1116" s="13" t="n">
        <v>1</v>
      </c>
      <c r="C1116" s="26" t="s">
        <v>1009</v>
      </c>
      <c r="D1116" s="26"/>
      <c r="E1116" s="13" t="s">
        <v>731</v>
      </c>
      <c r="F1116" s="13" t="s">
        <v>346</v>
      </c>
      <c r="G1116" s="13" t="s">
        <v>347</v>
      </c>
      <c r="H1116" s="13" t="s">
        <v>20</v>
      </c>
      <c r="I1116" s="13" t="s">
        <v>346</v>
      </c>
      <c r="J1116" s="13" t="s">
        <v>121</v>
      </c>
      <c r="K1116" s="13" t="s">
        <v>107</v>
      </c>
      <c r="L1116" s="13" t="s">
        <v>177</v>
      </c>
      <c r="M1116" s="13" t="s">
        <v>100</v>
      </c>
      <c r="N1116" s="27" t="n">
        <v>4426</v>
      </c>
      <c r="O1116" s="28" t="n">
        <v>438558</v>
      </c>
      <c r="P1116" s="27" t="n">
        <v>4426</v>
      </c>
      <c r="Q1116" s="29" t="n">
        <v>1</v>
      </c>
      <c r="R1116" s="28" t="n">
        <v>45.5</v>
      </c>
      <c r="S1116" s="28" t="n">
        <v>121</v>
      </c>
      <c r="T1116" s="28" t="n">
        <v>99.09</v>
      </c>
      <c r="U1116" s="13" t="n">
        <f aca="false">IFERROR(YEAR(A1116),"")</f>
        <v>2022</v>
      </c>
      <c r="V1116" s="28" t="n">
        <f aca="false">IFERROR(O1116*B1116,0)</f>
        <v>438558</v>
      </c>
      <c r="W1116" s="27" t="n">
        <f aca="false">IFERROR(N1116*B1116,0)</f>
        <v>4426</v>
      </c>
      <c r="X1116" s="13" t="n">
        <f aca="false">IF(OR(ISNUMBER(SEARCH("live nation",L1116)),ISNUMBER(SEARCH("ocesa",L1116))),1,0)</f>
        <v>1</v>
      </c>
      <c r="Y1116" s="13" t="s">
        <v>49</v>
      </c>
    </row>
    <row r="1117" customFormat="false" ht="15" hidden="false" customHeight="false" outlineLevel="0" collapsed="false">
      <c r="A1117" s="30" t="n">
        <v>44870</v>
      </c>
      <c r="B1117" s="11" t="n">
        <v>1</v>
      </c>
      <c r="C1117" s="31" t="s">
        <v>71</v>
      </c>
      <c r="D1117" s="31"/>
      <c r="E1117" s="11" t="s">
        <v>230</v>
      </c>
      <c r="F1117" s="11" t="s">
        <v>231</v>
      </c>
      <c r="G1117" s="11" t="s">
        <v>202</v>
      </c>
      <c r="H1117" s="11" t="s">
        <v>20</v>
      </c>
      <c r="I1117" s="11" t="s">
        <v>232</v>
      </c>
      <c r="J1117" s="11" t="s">
        <v>97</v>
      </c>
      <c r="K1117" s="11" t="s">
        <v>107</v>
      </c>
      <c r="L1117" s="11" t="s">
        <v>531</v>
      </c>
      <c r="M1117" s="11" t="s">
        <v>100</v>
      </c>
      <c r="N1117" s="32" t="n">
        <v>7942</v>
      </c>
      <c r="O1117" s="33" t="n">
        <v>1142145.52</v>
      </c>
      <c r="P1117" s="32" t="n">
        <v>11623</v>
      </c>
      <c r="Q1117" s="34" t="n">
        <v>0.68</v>
      </c>
      <c r="R1117" s="33" t="n">
        <v>49.5</v>
      </c>
      <c r="S1117" s="33" t="n">
        <v>169.5</v>
      </c>
      <c r="T1117" s="33" t="n">
        <v>143.81</v>
      </c>
      <c r="U1117" s="11" t="n">
        <f aca="false">IFERROR(YEAR(A1117),"")</f>
        <v>2022</v>
      </c>
      <c r="V1117" s="33" t="n">
        <f aca="false">IFERROR(O1117*B1117,0)</f>
        <v>1142145.52</v>
      </c>
      <c r="W1117" s="32" t="n">
        <f aca="false">IFERROR(N1117*B1117,0)</f>
        <v>7942</v>
      </c>
      <c r="X1117" s="11" t="n">
        <f aca="false">IF(OR(ISNUMBER(SEARCH("live nation",L1117)),ISNUMBER(SEARCH("ocesa",L1117))),1,0)</f>
        <v>0</v>
      </c>
      <c r="Y1117" s="11" t="s">
        <v>49</v>
      </c>
    </row>
    <row r="1118" customFormat="false" ht="15" hidden="false" customHeight="false" outlineLevel="0" collapsed="false">
      <c r="A1118" s="25" t="n">
        <v>44866</v>
      </c>
      <c r="B1118" s="13" t="n">
        <v>2</v>
      </c>
      <c r="C1118" s="26" t="s">
        <v>64</v>
      </c>
      <c r="D1118" s="26"/>
      <c r="E1118" s="13" t="s">
        <v>1233</v>
      </c>
      <c r="F1118" s="13" t="s">
        <v>423</v>
      </c>
      <c r="G1118" s="13"/>
      <c r="H1118" s="13" t="s">
        <v>21</v>
      </c>
      <c r="I1118" s="13"/>
      <c r="J1118" s="13" t="s">
        <v>97</v>
      </c>
      <c r="K1118" s="13" t="s">
        <v>113</v>
      </c>
      <c r="L1118" s="13" t="s">
        <v>145</v>
      </c>
      <c r="M1118" s="13" t="s">
        <v>100</v>
      </c>
      <c r="N1118" s="27" t="n">
        <v>8509</v>
      </c>
      <c r="O1118" s="28" t="n">
        <v>599009.35</v>
      </c>
      <c r="P1118" s="27" t="n">
        <v>8509</v>
      </c>
      <c r="Q1118" s="29" t="n">
        <v>1</v>
      </c>
      <c r="R1118" s="28" t="n">
        <v>65.64</v>
      </c>
      <c r="S1118" s="28" t="n">
        <v>7.6</v>
      </c>
      <c r="T1118" s="28" t="n">
        <v>70.39</v>
      </c>
      <c r="U1118" s="13" t="n">
        <f aca="false">IFERROR(YEAR(A1118),"")</f>
        <v>2022</v>
      </c>
      <c r="V1118" s="28" t="n">
        <f aca="false">IFERROR(O1118*B1118,0)</f>
        <v>1198018.7</v>
      </c>
      <c r="W1118" s="27" t="n">
        <f aca="false">IFERROR(N1118*B1118,0)</f>
        <v>17018</v>
      </c>
      <c r="X1118" s="13" t="n">
        <f aca="false">IF(OR(ISNUMBER(SEARCH("live nation",L1118)),ISNUMBER(SEARCH("ocesa",L1118))),1,0)</f>
        <v>0</v>
      </c>
      <c r="Y1118" s="13" t="s">
        <v>50</v>
      </c>
    </row>
    <row r="1119" customFormat="false" ht="15" hidden="false" customHeight="false" outlineLevel="0" collapsed="false">
      <c r="A1119" s="30" t="n">
        <v>44861</v>
      </c>
      <c r="B1119" s="11" t="n">
        <v>2</v>
      </c>
      <c r="C1119" s="31" t="s">
        <v>63</v>
      </c>
      <c r="D1119" s="31"/>
      <c r="E1119" s="11" t="s">
        <v>1221</v>
      </c>
      <c r="F1119" s="11" t="s">
        <v>752</v>
      </c>
      <c r="G1119" s="11"/>
      <c r="H1119" s="11" t="s">
        <v>285</v>
      </c>
      <c r="I1119" s="11"/>
      <c r="J1119" s="11" t="s">
        <v>97</v>
      </c>
      <c r="K1119" s="11" t="s">
        <v>134</v>
      </c>
      <c r="L1119" s="11" t="s">
        <v>145</v>
      </c>
      <c r="M1119" s="11" t="s">
        <v>100</v>
      </c>
      <c r="N1119" s="32" t="n">
        <v>7999</v>
      </c>
      <c r="O1119" s="33" t="n">
        <v>1457356.74</v>
      </c>
      <c r="P1119" s="32" t="n">
        <v>7999</v>
      </c>
      <c r="Q1119" s="34" t="n">
        <v>1</v>
      </c>
      <c r="R1119" s="33" t="n">
        <v>49.1</v>
      </c>
      <c r="S1119" s="33" t="n">
        <v>294.6</v>
      </c>
      <c r="T1119" s="33" t="n">
        <v>182.18</v>
      </c>
      <c r="U1119" s="11" t="n">
        <f aca="false">IFERROR(YEAR(A1119),"")</f>
        <v>2022</v>
      </c>
      <c r="V1119" s="33" t="n">
        <f aca="false">IFERROR(O1119*B1119,0)</f>
        <v>2914713.48</v>
      </c>
      <c r="W1119" s="32" t="n">
        <f aca="false">IFERROR(N1119*B1119,0)</f>
        <v>15998</v>
      </c>
      <c r="X1119" s="11" t="n">
        <f aca="false">IF(OR(ISNUMBER(SEARCH("live nation",L1119)),ISNUMBER(SEARCH("ocesa",L1119))),1,0)</f>
        <v>0</v>
      </c>
      <c r="Y1119" s="11" t="s">
        <v>50</v>
      </c>
    </row>
    <row r="1120" customFormat="false" ht="15" hidden="false" customHeight="false" outlineLevel="0" collapsed="false">
      <c r="A1120" s="25" t="n">
        <v>44860</v>
      </c>
      <c r="B1120" s="13" t="n">
        <v>1</v>
      </c>
      <c r="C1120" s="26" t="s">
        <v>1009</v>
      </c>
      <c r="D1120" s="26"/>
      <c r="E1120" s="13" t="s">
        <v>200</v>
      </c>
      <c r="F1120" s="13" t="s">
        <v>201</v>
      </c>
      <c r="G1120" s="13" t="s">
        <v>202</v>
      </c>
      <c r="H1120" s="13" t="s">
        <v>20</v>
      </c>
      <c r="I1120" s="13" t="s">
        <v>203</v>
      </c>
      <c r="J1120" s="13" t="s">
        <v>121</v>
      </c>
      <c r="K1120" s="13" t="s">
        <v>107</v>
      </c>
      <c r="L1120" s="13" t="s">
        <v>177</v>
      </c>
      <c r="M1120" s="13" t="s">
        <v>100</v>
      </c>
      <c r="N1120" s="27" t="n">
        <v>5742</v>
      </c>
      <c r="O1120" s="28" t="n">
        <v>772637.5</v>
      </c>
      <c r="P1120" s="27" t="n">
        <v>5742</v>
      </c>
      <c r="Q1120" s="29" t="n">
        <v>1</v>
      </c>
      <c r="R1120" s="28" t="n">
        <v>59.5</v>
      </c>
      <c r="S1120" s="28" t="n">
        <v>159.5</v>
      </c>
      <c r="T1120" s="28" t="n">
        <v>134.56</v>
      </c>
      <c r="U1120" s="13" t="n">
        <f aca="false">IFERROR(YEAR(A1120),"")</f>
        <v>2022</v>
      </c>
      <c r="V1120" s="28" t="n">
        <f aca="false">IFERROR(O1120*B1120,0)</f>
        <v>772637.5</v>
      </c>
      <c r="W1120" s="27" t="n">
        <f aca="false">IFERROR(N1120*B1120,0)</f>
        <v>5742</v>
      </c>
      <c r="X1120" s="13" t="n">
        <f aca="false">IF(OR(ISNUMBER(SEARCH("live nation",L1120)),ISNUMBER(SEARCH("ocesa",L1120))),1,0)</f>
        <v>1</v>
      </c>
      <c r="Y1120" s="13" t="s">
        <v>49</v>
      </c>
    </row>
    <row r="1121" customFormat="false" ht="15" hidden="false" customHeight="false" outlineLevel="0" collapsed="false">
      <c r="A1121" s="30" t="n">
        <v>44859</v>
      </c>
      <c r="B1121" s="11" t="n">
        <v>2</v>
      </c>
      <c r="C1121" s="31" t="s">
        <v>69</v>
      </c>
      <c r="D1121" s="31"/>
      <c r="E1121" s="11" t="s">
        <v>373</v>
      </c>
      <c r="F1121" s="11" t="s">
        <v>374</v>
      </c>
      <c r="G1121" s="11" t="s">
        <v>143</v>
      </c>
      <c r="H1121" s="11" t="s">
        <v>20</v>
      </c>
      <c r="I1121" s="11" t="s">
        <v>375</v>
      </c>
      <c r="J1121" s="11" t="s">
        <v>97</v>
      </c>
      <c r="K1121" s="11" t="s">
        <v>107</v>
      </c>
      <c r="L1121" s="11" t="s">
        <v>531</v>
      </c>
      <c r="M1121" s="11" t="s">
        <v>100</v>
      </c>
      <c r="N1121" s="32" t="n">
        <v>11717</v>
      </c>
      <c r="O1121" s="33" t="n">
        <v>3006410.5</v>
      </c>
      <c r="P1121" s="32" t="n">
        <v>11717</v>
      </c>
      <c r="Q1121" s="34" t="n">
        <v>1</v>
      </c>
      <c r="R1121" s="33" t="n">
        <v>79.5</v>
      </c>
      <c r="S1121" s="33" t="n">
        <v>225.15</v>
      </c>
      <c r="T1121" s="33" t="n">
        <v>256.59</v>
      </c>
      <c r="U1121" s="11" t="n">
        <f aca="false">IFERROR(YEAR(A1121),"")</f>
        <v>2022</v>
      </c>
      <c r="V1121" s="33" t="n">
        <f aca="false">IFERROR(O1121*B1121,0)</f>
        <v>6012821</v>
      </c>
      <c r="W1121" s="32" t="n">
        <f aca="false">IFERROR(N1121*B1121,0)</f>
        <v>23434</v>
      </c>
      <c r="X1121" s="11" t="n">
        <f aca="false">IF(OR(ISNUMBER(SEARCH("live nation",L1121)),ISNUMBER(SEARCH("ocesa",L1121))),1,0)</f>
        <v>0</v>
      </c>
      <c r="Y1121" s="11" t="s">
        <v>49</v>
      </c>
    </row>
    <row r="1122" customFormat="false" ht="15" hidden="false" customHeight="false" outlineLevel="0" collapsed="false">
      <c r="A1122" s="25" t="n">
        <v>44856</v>
      </c>
      <c r="B1122" s="13" t="n">
        <v>2</v>
      </c>
      <c r="C1122" s="26" t="s">
        <v>63</v>
      </c>
      <c r="D1122" s="26"/>
      <c r="E1122" s="13" t="s">
        <v>1234</v>
      </c>
      <c r="F1122" s="13" t="s">
        <v>299</v>
      </c>
      <c r="G1122" s="13"/>
      <c r="H1122" s="13" t="s">
        <v>56</v>
      </c>
      <c r="I1122" s="13"/>
      <c r="J1122" s="13" t="s">
        <v>914</v>
      </c>
      <c r="K1122" s="13" t="s">
        <v>300</v>
      </c>
      <c r="L1122" s="13" t="s">
        <v>145</v>
      </c>
      <c r="M1122" s="13" t="s">
        <v>100</v>
      </c>
      <c r="N1122" s="27" t="n">
        <v>4294</v>
      </c>
      <c r="O1122" s="28" t="n">
        <v>619763.87</v>
      </c>
      <c r="P1122" s="27" t="n">
        <v>4969</v>
      </c>
      <c r="Q1122" s="29" t="n">
        <v>0.86</v>
      </c>
      <c r="R1122" s="28" t="n">
        <v>73.89</v>
      </c>
      <c r="S1122" s="28" t="n">
        <v>179.45</v>
      </c>
      <c r="T1122" s="28" t="n">
        <v>144.33</v>
      </c>
      <c r="U1122" s="13" t="n">
        <f aca="false">IFERROR(YEAR(A1122),"")</f>
        <v>2022</v>
      </c>
      <c r="V1122" s="28" t="n">
        <f aca="false">IFERROR(O1122*B1122,0)</f>
        <v>1239527.74</v>
      </c>
      <c r="W1122" s="27" t="n">
        <f aca="false">IFERROR(N1122*B1122,0)</f>
        <v>8588</v>
      </c>
      <c r="X1122" s="13" t="n">
        <f aca="false">IF(OR(ISNUMBER(SEARCH("live nation",L1122)),ISNUMBER(SEARCH("ocesa",L1122))),1,0)</f>
        <v>0</v>
      </c>
      <c r="Y1122" s="13" t="s">
        <v>50</v>
      </c>
    </row>
    <row r="1123" customFormat="false" ht="15" hidden="false" customHeight="false" outlineLevel="0" collapsed="false">
      <c r="A1123" s="30" t="n">
        <v>44849</v>
      </c>
      <c r="B1123" s="11" t="n">
        <v>1</v>
      </c>
      <c r="C1123" s="31" t="s">
        <v>64</v>
      </c>
      <c r="D1123" s="31"/>
      <c r="E1123" s="11" t="s">
        <v>689</v>
      </c>
      <c r="F1123" s="11" t="s">
        <v>139</v>
      </c>
      <c r="G1123" s="11" t="s">
        <v>139</v>
      </c>
      <c r="H1123" s="11" t="s">
        <v>20</v>
      </c>
      <c r="I1123" s="11" t="s">
        <v>139</v>
      </c>
      <c r="J1123" s="11" t="s">
        <v>121</v>
      </c>
      <c r="K1123" s="11" t="s">
        <v>107</v>
      </c>
      <c r="L1123" s="11" t="s">
        <v>508</v>
      </c>
      <c r="M1123" s="11" t="s">
        <v>100</v>
      </c>
      <c r="N1123" s="32" t="n">
        <v>5577</v>
      </c>
      <c r="O1123" s="33" t="n">
        <v>792693</v>
      </c>
      <c r="P1123" s="32" t="n">
        <v>5577</v>
      </c>
      <c r="Q1123" s="34" t="n">
        <v>1</v>
      </c>
      <c r="R1123" s="33" t="n">
        <v>69</v>
      </c>
      <c r="S1123" s="33" t="n">
        <v>249</v>
      </c>
      <c r="T1123" s="33" t="n">
        <v>142.14</v>
      </c>
      <c r="U1123" s="11" t="n">
        <f aca="false">IFERROR(YEAR(A1123),"")</f>
        <v>2022</v>
      </c>
      <c r="V1123" s="33" t="n">
        <f aca="false">IFERROR(O1123*B1123,0)</f>
        <v>792693</v>
      </c>
      <c r="W1123" s="32" t="n">
        <f aca="false">IFERROR(N1123*B1123,0)</f>
        <v>5577</v>
      </c>
      <c r="X1123" s="11" t="n">
        <f aca="false">IF(OR(ISNUMBER(SEARCH("live nation",L1123)),ISNUMBER(SEARCH("ocesa",L1123))),1,0)</f>
        <v>0</v>
      </c>
      <c r="Y1123" s="11" t="s">
        <v>49</v>
      </c>
    </row>
    <row r="1124" customFormat="false" ht="15" hidden="false" customHeight="false" outlineLevel="0" collapsed="false">
      <c r="A1124" s="25" t="n">
        <v>44849</v>
      </c>
      <c r="B1124" s="13" t="n">
        <v>2</v>
      </c>
      <c r="C1124" s="26" t="s">
        <v>69</v>
      </c>
      <c r="D1124" s="26"/>
      <c r="E1124" s="13" t="s">
        <v>1046</v>
      </c>
      <c r="F1124" s="13" t="s">
        <v>147</v>
      </c>
      <c r="G1124" s="13"/>
      <c r="H1124" s="13" t="s">
        <v>24</v>
      </c>
      <c r="I1124" s="13"/>
      <c r="J1124" s="13" t="s">
        <v>97</v>
      </c>
      <c r="K1124" s="13" t="s">
        <v>148</v>
      </c>
      <c r="L1124" s="13" t="s">
        <v>1235</v>
      </c>
      <c r="M1124" s="13" t="s">
        <v>100</v>
      </c>
      <c r="N1124" s="27" t="n">
        <v>10030</v>
      </c>
      <c r="O1124" s="28" t="n">
        <v>1169537.6</v>
      </c>
      <c r="P1124" s="27" t="n">
        <v>10030</v>
      </c>
      <c r="Q1124" s="29" t="n">
        <v>1</v>
      </c>
      <c r="R1124" s="28" t="n">
        <v>107.8</v>
      </c>
      <c r="S1124" s="28" t="n">
        <v>184.8</v>
      </c>
      <c r="T1124" s="28" t="n">
        <v>116.6</v>
      </c>
      <c r="U1124" s="13" t="n">
        <f aca="false">IFERROR(YEAR(A1124),"")</f>
        <v>2022</v>
      </c>
      <c r="V1124" s="28" t="n">
        <f aca="false">IFERROR(O1124*B1124,0)</f>
        <v>2339075.2</v>
      </c>
      <c r="W1124" s="27" t="n">
        <f aca="false">IFERROR(N1124*B1124,0)</f>
        <v>20060</v>
      </c>
      <c r="X1124" s="13" t="n">
        <f aca="false">IF(OR(ISNUMBER(SEARCH("live nation",L1124)),ISNUMBER(SEARCH("ocesa",L1124))),1,0)</f>
        <v>0</v>
      </c>
      <c r="Y1124" s="13" t="s">
        <v>50</v>
      </c>
    </row>
    <row r="1125" customFormat="false" ht="15" hidden="false" customHeight="false" outlineLevel="0" collapsed="false">
      <c r="A1125" s="30" t="n">
        <v>44847</v>
      </c>
      <c r="B1125" s="11" t="n">
        <v>1</v>
      </c>
      <c r="C1125" s="31" t="s">
        <v>798</v>
      </c>
      <c r="D1125" s="31"/>
      <c r="E1125" s="11" t="s">
        <v>506</v>
      </c>
      <c r="F1125" s="11" t="s">
        <v>507</v>
      </c>
      <c r="G1125" s="11" t="s">
        <v>221</v>
      </c>
      <c r="H1125" s="11" t="s">
        <v>20</v>
      </c>
      <c r="I1125" s="11" t="s">
        <v>139</v>
      </c>
      <c r="J1125" s="11" t="s">
        <v>97</v>
      </c>
      <c r="K1125" s="11" t="s">
        <v>107</v>
      </c>
      <c r="L1125" s="11" t="s">
        <v>122</v>
      </c>
      <c r="M1125" s="11" t="s">
        <v>100</v>
      </c>
      <c r="N1125" s="32" t="n">
        <v>11848</v>
      </c>
      <c r="O1125" s="33" t="n">
        <v>1872764.5</v>
      </c>
      <c r="P1125" s="32" t="n">
        <v>11848</v>
      </c>
      <c r="Q1125" s="34" t="n">
        <v>1</v>
      </c>
      <c r="R1125" s="33" t="n">
        <v>59.5</v>
      </c>
      <c r="S1125" s="33" t="n">
        <v>199.5</v>
      </c>
      <c r="T1125" s="33" t="n">
        <v>158.07</v>
      </c>
      <c r="U1125" s="11" t="n">
        <f aca="false">IFERROR(YEAR(A1125),"")</f>
        <v>2022</v>
      </c>
      <c r="V1125" s="33" t="n">
        <f aca="false">IFERROR(O1125*B1125,0)</f>
        <v>1872764.5</v>
      </c>
      <c r="W1125" s="32" t="n">
        <f aca="false">IFERROR(N1125*B1125,0)</f>
        <v>11848</v>
      </c>
      <c r="X1125" s="11" t="n">
        <f aca="false">IF(OR(ISNUMBER(SEARCH("live nation",L1125)),ISNUMBER(SEARCH("ocesa",L1125))),1,0)</f>
        <v>0</v>
      </c>
      <c r="Y1125" s="11" t="s">
        <v>49</v>
      </c>
    </row>
    <row r="1126" customFormat="false" ht="15" hidden="false" customHeight="false" outlineLevel="0" collapsed="false">
      <c r="A1126" s="25" t="n">
        <v>44847</v>
      </c>
      <c r="B1126" s="13" t="n">
        <v>1</v>
      </c>
      <c r="C1126" s="26" t="s">
        <v>64</v>
      </c>
      <c r="D1126" s="26"/>
      <c r="E1126" s="13" t="s">
        <v>1180</v>
      </c>
      <c r="F1126" s="13" t="s">
        <v>209</v>
      </c>
      <c r="G1126" s="13" t="s">
        <v>208</v>
      </c>
      <c r="H1126" s="13" t="s">
        <v>20</v>
      </c>
      <c r="I1126" s="13" t="s">
        <v>209</v>
      </c>
      <c r="J1126" s="13" t="s">
        <v>97</v>
      </c>
      <c r="K1126" s="13" t="s">
        <v>107</v>
      </c>
      <c r="L1126" s="13" t="s">
        <v>508</v>
      </c>
      <c r="M1126" s="13" t="s">
        <v>100</v>
      </c>
      <c r="N1126" s="27" t="n">
        <v>5961</v>
      </c>
      <c r="O1126" s="28" t="n">
        <v>877139</v>
      </c>
      <c r="P1126" s="27" t="n">
        <v>6011</v>
      </c>
      <c r="Q1126" s="29" t="n">
        <v>0.99</v>
      </c>
      <c r="R1126" s="28" t="n">
        <v>69</v>
      </c>
      <c r="S1126" s="28" t="n">
        <v>249</v>
      </c>
      <c r="T1126" s="28" t="n">
        <v>147.15</v>
      </c>
      <c r="U1126" s="13" t="n">
        <f aca="false">IFERROR(YEAR(A1126),"")</f>
        <v>2022</v>
      </c>
      <c r="V1126" s="28" t="n">
        <f aca="false">IFERROR(O1126*B1126,0)</f>
        <v>877139</v>
      </c>
      <c r="W1126" s="27" t="n">
        <f aca="false">IFERROR(N1126*B1126,0)</f>
        <v>5961</v>
      </c>
      <c r="X1126" s="13" t="n">
        <f aca="false">IF(OR(ISNUMBER(SEARCH("live nation",L1126)),ISNUMBER(SEARCH("ocesa",L1126))),1,0)</f>
        <v>0</v>
      </c>
      <c r="Y1126" s="13" t="s">
        <v>49</v>
      </c>
    </row>
    <row r="1127" customFormat="false" ht="15" hidden="false" customHeight="false" outlineLevel="0" collapsed="false">
      <c r="A1127" s="30" t="n">
        <v>44847</v>
      </c>
      <c r="B1127" s="11" t="n">
        <v>1</v>
      </c>
      <c r="C1127" s="31" t="s">
        <v>62</v>
      </c>
      <c r="D1127" s="31"/>
      <c r="E1127" s="11" t="s">
        <v>391</v>
      </c>
      <c r="F1127" s="11" t="s">
        <v>324</v>
      </c>
      <c r="G1127" s="11"/>
      <c r="H1127" s="11" t="s">
        <v>324</v>
      </c>
      <c r="I1127" s="11"/>
      <c r="J1127" s="11" t="s">
        <v>97</v>
      </c>
      <c r="K1127" s="11" t="s">
        <v>324</v>
      </c>
      <c r="L1127" s="11" t="s">
        <v>468</v>
      </c>
      <c r="M1127" s="11" t="s">
        <v>100</v>
      </c>
      <c r="N1127" s="32" t="n">
        <v>8191</v>
      </c>
      <c r="O1127" s="33" t="n">
        <v>1636136.85</v>
      </c>
      <c r="P1127" s="32" t="n">
        <v>8191</v>
      </c>
      <c r="Q1127" s="34" t="n">
        <v>1</v>
      </c>
      <c r="R1127" s="33" t="n">
        <v>132.01</v>
      </c>
      <c r="S1127" s="33" t="n">
        <v>244.36</v>
      </c>
      <c r="T1127" s="33" t="n">
        <v>199.75</v>
      </c>
      <c r="U1127" s="11" t="n">
        <f aca="false">IFERROR(YEAR(A1127),"")</f>
        <v>2022</v>
      </c>
      <c r="V1127" s="33" t="n">
        <f aca="false">IFERROR(O1127*B1127,0)</f>
        <v>1636136.85</v>
      </c>
      <c r="W1127" s="32" t="n">
        <f aca="false">IFERROR(N1127*B1127,0)</f>
        <v>8191</v>
      </c>
      <c r="X1127" s="11" t="n">
        <f aca="false">IF(OR(ISNUMBER(SEARCH("live nation",L1127)),ISNUMBER(SEARCH("ocesa",L1127))),1,0)</f>
        <v>1</v>
      </c>
      <c r="Y1127" s="11" t="s">
        <v>50</v>
      </c>
    </row>
    <row r="1128" customFormat="false" ht="15" hidden="false" customHeight="false" outlineLevel="0" collapsed="false">
      <c r="A1128" s="25" t="n">
        <v>44846</v>
      </c>
      <c r="B1128" s="13" t="n">
        <v>1</v>
      </c>
      <c r="C1128" s="26" t="s">
        <v>63</v>
      </c>
      <c r="D1128" s="26"/>
      <c r="E1128" s="13" t="s">
        <v>915</v>
      </c>
      <c r="F1128" s="13" t="s">
        <v>916</v>
      </c>
      <c r="G1128" s="13"/>
      <c r="H1128" s="13" t="s">
        <v>674</v>
      </c>
      <c r="I1128" s="13"/>
      <c r="J1128" s="13" t="s">
        <v>738</v>
      </c>
      <c r="K1128" s="13" t="s">
        <v>675</v>
      </c>
      <c r="L1128" s="13" t="s">
        <v>145</v>
      </c>
      <c r="M1128" s="13" t="s">
        <v>100</v>
      </c>
      <c r="N1128" s="27" t="n">
        <v>6067</v>
      </c>
      <c r="O1128" s="28" t="n">
        <v>1012025</v>
      </c>
      <c r="P1128" s="27" t="n">
        <v>6067</v>
      </c>
      <c r="Q1128" s="29" t="n">
        <v>1</v>
      </c>
      <c r="R1128" s="28" t="n">
        <v>105</v>
      </c>
      <c r="S1128" s="28" t="n">
        <v>210</v>
      </c>
      <c r="T1128" s="28" t="n">
        <v>166.81</v>
      </c>
      <c r="U1128" s="13" t="n">
        <f aca="false">IFERROR(YEAR(A1128),"")</f>
        <v>2022</v>
      </c>
      <c r="V1128" s="28" t="n">
        <f aca="false">IFERROR(O1128*B1128,0)</f>
        <v>1012025</v>
      </c>
      <c r="W1128" s="27" t="n">
        <f aca="false">IFERROR(N1128*B1128,0)</f>
        <v>6067</v>
      </c>
      <c r="X1128" s="13" t="n">
        <f aca="false">IF(OR(ISNUMBER(SEARCH("live nation",L1128)),ISNUMBER(SEARCH("ocesa",L1128))),1,0)</f>
        <v>0</v>
      </c>
      <c r="Y1128" s="13" t="s">
        <v>50</v>
      </c>
    </row>
    <row r="1129" customFormat="false" ht="15" hidden="false" customHeight="false" outlineLevel="0" collapsed="false">
      <c r="A1129" s="30" t="n">
        <v>44845</v>
      </c>
      <c r="B1129" s="11" t="n">
        <v>1</v>
      </c>
      <c r="C1129" s="31" t="s">
        <v>64</v>
      </c>
      <c r="D1129" s="31"/>
      <c r="E1129" s="11" t="s">
        <v>962</v>
      </c>
      <c r="F1129" s="11" t="s">
        <v>963</v>
      </c>
      <c r="G1129" s="11" t="s">
        <v>347</v>
      </c>
      <c r="H1129" s="11" t="s">
        <v>20</v>
      </c>
      <c r="I1129" s="11" t="s">
        <v>346</v>
      </c>
      <c r="J1129" s="11" t="s">
        <v>97</v>
      </c>
      <c r="K1129" s="11" t="s">
        <v>107</v>
      </c>
      <c r="L1129" s="11" t="s">
        <v>508</v>
      </c>
      <c r="M1129" s="11" t="s">
        <v>100</v>
      </c>
      <c r="N1129" s="32" t="n">
        <v>8515</v>
      </c>
      <c r="O1129" s="33" t="n">
        <v>1230295</v>
      </c>
      <c r="P1129" s="32" t="n">
        <v>9833</v>
      </c>
      <c r="Q1129" s="34" t="n">
        <v>0.86</v>
      </c>
      <c r="R1129" s="33" t="n">
        <v>59</v>
      </c>
      <c r="S1129" s="33" t="n">
        <v>249</v>
      </c>
      <c r="T1129" s="33" t="n">
        <v>144.49</v>
      </c>
      <c r="U1129" s="11" t="n">
        <f aca="false">IFERROR(YEAR(A1129),"")</f>
        <v>2022</v>
      </c>
      <c r="V1129" s="33" t="n">
        <f aca="false">IFERROR(O1129*B1129,0)</f>
        <v>1230295</v>
      </c>
      <c r="W1129" s="32" t="n">
        <f aca="false">IFERROR(N1129*B1129,0)</f>
        <v>8515</v>
      </c>
      <c r="X1129" s="11" t="n">
        <f aca="false">IF(OR(ISNUMBER(SEARCH("live nation",L1129)),ISNUMBER(SEARCH("ocesa",L1129))),1,0)</f>
        <v>0</v>
      </c>
      <c r="Y1129" s="11" t="s">
        <v>49</v>
      </c>
    </row>
    <row r="1130" customFormat="false" ht="15" hidden="false" customHeight="false" outlineLevel="0" collapsed="false">
      <c r="A1130" s="25" t="n">
        <v>44842</v>
      </c>
      <c r="B1130" s="13" t="n">
        <v>1</v>
      </c>
      <c r="C1130" s="26" t="s">
        <v>64</v>
      </c>
      <c r="D1130" s="26"/>
      <c r="E1130" s="13" t="s">
        <v>1087</v>
      </c>
      <c r="F1130" s="13" t="s">
        <v>834</v>
      </c>
      <c r="G1130" s="13" t="s">
        <v>143</v>
      </c>
      <c r="H1130" s="13" t="s">
        <v>20</v>
      </c>
      <c r="I1130" s="13" t="s">
        <v>586</v>
      </c>
      <c r="J1130" s="13" t="s">
        <v>121</v>
      </c>
      <c r="K1130" s="13" t="s">
        <v>107</v>
      </c>
      <c r="L1130" s="13" t="s">
        <v>508</v>
      </c>
      <c r="M1130" s="13" t="s">
        <v>100</v>
      </c>
      <c r="N1130" s="27" t="n">
        <v>6122</v>
      </c>
      <c r="O1130" s="28" t="n">
        <v>818798</v>
      </c>
      <c r="P1130" s="27" t="n">
        <v>6122</v>
      </c>
      <c r="Q1130" s="29" t="n">
        <v>1</v>
      </c>
      <c r="R1130" s="28" t="n">
        <v>69</v>
      </c>
      <c r="S1130" s="28" t="n">
        <v>249</v>
      </c>
      <c r="T1130" s="28" t="n">
        <v>133.75</v>
      </c>
      <c r="U1130" s="13" t="n">
        <f aca="false">IFERROR(YEAR(A1130),"")</f>
        <v>2022</v>
      </c>
      <c r="V1130" s="28" t="n">
        <f aca="false">IFERROR(O1130*B1130,0)</f>
        <v>818798</v>
      </c>
      <c r="W1130" s="27" t="n">
        <f aca="false">IFERROR(N1130*B1130,0)</f>
        <v>6122</v>
      </c>
      <c r="X1130" s="13" t="n">
        <f aca="false">IF(OR(ISNUMBER(SEARCH("live nation",L1130)),ISNUMBER(SEARCH("ocesa",L1130))),1,0)</f>
        <v>0</v>
      </c>
      <c r="Y1130" s="13" t="s">
        <v>49</v>
      </c>
    </row>
    <row r="1131" customFormat="false" ht="15" hidden="false" customHeight="false" outlineLevel="0" collapsed="false">
      <c r="A1131" s="30" t="n">
        <v>44842</v>
      </c>
      <c r="B1131" s="11" t="n">
        <v>2</v>
      </c>
      <c r="C1131" s="31" t="s">
        <v>62</v>
      </c>
      <c r="D1131" s="31"/>
      <c r="E1131" s="11" t="s">
        <v>1221</v>
      </c>
      <c r="F1131" s="11" t="s">
        <v>752</v>
      </c>
      <c r="G1131" s="11"/>
      <c r="H1131" s="11" t="s">
        <v>285</v>
      </c>
      <c r="I1131" s="11"/>
      <c r="J1131" s="11" t="s">
        <v>97</v>
      </c>
      <c r="K1131" s="11" t="s">
        <v>1236</v>
      </c>
      <c r="L1131" s="11" t="s">
        <v>468</v>
      </c>
      <c r="M1131" s="11" t="s">
        <v>100</v>
      </c>
      <c r="N1131" s="32" t="n">
        <v>8478</v>
      </c>
      <c r="O1131" s="33" t="n">
        <v>1280074</v>
      </c>
      <c r="P1131" s="32" t="n">
        <v>8478</v>
      </c>
      <c r="Q1131" s="34" t="n">
        <v>1</v>
      </c>
      <c r="R1131" s="33" t="n">
        <v>57.94</v>
      </c>
      <c r="S1131" s="33" t="n">
        <v>283.8</v>
      </c>
      <c r="T1131" s="33" t="n">
        <v>150.99</v>
      </c>
      <c r="U1131" s="11" t="n">
        <f aca="false">IFERROR(YEAR(A1131),"")</f>
        <v>2022</v>
      </c>
      <c r="V1131" s="33" t="n">
        <f aca="false">IFERROR(O1131*B1131,0)</f>
        <v>2560148</v>
      </c>
      <c r="W1131" s="32" t="n">
        <f aca="false">IFERROR(N1131*B1131,0)</f>
        <v>16956</v>
      </c>
      <c r="X1131" s="11" t="n">
        <f aca="false">IF(OR(ISNUMBER(SEARCH("live nation",L1131)),ISNUMBER(SEARCH("ocesa",L1131))),1,0)</f>
        <v>1</v>
      </c>
      <c r="Y1131" s="11" t="s">
        <v>50</v>
      </c>
    </row>
    <row r="1132" customFormat="false" ht="15" hidden="false" customHeight="false" outlineLevel="0" collapsed="false">
      <c r="A1132" s="25" t="n">
        <v>44840</v>
      </c>
      <c r="B1132" s="13" t="n">
        <v>1</v>
      </c>
      <c r="C1132" s="26" t="s">
        <v>798</v>
      </c>
      <c r="D1132" s="26"/>
      <c r="E1132" s="13" t="s">
        <v>970</v>
      </c>
      <c r="F1132" s="13" t="s">
        <v>203</v>
      </c>
      <c r="G1132" s="13" t="s">
        <v>202</v>
      </c>
      <c r="H1132" s="13" t="s">
        <v>20</v>
      </c>
      <c r="I1132" s="13" t="s">
        <v>203</v>
      </c>
      <c r="J1132" s="13" t="s">
        <v>97</v>
      </c>
      <c r="K1132" s="13" t="s">
        <v>107</v>
      </c>
      <c r="L1132" s="13" t="s">
        <v>177</v>
      </c>
      <c r="M1132" s="13" t="s">
        <v>100</v>
      </c>
      <c r="N1132" s="27" t="n">
        <v>11987</v>
      </c>
      <c r="O1132" s="28" t="n">
        <v>1451985</v>
      </c>
      <c r="P1132" s="27" t="n">
        <v>11987</v>
      </c>
      <c r="Q1132" s="29" t="n">
        <v>1</v>
      </c>
      <c r="R1132" s="28" t="n">
        <v>59.5</v>
      </c>
      <c r="S1132" s="28" t="n">
        <v>199.5</v>
      </c>
      <c r="T1132" s="28" t="n">
        <v>121.13</v>
      </c>
      <c r="U1132" s="13" t="n">
        <f aca="false">IFERROR(YEAR(A1132),"")</f>
        <v>2022</v>
      </c>
      <c r="V1132" s="28" t="n">
        <f aca="false">IFERROR(O1132*B1132,0)</f>
        <v>1451985</v>
      </c>
      <c r="W1132" s="27" t="n">
        <f aca="false">IFERROR(N1132*B1132,0)</f>
        <v>11987</v>
      </c>
      <c r="X1132" s="13" t="n">
        <f aca="false">IF(OR(ISNUMBER(SEARCH("live nation",L1132)),ISNUMBER(SEARCH("ocesa",L1132))),1,0)</f>
        <v>1</v>
      </c>
      <c r="Y1132" s="13" t="s">
        <v>49</v>
      </c>
    </row>
    <row r="1133" customFormat="false" ht="15" hidden="false" customHeight="false" outlineLevel="0" collapsed="false">
      <c r="A1133" s="30" t="n">
        <v>44840</v>
      </c>
      <c r="B1133" s="11" t="n">
        <v>1</v>
      </c>
      <c r="C1133" s="31" t="s">
        <v>64</v>
      </c>
      <c r="D1133" s="31"/>
      <c r="E1133" s="11" t="s">
        <v>501</v>
      </c>
      <c r="F1133" s="11" t="s">
        <v>502</v>
      </c>
      <c r="G1133" s="11" t="s">
        <v>143</v>
      </c>
      <c r="H1133" s="11" t="s">
        <v>20</v>
      </c>
      <c r="I1133" s="11" t="s">
        <v>375</v>
      </c>
      <c r="J1133" s="11" t="s">
        <v>97</v>
      </c>
      <c r="K1133" s="11" t="s">
        <v>107</v>
      </c>
      <c r="L1133" s="11" t="s">
        <v>508</v>
      </c>
      <c r="M1133" s="11" t="s">
        <v>100</v>
      </c>
      <c r="N1133" s="32" t="n">
        <v>10043</v>
      </c>
      <c r="O1133" s="33" t="n">
        <v>1392457</v>
      </c>
      <c r="P1133" s="32" t="n">
        <v>11230</v>
      </c>
      <c r="Q1133" s="34" t="n">
        <v>0.89</v>
      </c>
      <c r="R1133" s="33" t="n">
        <v>69</v>
      </c>
      <c r="S1133" s="33" t="n">
        <v>249</v>
      </c>
      <c r="T1133" s="33" t="n">
        <v>138.65</v>
      </c>
      <c r="U1133" s="11" t="n">
        <f aca="false">IFERROR(YEAR(A1133),"")</f>
        <v>2022</v>
      </c>
      <c r="V1133" s="33" t="n">
        <f aca="false">IFERROR(O1133*B1133,0)</f>
        <v>1392457</v>
      </c>
      <c r="W1133" s="32" t="n">
        <f aca="false">IFERROR(N1133*B1133,0)</f>
        <v>10043</v>
      </c>
      <c r="X1133" s="11" t="n">
        <f aca="false">IF(OR(ISNUMBER(SEARCH("live nation",L1133)),ISNUMBER(SEARCH("ocesa",L1133))),1,0)</f>
        <v>0</v>
      </c>
      <c r="Y1133" s="11" t="s">
        <v>49</v>
      </c>
    </row>
    <row r="1134" customFormat="false" ht="15" hidden="false" customHeight="false" outlineLevel="0" collapsed="false">
      <c r="A1134" s="25" t="n">
        <v>44836</v>
      </c>
      <c r="B1134" s="13" t="n">
        <v>2</v>
      </c>
      <c r="C1134" s="26" t="s">
        <v>64</v>
      </c>
      <c r="D1134" s="26"/>
      <c r="E1134" s="13" t="s">
        <v>618</v>
      </c>
      <c r="F1134" s="13" t="s">
        <v>619</v>
      </c>
      <c r="G1134" s="13" t="s">
        <v>202</v>
      </c>
      <c r="H1134" s="13" t="s">
        <v>20</v>
      </c>
      <c r="I1134" s="13" t="s">
        <v>203</v>
      </c>
      <c r="J1134" s="13" t="s">
        <v>97</v>
      </c>
      <c r="K1134" s="13" t="s">
        <v>107</v>
      </c>
      <c r="L1134" s="13" t="s">
        <v>508</v>
      </c>
      <c r="M1134" s="13" t="s">
        <v>100</v>
      </c>
      <c r="N1134" s="27" t="n">
        <v>9912</v>
      </c>
      <c r="O1134" s="28" t="n">
        <v>1200297.5</v>
      </c>
      <c r="P1134" s="27" t="n">
        <v>10282</v>
      </c>
      <c r="Q1134" s="29" t="n">
        <v>0.96</v>
      </c>
      <c r="R1134" s="28" t="n">
        <v>59</v>
      </c>
      <c r="S1134" s="28" t="n">
        <v>249</v>
      </c>
      <c r="T1134" s="28" t="n">
        <v>121.09</v>
      </c>
      <c r="U1134" s="13" t="n">
        <f aca="false">IFERROR(YEAR(A1134),"")</f>
        <v>2022</v>
      </c>
      <c r="V1134" s="28" t="n">
        <f aca="false">IFERROR(O1134*B1134,0)</f>
        <v>2400595</v>
      </c>
      <c r="W1134" s="27" t="n">
        <f aca="false">IFERROR(N1134*B1134,0)</f>
        <v>19824</v>
      </c>
      <c r="X1134" s="13" t="n">
        <f aca="false">IF(OR(ISNUMBER(SEARCH("live nation",L1134)),ISNUMBER(SEARCH("ocesa",L1134))),1,0)</f>
        <v>0</v>
      </c>
      <c r="Y1134" s="13" t="s">
        <v>49</v>
      </c>
    </row>
    <row r="1135" customFormat="false" ht="15" hidden="false" customHeight="false" outlineLevel="0" collapsed="false">
      <c r="A1135" s="30" t="n">
        <v>44835</v>
      </c>
      <c r="B1135" s="11" t="n">
        <v>2</v>
      </c>
      <c r="C1135" s="31" t="s">
        <v>62</v>
      </c>
      <c r="D1135" s="31"/>
      <c r="E1135" s="11" t="s">
        <v>1237</v>
      </c>
      <c r="F1135" s="11" t="s">
        <v>299</v>
      </c>
      <c r="G1135" s="11"/>
      <c r="H1135" s="11" t="s">
        <v>56</v>
      </c>
      <c r="I1135" s="11"/>
      <c r="J1135" s="11" t="s">
        <v>97</v>
      </c>
      <c r="K1135" s="11" t="s">
        <v>300</v>
      </c>
      <c r="L1135" s="11" t="s">
        <v>468</v>
      </c>
      <c r="M1135" s="11" t="s">
        <v>100</v>
      </c>
      <c r="N1135" s="32" t="n">
        <v>9635</v>
      </c>
      <c r="O1135" s="33" t="n">
        <v>1156075.97</v>
      </c>
      <c r="P1135" s="32" t="n">
        <v>9635</v>
      </c>
      <c r="Q1135" s="34" t="n">
        <v>1</v>
      </c>
      <c r="R1135" s="33" t="n">
        <v>54.92</v>
      </c>
      <c r="S1135" s="33" t="n">
        <v>198.32</v>
      </c>
      <c r="T1135" s="33" t="n">
        <v>119.99</v>
      </c>
      <c r="U1135" s="11" t="n">
        <f aca="false">IFERROR(YEAR(A1135),"")</f>
        <v>2022</v>
      </c>
      <c r="V1135" s="33" t="n">
        <f aca="false">IFERROR(O1135*B1135,0)</f>
        <v>2312151.94</v>
      </c>
      <c r="W1135" s="32" t="n">
        <f aca="false">IFERROR(N1135*B1135,0)</f>
        <v>19270</v>
      </c>
      <c r="X1135" s="11" t="n">
        <f aca="false">IF(OR(ISNUMBER(SEARCH("live nation",L1135)),ISNUMBER(SEARCH("ocesa",L1135))),1,0)</f>
        <v>1</v>
      </c>
      <c r="Y1135" s="11" t="s">
        <v>50</v>
      </c>
    </row>
    <row r="1136" customFormat="false" ht="15" hidden="false" customHeight="false" outlineLevel="0" collapsed="false">
      <c r="A1136" s="25" t="n">
        <v>44834</v>
      </c>
      <c r="B1136" s="13" t="n">
        <v>1</v>
      </c>
      <c r="C1136" s="26" t="s">
        <v>1238</v>
      </c>
      <c r="D1136" s="26"/>
      <c r="E1136" s="13" t="s">
        <v>1239</v>
      </c>
      <c r="F1136" s="13" t="s">
        <v>1240</v>
      </c>
      <c r="G1136" s="13" t="s">
        <v>143</v>
      </c>
      <c r="H1136" s="13" t="s">
        <v>20</v>
      </c>
      <c r="I1136" s="13" t="s">
        <v>1241</v>
      </c>
      <c r="J1136" s="13" t="s">
        <v>275</v>
      </c>
      <c r="K1136" s="13" t="s">
        <v>107</v>
      </c>
      <c r="L1136" s="13" t="s">
        <v>122</v>
      </c>
      <c r="M1136" s="13" t="s">
        <v>100</v>
      </c>
      <c r="N1136" s="27" t="n">
        <v>239</v>
      </c>
      <c r="O1136" s="28" t="n">
        <v>33611</v>
      </c>
      <c r="P1136" s="27" t="n">
        <v>5000</v>
      </c>
      <c r="Q1136" s="29" t="n">
        <v>0.04</v>
      </c>
      <c r="R1136" s="28" t="n">
        <v>49</v>
      </c>
      <c r="S1136" s="28" t="n">
        <v>249</v>
      </c>
      <c r="T1136" s="28" t="n">
        <v>140.63</v>
      </c>
      <c r="U1136" s="13" t="n">
        <f aca="false">IFERROR(YEAR(A1136),"")</f>
        <v>2022</v>
      </c>
      <c r="V1136" s="28" t="n">
        <f aca="false">IFERROR(O1136*B1136,0)</f>
        <v>33611</v>
      </c>
      <c r="W1136" s="27" t="n">
        <f aca="false">IFERROR(N1136*B1136,0)</f>
        <v>239</v>
      </c>
      <c r="X1136" s="13" t="n">
        <f aca="false">IF(OR(ISNUMBER(SEARCH("live nation",L1136)),ISNUMBER(SEARCH("ocesa",L1136))),1,0)</f>
        <v>0</v>
      </c>
      <c r="Y1136" s="13" t="s">
        <v>49</v>
      </c>
    </row>
    <row r="1137" customFormat="false" ht="15" hidden="false" customHeight="false" outlineLevel="0" collapsed="false">
      <c r="A1137" s="30" t="n">
        <v>44828</v>
      </c>
      <c r="B1137" s="11" t="n">
        <v>2</v>
      </c>
      <c r="C1137" s="31" t="s">
        <v>62</v>
      </c>
      <c r="D1137" s="31"/>
      <c r="E1137" s="11" t="s">
        <v>1242</v>
      </c>
      <c r="F1137" s="11" t="s">
        <v>673</v>
      </c>
      <c r="G1137" s="11"/>
      <c r="H1137" s="11" t="s">
        <v>674</v>
      </c>
      <c r="I1137" s="11"/>
      <c r="J1137" s="11" t="s">
        <v>97</v>
      </c>
      <c r="K1137" s="11" t="s">
        <v>675</v>
      </c>
      <c r="L1137" s="11" t="s">
        <v>468</v>
      </c>
      <c r="M1137" s="11" t="s">
        <v>100</v>
      </c>
      <c r="N1137" s="32" t="n">
        <v>8668</v>
      </c>
      <c r="O1137" s="33" t="n">
        <v>1253514</v>
      </c>
      <c r="P1137" s="32" t="n">
        <v>8668</v>
      </c>
      <c r="Q1137" s="34" t="n">
        <v>1</v>
      </c>
      <c r="R1137" s="33" t="n">
        <v>72</v>
      </c>
      <c r="S1137" s="33" t="n">
        <v>180</v>
      </c>
      <c r="T1137" s="33" t="n">
        <v>144.61</v>
      </c>
      <c r="U1137" s="11" t="n">
        <f aca="false">IFERROR(YEAR(A1137),"")</f>
        <v>2022</v>
      </c>
      <c r="V1137" s="33" t="n">
        <f aca="false">IFERROR(O1137*B1137,0)</f>
        <v>2507028</v>
      </c>
      <c r="W1137" s="32" t="n">
        <f aca="false">IFERROR(N1137*B1137,0)</f>
        <v>17336</v>
      </c>
      <c r="X1137" s="11" t="n">
        <f aca="false">IF(OR(ISNUMBER(SEARCH("live nation",L1137)),ISNUMBER(SEARCH("ocesa",L1137))),1,0)</f>
        <v>1</v>
      </c>
      <c r="Y1137" s="11" t="s">
        <v>50</v>
      </c>
    </row>
    <row r="1138" customFormat="false" ht="15" hidden="false" customHeight="false" outlineLevel="0" collapsed="false">
      <c r="A1138" s="25" t="n">
        <v>44821</v>
      </c>
      <c r="B1138" s="13" t="n">
        <v>2</v>
      </c>
      <c r="C1138" s="26" t="s">
        <v>64</v>
      </c>
      <c r="D1138" s="26"/>
      <c r="E1138" s="13" t="s">
        <v>1243</v>
      </c>
      <c r="F1138" s="13" t="s">
        <v>147</v>
      </c>
      <c r="G1138" s="13"/>
      <c r="H1138" s="13" t="s">
        <v>24</v>
      </c>
      <c r="I1138" s="13"/>
      <c r="J1138" s="13" t="s">
        <v>97</v>
      </c>
      <c r="K1138" s="13" t="s">
        <v>148</v>
      </c>
      <c r="L1138" s="13" t="s">
        <v>145</v>
      </c>
      <c r="M1138" s="13" t="s">
        <v>100</v>
      </c>
      <c r="N1138" s="27" t="n">
        <v>3983</v>
      </c>
      <c r="O1138" s="28" t="n">
        <v>353690.4</v>
      </c>
      <c r="P1138" s="27" t="n">
        <v>3983</v>
      </c>
      <c r="Q1138" s="29" t="n">
        <v>1</v>
      </c>
      <c r="R1138" s="28" t="n">
        <v>97.68</v>
      </c>
      <c r="S1138" s="28" t="n">
        <v>0</v>
      </c>
      <c r="T1138" s="28" t="n">
        <v>88.8</v>
      </c>
      <c r="U1138" s="13" t="n">
        <f aca="false">IFERROR(YEAR(A1138),"")</f>
        <v>2022</v>
      </c>
      <c r="V1138" s="28" t="n">
        <f aca="false">IFERROR(O1138*B1138,0)</f>
        <v>707380.8</v>
      </c>
      <c r="W1138" s="27" t="n">
        <f aca="false">IFERROR(N1138*B1138,0)</f>
        <v>7966</v>
      </c>
      <c r="X1138" s="13" t="n">
        <f aca="false">IF(OR(ISNUMBER(SEARCH("live nation",L1138)),ISNUMBER(SEARCH("ocesa",L1138))),1,0)</f>
        <v>0</v>
      </c>
      <c r="Y1138" s="13" t="s">
        <v>50</v>
      </c>
    </row>
    <row r="1139" customFormat="false" ht="15" hidden="false" customHeight="false" outlineLevel="0" collapsed="false">
      <c r="A1139" s="30" t="n">
        <v>44812</v>
      </c>
      <c r="B1139" s="11" t="n">
        <v>1</v>
      </c>
      <c r="C1139" s="31" t="s">
        <v>1135</v>
      </c>
      <c r="D1139" s="31"/>
      <c r="E1139" s="11" t="s">
        <v>1015</v>
      </c>
      <c r="F1139" s="11" t="s">
        <v>561</v>
      </c>
      <c r="G1139" s="11"/>
      <c r="H1139" s="11" t="s">
        <v>449</v>
      </c>
      <c r="I1139" s="11"/>
      <c r="J1139" s="11" t="s">
        <v>121</v>
      </c>
      <c r="K1139" s="11" t="s">
        <v>173</v>
      </c>
      <c r="L1139" s="11" t="s">
        <v>453</v>
      </c>
      <c r="M1139" s="11" t="s">
        <v>100</v>
      </c>
      <c r="N1139" s="32" t="n">
        <v>2240</v>
      </c>
      <c r="O1139" s="33" t="n">
        <v>234625.45</v>
      </c>
      <c r="P1139" s="32" t="n">
        <v>4189</v>
      </c>
      <c r="Q1139" s="34" t="n">
        <v>0.53</v>
      </c>
      <c r="R1139" s="33" t="n">
        <v>75.21</v>
      </c>
      <c r="S1139" s="33" t="n">
        <v>130.36</v>
      </c>
      <c r="T1139" s="33" t="n">
        <v>104.74</v>
      </c>
      <c r="U1139" s="11" t="n">
        <f aca="false">IFERROR(YEAR(A1139),"")</f>
        <v>2022</v>
      </c>
      <c r="V1139" s="33" t="n">
        <f aca="false">IFERROR(O1139*B1139,0)</f>
        <v>234625.45</v>
      </c>
      <c r="W1139" s="32" t="n">
        <f aca="false">IFERROR(N1139*B1139,0)</f>
        <v>2240</v>
      </c>
      <c r="X1139" s="11" t="n">
        <f aca="false">IF(OR(ISNUMBER(SEARCH("live nation",L1139)),ISNUMBER(SEARCH("ocesa",L1139))),1,0)</f>
        <v>0</v>
      </c>
      <c r="Y1139" s="11" t="s">
        <v>49</v>
      </c>
    </row>
    <row r="1140" customFormat="false" ht="15" hidden="false" customHeight="false" outlineLevel="0" collapsed="false">
      <c r="A1140" s="25" t="n">
        <v>44811</v>
      </c>
      <c r="B1140" s="13" t="n">
        <v>2</v>
      </c>
      <c r="C1140" s="26" t="s">
        <v>63</v>
      </c>
      <c r="D1140" s="26"/>
      <c r="E1140" s="13" t="s">
        <v>1244</v>
      </c>
      <c r="F1140" s="13" t="s">
        <v>249</v>
      </c>
      <c r="G1140" s="13"/>
      <c r="H1140" s="13" t="s">
        <v>21</v>
      </c>
      <c r="I1140" s="13"/>
      <c r="J1140" s="13" t="s">
        <v>121</v>
      </c>
      <c r="K1140" s="13" t="s">
        <v>113</v>
      </c>
      <c r="L1140" s="13" t="s">
        <v>145</v>
      </c>
      <c r="M1140" s="13" t="s">
        <v>100</v>
      </c>
      <c r="N1140" s="27" t="n">
        <v>6145</v>
      </c>
      <c r="O1140" s="28" t="n">
        <v>441572.85</v>
      </c>
      <c r="P1140" s="27" t="n">
        <v>6140</v>
      </c>
      <c r="Q1140" s="29" t="n">
        <v>1</v>
      </c>
      <c r="R1140" s="28" t="n">
        <v>68.5</v>
      </c>
      <c r="S1140" s="28" t="n">
        <v>79.31</v>
      </c>
      <c r="T1140" s="28" t="n">
        <v>71.86</v>
      </c>
      <c r="U1140" s="13" t="n">
        <f aca="false">IFERROR(YEAR(A1140),"")</f>
        <v>2022</v>
      </c>
      <c r="V1140" s="28" t="n">
        <f aca="false">IFERROR(O1140*B1140,0)</f>
        <v>883145.7</v>
      </c>
      <c r="W1140" s="27" t="n">
        <f aca="false">IFERROR(N1140*B1140,0)</f>
        <v>12290</v>
      </c>
      <c r="X1140" s="13" t="n">
        <f aca="false">IF(OR(ISNUMBER(SEARCH("live nation",L1140)),ISNUMBER(SEARCH("ocesa",L1140))),1,0)</f>
        <v>0</v>
      </c>
      <c r="Y1140" s="13" t="s">
        <v>50</v>
      </c>
    </row>
    <row r="1141" customFormat="false" ht="15" hidden="false" customHeight="false" outlineLevel="0" collapsed="false">
      <c r="A1141" s="30" t="n">
        <v>44810</v>
      </c>
      <c r="B1141" s="11" t="n">
        <v>1</v>
      </c>
      <c r="C1141" s="31" t="s">
        <v>62</v>
      </c>
      <c r="D1141" s="31"/>
      <c r="E1141" s="11" t="s">
        <v>506</v>
      </c>
      <c r="F1141" s="11" t="s">
        <v>507</v>
      </c>
      <c r="G1141" s="11" t="s">
        <v>221</v>
      </c>
      <c r="H1141" s="11" t="s">
        <v>20</v>
      </c>
      <c r="I1141" s="11" t="s">
        <v>139</v>
      </c>
      <c r="J1141" s="11" t="s">
        <v>97</v>
      </c>
      <c r="K1141" s="11" t="s">
        <v>107</v>
      </c>
      <c r="L1141" s="11" t="s">
        <v>468</v>
      </c>
      <c r="M1141" s="11" t="s">
        <v>100</v>
      </c>
      <c r="N1141" s="32" t="n">
        <v>10717</v>
      </c>
      <c r="O1141" s="33" t="n">
        <v>1428433.5</v>
      </c>
      <c r="P1141" s="32" t="n">
        <v>10717</v>
      </c>
      <c r="Q1141" s="34" t="n">
        <v>1</v>
      </c>
      <c r="R1141" s="33" t="n">
        <v>59.5</v>
      </c>
      <c r="S1141" s="33" t="n">
        <v>179.5</v>
      </c>
      <c r="T1141" s="33" t="n">
        <v>133.29</v>
      </c>
      <c r="U1141" s="11" t="n">
        <f aca="false">IFERROR(YEAR(A1141),"")</f>
        <v>2022</v>
      </c>
      <c r="V1141" s="33" t="n">
        <f aca="false">IFERROR(O1141*B1141,0)</f>
        <v>1428433.5</v>
      </c>
      <c r="W1141" s="32" t="n">
        <f aca="false">IFERROR(N1141*B1141,0)</f>
        <v>10717</v>
      </c>
      <c r="X1141" s="11" t="n">
        <f aca="false">IF(OR(ISNUMBER(SEARCH("live nation",L1141)),ISNUMBER(SEARCH("ocesa",L1141))),1,0)</f>
        <v>1</v>
      </c>
      <c r="Y1141" s="11" t="s">
        <v>49</v>
      </c>
    </row>
    <row r="1142" customFormat="false" ht="15" hidden="false" customHeight="false" outlineLevel="0" collapsed="false">
      <c r="A1142" s="25" t="n">
        <v>44807</v>
      </c>
      <c r="B1142" s="13" t="n">
        <v>1</v>
      </c>
      <c r="C1142" s="26" t="s">
        <v>62</v>
      </c>
      <c r="D1142" s="26"/>
      <c r="E1142" s="13" t="s">
        <v>838</v>
      </c>
      <c r="F1142" s="13" t="s">
        <v>550</v>
      </c>
      <c r="G1142" s="13" t="s">
        <v>328</v>
      </c>
      <c r="H1142" s="13" t="s">
        <v>128</v>
      </c>
      <c r="I1142" s="13"/>
      <c r="J1142" s="13" t="s">
        <v>97</v>
      </c>
      <c r="K1142" s="13" t="s">
        <v>129</v>
      </c>
      <c r="L1142" s="13" t="s">
        <v>468</v>
      </c>
      <c r="M1142" s="13" t="s">
        <v>100</v>
      </c>
      <c r="N1142" s="27" t="n">
        <v>13763</v>
      </c>
      <c r="O1142" s="28" t="n">
        <v>1420099.85</v>
      </c>
      <c r="P1142" s="27" t="n">
        <v>13769</v>
      </c>
      <c r="Q1142" s="29" t="n">
        <v>0.99</v>
      </c>
      <c r="R1142" s="28" t="n">
        <v>60.66</v>
      </c>
      <c r="S1142" s="28" t="n">
        <v>152.23</v>
      </c>
      <c r="T1142" s="28" t="n">
        <v>103.18</v>
      </c>
      <c r="U1142" s="13" t="n">
        <f aca="false">IFERROR(YEAR(A1142),"")</f>
        <v>2022</v>
      </c>
      <c r="V1142" s="28" t="n">
        <f aca="false">IFERROR(O1142*B1142,0)</f>
        <v>1420099.85</v>
      </c>
      <c r="W1142" s="27" t="n">
        <f aca="false">IFERROR(N1142*B1142,0)</f>
        <v>13763</v>
      </c>
      <c r="X1142" s="13" t="n">
        <f aca="false">IF(OR(ISNUMBER(SEARCH("live nation",L1142)),ISNUMBER(SEARCH("ocesa",L1142))),1,0)</f>
        <v>1</v>
      </c>
      <c r="Y1142" s="13" t="s">
        <v>49</v>
      </c>
    </row>
    <row r="1143" customFormat="false" ht="15" hidden="false" customHeight="false" outlineLevel="0" collapsed="false">
      <c r="A1143" s="30" t="n">
        <v>44807</v>
      </c>
      <c r="B1143" s="11" t="n">
        <v>2</v>
      </c>
      <c r="C1143" s="31" t="s">
        <v>63</v>
      </c>
      <c r="D1143" s="31"/>
      <c r="E1143" s="11" t="s">
        <v>1245</v>
      </c>
      <c r="F1143" s="11" t="s">
        <v>370</v>
      </c>
      <c r="G1143" s="11"/>
      <c r="H1143" s="11" t="s">
        <v>21</v>
      </c>
      <c r="I1143" s="11"/>
      <c r="J1143" s="11" t="s">
        <v>914</v>
      </c>
      <c r="K1143" s="11" t="s">
        <v>113</v>
      </c>
      <c r="L1143" s="11" t="s">
        <v>145</v>
      </c>
      <c r="M1143" s="11" t="s">
        <v>100</v>
      </c>
      <c r="N1143" s="32" t="n">
        <v>6058</v>
      </c>
      <c r="O1143" s="33" t="n">
        <v>437211.88</v>
      </c>
      <c r="P1143" s="32" t="n">
        <v>6058</v>
      </c>
      <c r="Q1143" s="34" t="n">
        <v>1</v>
      </c>
      <c r="R1143" s="33" t="n">
        <v>68.5</v>
      </c>
      <c r="S1143" s="33" t="n">
        <v>7.93</v>
      </c>
      <c r="T1143" s="33" t="n">
        <v>72.17</v>
      </c>
      <c r="U1143" s="11" t="n">
        <f aca="false">IFERROR(YEAR(A1143),"")</f>
        <v>2022</v>
      </c>
      <c r="V1143" s="33" t="n">
        <f aca="false">IFERROR(O1143*B1143,0)</f>
        <v>874423.76</v>
      </c>
      <c r="W1143" s="32" t="n">
        <f aca="false">IFERROR(N1143*B1143,0)</f>
        <v>12116</v>
      </c>
      <c r="X1143" s="11" t="n">
        <f aca="false">IF(OR(ISNUMBER(SEARCH("live nation",L1143)),ISNUMBER(SEARCH("ocesa",L1143))),1,0)</f>
        <v>0</v>
      </c>
      <c r="Y1143" s="11" t="s">
        <v>50</v>
      </c>
    </row>
    <row r="1144" customFormat="false" ht="15" hidden="false" customHeight="false" outlineLevel="0" collapsed="false">
      <c r="A1144" s="25" t="n">
        <v>44805</v>
      </c>
      <c r="B1144" s="13" t="n">
        <v>1</v>
      </c>
      <c r="C1144" s="26" t="s">
        <v>62</v>
      </c>
      <c r="D1144" s="26"/>
      <c r="E1144" s="13" t="s">
        <v>355</v>
      </c>
      <c r="F1144" s="13" t="s">
        <v>356</v>
      </c>
      <c r="G1144" s="13" t="s">
        <v>139</v>
      </c>
      <c r="H1144" s="13" t="s">
        <v>20</v>
      </c>
      <c r="I1144" s="13" t="s">
        <v>139</v>
      </c>
      <c r="J1144" s="13" t="s">
        <v>97</v>
      </c>
      <c r="K1144" s="13" t="s">
        <v>107</v>
      </c>
      <c r="L1144" s="13" t="s">
        <v>468</v>
      </c>
      <c r="M1144" s="13" t="s">
        <v>100</v>
      </c>
      <c r="N1144" s="27" t="n">
        <v>9028</v>
      </c>
      <c r="O1144" s="28" t="n">
        <v>1275102</v>
      </c>
      <c r="P1144" s="27" t="n">
        <v>9028</v>
      </c>
      <c r="Q1144" s="29" t="n">
        <v>1</v>
      </c>
      <c r="R1144" s="28" t="n">
        <v>53.5</v>
      </c>
      <c r="S1144" s="28" t="n">
        <v>173.5</v>
      </c>
      <c r="T1144" s="28" t="n">
        <v>141.24</v>
      </c>
      <c r="U1144" s="13" t="n">
        <f aca="false">IFERROR(YEAR(A1144),"")</f>
        <v>2022</v>
      </c>
      <c r="V1144" s="28" t="n">
        <f aca="false">IFERROR(O1144*B1144,0)</f>
        <v>1275102</v>
      </c>
      <c r="W1144" s="27" t="n">
        <f aca="false">IFERROR(N1144*B1144,0)</f>
        <v>9028</v>
      </c>
      <c r="X1144" s="13" t="n">
        <f aca="false">IF(OR(ISNUMBER(SEARCH("live nation",L1144)),ISNUMBER(SEARCH("ocesa",L1144))),1,0)</f>
        <v>1</v>
      </c>
      <c r="Y1144" s="13" t="s">
        <v>49</v>
      </c>
    </row>
    <row r="1145" customFormat="false" ht="15" hidden="false" customHeight="false" outlineLevel="0" collapsed="false">
      <c r="A1145" s="30" t="n">
        <v>44803</v>
      </c>
      <c r="B1145" s="11" t="n">
        <v>1</v>
      </c>
      <c r="C1145" s="31" t="s">
        <v>62</v>
      </c>
      <c r="D1145" s="31"/>
      <c r="E1145" s="11" t="s">
        <v>345</v>
      </c>
      <c r="F1145" s="11" t="s">
        <v>346</v>
      </c>
      <c r="G1145" s="11" t="s">
        <v>347</v>
      </c>
      <c r="H1145" s="11" t="s">
        <v>20</v>
      </c>
      <c r="I1145" s="11" t="s">
        <v>346</v>
      </c>
      <c r="J1145" s="11" t="s">
        <v>97</v>
      </c>
      <c r="K1145" s="11" t="s">
        <v>107</v>
      </c>
      <c r="L1145" s="11" t="s">
        <v>468</v>
      </c>
      <c r="M1145" s="11" t="s">
        <v>100</v>
      </c>
      <c r="N1145" s="32" t="n">
        <v>9503</v>
      </c>
      <c r="O1145" s="33" t="n">
        <v>1132774.5</v>
      </c>
      <c r="P1145" s="32" t="n">
        <v>10741</v>
      </c>
      <c r="Q1145" s="34" t="n">
        <v>0.88</v>
      </c>
      <c r="R1145" s="33" t="n">
        <v>59.5</v>
      </c>
      <c r="S1145" s="33" t="n">
        <v>179.5</v>
      </c>
      <c r="T1145" s="33" t="n">
        <v>119.2</v>
      </c>
      <c r="U1145" s="11" t="n">
        <f aca="false">IFERROR(YEAR(A1145),"")</f>
        <v>2022</v>
      </c>
      <c r="V1145" s="33" t="n">
        <f aca="false">IFERROR(O1145*B1145,0)</f>
        <v>1132774.5</v>
      </c>
      <c r="W1145" s="32" t="n">
        <f aca="false">IFERROR(N1145*B1145,0)</f>
        <v>9503</v>
      </c>
      <c r="X1145" s="11" t="n">
        <f aca="false">IF(OR(ISNUMBER(SEARCH("live nation",L1145)),ISNUMBER(SEARCH("ocesa",L1145))),1,0)</f>
        <v>1</v>
      </c>
      <c r="Y1145" s="11" t="s">
        <v>49</v>
      </c>
    </row>
    <row r="1146" customFormat="false" ht="15" hidden="false" customHeight="false" outlineLevel="0" collapsed="false">
      <c r="A1146" s="25" t="n">
        <v>44801</v>
      </c>
      <c r="B1146" s="13" t="n">
        <v>1</v>
      </c>
      <c r="C1146" s="26" t="s">
        <v>62</v>
      </c>
      <c r="D1146" s="26"/>
      <c r="E1146" s="13" t="s">
        <v>365</v>
      </c>
      <c r="F1146" s="13" t="s">
        <v>188</v>
      </c>
      <c r="G1146" s="13" t="s">
        <v>189</v>
      </c>
      <c r="H1146" s="13" t="s">
        <v>20</v>
      </c>
      <c r="I1146" s="13" t="s">
        <v>190</v>
      </c>
      <c r="J1146" s="13" t="s">
        <v>97</v>
      </c>
      <c r="K1146" s="13" t="s">
        <v>107</v>
      </c>
      <c r="L1146" s="13" t="s">
        <v>468</v>
      </c>
      <c r="M1146" s="13" t="s">
        <v>100</v>
      </c>
      <c r="N1146" s="27" t="n">
        <v>11341</v>
      </c>
      <c r="O1146" s="28" t="n">
        <v>1324159.5</v>
      </c>
      <c r="P1146" s="27" t="n">
        <v>11596</v>
      </c>
      <c r="Q1146" s="29" t="n">
        <v>0.97</v>
      </c>
      <c r="R1146" s="28" t="n">
        <v>59.5</v>
      </c>
      <c r="S1146" s="28" t="n">
        <v>179.5</v>
      </c>
      <c r="T1146" s="28" t="n">
        <v>116.76</v>
      </c>
      <c r="U1146" s="13" t="n">
        <f aca="false">IFERROR(YEAR(A1146),"")</f>
        <v>2022</v>
      </c>
      <c r="V1146" s="28" t="n">
        <f aca="false">IFERROR(O1146*B1146,0)</f>
        <v>1324159.5</v>
      </c>
      <c r="W1146" s="27" t="n">
        <f aca="false">IFERROR(N1146*B1146,0)</f>
        <v>11341</v>
      </c>
      <c r="X1146" s="13" t="n">
        <f aca="false">IF(OR(ISNUMBER(SEARCH("live nation",L1146)),ISNUMBER(SEARCH("ocesa",L1146))),1,0)</f>
        <v>1</v>
      </c>
      <c r="Y1146" s="13" t="s">
        <v>49</v>
      </c>
    </row>
    <row r="1147" customFormat="false" ht="15" hidden="false" customHeight="false" outlineLevel="0" collapsed="false">
      <c r="A1147" s="30" t="n">
        <v>44801</v>
      </c>
      <c r="B1147" s="11" t="n">
        <v>1</v>
      </c>
      <c r="C1147" s="31" t="s">
        <v>1135</v>
      </c>
      <c r="D1147" s="31"/>
      <c r="E1147" s="11" t="s">
        <v>1059</v>
      </c>
      <c r="F1147" s="11" t="s">
        <v>132</v>
      </c>
      <c r="G1147" s="11"/>
      <c r="H1147" s="11" t="s">
        <v>23</v>
      </c>
      <c r="I1147" s="11"/>
      <c r="J1147" s="11" t="s">
        <v>151</v>
      </c>
      <c r="K1147" s="11" t="s">
        <v>134</v>
      </c>
      <c r="L1147" s="11" t="s">
        <v>152</v>
      </c>
      <c r="M1147" s="11" t="s">
        <v>100</v>
      </c>
      <c r="N1147" s="32" t="n">
        <v>5174</v>
      </c>
      <c r="O1147" s="33" t="n">
        <v>444879.68</v>
      </c>
      <c r="P1147" s="32" t="n">
        <v>6086</v>
      </c>
      <c r="Q1147" s="34" t="n">
        <v>0.85</v>
      </c>
      <c r="R1147" s="33" t="n">
        <v>48.62</v>
      </c>
      <c r="S1147" s="33" t="n">
        <v>169.43</v>
      </c>
      <c r="T1147" s="33" t="n">
        <v>85.98</v>
      </c>
      <c r="U1147" s="11" t="n">
        <f aca="false">IFERROR(YEAR(A1147),"")</f>
        <v>2022</v>
      </c>
      <c r="V1147" s="33" t="n">
        <f aca="false">IFERROR(O1147*B1147,0)</f>
        <v>444879.68</v>
      </c>
      <c r="W1147" s="32" t="n">
        <f aca="false">IFERROR(N1147*B1147,0)</f>
        <v>5174</v>
      </c>
      <c r="X1147" s="11" t="n">
        <f aca="false">IF(OR(ISNUMBER(SEARCH("live nation",L1147)),ISNUMBER(SEARCH("ocesa",L1147))),1,0)</f>
        <v>0</v>
      </c>
      <c r="Y1147" s="11" t="s">
        <v>49</v>
      </c>
    </row>
    <row r="1148" customFormat="false" ht="15" hidden="false" customHeight="false" outlineLevel="0" collapsed="false">
      <c r="A1148" s="25" t="n">
        <v>44799</v>
      </c>
      <c r="B1148" s="13" t="n">
        <v>1</v>
      </c>
      <c r="C1148" s="26" t="s">
        <v>1135</v>
      </c>
      <c r="D1148" s="26"/>
      <c r="E1148" s="13" t="s">
        <v>1033</v>
      </c>
      <c r="F1148" s="13" t="s">
        <v>586</v>
      </c>
      <c r="G1148" s="13" t="s">
        <v>143</v>
      </c>
      <c r="H1148" s="13" t="s">
        <v>20</v>
      </c>
      <c r="I1148" s="13" t="s">
        <v>586</v>
      </c>
      <c r="J1148" s="13" t="s">
        <v>106</v>
      </c>
      <c r="K1148" s="13" t="s">
        <v>107</v>
      </c>
      <c r="L1148" s="13" t="s">
        <v>177</v>
      </c>
      <c r="M1148" s="13" t="s">
        <v>100</v>
      </c>
      <c r="N1148" s="27" t="n">
        <v>3613</v>
      </c>
      <c r="O1148" s="28" t="n">
        <v>265415</v>
      </c>
      <c r="P1148" s="27" t="n">
        <v>4753</v>
      </c>
      <c r="Q1148" s="29" t="n">
        <v>0.76</v>
      </c>
      <c r="R1148" s="28" t="n">
        <v>61</v>
      </c>
      <c r="S1148" s="28" t="n">
        <v>121</v>
      </c>
      <c r="T1148" s="28" t="n">
        <v>73.46</v>
      </c>
      <c r="U1148" s="13" t="n">
        <f aca="false">IFERROR(YEAR(A1148),"")</f>
        <v>2022</v>
      </c>
      <c r="V1148" s="28" t="n">
        <f aca="false">IFERROR(O1148*B1148,0)</f>
        <v>265415</v>
      </c>
      <c r="W1148" s="27" t="n">
        <f aca="false">IFERROR(N1148*B1148,0)</f>
        <v>3613</v>
      </c>
      <c r="X1148" s="13" t="n">
        <f aca="false">IF(OR(ISNUMBER(SEARCH("live nation",L1148)),ISNUMBER(SEARCH("ocesa",L1148))),1,0)</f>
        <v>1</v>
      </c>
      <c r="Y1148" s="13" t="s">
        <v>49</v>
      </c>
    </row>
    <row r="1149" customFormat="false" ht="15" hidden="false" customHeight="false" outlineLevel="0" collapsed="false">
      <c r="A1149" s="30" t="n">
        <v>44798</v>
      </c>
      <c r="B1149" s="11" t="n">
        <v>1</v>
      </c>
      <c r="C1149" s="31" t="s">
        <v>62</v>
      </c>
      <c r="D1149" s="31"/>
      <c r="E1149" s="11" t="s">
        <v>592</v>
      </c>
      <c r="F1149" s="11" t="s">
        <v>209</v>
      </c>
      <c r="G1149" s="11" t="s">
        <v>208</v>
      </c>
      <c r="H1149" s="11" t="s">
        <v>20</v>
      </c>
      <c r="I1149" s="11" t="s">
        <v>209</v>
      </c>
      <c r="J1149" s="11" t="s">
        <v>97</v>
      </c>
      <c r="K1149" s="11" t="s">
        <v>107</v>
      </c>
      <c r="L1149" s="11" t="s">
        <v>468</v>
      </c>
      <c r="M1149" s="11" t="s">
        <v>100</v>
      </c>
      <c r="N1149" s="32" t="n">
        <v>12421</v>
      </c>
      <c r="O1149" s="33" t="n">
        <v>1401889</v>
      </c>
      <c r="P1149" s="32" t="n">
        <v>13108</v>
      </c>
      <c r="Q1149" s="34" t="n">
        <v>0.94</v>
      </c>
      <c r="R1149" s="33" t="n">
        <v>59.5</v>
      </c>
      <c r="S1149" s="33" t="n">
        <v>179.5</v>
      </c>
      <c r="T1149" s="33" t="n">
        <v>112.86</v>
      </c>
      <c r="U1149" s="11" t="n">
        <f aca="false">IFERROR(YEAR(A1149),"")</f>
        <v>2022</v>
      </c>
      <c r="V1149" s="33" t="n">
        <f aca="false">IFERROR(O1149*B1149,0)</f>
        <v>1401889</v>
      </c>
      <c r="W1149" s="32" t="n">
        <f aca="false">IFERROR(N1149*B1149,0)</f>
        <v>12421</v>
      </c>
      <c r="X1149" s="11" t="n">
        <f aca="false">IF(OR(ISNUMBER(SEARCH("live nation",L1149)),ISNUMBER(SEARCH("ocesa",L1149))),1,0)</f>
        <v>1</v>
      </c>
      <c r="Y1149" s="11" t="s">
        <v>49</v>
      </c>
    </row>
    <row r="1150" customFormat="false" ht="15" hidden="false" customHeight="false" outlineLevel="0" collapsed="false">
      <c r="A1150" s="25" t="n">
        <v>44798</v>
      </c>
      <c r="B1150" s="13" t="n">
        <v>1</v>
      </c>
      <c r="C1150" s="26" t="s">
        <v>1135</v>
      </c>
      <c r="D1150" s="26"/>
      <c r="E1150" s="13" t="s">
        <v>1082</v>
      </c>
      <c r="F1150" s="13" t="s">
        <v>374</v>
      </c>
      <c r="G1150" s="13" t="s">
        <v>143</v>
      </c>
      <c r="H1150" s="13" t="s">
        <v>20</v>
      </c>
      <c r="I1150" s="13" t="s">
        <v>375</v>
      </c>
      <c r="J1150" s="13" t="s">
        <v>121</v>
      </c>
      <c r="K1150" s="13" t="s">
        <v>107</v>
      </c>
      <c r="L1150" s="13" t="s">
        <v>177</v>
      </c>
      <c r="M1150" s="13" t="s">
        <v>100</v>
      </c>
      <c r="N1150" s="27" t="n">
        <v>2862</v>
      </c>
      <c r="O1150" s="28" t="n">
        <v>302485.67</v>
      </c>
      <c r="P1150" s="27" t="n">
        <v>3414</v>
      </c>
      <c r="Q1150" s="29" t="n">
        <v>0.83</v>
      </c>
      <c r="R1150" s="28" t="n">
        <v>65.45</v>
      </c>
      <c r="S1150" s="28" t="n">
        <v>155.45</v>
      </c>
      <c r="T1150" s="28" t="n">
        <v>105.69</v>
      </c>
      <c r="U1150" s="13" t="n">
        <f aca="false">IFERROR(YEAR(A1150),"")</f>
        <v>2022</v>
      </c>
      <c r="V1150" s="28" t="n">
        <f aca="false">IFERROR(O1150*B1150,0)</f>
        <v>302485.67</v>
      </c>
      <c r="W1150" s="27" t="n">
        <f aca="false">IFERROR(N1150*B1150,0)</f>
        <v>2862</v>
      </c>
      <c r="X1150" s="13" t="n">
        <f aca="false">IF(OR(ISNUMBER(SEARCH("live nation",L1150)),ISNUMBER(SEARCH("ocesa",L1150))),1,0)</f>
        <v>1</v>
      </c>
      <c r="Y1150" s="13" t="s">
        <v>49</v>
      </c>
    </row>
    <row r="1151" customFormat="false" ht="15" hidden="false" customHeight="false" outlineLevel="0" collapsed="false">
      <c r="A1151" s="30" t="n">
        <v>44798</v>
      </c>
      <c r="B1151" s="11" t="n">
        <v>1</v>
      </c>
      <c r="C1151" s="31" t="s">
        <v>968</v>
      </c>
      <c r="D1151" s="31" t="s">
        <v>1246</v>
      </c>
      <c r="E1151" s="11" t="s">
        <v>160</v>
      </c>
      <c r="F1151" s="11" t="s">
        <v>161</v>
      </c>
      <c r="G1151" s="11" t="s">
        <v>162</v>
      </c>
      <c r="H1151" s="11" t="s">
        <v>20</v>
      </c>
      <c r="I1151" s="11" t="s">
        <v>163</v>
      </c>
      <c r="J1151" s="11" t="s">
        <v>121</v>
      </c>
      <c r="K1151" s="11" t="s">
        <v>107</v>
      </c>
      <c r="L1151" s="11" t="s">
        <v>1247</v>
      </c>
      <c r="M1151" s="11" t="s">
        <v>100</v>
      </c>
      <c r="N1151" s="32" t="n">
        <v>1126</v>
      </c>
      <c r="O1151" s="33" t="n">
        <v>136251</v>
      </c>
      <c r="P1151" s="32" t="n">
        <v>2140</v>
      </c>
      <c r="Q1151" s="34" t="n">
        <v>0.52</v>
      </c>
      <c r="R1151" s="33" t="n">
        <v>67</v>
      </c>
      <c r="S1151" s="33" t="n">
        <v>159</v>
      </c>
      <c r="T1151" s="33" t="n">
        <v>121</v>
      </c>
      <c r="U1151" s="11" t="n">
        <f aca="false">IFERROR(YEAR(A1151),"")</f>
        <v>2022</v>
      </c>
      <c r="V1151" s="33" t="n">
        <f aca="false">IFERROR(O1151*B1151,0)</f>
        <v>136251</v>
      </c>
      <c r="W1151" s="32" t="n">
        <f aca="false">IFERROR(N1151*B1151,0)</f>
        <v>1126</v>
      </c>
      <c r="X1151" s="11" t="n">
        <f aca="false">IF(OR(ISNUMBER(SEARCH("live nation",L1151)),ISNUMBER(SEARCH("ocesa",L1151))),1,0)</f>
        <v>0</v>
      </c>
      <c r="Y1151" s="11" t="s">
        <v>49</v>
      </c>
    </row>
    <row r="1152" customFormat="false" ht="15" hidden="false" customHeight="false" outlineLevel="0" collapsed="false">
      <c r="A1152" s="25" t="n">
        <v>44796</v>
      </c>
      <c r="B1152" s="13" t="n">
        <v>1</v>
      </c>
      <c r="C1152" s="26" t="s">
        <v>62</v>
      </c>
      <c r="D1152" s="26"/>
      <c r="E1152" s="13" t="s">
        <v>501</v>
      </c>
      <c r="F1152" s="13" t="s">
        <v>502</v>
      </c>
      <c r="G1152" s="13" t="s">
        <v>143</v>
      </c>
      <c r="H1152" s="13" t="s">
        <v>20</v>
      </c>
      <c r="I1152" s="13" t="s">
        <v>375</v>
      </c>
      <c r="J1152" s="13" t="s">
        <v>97</v>
      </c>
      <c r="K1152" s="13" t="s">
        <v>107</v>
      </c>
      <c r="L1152" s="13" t="s">
        <v>468</v>
      </c>
      <c r="M1152" s="13" t="s">
        <v>100</v>
      </c>
      <c r="N1152" s="27" t="n">
        <v>9282</v>
      </c>
      <c r="O1152" s="28" t="n">
        <v>1117761</v>
      </c>
      <c r="P1152" s="27" t="n">
        <v>10106</v>
      </c>
      <c r="Q1152" s="29" t="n">
        <v>0.91</v>
      </c>
      <c r="R1152" s="28" t="n">
        <v>59.5</v>
      </c>
      <c r="S1152" s="28" t="n">
        <v>179.5</v>
      </c>
      <c r="T1152" s="28" t="n">
        <v>120.42</v>
      </c>
      <c r="U1152" s="13" t="n">
        <f aca="false">IFERROR(YEAR(A1152),"")</f>
        <v>2022</v>
      </c>
      <c r="V1152" s="28" t="n">
        <f aca="false">IFERROR(O1152*B1152,0)</f>
        <v>1117761</v>
      </c>
      <c r="W1152" s="27" t="n">
        <f aca="false">IFERROR(N1152*B1152,0)</f>
        <v>9282</v>
      </c>
      <c r="X1152" s="13" t="n">
        <f aca="false">IF(OR(ISNUMBER(SEARCH("live nation",L1152)),ISNUMBER(SEARCH("ocesa",L1152))),1,0)</f>
        <v>1</v>
      </c>
      <c r="Y1152" s="13" t="s">
        <v>49</v>
      </c>
    </row>
    <row r="1153" customFormat="false" ht="15" hidden="false" customHeight="false" outlineLevel="0" collapsed="false">
      <c r="A1153" s="30" t="n">
        <v>44796</v>
      </c>
      <c r="B1153" s="11" t="n">
        <v>1</v>
      </c>
      <c r="C1153" s="31" t="s">
        <v>1135</v>
      </c>
      <c r="D1153" s="31"/>
      <c r="E1153" s="11" t="s">
        <v>1083</v>
      </c>
      <c r="F1153" s="11" t="s">
        <v>346</v>
      </c>
      <c r="G1153" s="11" t="s">
        <v>347</v>
      </c>
      <c r="H1153" s="11" t="s">
        <v>20</v>
      </c>
      <c r="I1153" s="11" t="s">
        <v>346</v>
      </c>
      <c r="J1153" s="11" t="s">
        <v>121</v>
      </c>
      <c r="K1153" s="11" t="s">
        <v>107</v>
      </c>
      <c r="L1153" s="11" t="s">
        <v>177</v>
      </c>
      <c r="M1153" s="11" t="s">
        <v>100</v>
      </c>
      <c r="N1153" s="32" t="n">
        <v>3021</v>
      </c>
      <c r="O1153" s="33" t="n">
        <v>213872.68</v>
      </c>
      <c r="P1153" s="32" t="n">
        <v>3898</v>
      </c>
      <c r="Q1153" s="34" t="n">
        <v>0.77</v>
      </c>
      <c r="R1153" s="33" t="n">
        <v>62</v>
      </c>
      <c r="S1153" s="33" t="n">
        <v>97</v>
      </c>
      <c r="T1153" s="33" t="n">
        <v>70.8</v>
      </c>
      <c r="U1153" s="11" t="n">
        <f aca="false">IFERROR(YEAR(A1153),"")</f>
        <v>2022</v>
      </c>
      <c r="V1153" s="33" t="n">
        <f aca="false">IFERROR(O1153*B1153,0)</f>
        <v>213872.68</v>
      </c>
      <c r="W1153" s="32" t="n">
        <f aca="false">IFERROR(N1153*B1153,0)</f>
        <v>3021</v>
      </c>
      <c r="X1153" s="11" t="n">
        <f aca="false">IF(OR(ISNUMBER(SEARCH("live nation",L1153)),ISNUMBER(SEARCH("ocesa",L1153))),1,0)</f>
        <v>1</v>
      </c>
      <c r="Y1153" s="11" t="s">
        <v>49</v>
      </c>
    </row>
    <row r="1154" customFormat="false" ht="15" hidden="false" customHeight="false" outlineLevel="0" collapsed="false">
      <c r="A1154" s="25" t="n">
        <v>44795</v>
      </c>
      <c r="B1154" s="13" t="n">
        <v>1</v>
      </c>
      <c r="C1154" s="26" t="s">
        <v>410</v>
      </c>
      <c r="D1154" s="26"/>
      <c r="E1154" s="13" t="s">
        <v>797</v>
      </c>
      <c r="F1154" s="13" t="s">
        <v>306</v>
      </c>
      <c r="G1154" s="13" t="s">
        <v>188</v>
      </c>
      <c r="H1154" s="13" t="s">
        <v>20</v>
      </c>
      <c r="I1154" s="13" t="s">
        <v>307</v>
      </c>
      <c r="J1154" s="13" t="s">
        <v>121</v>
      </c>
      <c r="K1154" s="13" t="s">
        <v>107</v>
      </c>
      <c r="L1154" s="13" t="s">
        <v>177</v>
      </c>
      <c r="M1154" s="13" t="s">
        <v>109</v>
      </c>
      <c r="N1154" s="27" t="n">
        <v>930</v>
      </c>
      <c r="O1154" s="28" t="n">
        <v>81106</v>
      </c>
      <c r="P1154" s="27" t="n">
        <v>1530</v>
      </c>
      <c r="Q1154" s="29" t="n">
        <v>0.6</v>
      </c>
      <c r="R1154" s="28" t="n">
        <v>52.5</v>
      </c>
      <c r="S1154" s="28" t="n">
        <v>122</v>
      </c>
      <c r="T1154" s="28" t="n">
        <v>87.21</v>
      </c>
      <c r="U1154" s="13" t="n">
        <f aca="false">IFERROR(YEAR(A1154),"")</f>
        <v>2022</v>
      </c>
      <c r="V1154" s="28" t="n">
        <f aca="false">IFERROR(O1154*B1154,0)</f>
        <v>81106</v>
      </c>
      <c r="W1154" s="27" t="n">
        <f aca="false">IFERROR(N1154*B1154,0)</f>
        <v>930</v>
      </c>
      <c r="X1154" s="13" t="n">
        <f aca="false">IF(OR(ISNUMBER(SEARCH("live nation",L1154)),ISNUMBER(SEARCH("ocesa",L1154))),1,0)</f>
        <v>1</v>
      </c>
      <c r="Y1154" s="13" t="s">
        <v>49</v>
      </c>
    </row>
    <row r="1155" customFormat="false" ht="15" hidden="false" customHeight="false" outlineLevel="0" collapsed="false">
      <c r="A1155" s="30" t="n">
        <v>44793</v>
      </c>
      <c r="B1155" s="11" t="n">
        <v>1</v>
      </c>
      <c r="C1155" s="31" t="s">
        <v>62</v>
      </c>
      <c r="D1155" s="31"/>
      <c r="E1155" s="11" t="s">
        <v>585</v>
      </c>
      <c r="F1155" s="11" t="s">
        <v>586</v>
      </c>
      <c r="G1155" s="11" t="s">
        <v>143</v>
      </c>
      <c r="H1155" s="11" t="s">
        <v>20</v>
      </c>
      <c r="I1155" s="11" t="s">
        <v>586</v>
      </c>
      <c r="J1155" s="11" t="s">
        <v>97</v>
      </c>
      <c r="K1155" s="11" t="s">
        <v>107</v>
      </c>
      <c r="L1155" s="11" t="s">
        <v>468</v>
      </c>
      <c r="M1155" s="11" t="s">
        <v>100</v>
      </c>
      <c r="N1155" s="32" t="n">
        <v>9124</v>
      </c>
      <c r="O1155" s="33" t="n">
        <v>1136908</v>
      </c>
      <c r="P1155" s="32" t="n">
        <v>9484</v>
      </c>
      <c r="Q1155" s="34" t="n">
        <v>0.96</v>
      </c>
      <c r="R1155" s="33" t="n">
        <v>59.5</v>
      </c>
      <c r="S1155" s="33" t="n">
        <v>179.5</v>
      </c>
      <c r="T1155" s="33" t="n">
        <v>124.61</v>
      </c>
      <c r="U1155" s="11" t="n">
        <f aca="false">IFERROR(YEAR(A1155),"")</f>
        <v>2022</v>
      </c>
      <c r="V1155" s="33" t="n">
        <f aca="false">IFERROR(O1155*B1155,0)</f>
        <v>1136908</v>
      </c>
      <c r="W1155" s="32" t="n">
        <f aca="false">IFERROR(N1155*B1155,0)</f>
        <v>9124</v>
      </c>
      <c r="X1155" s="11" t="n">
        <f aca="false">IF(OR(ISNUMBER(SEARCH("live nation",L1155)),ISNUMBER(SEARCH("ocesa",L1155))),1,0)</f>
        <v>1</v>
      </c>
      <c r="Y1155" s="11" t="s">
        <v>49</v>
      </c>
    </row>
    <row r="1156" customFormat="false" ht="15" hidden="false" customHeight="false" outlineLevel="0" collapsed="false">
      <c r="A1156" s="25" t="n">
        <v>44793</v>
      </c>
      <c r="B1156" s="13" t="n">
        <v>2</v>
      </c>
      <c r="C1156" s="26" t="s">
        <v>968</v>
      </c>
      <c r="D1156" s="26" t="s">
        <v>1248</v>
      </c>
      <c r="E1156" s="13" t="s">
        <v>970</v>
      </c>
      <c r="F1156" s="13" t="s">
        <v>203</v>
      </c>
      <c r="G1156" s="13" t="s">
        <v>202</v>
      </c>
      <c r="H1156" s="13" t="s">
        <v>20</v>
      </c>
      <c r="I1156" s="13" t="s">
        <v>203</v>
      </c>
      <c r="J1156" s="13" t="s">
        <v>97</v>
      </c>
      <c r="K1156" s="13" t="s">
        <v>107</v>
      </c>
      <c r="L1156" s="13" t="s">
        <v>531</v>
      </c>
      <c r="M1156" s="13" t="s">
        <v>100</v>
      </c>
      <c r="N1156" s="27" t="n">
        <v>13930</v>
      </c>
      <c r="O1156" s="28" t="n">
        <v>2241369</v>
      </c>
      <c r="P1156" s="27" t="n">
        <v>17199</v>
      </c>
      <c r="Q1156" s="29" t="n">
        <v>0.8</v>
      </c>
      <c r="R1156" s="28" t="n">
        <v>90</v>
      </c>
      <c r="S1156" s="28" t="n">
        <v>400</v>
      </c>
      <c r="T1156" s="28" t="n">
        <v>160.9</v>
      </c>
      <c r="U1156" s="13" t="n">
        <f aca="false">IFERROR(YEAR(A1156),"")</f>
        <v>2022</v>
      </c>
      <c r="V1156" s="28" t="n">
        <f aca="false">IFERROR(O1156*B1156,0)</f>
        <v>4482738</v>
      </c>
      <c r="W1156" s="27" t="n">
        <f aca="false">IFERROR(N1156*B1156,0)</f>
        <v>27860</v>
      </c>
      <c r="X1156" s="13" t="n">
        <f aca="false">IF(OR(ISNUMBER(SEARCH("live nation",L1156)),ISNUMBER(SEARCH("ocesa",L1156))),1,0)</f>
        <v>0</v>
      </c>
      <c r="Y1156" s="13" t="s">
        <v>49</v>
      </c>
    </row>
    <row r="1157" customFormat="false" ht="15" hidden="false" customHeight="false" outlineLevel="0" collapsed="false">
      <c r="A1157" s="30" t="n">
        <v>44790</v>
      </c>
      <c r="B1157" s="11" t="n">
        <v>1</v>
      </c>
      <c r="C1157" s="31" t="s">
        <v>62</v>
      </c>
      <c r="D1157" s="31"/>
      <c r="E1157" s="11" t="s">
        <v>822</v>
      </c>
      <c r="F1157" s="11" t="s">
        <v>201</v>
      </c>
      <c r="G1157" s="11" t="s">
        <v>202</v>
      </c>
      <c r="H1157" s="11" t="s">
        <v>20</v>
      </c>
      <c r="I1157" s="11" t="s">
        <v>203</v>
      </c>
      <c r="J1157" s="11" t="s">
        <v>97</v>
      </c>
      <c r="K1157" s="11" t="s">
        <v>107</v>
      </c>
      <c r="L1157" s="11" t="s">
        <v>468</v>
      </c>
      <c r="M1157" s="11" t="s">
        <v>100</v>
      </c>
      <c r="N1157" s="32" t="n">
        <v>12561</v>
      </c>
      <c r="O1157" s="33" t="n">
        <v>1794929</v>
      </c>
      <c r="P1157" s="32" t="n">
        <v>12561</v>
      </c>
      <c r="Q1157" s="34" t="n">
        <v>1</v>
      </c>
      <c r="R1157" s="33" t="n">
        <v>59.5</v>
      </c>
      <c r="S1157" s="33" t="n">
        <v>179.5</v>
      </c>
      <c r="T1157" s="33" t="n">
        <v>142.9</v>
      </c>
      <c r="U1157" s="11" t="n">
        <f aca="false">IFERROR(YEAR(A1157),"")</f>
        <v>2022</v>
      </c>
      <c r="V1157" s="33" t="n">
        <f aca="false">IFERROR(O1157*B1157,0)</f>
        <v>1794929</v>
      </c>
      <c r="W1157" s="32" t="n">
        <f aca="false">IFERROR(N1157*B1157,0)</f>
        <v>12561</v>
      </c>
      <c r="X1157" s="11" t="n">
        <f aca="false">IF(OR(ISNUMBER(SEARCH("live nation",L1157)),ISNUMBER(SEARCH("ocesa",L1157))),1,0)</f>
        <v>1</v>
      </c>
      <c r="Y1157" s="11" t="s">
        <v>49</v>
      </c>
    </row>
    <row r="1158" customFormat="false" ht="15" hidden="false" customHeight="false" outlineLevel="0" collapsed="false">
      <c r="A1158" s="25" t="n">
        <v>44790</v>
      </c>
      <c r="B1158" s="13" t="n">
        <v>1</v>
      </c>
      <c r="C1158" s="26" t="s">
        <v>1135</v>
      </c>
      <c r="D1158" s="26"/>
      <c r="E1158" s="13" t="s">
        <v>1085</v>
      </c>
      <c r="F1158" s="13" t="s">
        <v>228</v>
      </c>
      <c r="G1158" s="13" t="s">
        <v>229</v>
      </c>
      <c r="H1158" s="13" t="s">
        <v>20</v>
      </c>
      <c r="I1158" s="13" t="s">
        <v>190</v>
      </c>
      <c r="J1158" s="13" t="s">
        <v>121</v>
      </c>
      <c r="K1158" s="13" t="s">
        <v>107</v>
      </c>
      <c r="L1158" s="13" t="s">
        <v>177</v>
      </c>
      <c r="M1158" s="13" t="s">
        <v>100</v>
      </c>
      <c r="N1158" s="27" t="n">
        <v>2789</v>
      </c>
      <c r="O1158" s="28" t="n">
        <v>264314</v>
      </c>
      <c r="P1158" s="27" t="n">
        <v>2836</v>
      </c>
      <c r="Q1158" s="29" t="n">
        <v>0.98</v>
      </c>
      <c r="R1158" s="28" t="n">
        <v>55</v>
      </c>
      <c r="S1158" s="28" t="n">
        <v>199</v>
      </c>
      <c r="T1158" s="28" t="n">
        <v>94.77</v>
      </c>
      <c r="U1158" s="13" t="n">
        <f aca="false">IFERROR(YEAR(A1158),"")</f>
        <v>2022</v>
      </c>
      <c r="V1158" s="28" t="n">
        <f aca="false">IFERROR(O1158*B1158,0)</f>
        <v>264314</v>
      </c>
      <c r="W1158" s="27" t="n">
        <f aca="false">IFERROR(N1158*B1158,0)</f>
        <v>2789</v>
      </c>
      <c r="X1158" s="13" t="n">
        <f aca="false">IF(OR(ISNUMBER(SEARCH("live nation",L1158)),ISNUMBER(SEARCH("ocesa",L1158))),1,0)</f>
        <v>1</v>
      </c>
      <c r="Y1158" s="13" t="s">
        <v>49</v>
      </c>
    </row>
    <row r="1159" customFormat="false" ht="15" hidden="false" customHeight="false" outlineLevel="0" collapsed="false">
      <c r="A1159" s="30" t="n">
        <v>44788</v>
      </c>
      <c r="B1159" s="11" t="n">
        <v>1</v>
      </c>
      <c r="C1159" s="31" t="s">
        <v>1135</v>
      </c>
      <c r="D1159" s="31"/>
      <c r="E1159" s="11" t="s">
        <v>1220</v>
      </c>
      <c r="F1159" s="11" t="s">
        <v>1202</v>
      </c>
      <c r="G1159" s="11" t="s">
        <v>281</v>
      </c>
      <c r="H1159" s="11" t="s">
        <v>20</v>
      </c>
      <c r="I1159" s="11" t="s">
        <v>890</v>
      </c>
      <c r="J1159" s="11" t="s">
        <v>97</v>
      </c>
      <c r="K1159" s="11" t="s">
        <v>107</v>
      </c>
      <c r="L1159" s="11" t="s">
        <v>1203</v>
      </c>
      <c r="M1159" s="11" t="s">
        <v>100</v>
      </c>
      <c r="N1159" s="32" t="n">
        <v>5003</v>
      </c>
      <c r="O1159" s="33" t="n">
        <v>405488.5</v>
      </c>
      <c r="P1159" s="32" t="n">
        <v>6000</v>
      </c>
      <c r="Q1159" s="34" t="n">
        <v>0.83</v>
      </c>
      <c r="R1159" s="33" t="n">
        <v>55.5</v>
      </c>
      <c r="S1159" s="33" t="n">
        <v>149.5</v>
      </c>
      <c r="T1159" s="33" t="n">
        <v>81.05</v>
      </c>
      <c r="U1159" s="11" t="n">
        <f aca="false">IFERROR(YEAR(A1159),"")</f>
        <v>2022</v>
      </c>
      <c r="V1159" s="33" t="n">
        <f aca="false">IFERROR(O1159*B1159,0)</f>
        <v>405488.5</v>
      </c>
      <c r="W1159" s="32" t="n">
        <f aca="false">IFERROR(N1159*B1159,0)</f>
        <v>5003</v>
      </c>
      <c r="X1159" s="11" t="n">
        <f aca="false">IF(OR(ISNUMBER(SEARCH("live nation",L1159)),ISNUMBER(SEARCH("ocesa",L1159))),1,0)</f>
        <v>0</v>
      </c>
      <c r="Y1159" s="11" t="s">
        <v>49</v>
      </c>
    </row>
    <row r="1160" customFormat="false" ht="15" hidden="false" customHeight="false" outlineLevel="0" collapsed="false">
      <c r="A1160" s="25" t="n">
        <v>44787</v>
      </c>
      <c r="B1160" s="13" t="n">
        <v>1</v>
      </c>
      <c r="C1160" s="26" t="s">
        <v>62</v>
      </c>
      <c r="D1160" s="26"/>
      <c r="E1160" s="13" t="s">
        <v>230</v>
      </c>
      <c r="F1160" s="13" t="s">
        <v>231</v>
      </c>
      <c r="G1160" s="13" t="s">
        <v>202</v>
      </c>
      <c r="H1160" s="13" t="s">
        <v>20</v>
      </c>
      <c r="I1160" s="13" t="s">
        <v>232</v>
      </c>
      <c r="J1160" s="13" t="s">
        <v>97</v>
      </c>
      <c r="K1160" s="13" t="s">
        <v>107</v>
      </c>
      <c r="L1160" s="13" t="s">
        <v>468</v>
      </c>
      <c r="M1160" s="13" t="s">
        <v>100</v>
      </c>
      <c r="N1160" s="27" t="n">
        <v>12601</v>
      </c>
      <c r="O1160" s="28" t="n">
        <v>1360908</v>
      </c>
      <c r="P1160" s="27" t="n">
        <v>12649</v>
      </c>
      <c r="Q1160" s="29" t="n">
        <v>0.99</v>
      </c>
      <c r="R1160" s="28" t="n">
        <v>59.5</v>
      </c>
      <c r="S1160" s="28" t="n">
        <v>179.5</v>
      </c>
      <c r="T1160" s="28" t="n">
        <v>108</v>
      </c>
      <c r="U1160" s="13" t="n">
        <f aca="false">IFERROR(YEAR(A1160),"")</f>
        <v>2022</v>
      </c>
      <c r="V1160" s="28" t="n">
        <f aca="false">IFERROR(O1160*B1160,0)</f>
        <v>1360908</v>
      </c>
      <c r="W1160" s="27" t="n">
        <f aca="false">IFERROR(N1160*B1160,0)</f>
        <v>12601</v>
      </c>
      <c r="X1160" s="13" t="n">
        <f aca="false">IF(OR(ISNUMBER(SEARCH("live nation",L1160)),ISNUMBER(SEARCH("ocesa",L1160))),1,0)</f>
        <v>1</v>
      </c>
      <c r="Y1160" s="13" t="s">
        <v>49</v>
      </c>
    </row>
    <row r="1161" customFormat="false" ht="15" hidden="false" customHeight="false" outlineLevel="0" collapsed="false">
      <c r="A1161" s="30" t="n">
        <v>44786</v>
      </c>
      <c r="B1161" s="11" t="n">
        <v>1</v>
      </c>
      <c r="C1161" s="31" t="s">
        <v>1135</v>
      </c>
      <c r="D1161" s="31"/>
      <c r="E1161" s="11" t="s">
        <v>1249</v>
      </c>
      <c r="F1161" s="11" t="s">
        <v>1102</v>
      </c>
      <c r="G1161" s="11" t="s">
        <v>1103</v>
      </c>
      <c r="H1161" s="11" t="s">
        <v>20</v>
      </c>
      <c r="I1161" s="11" t="s">
        <v>1102</v>
      </c>
      <c r="J1161" s="11" t="s">
        <v>106</v>
      </c>
      <c r="K1161" s="11" t="s">
        <v>107</v>
      </c>
      <c r="L1161" s="11" t="s">
        <v>1250</v>
      </c>
      <c r="M1161" s="11" t="s">
        <v>100</v>
      </c>
      <c r="N1161" s="32" t="n">
        <v>1989</v>
      </c>
      <c r="O1161" s="33" t="n">
        <v>120877.5</v>
      </c>
      <c r="P1161" s="32" t="n">
        <v>1989</v>
      </c>
      <c r="Q1161" s="34" t="n">
        <v>1</v>
      </c>
      <c r="R1161" s="33" t="n">
        <v>57.5</v>
      </c>
      <c r="S1161" s="33" t="n">
        <v>127.5</v>
      </c>
      <c r="T1161" s="33" t="n">
        <v>60.77</v>
      </c>
      <c r="U1161" s="11" t="n">
        <f aca="false">IFERROR(YEAR(A1161),"")</f>
        <v>2022</v>
      </c>
      <c r="V1161" s="33" t="n">
        <f aca="false">IFERROR(O1161*B1161,0)</f>
        <v>120877.5</v>
      </c>
      <c r="W1161" s="32" t="n">
        <f aca="false">IFERROR(N1161*B1161,0)</f>
        <v>1989</v>
      </c>
      <c r="X1161" s="11" t="n">
        <f aca="false">IF(OR(ISNUMBER(SEARCH("live nation",L1161)),ISNUMBER(SEARCH("ocesa",L1161))),1,0)</f>
        <v>0</v>
      </c>
      <c r="Y1161" s="11" t="s">
        <v>49</v>
      </c>
    </row>
    <row r="1162" customFormat="false" ht="15" hidden="false" customHeight="false" outlineLevel="0" collapsed="false">
      <c r="A1162" s="25" t="n">
        <v>44786</v>
      </c>
      <c r="B1162" s="13" t="n">
        <v>2</v>
      </c>
      <c r="C1162" s="26" t="s">
        <v>1251</v>
      </c>
      <c r="D1162" s="26" t="s">
        <v>1252</v>
      </c>
      <c r="E1162" s="13" t="s">
        <v>95</v>
      </c>
      <c r="F1162" s="13" t="s">
        <v>96</v>
      </c>
      <c r="G1162" s="13"/>
      <c r="H1162" s="13" t="s">
        <v>28</v>
      </c>
      <c r="I1162" s="13"/>
      <c r="J1162" s="13" t="s">
        <v>97</v>
      </c>
      <c r="K1162" s="13" t="s">
        <v>98</v>
      </c>
      <c r="L1162" s="13" t="s">
        <v>1066</v>
      </c>
      <c r="M1162" s="13" t="s">
        <v>100</v>
      </c>
      <c r="N1162" s="27" t="n">
        <v>7684</v>
      </c>
      <c r="O1162" s="28" t="n">
        <v>370195.69</v>
      </c>
      <c r="P1162" s="27" t="n">
        <v>17412</v>
      </c>
      <c r="Q1162" s="29" t="n">
        <v>0.44</v>
      </c>
      <c r="R1162" s="28" t="n">
        <v>55.05</v>
      </c>
      <c r="S1162" s="28" t="n">
        <v>138.88</v>
      </c>
      <c r="T1162" s="28" t="n">
        <v>48.17</v>
      </c>
      <c r="U1162" s="13" t="n">
        <f aca="false">IFERROR(YEAR(A1162),"")</f>
        <v>2022</v>
      </c>
      <c r="V1162" s="28" t="n">
        <f aca="false">IFERROR(O1162*B1162,0)</f>
        <v>740391.38</v>
      </c>
      <c r="W1162" s="27" t="n">
        <f aca="false">IFERROR(N1162*B1162,0)</f>
        <v>15368</v>
      </c>
      <c r="X1162" s="13" t="n">
        <f aca="false">IF(OR(ISNUMBER(SEARCH("live nation",L1162)),ISNUMBER(SEARCH("ocesa",L1162))),1,0)</f>
        <v>0</v>
      </c>
      <c r="Y1162" s="13" t="s">
        <v>49</v>
      </c>
    </row>
    <row r="1163" customFormat="false" ht="15" hidden="false" customHeight="false" outlineLevel="0" collapsed="false">
      <c r="A1163" s="30" t="n">
        <v>44785</v>
      </c>
      <c r="B1163" s="11" t="n">
        <v>1</v>
      </c>
      <c r="C1163" s="31" t="s">
        <v>62</v>
      </c>
      <c r="D1163" s="31"/>
      <c r="E1163" s="11" t="s">
        <v>305</v>
      </c>
      <c r="F1163" s="11" t="s">
        <v>306</v>
      </c>
      <c r="G1163" s="11" t="s">
        <v>188</v>
      </c>
      <c r="H1163" s="11" t="s">
        <v>20</v>
      </c>
      <c r="I1163" s="11" t="s">
        <v>307</v>
      </c>
      <c r="J1163" s="11" t="s">
        <v>97</v>
      </c>
      <c r="K1163" s="11" t="s">
        <v>107</v>
      </c>
      <c r="L1163" s="11" t="s">
        <v>468</v>
      </c>
      <c r="M1163" s="11" t="s">
        <v>100</v>
      </c>
      <c r="N1163" s="32" t="n">
        <v>8806</v>
      </c>
      <c r="O1163" s="33" t="n">
        <v>1242499</v>
      </c>
      <c r="P1163" s="32" t="n">
        <v>10298</v>
      </c>
      <c r="Q1163" s="34" t="n">
        <v>0.85</v>
      </c>
      <c r="R1163" s="33" t="n">
        <v>54.5</v>
      </c>
      <c r="S1163" s="33" t="n">
        <v>174.5</v>
      </c>
      <c r="T1163" s="33" t="n">
        <v>141.1</v>
      </c>
      <c r="U1163" s="11" t="n">
        <f aca="false">IFERROR(YEAR(A1163),"")</f>
        <v>2022</v>
      </c>
      <c r="V1163" s="33" t="n">
        <f aca="false">IFERROR(O1163*B1163,0)</f>
        <v>1242499</v>
      </c>
      <c r="W1163" s="32" t="n">
        <f aca="false">IFERROR(N1163*B1163,0)</f>
        <v>8806</v>
      </c>
      <c r="X1163" s="11" t="n">
        <f aca="false">IF(OR(ISNUMBER(SEARCH("live nation",L1163)),ISNUMBER(SEARCH("ocesa",L1163))),1,0)</f>
        <v>1</v>
      </c>
      <c r="Y1163" s="11" t="s">
        <v>49</v>
      </c>
    </row>
    <row r="1164" customFormat="false" ht="15" hidden="false" customHeight="false" outlineLevel="0" collapsed="false">
      <c r="A1164" s="25" t="n">
        <v>44784</v>
      </c>
      <c r="B1164" s="13" t="n">
        <v>1</v>
      </c>
      <c r="C1164" s="26" t="s">
        <v>1135</v>
      </c>
      <c r="D1164" s="26"/>
      <c r="E1164" s="13" t="s">
        <v>1199</v>
      </c>
      <c r="F1164" s="13" t="s">
        <v>209</v>
      </c>
      <c r="G1164" s="13" t="s">
        <v>208</v>
      </c>
      <c r="H1164" s="13" t="s">
        <v>20</v>
      </c>
      <c r="I1164" s="13" t="s">
        <v>209</v>
      </c>
      <c r="J1164" s="13" t="s">
        <v>106</v>
      </c>
      <c r="K1164" s="13" t="s">
        <v>107</v>
      </c>
      <c r="L1164" s="13" t="s">
        <v>1200</v>
      </c>
      <c r="M1164" s="13" t="s">
        <v>100</v>
      </c>
      <c r="N1164" s="27" t="n">
        <v>3800</v>
      </c>
      <c r="O1164" s="28" t="n">
        <v>243000</v>
      </c>
      <c r="P1164" s="27" t="n">
        <v>3800</v>
      </c>
      <c r="Q1164" s="29" t="n">
        <v>1</v>
      </c>
      <c r="R1164" s="28" t="n">
        <v>55</v>
      </c>
      <c r="S1164" s="28" t="n">
        <v>125</v>
      </c>
      <c r="T1164" s="28" t="n">
        <v>63.95</v>
      </c>
      <c r="U1164" s="13" t="n">
        <f aca="false">IFERROR(YEAR(A1164),"")</f>
        <v>2022</v>
      </c>
      <c r="V1164" s="28" t="n">
        <f aca="false">IFERROR(O1164*B1164,0)</f>
        <v>243000</v>
      </c>
      <c r="W1164" s="27" t="n">
        <f aca="false">IFERROR(N1164*B1164,0)</f>
        <v>3800</v>
      </c>
      <c r="X1164" s="13" t="n">
        <f aca="false">IF(OR(ISNUMBER(SEARCH("live nation",L1164)),ISNUMBER(SEARCH("ocesa",L1164))),1,0)</f>
        <v>0</v>
      </c>
      <c r="Y1164" s="13" t="s">
        <v>49</v>
      </c>
    </row>
    <row r="1165" customFormat="false" ht="15" hidden="false" customHeight="false" outlineLevel="0" collapsed="false">
      <c r="A1165" s="30" t="n">
        <v>44783</v>
      </c>
      <c r="B1165" s="11" t="n">
        <v>1</v>
      </c>
      <c r="C1165" s="31" t="s">
        <v>62</v>
      </c>
      <c r="D1165" s="31"/>
      <c r="E1165" s="11" t="s">
        <v>1253</v>
      </c>
      <c r="F1165" s="11" t="s">
        <v>524</v>
      </c>
      <c r="G1165" s="11" t="s">
        <v>525</v>
      </c>
      <c r="H1165" s="11" t="s">
        <v>128</v>
      </c>
      <c r="I1165" s="11"/>
      <c r="J1165" s="11" t="s">
        <v>97</v>
      </c>
      <c r="K1165" s="11" t="s">
        <v>129</v>
      </c>
      <c r="L1165" s="11" t="s">
        <v>468</v>
      </c>
      <c r="M1165" s="11" t="s">
        <v>100</v>
      </c>
      <c r="N1165" s="32" t="n">
        <v>8377</v>
      </c>
      <c r="O1165" s="33" t="n">
        <v>982758.57</v>
      </c>
      <c r="P1165" s="32" t="n">
        <v>8655</v>
      </c>
      <c r="Q1165" s="34" t="n">
        <v>0.96</v>
      </c>
      <c r="R1165" s="33" t="n">
        <v>62.1</v>
      </c>
      <c r="S1165" s="33" t="n">
        <v>155.84</v>
      </c>
      <c r="T1165" s="33" t="n">
        <v>117.32</v>
      </c>
      <c r="U1165" s="11" t="n">
        <f aca="false">IFERROR(YEAR(A1165),"")</f>
        <v>2022</v>
      </c>
      <c r="V1165" s="33" t="n">
        <f aca="false">IFERROR(O1165*B1165,0)</f>
        <v>982758.57</v>
      </c>
      <c r="W1165" s="32" t="n">
        <f aca="false">IFERROR(N1165*B1165,0)</f>
        <v>8377</v>
      </c>
      <c r="X1165" s="11" t="n">
        <f aca="false">IF(OR(ISNUMBER(SEARCH("live nation",L1165)),ISNUMBER(SEARCH("ocesa",L1165))),1,0)</f>
        <v>1</v>
      </c>
      <c r="Y1165" s="11" t="s">
        <v>49</v>
      </c>
    </row>
    <row r="1166" customFormat="false" ht="15" hidden="false" customHeight="false" outlineLevel="0" collapsed="false">
      <c r="A1166" s="25" t="n">
        <v>44781</v>
      </c>
      <c r="B1166" s="13" t="n">
        <v>1</v>
      </c>
      <c r="C1166" s="26" t="s">
        <v>1135</v>
      </c>
      <c r="D1166" s="26"/>
      <c r="E1166" s="13" t="s">
        <v>1128</v>
      </c>
      <c r="F1166" s="13" t="s">
        <v>1129</v>
      </c>
      <c r="G1166" s="13" t="s">
        <v>498</v>
      </c>
      <c r="H1166" s="13" t="s">
        <v>20</v>
      </c>
      <c r="I1166" s="13" t="s">
        <v>1129</v>
      </c>
      <c r="J1166" s="13" t="s">
        <v>121</v>
      </c>
      <c r="K1166" s="13" t="s">
        <v>107</v>
      </c>
      <c r="L1166" s="13" t="s">
        <v>140</v>
      </c>
      <c r="M1166" s="13" t="s">
        <v>100</v>
      </c>
      <c r="N1166" s="27" t="n">
        <v>1673</v>
      </c>
      <c r="O1166" s="28" t="n">
        <v>173050</v>
      </c>
      <c r="P1166" s="27" t="n">
        <v>1673</v>
      </c>
      <c r="Q1166" s="29" t="n">
        <v>1</v>
      </c>
      <c r="R1166" s="28" t="n">
        <v>55</v>
      </c>
      <c r="S1166" s="28" t="n">
        <v>125</v>
      </c>
      <c r="T1166" s="28" t="n">
        <v>103.44</v>
      </c>
      <c r="U1166" s="13" t="n">
        <f aca="false">IFERROR(YEAR(A1166),"")</f>
        <v>2022</v>
      </c>
      <c r="V1166" s="28" t="n">
        <f aca="false">IFERROR(O1166*B1166,0)</f>
        <v>173050</v>
      </c>
      <c r="W1166" s="27" t="n">
        <f aca="false">IFERROR(N1166*B1166,0)</f>
        <v>1673</v>
      </c>
      <c r="X1166" s="13" t="n">
        <f aca="false">IF(OR(ISNUMBER(SEARCH("live nation",L1166)),ISNUMBER(SEARCH("ocesa",L1166))),1,0)</f>
        <v>0</v>
      </c>
      <c r="Y1166" s="13" t="s">
        <v>49</v>
      </c>
    </row>
    <row r="1167" customFormat="false" ht="15" hidden="false" customHeight="false" outlineLevel="0" collapsed="false">
      <c r="A1167" s="30" t="n">
        <v>44780</v>
      </c>
      <c r="B1167" s="11" t="n">
        <v>1</v>
      </c>
      <c r="C1167" s="31" t="s">
        <v>1254</v>
      </c>
      <c r="D1167" s="31"/>
      <c r="E1167" s="11" t="s">
        <v>617</v>
      </c>
      <c r="F1167" s="11" t="s">
        <v>346</v>
      </c>
      <c r="G1167" s="11" t="s">
        <v>347</v>
      </c>
      <c r="H1167" s="11" t="s">
        <v>20</v>
      </c>
      <c r="I1167" s="11" t="s">
        <v>346</v>
      </c>
      <c r="J1167" s="11" t="s">
        <v>121</v>
      </c>
      <c r="K1167" s="11" t="s">
        <v>107</v>
      </c>
      <c r="L1167" s="11" t="s">
        <v>791</v>
      </c>
      <c r="M1167" s="11" t="s">
        <v>251</v>
      </c>
      <c r="N1167" s="32" t="n">
        <v>2687</v>
      </c>
      <c r="O1167" s="33" t="n">
        <v>290114</v>
      </c>
      <c r="P1167" s="32" t="n">
        <v>2700</v>
      </c>
      <c r="Q1167" s="34" t="n">
        <v>0.99</v>
      </c>
      <c r="R1167" s="33" t="n">
        <v>60</v>
      </c>
      <c r="S1167" s="33" t="n">
        <v>180</v>
      </c>
      <c r="T1167" s="33" t="n">
        <v>107.97</v>
      </c>
      <c r="U1167" s="11" t="n">
        <f aca="false">IFERROR(YEAR(A1167),"")</f>
        <v>2022</v>
      </c>
      <c r="V1167" s="33" t="n">
        <f aca="false">IFERROR(O1167*B1167,0)</f>
        <v>290114</v>
      </c>
      <c r="W1167" s="32" t="n">
        <f aca="false">IFERROR(N1167*B1167,0)</f>
        <v>2687</v>
      </c>
      <c r="X1167" s="11" t="n">
        <f aca="false">IF(OR(ISNUMBER(SEARCH("live nation",L1167)),ISNUMBER(SEARCH("ocesa",L1167))),1,0)</f>
        <v>0</v>
      </c>
      <c r="Y1167" s="11" t="s">
        <v>49</v>
      </c>
    </row>
    <row r="1168" customFormat="false" ht="15" hidden="false" customHeight="false" outlineLevel="0" collapsed="false">
      <c r="A1168" s="25" t="n">
        <v>44779</v>
      </c>
      <c r="B1168" s="13" t="n">
        <v>1</v>
      </c>
      <c r="C1168" s="26" t="s">
        <v>1135</v>
      </c>
      <c r="D1168" s="26"/>
      <c r="E1168" s="13" t="s">
        <v>537</v>
      </c>
      <c r="F1168" s="13" t="s">
        <v>538</v>
      </c>
      <c r="G1168" s="13" t="s">
        <v>539</v>
      </c>
      <c r="H1168" s="13" t="s">
        <v>20</v>
      </c>
      <c r="I1168" s="13" t="s">
        <v>538</v>
      </c>
      <c r="J1168" s="13" t="s">
        <v>106</v>
      </c>
      <c r="K1168" s="13" t="s">
        <v>107</v>
      </c>
      <c r="L1168" s="13" t="s">
        <v>1023</v>
      </c>
      <c r="M1168" s="13" t="s">
        <v>100</v>
      </c>
      <c r="N1168" s="27" t="n">
        <v>3640</v>
      </c>
      <c r="O1168" s="28" t="n">
        <v>247235</v>
      </c>
      <c r="P1168" s="27" t="n">
        <v>3640</v>
      </c>
      <c r="Q1168" s="29" t="n">
        <v>1</v>
      </c>
      <c r="R1168" s="28" t="n">
        <v>65</v>
      </c>
      <c r="S1168" s="28" t="n">
        <v>150</v>
      </c>
      <c r="T1168" s="28" t="n">
        <v>67.92</v>
      </c>
      <c r="U1168" s="13" t="n">
        <f aca="false">IFERROR(YEAR(A1168),"")</f>
        <v>2022</v>
      </c>
      <c r="V1168" s="28" t="n">
        <f aca="false">IFERROR(O1168*B1168,0)</f>
        <v>247235</v>
      </c>
      <c r="W1168" s="27" t="n">
        <f aca="false">IFERROR(N1168*B1168,0)</f>
        <v>3640</v>
      </c>
      <c r="X1168" s="13" t="n">
        <f aca="false">IF(OR(ISNUMBER(SEARCH("live nation",L1168)),ISNUMBER(SEARCH("ocesa",L1168))),1,0)</f>
        <v>1</v>
      </c>
      <c r="Y1168" s="13" t="s">
        <v>49</v>
      </c>
    </row>
    <row r="1169" customFormat="false" ht="15" hidden="false" customHeight="false" outlineLevel="0" collapsed="false">
      <c r="A1169" s="30" t="n">
        <v>44777</v>
      </c>
      <c r="B1169" s="11" t="n">
        <v>1</v>
      </c>
      <c r="C1169" s="31" t="s">
        <v>1135</v>
      </c>
      <c r="D1169" s="31"/>
      <c r="E1169" s="11" t="s">
        <v>1255</v>
      </c>
      <c r="F1169" s="11" t="s">
        <v>535</v>
      </c>
      <c r="G1169" s="11" t="s">
        <v>202</v>
      </c>
      <c r="H1169" s="11" t="s">
        <v>20</v>
      </c>
      <c r="I1169" s="11" t="s">
        <v>232</v>
      </c>
      <c r="J1169" s="11" t="s">
        <v>106</v>
      </c>
      <c r="K1169" s="11" t="s">
        <v>107</v>
      </c>
      <c r="L1169" s="11" t="s">
        <v>390</v>
      </c>
      <c r="M1169" s="11" t="s">
        <v>100</v>
      </c>
      <c r="N1169" s="32" t="n">
        <v>2075</v>
      </c>
      <c r="O1169" s="33" t="n">
        <v>162625</v>
      </c>
      <c r="P1169" s="32" t="n">
        <v>2075</v>
      </c>
      <c r="Q1169" s="34" t="n">
        <v>1</v>
      </c>
      <c r="R1169" s="33" t="n">
        <v>55</v>
      </c>
      <c r="S1169" s="33" t="n">
        <v>270</v>
      </c>
      <c r="T1169" s="33" t="n">
        <v>78.37</v>
      </c>
      <c r="U1169" s="11" t="n">
        <f aca="false">IFERROR(YEAR(A1169),"")</f>
        <v>2022</v>
      </c>
      <c r="V1169" s="33" t="n">
        <f aca="false">IFERROR(O1169*B1169,0)</f>
        <v>162625</v>
      </c>
      <c r="W1169" s="32" t="n">
        <f aca="false">IFERROR(N1169*B1169,0)</f>
        <v>2075</v>
      </c>
      <c r="X1169" s="11" t="n">
        <f aca="false">IF(OR(ISNUMBER(SEARCH("live nation",L1169)),ISNUMBER(SEARCH("ocesa",L1169))),1,0)</f>
        <v>0</v>
      </c>
      <c r="Y1169" s="11" t="s">
        <v>49</v>
      </c>
    </row>
    <row r="1170" customFormat="false" ht="15" hidden="false" customHeight="false" outlineLevel="0" collapsed="false">
      <c r="A1170" s="25" t="n">
        <v>44775</v>
      </c>
      <c r="B1170" s="13" t="n">
        <v>1</v>
      </c>
      <c r="C1170" s="26" t="s">
        <v>1135</v>
      </c>
      <c r="D1170" s="26"/>
      <c r="E1170" s="13" t="s">
        <v>1096</v>
      </c>
      <c r="F1170" s="13" t="s">
        <v>203</v>
      </c>
      <c r="G1170" s="13" t="s">
        <v>202</v>
      </c>
      <c r="H1170" s="13" t="s">
        <v>20</v>
      </c>
      <c r="I1170" s="13" t="s">
        <v>203</v>
      </c>
      <c r="J1170" s="13" t="s">
        <v>121</v>
      </c>
      <c r="K1170" s="13" t="s">
        <v>107</v>
      </c>
      <c r="L1170" s="13" t="s">
        <v>390</v>
      </c>
      <c r="M1170" s="13" t="s">
        <v>100</v>
      </c>
      <c r="N1170" s="27" t="n">
        <v>2300</v>
      </c>
      <c r="O1170" s="28" t="n">
        <v>187878</v>
      </c>
      <c r="P1170" s="27" t="n">
        <v>2300</v>
      </c>
      <c r="Q1170" s="29" t="n">
        <v>1</v>
      </c>
      <c r="R1170" s="28" t="n">
        <v>55</v>
      </c>
      <c r="S1170" s="28" t="n">
        <v>85</v>
      </c>
      <c r="T1170" s="28" t="n">
        <v>81.69</v>
      </c>
      <c r="U1170" s="13" t="n">
        <f aca="false">IFERROR(YEAR(A1170),"")</f>
        <v>2022</v>
      </c>
      <c r="V1170" s="28" t="n">
        <f aca="false">IFERROR(O1170*B1170,0)</f>
        <v>187878</v>
      </c>
      <c r="W1170" s="27" t="n">
        <f aca="false">IFERROR(N1170*B1170,0)</f>
        <v>2300</v>
      </c>
      <c r="X1170" s="13" t="n">
        <f aca="false">IF(OR(ISNUMBER(SEARCH("live nation",L1170)),ISNUMBER(SEARCH("ocesa",L1170))),1,0)</f>
        <v>0</v>
      </c>
      <c r="Y1170" s="13" t="s">
        <v>49</v>
      </c>
    </row>
    <row r="1171" customFormat="false" ht="15" hidden="false" customHeight="false" outlineLevel="0" collapsed="false">
      <c r="A1171" s="30" t="n">
        <v>44774</v>
      </c>
      <c r="B1171" s="11" t="n">
        <v>1</v>
      </c>
      <c r="C1171" s="31" t="s">
        <v>1135</v>
      </c>
      <c r="D1171" s="31"/>
      <c r="E1171" s="11" t="s">
        <v>1096</v>
      </c>
      <c r="F1171" s="11" t="s">
        <v>203</v>
      </c>
      <c r="G1171" s="11" t="s">
        <v>202</v>
      </c>
      <c r="H1171" s="11" t="s">
        <v>20</v>
      </c>
      <c r="I1171" s="11" t="s">
        <v>203</v>
      </c>
      <c r="J1171" s="11" t="s">
        <v>121</v>
      </c>
      <c r="K1171" s="11" t="s">
        <v>107</v>
      </c>
      <c r="L1171" s="11" t="s">
        <v>390</v>
      </c>
      <c r="M1171" s="11" t="s">
        <v>100</v>
      </c>
      <c r="N1171" s="32" t="n">
        <v>2300</v>
      </c>
      <c r="O1171" s="33" t="n">
        <v>189498.25</v>
      </c>
      <c r="P1171" s="32" t="n">
        <v>2300</v>
      </c>
      <c r="Q1171" s="34" t="n">
        <v>1</v>
      </c>
      <c r="R1171" s="33" t="n">
        <v>55</v>
      </c>
      <c r="S1171" s="33" t="n">
        <v>85</v>
      </c>
      <c r="T1171" s="33" t="n">
        <v>82.39</v>
      </c>
      <c r="U1171" s="11" t="n">
        <f aca="false">IFERROR(YEAR(A1171),"")</f>
        <v>2022</v>
      </c>
      <c r="V1171" s="33" t="n">
        <f aca="false">IFERROR(O1171*B1171,0)</f>
        <v>189498.25</v>
      </c>
      <c r="W1171" s="32" t="n">
        <f aca="false">IFERROR(N1171*B1171,0)</f>
        <v>2300</v>
      </c>
      <c r="X1171" s="11" t="n">
        <f aca="false">IF(OR(ISNUMBER(SEARCH("live nation",L1171)),ISNUMBER(SEARCH("ocesa",L1171))),1,0)</f>
        <v>0</v>
      </c>
      <c r="Y1171" s="11" t="s">
        <v>49</v>
      </c>
    </row>
    <row r="1172" customFormat="false" ht="15" hidden="false" customHeight="false" outlineLevel="0" collapsed="false">
      <c r="A1172" s="25" t="n">
        <v>44765</v>
      </c>
      <c r="B1172" s="13" t="n">
        <v>2</v>
      </c>
      <c r="C1172" s="26" t="s">
        <v>63</v>
      </c>
      <c r="D1172" s="26"/>
      <c r="E1172" s="13" t="s">
        <v>1256</v>
      </c>
      <c r="F1172" s="13" t="s">
        <v>203</v>
      </c>
      <c r="G1172" s="13" t="s">
        <v>202</v>
      </c>
      <c r="H1172" s="13" t="s">
        <v>20</v>
      </c>
      <c r="I1172" s="13" t="s">
        <v>203</v>
      </c>
      <c r="J1172" s="13" t="s">
        <v>121</v>
      </c>
      <c r="K1172" s="13" t="s">
        <v>107</v>
      </c>
      <c r="L1172" s="13" t="s">
        <v>145</v>
      </c>
      <c r="M1172" s="13" t="s">
        <v>100</v>
      </c>
      <c r="N1172" s="27" t="n">
        <v>6781</v>
      </c>
      <c r="O1172" s="28" t="n">
        <v>970545</v>
      </c>
      <c r="P1172" s="27" t="n">
        <v>6781</v>
      </c>
      <c r="Q1172" s="29" t="n">
        <v>1</v>
      </c>
      <c r="R1172" s="28" t="n">
        <v>59</v>
      </c>
      <c r="S1172" s="28" t="n">
        <v>249</v>
      </c>
      <c r="T1172" s="28" t="n">
        <v>143.13</v>
      </c>
      <c r="U1172" s="13" t="n">
        <f aca="false">IFERROR(YEAR(A1172),"")</f>
        <v>2022</v>
      </c>
      <c r="V1172" s="28" t="n">
        <f aca="false">IFERROR(O1172*B1172,0)</f>
        <v>1941090</v>
      </c>
      <c r="W1172" s="27" t="n">
        <f aca="false">IFERROR(N1172*B1172,0)</f>
        <v>13562</v>
      </c>
      <c r="X1172" s="13" t="n">
        <f aca="false">IF(OR(ISNUMBER(SEARCH("live nation",L1172)),ISNUMBER(SEARCH("ocesa",L1172))),1,0)</f>
        <v>0</v>
      </c>
      <c r="Y1172" s="13" t="s">
        <v>49</v>
      </c>
    </row>
    <row r="1173" customFormat="false" ht="15" hidden="false" customHeight="false" outlineLevel="0" collapsed="false">
      <c r="A1173" s="30" t="n">
        <v>44763</v>
      </c>
      <c r="B1173" s="11" t="n">
        <v>1</v>
      </c>
      <c r="C1173" s="31" t="s">
        <v>63</v>
      </c>
      <c r="D1173" s="31"/>
      <c r="E1173" s="11" t="s">
        <v>1136</v>
      </c>
      <c r="F1173" s="11" t="s">
        <v>535</v>
      </c>
      <c r="G1173" s="11" t="s">
        <v>202</v>
      </c>
      <c r="H1173" s="11" t="s">
        <v>20</v>
      </c>
      <c r="I1173" s="11" t="s">
        <v>232</v>
      </c>
      <c r="J1173" s="11" t="s">
        <v>121</v>
      </c>
      <c r="K1173" s="11" t="s">
        <v>107</v>
      </c>
      <c r="L1173" s="11" t="s">
        <v>1257</v>
      </c>
      <c r="M1173" s="11" t="s">
        <v>100</v>
      </c>
      <c r="N1173" s="32" t="n">
        <v>5168</v>
      </c>
      <c r="O1173" s="33" t="n">
        <v>726426</v>
      </c>
      <c r="P1173" s="32" t="n">
        <v>5168</v>
      </c>
      <c r="Q1173" s="34" t="n">
        <v>1</v>
      </c>
      <c r="R1173" s="33" t="n">
        <v>64</v>
      </c>
      <c r="S1173" s="33" t="n">
        <v>254</v>
      </c>
      <c r="T1173" s="33" t="n">
        <v>140.56</v>
      </c>
      <c r="U1173" s="11" t="n">
        <f aca="false">IFERROR(YEAR(A1173),"")</f>
        <v>2022</v>
      </c>
      <c r="V1173" s="33" t="n">
        <f aca="false">IFERROR(O1173*B1173,0)</f>
        <v>726426</v>
      </c>
      <c r="W1173" s="32" t="n">
        <f aca="false">IFERROR(N1173*B1173,0)</f>
        <v>5168</v>
      </c>
      <c r="X1173" s="11" t="n">
        <f aca="false">IF(OR(ISNUMBER(SEARCH("live nation",L1173)),ISNUMBER(SEARCH("ocesa",L1173))),1,0)</f>
        <v>0</v>
      </c>
      <c r="Y1173" s="11" t="s">
        <v>49</v>
      </c>
    </row>
    <row r="1174" customFormat="false" ht="15" hidden="false" customHeight="false" outlineLevel="0" collapsed="false">
      <c r="A1174" s="25" t="n">
        <v>44761</v>
      </c>
      <c r="B1174" s="13" t="n">
        <v>2</v>
      </c>
      <c r="C1174" s="26" t="s">
        <v>66</v>
      </c>
      <c r="D1174" s="26"/>
      <c r="E1174" s="13" t="s">
        <v>618</v>
      </c>
      <c r="F1174" s="13" t="s">
        <v>619</v>
      </c>
      <c r="G1174" s="13" t="s">
        <v>202</v>
      </c>
      <c r="H1174" s="13" t="s">
        <v>20</v>
      </c>
      <c r="I1174" s="13" t="s">
        <v>203</v>
      </c>
      <c r="J1174" s="13" t="s">
        <v>97</v>
      </c>
      <c r="K1174" s="13" t="s">
        <v>107</v>
      </c>
      <c r="L1174" s="13" t="s">
        <v>177</v>
      </c>
      <c r="M1174" s="13" t="s">
        <v>100</v>
      </c>
      <c r="N1174" s="27" t="n">
        <v>10012</v>
      </c>
      <c r="O1174" s="28" t="n">
        <v>1362621.48</v>
      </c>
      <c r="P1174" s="27" t="n">
        <v>11844</v>
      </c>
      <c r="Q1174" s="29" t="n">
        <v>0.84</v>
      </c>
      <c r="R1174" s="28" t="n">
        <v>49.5</v>
      </c>
      <c r="S1174" s="28" t="n">
        <v>179.5</v>
      </c>
      <c r="T1174" s="28" t="n">
        <v>136.09</v>
      </c>
      <c r="U1174" s="13" t="n">
        <f aca="false">IFERROR(YEAR(A1174),"")</f>
        <v>2022</v>
      </c>
      <c r="V1174" s="28" t="n">
        <f aca="false">IFERROR(O1174*B1174,0)</f>
        <v>2725242.96</v>
      </c>
      <c r="W1174" s="27" t="n">
        <f aca="false">IFERROR(N1174*B1174,0)</f>
        <v>20024</v>
      </c>
      <c r="X1174" s="13" t="n">
        <f aca="false">IF(OR(ISNUMBER(SEARCH("live nation",L1174)),ISNUMBER(SEARCH("ocesa",L1174))),1,0)</f>
        <v>1</v>
      </c>
      <c r="Y1174" s="13" t="s">
        <v>49</v>
      </c>
    </row>
    <row r="1175" customFormat="false" ht="15" hidden="false" customHeight="false" outlineLevel="0" collapsed="false">
      <c r="A1175" s="30" t="n">
        <v>44759</v>
      </c>
      <c r="B1175" s="11" t="n">
        <v>1</v>
      </c>
      <c r="C1175" s="31" t="s">
        <v>63</v>
      </c>
      <c r="D1175" s="31"/>
      <c r="E1175" s="11" t="s">
        <v>1087</v>
      </c>
      <c r="F1175" s="11" t="s">
        <v>834</v>
      </c>
      <c r="G1175" s="11" t="s">
        <v>143</v>
      </c>
      <c r="H1175" s="11" t="s">
        <v>20</v>
      </c>
      <c r="I1175" s="11" t="s">
        <v>586</v>
      </c>
      <c r="J1175" s="11" t="s">
        <v>121</v>
      </c>
      <c r="K1175" s="11" t="s">
        <v>107</v>
      </c>
      <c r="L1175" s="11" t="s">
        <v>145</v>
      </c>
      <c r="M1175" s="11" t="s">
        <v>100</v>
      </c>
      <c r="N1175" s="32" t="n">
        <v>6250</v>
      </c>
      <c r="O1175" s="33" t="n">
        <v>778228</v>
      </c>
      <c r="P1175" s="32" t="n">
        <v>6250</v>
      </c>
      <c r="Q1175" s="34" t="n">
        <v>1</v>
      </c>
      <c r="R1175" s="33" t="n">
        <v>59</v>
      </c>
      <c r="S1175" s="33" t="n">
        <v>249</v>
      </c>
      <c r="T1175" s="33" t="n">
        <v>124.52</v>
      </c>
      <c r="U1175" s="11" t="n">
        <f aca="false">IFERROR(YEAR(A1175),"")</f>
        <v>2022</v>
      </c>
      <c r="V1175" s="33" t="n">
        <f aca="false">IFERROR(O1175*B1175,0)</f>
        <v>778228</v>
      </c>
      <c r="W1175" s="32" t="n">
        <f aca="false">IFERROR(N1175*B1175,0)</f>
        <v>6250</v>
      </c>
      <c r="X1175" s="11" t="n">
        <f aca="false">IF(OR(ISNUMBER(SEARCH("live nation",L1175)),ISNUMBER(SEARCH("ocesa",L1175))),1,0)</f>
        <v>0</v>
      </c>
      <c r="Y1175" s="11" t="s">
        <v>49</v>
      </c>
    </row>
    <row r="1176" customFormat="false" ht="15" hidden="false" customHeight="false" outlineLevel="0" collapsed="false">
      <c r="A1176" s="25" t="n">
        <v>44756</v>
      </c>
      <c r="B1176" s="13" t="n">
        <v>2</v>
      </c>
      <c r="C1176" s="26" t="s">
        <v>66</v>
      </c>
      <c r="D1176" s="26"/>
      <c r="E1176" s="13" t="s">
        <v>305</v>
      </c>
      <c r="F1176" s="13" t="s">
        <v>306</v>
      </c>
      <c r="G1176" s="13" t="s">
        <v>188</v>
      </c>
      <c r="H1176" s="13" t="s">
        <v>20</v>
      </c>
      <c r="I1176" s="13" t="s">
        <v>307</v>
      </c>
      <c r="J1176" s="13" t="s">
        <v>97</v>
      </c>
      <c r="K1176" s="13" t="s">
        <v>107</v>
      </c>
      <c r="L1176" s="13" t="s">
        <v>177</v>
      </c>
      <c r="M1176" s="13" t="s">
        <v>100</v>
      </c>
      <c r="N1176" s="27" t="n">
        <v>11761</v>
      </c>
      <c r="O1176" s="28" t="n">
        <v>1505218.25</v>
      </c>
      <c r="P1176" s="27" t="n">
        <v>11761</v>
      </c>
      <c r="Q1176" s="29" t="n">
        <v>1</v>
      </c>
      <c r="R1176" s="28" t="n">
        <v>44.5</v>
      </c>
      <c r="S1176" s="28" t="n">
        <v>174.5</v>
      </c>
      <c r="T1176" s="28" t="n">
        <v>127.98</v>
      </c>
      <c r="U1176" s="13" t="n">
        <f aca="false">IFERROR(YEAR(A1176),"")</f>
        <v>2022</v>
      </c>
      <c r="V1176" s="28" t="n">
        <f aca="false">IFERROR(O1176*B1176,0)</f>
        <v>3010436.5</v>
      </c>
      <c r="W1176" s="27" t="n">
        <f aca="false">IFERROR(N1176*B1176,0)</f>
        <v>23522</v>
      </c>
      <c r="X1176" s="13" t="n">
        <f aca="false">IF(OR(ISNUMBER(SEARCH("live nation",L1176)),ISNUMBER(SEARCH("ocesa",L1176))),1,0)</f>
        <v>1</v>
      </c>
      <c r="Y1176" s="13" t="s">
        <v>49</v>
      </c>
    </row>
    <row r="1177" customFormat="false" ht="15" hidden="false" customHeight="false" outlineLevel="0" collapsed="false">
      <c r="A1177" s="30" t="n">
        <v>44756</v>
      </c>
      <c r="B1177" s="11" t="n">
        <v>1</v>
      </c>
      <c r="C1177" s="31" t="s">
        <v>63</v>
      </c>
      <c r="D1177" s="31"/>
      <c r="E1177" s="11" t="s">
        <v>1258</v>
      </c>
      <c r="F1177" s="11" t="s">
        <v>1259</v>
      </c>
      <c r="G1177" s="11" t="s">
        <v>143</v>
      </c>
      <c r="H1177" s="11" t="s">
        <v>20</v>
      </c>
      <c r="I1177" s="11" t="s">
        <v>375</v>
      </c>
      <c r="J1177" s="11" t="s">
        <v>121</v>
      </c>
      <c r="K1177" s="11" t="s">
        <v>107</v>
      </c>
      <c r="L1177" s="11" t="s">
        <v>145</v>
      </c>
      <c r="M1177" s="11" t="s">
        <v>100</v>
      </c>
      <c r="N1177" s="32" t="n">
        <v>6202</v>
      </c>
      <c r="O1177" s="33" t="n">
        <v>744240</v>
      </c>
      <c r="P1177" s="32" t="n">
        <v>6202</v>
      </c>
      <c r="Q1177" s="34" t="n">
        <v>1</v>
      </c>
      <c r="R1177" s="33" t="n">
        <v>59</v>
      </c>
      <c r="S1177" s="33" t="n">
        <v>249</v>
      </c>
      <c r="T1177" s="33" t="n">
        <v>120</v>
      </c>
      <c r="U1177" s="11" t="n">
        <f aca="false">IFERROR(YEAR(A1177),"")</f>
        <v>2022</v>
      </c>
      <c r="V1177" s="33" t="n">
        <f aca="false">IFERROR(O1177*B1177,0)</f>
        <v>744240</v>
      </c>
      <c r="W1177" s="32" t="n">
        <f aca="false">IFERROR(N1177*B1177,0)</f>
        <v>6202</v>
      </c>
      <c r="X1177" s="11" t="n">
        <f aca="false">IF(OR(ISNUMBER(SEARCH("live nation",L1177)),ISNUMBER(SEARCH("ocesa",L1177))),1,0)</f>
        <v>0</v>
      </c>
      <c r="Y1177" s="11" t="s">
        <v>49</v>
      </c>
    </row>
    <row r="1178" customFormat="false" ht="15" hidden="false" customHeight="false" outlineLevel="0" collapsed="false">
      <c r="A1178" s="25" t="n">
        <v>44754</v>
      </c>
      <c r="B1178" s="13" t="n">
        <v>1</v>
      </c>
      <c r="C1178" s="26" t="s">
        <v>66</v>
      </c>
      <c r="D1178" s="26"/>
      <c r="E1178" s="13" t="s">
        <v>230</v>
      </c>
      <c r="F1178" s="13" t="s">
        <v>231</v>
      </c>
      <c r="G1178" s="13" t="s">
        <v>202</v>
      </c>
      <c r="H1178" s="13" t="s">
        <v>20</v>
      </c>
      <c r="I1178" s="13" t="s">
        <v>232</v>
      </c>
      <c r="J1178" s="13" t="s">
        <v>97</v>
      </c>
      <c r="K1178" s="13" t="s">
        <v>107</v>
      </c>
      <c r="L1178" s="13" t="s">
        <v>177</v>
      </c>
      <c r="M1178" s="13" t="s">
        <v>100</v>
      </c>
      <c r="N1178" s="27" t="n">
        <v>12507</v>
      </c>
      <c r="O1178" s="28" t="n">
        <v>1273342.27</v>
      </c>
      <c r="P1178" s="27" t="n">
        <v>12507</v>
      </c>
      <c r="Q1178" s="29" t="n">
        <v>1</v>
      </c>
      <c r="R1178" s="28" t="n">
        <v>47.14</v>
      </c>
      <c r="S1178" s="28" t="n">
        <v>170.95</v>
      </c>
      <c r="T1178" s="28" t="n">
        <v>101.81</v>
      </c>
      <c r="U1178" s="13" t="n">
        <f aca="false">IFERROR(YEAR(A1178),"")</f>
        <v>2022</v>
      </c>
      <c r="V1178" s="28" t="n">
        <f aca="false">IFERROR(O1178*B1178,0)</f>
        <v>1273342.27</v>
      </c>
      <c r="W1178" s="27" t="n">
        <f aca="false">IFERROR(N1178*B1178,0)</f>
        <v>12507</v>
      </c>
      <c r="X1178" s="13" t="n">
        <f aca="false">IF(OR(ISNUMBER(SEARCH("live nation",L1178)),ISNUMBER(SEARCH("ocesa",L1178))),1,0)</f>
        <v>1</v>
      </c>
      <c r="Y1178" s="13" t="s">
        <v>49</v>
      </c>
    </row>
    <row r="1179" customFormat="false" ht="15" hidden="false" customHeight="false" outlineLevel="0" collapsed="false">
      <c r="A1179" s="30" t="n">
        <v>44754</v>
      </c>
      <c r="B1179" s="11" t="n">
        <v>1</v>
      </c>
      <c r="C1179" s="31" t="s">
        <v>63</v>
      </c>
      <c r="D1179" s="31"/>
      <c r="E1179" s="11" t="s">
        <v>731</v>
      </c>
      <c r="F1179" s="11" t="s">
        <v>346</v>
      </c>
      <c r="G1179" s="11" t="s">
        <v>347</v>
      </c>
      <c r="H1179" s="11" t="s">
        <v>20</v>
      </c>
      <c r="I1179" s="11" t="s">
        <v>346</v>
      </c>
      <c r="J1179" s="11" t="s">
        <v>121</v>
      </c>
      <c r="K1179" s="11" t="s">
        <v>107</v>
      </c>
      <c r="L1179" s="11" t="s">
        <v>531</v>
      </c>
      <c r="M1179" s="11" t="s">
        <v>100</v>
      </c>
      <c r="N1179" s="32" t="n">
        <v>4509</v>
      </c>
      <c r="O1179" s="33" t="n">
        <v>647193</v>
      </c>
      <c r="P1179" s="32" t="n">
        <v>4509</v>
      </c>
      <c r="Q1179" s="34" t="n">
        <v>1</v>
      </c>
      <c r="R1179" s="33" t="n">
        <v>59</v>
      </c>
      <c r="S1179" s="33" t="n">
        <v>249</v>
      </c>
      <c r="T1179" s="33" t="n">
        <v>143.53</v>
      </c>
      <c r="U1179" s="11" t="n">
        <f aca="false">IFERROR(YEAR(A1179),"")</f>
        <v>2022</v>
      </c>
      <c r="V1179" s="33" t="n">
        <f aca="false">IFERROR(O1179*B1179,0)</f>
        <v>647193</v>
      </c>
      <c r="W1179" s="32" t="n">
        <f aca="false">IFERROR(N1179*B1179,0)</f>
        <v>4509</v>
      </c>
      <c r="X1179" s="11" t="n">
        <f aca="false">IF(OR(ISNUMBER(SEARCH("live nation",L1179)),ISNUMBER(SEARCH("ocesa",L1179))),1,0)</f>
        <v>0</v>
      </c>
      <c r="Y1179" s="11" t="s">
        <v>49</v>
      </c>
    </row>
    <row r="1180" customFormat="false" ht="15" hidden="false" customHeight="false" outlineLevel="0" collapsed="false">
      <c r="A1180" s="25" t="n">
        <v>44751</v>
      </c>
      <c r="B1180" s="13" t="n">
        <v>2</v>
      </c>
      <c r="C1180" s="26" t="s">
        <v>66</v>
      </c>
      <c r="D1180" s="26"/>
      <c r="E1180" s="13" t="s">
        <v>822</v>
      </c>
      <c r="F1180" s="13" t="s">
        <v>201</v>
      </c>
      <c r="G1180" s="13" t="s">
        <v>202</v>
      </c>
      <c r="H1180" s="13" t="s">
        <v>20</v>
      </c>
      <c r="I1180" s="13" t="s">
        <v>203</v>
      </c>
      <c r="J1180" s="13" t="s">
        <v>97</v>
      </c>
      <c r="K1180" s="13" t="s">
        <v>107</v>
      </c>
      <c r="L1180" s="13" t="s">
        <v>177</v>
      </c>
      <c r="M1180" s="13" t="s">
        <v>100</v>
      </c>
      <c r="N1180" s="27" t="n">
        <v>12460</v>
      </c>
      <c r="O1180" s="28" t="n">
        <v>1757591</v>
      </c>
      <c r="P1180" s="27" t="n">
        <v>12460</v>
      </c>
      <c r="Q1180" s="29" t="n">
        <v>1</v>
      </c>
      <c r="R1180" s="28" t="n">
        <v>49.5</v>
      </c>
      <c r="S1180" s="28" t="n">
        <v>179.5</v>
      </c>
      <c r="T1180" s="28" t="n">
        <v>141.06</v>
      </c>
      <c r="U1180" s="13" t="n">
        <f aca="false">IFERROR(YEAR(A1180),"")</f>
        <v>2022</v>
      </c>
      <c r="V1180" s="28" t="n">
        <f aca="false">IFERROR(O1180*B1180,0)</f>
        <v>3515182</v>
      </c>
      <c r="W1180" s="27" t="n">
        <f aca="false">IFERROR(N1180*B1180,0)</f>
        <v>24920</v>
      </c>
      <c r="X1180" s="13" t="n">
        <f aca="false">IF(OR(ISNUMBER(SEARCH("live nation",L1180)),ISNUMBER(SEARCH("ocesa",L1180))),1,0)</f>
        <v>1</v>
      </c>
      <c r="Y1180" s="13" t="s">
        <v>49</v>
      </c>
    </row>
    <row r="1181" customFormat="false" ht="15" hidden="false" customHeight="false" outlineLevel="0" collapsed="false">
      <c r="A1181" s="30" t="n">
        <v>44751</v>
      </c>
      <c r="B1181" s="11" t="n">
        <v>1</v>
      </c>
      <c r="C1181" s="31" t="s">
        <v>63</v>
      </c>
      <c r="D1181" s="31"/>
      <c r="E1181" s="11" t="s">
        <v>1232</v>
      </c>
      <c r="F1181" s="11" t="s">
        <v>139</v>
      </c>
      <c r="G1181" s="11" t="s">
        <v>139</v>
      </c>
      <c r="H1181" s="11" t="s">
        <v>20</v>
      </c>
      <c r="I1181" s="11" t="s">
        <v>139</v>
      </c>
      <c r="J1181" s="11" t="s">
        <v>121</v>
      </c>
      <c r="K1181" s="11" t="s">
        <v>107</v>
      </c>
      <c r="L1181" s="11" t="s">
        <v>508</v>
      </c>
      <c r="M1181" s="11" t="s">
        <v>100</v>
      </c>
      <c r="N1181" s="32" t="n">
        <v>5239</v>
      </c>
      <c r="O1181" s="33" t="n">
        <v>739695</v>
      </c>
      <c r="P1181" s="32" t="n">
        <v>5239</v>
      </c>
      <c r="Q1181" s="34" t="n">
        <v>1</v>
      </c>
      <c r="R1181" s="33" t="n">
        <v>65</v>
      </c>
      <c r="S1181" s="33" t="n">
        <v>225</v>
      </c>
      <c r="T1181" s="33" t="n">
        <v>141.19</v>
      </c>
      <c r="U1181" s="11" t="n">
        <f aca="false">IFERROR(YEAR(A1181),"")</f>
        <v>2022</v>
      </c>
      <c r="V1181" s="33" t="n">
        <f aca="false">IFERROR(O1181*B1181,0)</f>
        <v>739695</v>
      </c>
      <c r="W1181" s="32" t="n">
        <f aca="false">IFERROR(N1181*B1181,0)</f>
        <v>5239</v>
      </c>
      <c r="X1181" s="11" t="n">
        <f aca="false">IF(OR(ISNUMBER(SEARCH("live nation",L1181)),ISNUMBER(SEARCH("ocesa",L1181))),1,0)</f>
        <v>0</v>
      </c>
      <c r="Y1181" s="11" t="s">
        <v>49</v>
      </c>
    </row>
    <row r="1182" customFormat="false" ht="15" hidden="false" customHeight="false" outlineLevel="0" collapsed="false">
      <c r="A1182" s="25" t="n">
        <v>44749</v>
      </c>
      <c r="B1182" s="13" t="n">
        <v>1</v>
      </c>
      <c r="C1182" s="26" t="s">
        <v>63</v>
      </c>
      <c r="D1182" s="26"/>
      <c r="E1182" s="13" t="s">
        <v>487</v>
      </c>
      <c r="F1182" s="13" t="s">
        <v>207</v>
      </c>
      <c r="G1182" s="13" t="s">
        <v>208</v>
      </c>
      <c r="H1182" s="13" t="s">
        <v>20</v>
      </c>
      <c r="I1182" s="13" t="s">
        <v>209</v>
      </c>
      <c r="J1182" s="13" t="s">
        <v>121</v>
      </c>
      <c r="K1182" s="13" t="s">
        <v>107</v>
      </c>
      <c r="L1182" s="13" t="s">
        <v>508</v>
      </c>
      <c r="M1182" s="13" t="s">
        <v>100</v>
      </c>
      <c r="N1182" s="27" t="n">
        <v>4340</v>
      </c>
      <c r="O1182" s="28" t="n">
        <v>667923</v>
      </c>
      <c r="P1182" s="27" t="n">
        <v>4340</v>
      </c>
      <c r="Q1182" s="29" t="n">
        <v>1</v>
      </c>
      <c r="R1182" s="28" t="n">
        <v>59</v>
      </c>
      <c r="S1182" s="28" t="n">
        <v>249</v>
      </c>
      <c r="T1182" s="28" t="n">
        <v>153.9</v>
      </c>
      <c r="U1182" s="13" t="n">
        <f aca="false">IFERROR(YEAR(A1182),"")</f>
        <v>2022</v>
      </c>
      <c r="V1182" s="28" t="n">
        <f aca="false">IFERROR(O1182*B1182,0)</f>
        <v>667923</v>
      </c>
      <c r="W1182" s="27" t="n">
        <f aca="false">IFERROR(N1182*B1182,0)</f>
        <v>4340</v>
      </c>
      <c r="X1182" s="13" t="n">
        <f aca="false">IF(OR(ISNUMBER(SEARCH("live nation",L1182)),ISNUMBER(SEARCH("ocesa",L1182))),1,0)</f>
        <v>0</v>
      </c>
      <c r="Y1182" s="13" t="s">
        <v>49</v>
      </c>
    </row>
    <row r="1183" customFormat="false" ht="15" hidden="false" customHeight="false" outlineLevel="0" collapsed="false">
      <c r="A1183" s="30" t="n">
        <v>44744</v>
      </c>
      <c r="B1183" s="11" t="n">
        <v>2</v>
      </c>
      <c r="C1183" s="31" t="s">
        <v>63</v>
      </c>
      <c r="D1183" s="31"/>
      <c r="E1183" s="11" t="s">
        <v>1073</v>
      </c>
      <c r="F1183" s="11" t="s">
        <v>147</v>
      </c>
      <c r="G1183" s="11"/>
      <c r="H1183" s="11" t="s">
        <v>24</v>
      </c>
      <c r="I1183" s="11"/>
      <c r="J1183" s="11" t="s">
        <v>97</v>
      </c>
      <c r="K1183" s="11" t="s">
        <v>148</v>
      </c>
      <c r="L1183" s="11" t="s">
        <v>145</v>
      </c>
      <c r="M1183" s="11" t="s">
        <v>100</v>
      </c>
      <c r="N1183" s="32" t="n">
        <v>5133</v>
      </c>
      <c r="O1183" s="33" t="n">
        <v>515849.5</v>
      </c>
      <c r="P1183" s="32" t="n">
        <v>5133</v>
      </c>
      <c r="Q1183" s="34" t="n">
        <v>1</v>
      </c>
      <c r="R1183" s="33" t="n">
        <v>100.32</v>
      </c>
      <c r="S1183" s="33" t="n">
        <v>0</v>
      </c>
      <c r="T1183" s="33" t="n">
        <v>100.49</v>
      </c>
      <c r="U1183" s="11" t="n">
        <f aca="false">IFERROR(YEAR(A1183),"")</f>
        <v>2022</v>
      </c>
      <c r="V1183" s="33" t="n">
        <f aca="false">IFERROR(O1183*B1183,0)</f>
        <v>1031699</v>
      </c>
      <c r="W1183" s="32" t="n">
        <f aca="false">IFERROR(N1183*B1183,0)</f>
        <v>10266</v>
      </c>
      <c r="X1183" s="11" t="n">
        <f aca="false">IF(OR(ISNUMBER(SEARCH("live nation",L1183)),ISNUMBER(SEARCH("ocesa",L1183))),1,0)</f>
        <v>0</v>
      </c>
      <c r="Y1183" s="11" t="s">
        <v>50</v>
      </c>
    </row>
    <row r="1184" customFormat="false" ht="15" hidden="false" customHeight="false" outlineLevel="0" collapsed="false">
      <c r="A1184" s="25" t="n">
        <v>44740</v>
      </c>
      <c r="B1184" s="13" t="n">
        <v>2</v>
      </c>
      <c r="C1184" s="26" t="s">
        <v>66</v>
      </c>
      <c r="D1184" s="26"/>
      <c r="E1184" s="13" t="s">
        <v>506</v>
      </c>
      <c r="F1184" s="13" t="s">
        <v>507</v>
      </c>
      <c r="G1184" s="13" t="s">
        <v>221</v>
      </c>
      <c r="H1184" s="13" t="s">
        <v>20</v>
      </c>
      <c r="I1184" s="13" t="s">
        <v>139</v>
      </c>
      <c r="J1184" s="13" t="s">
        <v>97</v>
      </c>
      <c r="K1184" s="13" t="s">
        <v>107</v>
      </c>
      <c r="L1184" s="13" t="s">
        <v>122</v>
      </c>
      <c r="M1184" s="13" t="s">
        <v>100</v>
      </c>
      <c r="N1184" s="27" t="n">
        <v>12093</v>
      </c>
      <c r="O1184" s="28" t="n">
        <v>1762657.82</v>
      </c>
      <c r="P1184" s="27" t="n">
        <v>12093</v>
      </c>
      <c r="Q1184" s="29" t="n">
        <v>1</v>
      </c>
      <c r="R1184" s="28" t="n">
        <v>49.5</v>
      </c>
      <c r="S1184" s="28" t="n">
        <v>179.5</v>
      </c>
      <c r="T1184" s="28" t="n">
        <v>145.76</v>
      </c>
      <c r="U1184" s="13" t="n">
        <f aca="false">IFERROR(YEAR(A1184),"")</f>
        <v>2022</v>
      </c>
      <c r="V1184" s="28" t="n">
        <f aca="false">IFERROR(O1184*B1184,0)</f>
        <v>3525315.64</v>
      </c>
      <c r="W1184" s="27" t="n">
        <f aca="false">IFERROR(N1184*B1184,0)</f>
        <v>24186</v>
      </c>
      <c r="X1184" s="13" t="n">
        <f aca="false">IF(OR(ISNUMBER(SEARCH("live nation",L1184)),ISNUMBER(SEARCH("ocesa",L1184))),1,0)</f>
        <v>0</v>
      </c>
      <c r="Y1184" s="13" t="s">
        <v>49</v>
      </c>
    </row>
    <row r="1185" customFormat="false" ht="15" hidden="false" customHeight="false" outlineLevel="0" collapsed="false">
      <c r="A1185" s="30" t="n">
        <v>44737</v>
      </c>
      <c r="B1185" s="11" t="n">
        <v>2</v>
      </c>
      <c r="C1185" s="31" t="s">
        <v>62</v>
      </c>
      <c r="D1185" s="31"/>
      <c r="E1185" s="11" t="s">
        <v>568</v>
      </c>
      <c r="F1185" s="11" t="s">
        <v>147</v>
      </c>
      <c r="G1185" s="11"/>
      <c r="H1185" s="11" t="s">
        <v>24</v>
      </c>
      <c r="I1185" s="11"/>
      <c r="J1185" s="11" t="s">
        <v>133</v>
      </c>
      <c r="K1185" s="11" t="s">
        <v>148</v>
      </c>
      <c r="L1185" s="11" t="s">
        <v>145</v>
      </c>
      <c r="M1185" s="11" t="s">
        <v>100</v>
      </c>
      <c r="N1185" s="32" t="n">
        <v>17461</v>
      </c>
      <c r="O1185" s="33" t="n">
        <v>1858462.81</v>
      </c>
      <c r="P1185" s="32" t="n">
        <v>17461</v>
      </c>
      <c r="Q1185" s="34" t="n">
        <v>1</v>
      </c>
      <c r="R1185" s="33" t="n">
        <v>109.56</v>
      </c>
      <c r="S1185" s="33" t="n">
        <v>136.95</v>
      </c>
      <c r="T1185" s="33" t="n">
        <v>106.43</v>
      </c>
      <c r="U1185" s="11" t="n">
        <f aca="false">IFERROR(YEAR(A1185),"")</f>
        <v>2022</v>
      </c>
      <c r="V1185" s="33" t="n">
        <f aca="false">IFERROR(O1185*B1185,0)</f>
        <v>3716925.62</v>
      </c>
      <c r="W1185" s="32" t="n">
        <f aca="false">IFERROR(N1185*B1185,0)</f>
        <v>34922</v>
      </c>
      <c r="X1185" s="11" t="n">
        <f aca="false">IF(OR(ISNUMBER(SEARCH("live nation",L1185)),ISNUMBER(SEARCH("ocesa",L1185))),1,0)</f>
        <v>0</v>
      </c>
      <c r="Y1185" s="11" t="s">
        <v>50</v>
      </c>
    </row>
    <row r="1186" customFormat="false" ht="15" hidden="false" customHeight="false" outlineLevel="0" collapsed="false">
      <c r="A1186" s="25" t="n">
        <v>44723</v>
      </c>
      <c r="B1186" s="13" t="n">
        <v>1</v>
      </c>
      <c r="C1186" s="26" t="s">
        <v>1260</v>
      </c>
      <c r="D1186" s="26"/>
      <c r="E1186" s="13" t="s">
        <v>822</v>
      </c>
      <c r="F1186" s="13" t="s">
        <v>201</v>
      </c>
      <c r="G1186" s="13" t="s">
        <v>202</v>
      </c>
      <c r="H1186" s="13" t="s">
        <v>20</v>
      </c>
      <c r="I1186" s="13" t="s">
        <v>203</v>
      </c>
      <c r="J1186" s="13" t="s">
        <v>97</v>
      </c>
      <c r="K1186" s="13" t="s">
        <v>107</v>
      </c>
      <c r="L1186" s="13" t="s">
        <v>177</v>
      </c>
      <c r="M1186" s="13" t="s">
        <v>251</v>
      </c>
      <c r="N1186" s="27" t="n">
        <v>11645</v>
      </c>
      <c r="O1186" s="28" t="n">
        <v>1318191</v>
      </c>
      <c r="P1186" s="27" t="n">
        <v>11645</v>
      </c>
      <c r="Q1186" s="29" t="n">
        <v>1</v>
      </c>
      <c r="R1186" s="28" t="n">
        <v>55</v>
      </c>
      <c r="S1186" s="28" t="n">
        <v>199.5</v>
      </c>
      <c r="T1186" s="28" t="n">
        <v>113.2</v>
      </c>
      <c r="U1186" s="13" t="n">
        <f aca="false">IFERROR(YEAR(A1186),"")</f>
        <v>2022</v>
      </c>
      <c r="V1186" s="28" t="n">
        <f aca="false">IFERROR(O1186*B1186,0)</f>
        <v>1318191</v>
      </c>
      <c r="W1186" s="27" t="n">
        <f aca="false">IFERROR(N1186*B1186,0)</f>
        <v>11645</v>
      </c>
      <c r="X1186" s="13" t="n">
        <f aca="false">IF(OR(ISNUMBER(SEARCH("live nation",L1186)),ISNUMBER(SEARCH("ocesa",L1186))),1,0)</f>
        <v>1</v>
      </c>
      <c r="Y1186" s="13" t="s">
        <v>49</v>
      </c>
    </row>
    <row r="1187" customFormat="false" ht="15" hidden="false" customHeight="false" outlineLevel="0" collapsed="false">
      <c r="A1187" s="30" t="n">
        <v>44718</v>
      </c>
      <c r="B1187" s="11" t="n">
        <v>1</v>
      </c>
      <c r="C1187" s="31" t="s">
        <v>1260</v>
      </c>
      <c r="D1187" s="31"/>
      <c r="E1187" s="11" t="s">
        <v>501</v>
      </c>
      <c r="F1187" s="11" t="s">
        <v>502</v>
      </c>
      <c r="G1187" s="11" t="s">
        <v>143</v>
      </c>
      <c r="H1187" s="11" t="s">
        <v>20</v>
      </c>
      <c r="I1187" s="11" t="s">
        <v>375</v>
      </c>
      <c r="J1187" s="11" t="s">
        <v>97</v>
      </c>
      <c r="K1187" s="11" t="s">
        <v>107</v>
      </c>
      <c r="L1187" s="11" t="s">
        <v>177</v>
      </c>
      <c r="M1187" s="11" t="s">
        <v>251</v>
      </c>
      <c r="N1187" s="32" t="n">
        <v>10068</v>
      </c>
      <c r="O1187" s="33" t="n">
        <v>872200</v>
      </c>
      <c r="P1187" s="32" t="n">
        <v>10461</v>
      </c>
      <c r="Q1187" s="34" t="n">
        <v>0.96</v>
      </c>
      <c r="R1187" s="33" t="n">
        <v>45</v>
      </c>
      <c r="S1187" s="33" t="n">
        <v>175</v>
      </c>
      <c r="T1187" s="33" t="n">
        <v>86.63</v>
      </c>
      <c r="U1187" s="11" t="n">
        <f aca="false">IFERROR(YEAR(A1187),"")</f>
        <v>2022</v>
      </c>
      <c r="V1187" s="33" t="n">
        <f aca="false">IFERROR(O1187*B1187,0)</f>
        <v>872200</v>
      </c>
      <c r="W1187" s="32" t="n">
        <f aca="false">IFERROR(N1187*B1187,0)</f>
        <v>10068</v>
      </c>
      <c r="X1187" s="11" t="n">
        <f aca="false">IF(OR(ISNUMBER(SEARCH("live nation",L1187)),ISNUMBER(SEARCH("ocesa",L1187))),1,0)</f>
        <v>1</v>
      </c>
      <c r="Y1187" s="11" t="s">
        <v>49</v>
      </c>
    </row>
    <row r="1188" customFormat="false" ht="15" hidden="false" customHeight="false" outlineLevel="0" collapsed="false">
      <c r="A1188" s="25" t="n">
        <v>44713</v>
      </c>
      <c r="B1188" s="13" t="n">
        <v>1</v>
      </c>
      <c r="C1188" s="26" t="s">
        <v>518</v>
      </c>
      <c r="D1188" s="26"/>
      <c r="E1188" s="13" t="s">
        <v>487</v>
      </c>
      <c r="F1188" s="13" t="s">
        <v>207</v>
      </c>
      <c r="G1188" s="13" t="s">
        <v>208</v>
      </c>
      <c r="H1188" s="13" t="s">
        <v>20</v>
      </c>
      <c r="I1188" s="13" t="s">
        <v>209</v>
      </c>
      <c r="J1188" s="13" t="s">
        <v>121</v>
      </c>
      <c r="K1188" s="13" t="s">
        <v>107</v>
      </c>
      <c r="L1188" s="13" t="s">
        <v>982</v>
      </c>
      <c r="M1188" s="13" t="s">
        <v>100</v>
      </c>
      <c r="N1188" s="27" t="n">
        <v>2813</v>
      </c>
      <c r="O1188" s="28" t="n">
        <v>375467</v>
      </c>
      <c r="P1188" s="27" t="n">
        <v>3000</v>
      </c>
      <c r="Q1188" s="29" t="n">
        <v>0.93</v>
      </c>
      <c r="R1188" s="28" t="n">
        <v>89</v>
      </c>
      <c r="S1188" s="28" t="n">
        <v>179</v>
      </c>
      <c r="T1188" s="28" t="n">
        <v>133.48</v>
      </c>
      <c r="U1188" s="13" t="n">
        <f aca="false">IFERROR(YEAR(A1188),"")</f>
        <v>2022</v>
      </c>
      <c r="V1188" s="28" t="n">
        <f aca="false">IFERROR(O1188*B1188,0)</f>
        <v>375467</v>
      </c>
      <c r="W1188" s="27" t="n">
        <f aca="false">IFERROR(N1188*B1188,0)</f>
        <v>2813</v>
      </c>
      <c r="X1188" s="13" t="n">
        <f aca="false">IF(OR(ISNUMBER(SEARCH("live nation",L1188)),ISNUMBER(SEARCH("ocesa",L1188))),1,0)</f>
        <v>0</v>
      </c>
      <c r="Y1188" s="13" t="s">
        <v>49</v>
      </c>
    </row>
    <row r="1189" customFormat="false" ht="15" hidden="false" customHeight="false" outlineLevel="0" collapsed="false">
      <c r="A1189" s="30" t="n">
        <v>44713</v>
      </c>
      <c r="B1189" s="11" t="n">
        <v>1</v>
      </c>
      <c r="C1189" s="31" t="s">
        <v>1260</v>
      </c>
      <c r="D1189" s="31"/>
      <c r="E1189" s="11" t="s">
        <v>1261</v>
      </c>
      <c r="F1189" s="11" t="s">
        <v>470</v>
      </c>
      <c r="G1189" s="11" t="s">
        <v>167</v>
      </c>
      <c r="H1189" s="11" t="s">
        <v>20</v>
      </c>
      <c r="I1189" s="11" t="s">
        <v>471</v>
      </c>
      <c r="J1189" s="11" t="s">
        <v>97</v>
      </c>
      <c r="K1189" s="11" t="s">
        <v>107</v>
      </c>
      <c r="L1189" s="11" t="s">
        <v>177</v>
      </c>
      <c r="M1189" s="11" t="s">
        <v>251</v>
      </c>
      <c r="N1189" s="32" t="n">
        <v>6318</v>
      </c>
      <c r="O1189" s="33" t="n">
        <v>513149.5</v>
      </c>
      <c r="P1189" s="32" t="n">
        <v>6901</v>
      </c>
      <c r="Q1189" s="34" t="n">
        <v>0.91</v>
      </c>
      <c r="R1189" s="33" t="n">
        <v>39.5</v>
      </c>
      <c r="S1189" s="33" t="n">
        <v>149.5</v>
      </c>
      <c r="T1189" s="33" t="n">
        <v>81.22</v>
      </c>
      <c r="U1189" s="11" t="n">
        <f aca="false">IFERROR(YEAR(A1189),"")</f>
        <v>2022</v>
      </c>
      <c r="V1189" s="33" t="n">
        <f aca="false">IFERROR(O1189*B1189,0)</f>
        <v>513149.5</v>
      </c>
      <c r="W1189" s="32" t="n">
        <f aca="false">IFERROR(N1189*B1189,0)</f>
        <v>6318</v>
      </c>
      <c r="X1189" s="11" t="n">
        <f aca="false">IF(OR(ISNUMBER(SEARCH("live nation",L1189)),ISNUMBER(SEARCH("ocesa",L1189))),1,0)</f>
        <v>1</v>
      </c>
      <c r="Y1189" s="11" t="s">
        <v>49</v>
      </c>
    </row>
    <row r="1190" customFormat="false" ht="15" hidden="false" customHeight="false" outlineLevel="0" collapsed="false">
      <c r="A1190" s="25" t="n">
        <v>44709</v>
      </c>
      <c r="B1190" s="13" t="n">
        <v>2</v>
      </c>
      <c r="C1190" s="26" t="s">
        <v>1260</v>
      </c>
      <c r="D1190" s="26"/>
      <c r="E1190" s="13" t="s">
        <v>540</v>
      </c>
      <c r="F1190" s="13" t="s">
        <v>209</v>
      </c>
      <c r="G1190" s="13" t="s">
        <v>208</v>
      </c>
      <c r="H1190" s="13" t="s">
        <v>20</v>
      </c>
      <c r="I1190" s="13" t="s">
        <v>209</v>
      </c>
      <c r="J1190" s="13" t="s">
        <v>121</v>
      </c>
      <c r="K1190" s="13" t="s">
        <v>107</v>
      </c>
      <c r="L1190" s="13" t="s">
        <v>1262</v>
      </c>
      <c r="M1190" s="13" t="s">
        <v>251</v>
      </c>
      <c r="N1190" s="27" t="n">
        <v>3290</v>
      </c>
      <c r="O1190" s="28" t="n">
        <v>370841</v>
      </c>
      <c r="P1190" s="27" t="n">
        <v>3516</v>
      </c>
      <c r="Q1190" s="29" t="n">
        <v>0.93</v>
      </c>
      <c r="R1190" s="28" t="n">
        <v>53</v>
      </c>
      <c r="S1190" s="28" t="n">
        <v>203</v>
      </c>
      <c r="T1190" s="28" t="n">
        <v>112.72</v>
      </c>
      <c r="U1190" s="13" t="n">
        <f aca="false">IFERROR(YEAR(A1190),"")</f>
        <v>2022</v>
      </c>
      <c r="V1190" s="28" t="n">
        <f aca="false">IFERROR(O1190*B1190,0)</f>
        <v>741682</v>
      </c>
      <c r="W1190" s="27" t="n">
        <f aca="false">IFERROR(N1190*B1190,0)</f>
        <v>6580</v>
      </c>
      <c r="X1190" s="13" t="n">
        <f aca="false">IF(OR(ISNUMBER(SEARCH("live nation",L1190)),ISNUMBER(SEARCH("ocesa",L1190))),1,0)</f>
        <v>0</v>
      </c>
      <c r="Y1190" s="13" t="s">
        <v>49</v>
      </c>
    </row>
    <row r="1191" customFormat="false" ht="15" hidden="false" customHeight="false" outlineLevel="0" collapsed="false">
      <c r="A1191" s="30" t="n">
        <v>44707</v>
      </c>
      <c r="B1191" s="11" t="n">
        <v>1</v>
      </c>
      <c r="C1191" s="31" t="s">
        <v>1260</v>
      </c>
      <c r="D1191" s="31"/>
      <c r="E1191" s="11" t="s">
        <v>731</v>
      </c>
      <c r="F1191" s="11" t="s">
        <v>637</v>
      </c>
      <c r="G1191" s="11" t="s">
        <v>242</v>
      </c>
      <c r="H1191" s="11" t="s">
        <v>20</v>
      </c>
      <c r="I1191" s="11" t="s">
        <v>637</v>
      </c>
      <c r="J1191" s="11" t="s">
        <v>121</v>
      </c>
      <c r="K1191" s="11" t="s">
        <v>107</v>
      </c>
      <c r="L1191" s="11" t="s">
        <v>1263</v>
      </c>
      <c r="M1191" s="11" t="s">
        <v>251</v>
      </c>
      <c r="N1191" s="32" t="n">
        <v>4495</v>
      </c>
      <c r="O1191" s="33" t="n">
        <v>437212.18</v>
      </c>
      <c r="P1191" s="32" t="n">
        <v>5000</v>
      </c>
      <c r="Q1191" s="34" t="n">
        <v>0.89</v>
      </c>
      <c r="R1191" s="33" t="n">
        <v>49.5</v>
      </c>
      <c r="S1191" s="33" t="n">
        <v>149.5</v>
      </c>
      <c r="T1191" s="33" t="n">
        <v>97.27</v>
      </c>
      <c r="U1191" s="11" t="n">
        <f aca="false">IFERROR(YEAR(A1191),"")</f>
        <v>2022</v>
      </c>
      <c r="V1191" s="33" t="n">
        <f aca="false">IFERROR(O1191*B1191,0)</f>
        <v>437212.18</v>
      </c>
      <c r="W1191" s="32" t="n">
        <f aca="false">IFERROR(N1191*B1191,0)</f>
        <v>4495</v>
      </c>
      <c r="X1191" s="11" t="n">
        <f aca="false">IF(OR(ISNUMBER(SEARCH("live nation",L1191)),ISNUMBER(SEARCH("ocesa",L1191))),1,0)</f>
        <v>1</v>
      </c>
      <c r="Y1191" s="11" t="s">
        <v>49</v>
      </c>
    </row>
    <row r="1192" customFormat="false" ht="15" hidden="false" customHeight="false" outlineLevel="0" collapsed="false">
      <c r="A1192" s="25" t="n">
        <v>44705</v>
      </c>
      <c r="B1192" s="13" t="n">
        <v>1</v>
      </c>
      <c r="C1192" s="26" t="s">
        <v>1260</v>
      </c>
      <c r="D1192" s="26"/>
      <c r="E1192" s="13" t="s">
        <v>509</v>
      </c>
      <c r="F1192" s="13" t="s">
        <v>510</v>
      </c>
      <c r="G1192" s="13" t="s">
        <v>340</v>
      </c>
      <c r="H1192" s="13" t="s">
        <v>20</v>
      </c>
      <c r="I1192" s="13" t="s">
        <v>190</v>
      </c>
      <c r="J1192" s="13" t="s">
        <v>97</v>
      </c>
      <c r="K1192" s="13" t="s">
        <v>107</v>
      </c>
      <c r="L1192" s="13" t="s">
        <v>177</v>
      </c>
      <c r="M1192" s="13" t="s">
        <v>251</v>
      </c>
      <c r="N1192" s="27" t="n">
        <v>5747</v>
      </c>
      <c r="O1192" s="28" t="n">
        <v>586140.5</v>
      </c>
      <c r="P1192" s="27" t="n">
        <v>5801</v>
      </c>
      <c r="Q1192" s="29" t="n">
        <v>0.99</v>
      </c>
      <c r="R1192" s="28" t="n">
        <v>49.5</v>
      </c>
      <c r="S1192" s="28" t="n">
        <v>149.5</v>
      </c>
      <c r="T1192" s="28" t="n">
        <v>101.99</v>
      </c>
      <c r="U1192" s="13" t="n">
        <f aca="false">IFERROR(YEAR(A1192),"")</f>
        <v>2022</v>
      </c>
      <c r="V1192" s="28" t="n">
        <f aca="false">IFERROR(O1192*B1192,0)</f>
        <v>586140.5</v>
      </c>
      <c r="W1192" s="27" t="n">
        <f aca="false">IFERROR(N1192*B1192,0)</f>
        <v>5747</v>
      </c>
      <c r="X1192" s="13" t="n">
        <f aca="false">IF(OR(ISNUMBER(SEARCH("live nation",L1192)),ISNUMBER(SEARCH("ocesa",L1192))),1,0)</f>
        <v>1</v>
      </c>
      <c r="Y1192" s="13" t="s">
        <v>49</v>
      </c>
    </row>
    <row r="1193" customFormat="false" ht="15" hidden="false" customHeight="false" outlineLevel="0" collapsed="false">
      <c r="A1193" s="30" t="n">
        <v>44702</v>
      </c>
      <c r="B1193" s="11" t="n">
        <v>1</v>
      </c>
      <c r="C1193" s="31" t="s">
        <v>1260</v>
      </c>
      <c r="D1193" s="31"/>
      <c r="E1193" s="11" t="s">
        <v>689</v>
      </c>
      <c r="F1193" s="11" t="s">
        <v>139</v>
      </c>
      <c r="G1193" s="11" t="s">
        <v>139</v>
      </c>
      <c r="H1193" s="11" t="s">
        <v>20</v>
      </c>
      <c r="I1193" s="11" t="s">
        <v>139</v>
      </c>
      <c r="J1193" s="11" t="s">
        <v>121</v>
      </c>
      <c r="K1193" s="11" t="s">
        <v>107</v>
      </c>
      <c r="L1193" s="11" t="s">
        <v>1262</v>
      </c>
      <c r="M1193" s="11" t="s">
        <v>251</v>
      </c>
      <c r="N1193" s="32" t="n">
        <v>5257</v>
      </c>
      <c r="O1193" s="33" t="n">
        <v>656759.2</v>
      </c>
      <c r="P1193" s="32" t="n">
        <v>5257</v>
      </c>
      <c r="Q1193" s="34" t="n">
        <v>1</v>
      </c>
      <c r="R1193" s="33" t="n">
        <v>70.5</v>
      </c>
      <c r="S1193" s="33" t="n">
        <v>199.5</v>
      </c>
      <c r="T1193" s="33" t="n">
        <v>124.93</v>
      </c>
      <c r="U1193" s="11" t="n">
        <f aca="false">IFERROR(YEAR(A1193),"")</f>
        <v>2022</v>
      </c>
      <c r="V1193" s="33" t="n">
        <f aca="false">IFERROR(O1193*B1193,0)</f>
        <v>656759.2</v>
      </c>
      <c r="W1193" s="32" t="n">
        <f aca="false">IFERROR(N1193*B1193,0)</f>
        <v>5257</v>
      </c>
      <c r="X1193" s="11" t="n">
        <f aca="false">IF(OR(ISNUMBER(SEARCH("live nation",L1193)),ISNUMBER(SEARCH("ocesa",L1193))),1,0)</f>
        <v>0</v>
      </c>
      <c r="Y1193" s="11" t="s">
        <v>49</v>
      </c>
    </row>
    <row r="1194" customFormat="false" ht="15" hidden="false" customHeight="false" outlineLevel="0" collapsed="false">
      <c r="A1194" s="25" t="n">
        <v>44701</v>
      </c>
      <c r="B1194" s="13" t="n">
        <v>2</v>
      </c>
      <c r="C1194" s="26" t="s">
        <v>968</v>
      </c>
      <c r="D1194" s="26" t="s">
        <v>1264</v>
      </c>
      <c r="E1194" s="13" t="s">
        <v>487</v>
      </c>
      <c r="F1194" s="13" t="s">
        <v>207</v>
      </c>
      <c r="G1194" s="13" t="s">
        <v>208</v>
      </c>
      <c r="H1194" s="13" t="s">
        <v>20</v>
      </c>
      <c r="I1194" s="13" t="s">
        <v>209</v>
      </c>
      <c r="J1194" s="13" t="s">
        <v>121</v>
      </c>
      <c r="K1194" s="13" t="s">
        <v>107</v>
      </c>
      <c r="L1194" s="13" t="s">
        <v>531</v>
      </c>
      <c r="M1194" s="13" t="s">
        <v>100</v>
      </c>
      <c r="N1194" s="27" t="n">
        <v>2907</v>
      </c>
      <c r="O1194" s="28" t="n">
        <v>350320</v>
      </c>
      <c r="P1194" s="27" t="n">
        <v>3400</v>
      </c>
      <c r="Q1194" s="29" t="n">
        <v>0.85</v>
      </c>
      <c r="R1194" s="28" t="n">
        <v>90</v>
      </c>
      <c r="S1194" s="28" t="n">
        <v>160</v>
      </c>
      <c r="T1194" s="28" t="n">
        <v>120.49</v>
      </c>
      <c r="U1194" s="13" t="n">
        <f aca="false">IFERROR(YEAR(A1194),"")</f>
        <v>2022</v>
      </c>
      <c r="V1194" s="28" t="n">
        <f aca="false">IFERROR(O1194*B1194,0)</f>
        <v>700640</v>
      </c>
      <c r="W1194" s="27" t="n">
        <f aca="false">IFERROR(N1194*B1194,0)</f>
        <v>5814</v>
      </c>
      <c r="X1194" s="13" t="n">
        <f aca="false">IF(OR(ISNUMBER(SEARCH("live nation",L1194)),ISNUMBER(SEARCH("ocesa",L1194))),1,0)</f>
        <v>0</v>
      </c>
      <c r="Y1194" s="13" t="s">
        <v>49</v>
      </c>
    </row>
    <row r="1195" customFormat="false" ht="15" hidden="false" customHeight="false" outlineLevel="0" collapsed="false">
      <c r="A1195" s="30" t="n">
        <v>44695</v>
      </c>
      <c r="B1195" s="11" t="n">
        <v>2</v>
      </c>
      <c r="C1195" s="31" t="s">
        <v>1265</v>
      </c>
      <c r="D1195" s="31"/>
      <c r="E1195" s="11" t="s">
        <v>622</v>
      </c>
      <c r="F1195" s="11" t="s">
        <v>623</v>
      </c>
      <c r="G1195" s="11"/>
      <c r="H1195" s="11" t="s">
        <v>350</v>
      </c>
      <c r="I1195" s="11"/>
      <c r="J1195" s="11" t="s">
        <v>133</v>
      </c>
      <c r="K1195" s="11" t="s">
        <v>173</v>
      </c>
      <c r="L1195" s="11" t="s">
        <v>1266</v>
      </c>
      <c r="M1195" s="11" t="s">
        <v>277</v>
      </c>
      <c r="N1195" s="32" t="n">
        <v>32090</v>
      </c>
      <c r="O1195" s="33" t="n">
        <v>1752419.02</v>
      </c>
      <c r="P1195" s="32" t="n">
        <v>40000</v>
      </c>
      <c r="Q1195" s="34" t="n">
        <v>0.8</v>
      </c>
      <c r="R1195" s="33" t="n">
        <v>57.97</v>
      </c>
      <c r="S1195" s="33" t="n">
        <v>158.11</v>
      </c>
      <c r="T1195" s="33" t="n">
        <v>54.61</v>
      </c>
      <c r="U1195" s="11" t="n">
        <f aca="false">IFERROR(YEAR(A1195),"")</f>
        <v>2022</v>
      </c>
      <c r="V1195" s="33" t="n">
        <f aca="false">IFERROR(O1195*B1195,0)</f>
        <v>3504838.04</v>
      </c>
      <c r="W1195" s="32" t="n">
        <f aca="false">IFERROR(N1195*B1195,0)</f>
        <v>64180</v>
      </c>
      <c r="X1195" s="11" t="n">
        <f aca="false">IF(OR(ISNUMBER(SEARCH("live nation",L1195)),ISNUMBER(SEARCH("ocesa",L1195))),1,0)</f>
        <v>0</v>
      </c>
      <c r="Y1195" s="11" t="s">
        <v>49</v>
      </c>
    </row>
    <row r="1196" customFormat="false" ht="15" hidden="false" customHeight="false" outlineLevel="0" collapsed="false">
      <c r="A1196" s="25" t="n">
        <v>44693</v>
      </c>
      <c r="B1196" s="13" t="n">
        <v>1</v>
      </c>
      <c r="C1196" s="26" t="s">
        <v>71</v>
      </c>
      <c r="D1196" s="26"/>
      <c r="E1196" s="13" t="s">
        <v>1015</v>
      </c>
      <c r="F1196" s="13" t="s">
        <v>561</v>
      </c>
      <c r="G1196" s="13"/>
      <c r="H1196" s="13" t="s">
        <v>449</v>
      </c>
      <c r="I1196" s="13"/>
      <c r="J1196" s="13" t="s">
        <v>121</v>
      </c>
      <c r="K1196" s="13" t="s">
        <v>173</v>
      </c>
      <c r="L1196" s="13" t="s">
        <v>453</v>
      </c>
      <c r="M1196" s="13" t="s">
        <v>100</v>
      </c>
      <c r="N1196" s="27" t="n">
        <v>4904</v>
      </c>
      <c r="O1196" s="28" t="n">
        <v>575395.02</v>
      </c>
      <c r="P1196" s="27" t="n">
        <v>4925</v>
      </c>
      <c r="Q1196" s="29" t="n">
        <v>0.99</v>
      </c>
      <c r="R1196" s="28" t="n">
        <v>55.97</v>
      </c>
      <c r="S1196" s="28" t="n">
        <v>199.22</v>
      </c>
      <c r="T1196" s="28" t="n">
        <v>117.33</v>
      </c>
      <c r="U1196" s="13" t="n">
        <f aca="false">IFERROR(YEAR(A1196),"")</f>
        <v>2022</v>
      </c>
      <c r="V1196" s="28" t="n">
        <f aca="false">IFERROR(O1196*B1196,0)</f>
        <v>575395.02</v>
      </c>
      <c r="W1196" s="27" t="n">
        <f aca="false">IFERROR(N1196*B1196,0)</f>
        <v>4904</v>
      </c>
      <c r="X1196" s="13" t="n">
        <f aca="false">IF(OR(ISNUMBER(SEARCH("live nation",L1196)),ISNUMBER(SEARCH("ocesa",L1196))),1,0)</f>
        <v>0</v>
      </c>
      <c r="Y1196" s="13" t="s">
        <v>49</v>
      </c>
    </row>
    <row r="1197" customFormat="false" ht="15" hidden="false" customHeight="false" outlineLevel="0" collapsed="false">
      <c r="A1197" s="30" t="n">
        <v>44666</v>
      </c>
      <c r="B1197" s="11" t="n">
        <v>2</v>
      </c>
      <c r="C1197" s="31" t="s">
        <v>60</v>
      </c>
      <c r="D1197" s="31"/>
      <c r="E1197" s="11" t="s">
        <v>772</v>
      </c>
      <c r="F1197" s="11" t="s">
        <v>395</v>
      </c>
      <c r="G1197" s="11" t="s">
        <v>396</v>
      </c>
      <c r="H1197" s="11" t="s">
        <v>20</v>
      </c>
      <c r="I1197" s="11" t="s">
        <v>395</v>
      </c>
      <c r="J1197" s="11" t="s">
        <v>133</v>
      </c>
      <c r="K1197" s="11" t="s">
        <v>107</v>
      </c>
      <c r="L1197" s="11" t="s">
        <v>145</v>
      </c>
      <c r="M1197" s="11" t="s">
        <v>100</v>
      </c>
      <c r="N1197" s="32" t="n">
        <v>50210</v>
      </c>
      <c r="O1197" s="33" t="n">
        <v>9028917.5</v>
      </c>
      <c r="P1197" s="32" t="n">
        <v>50210</v>
      </c>
      <c r="Q1197" s="34" t="n">
        <v>1</v>
      </c>
      <c r="R1197" s="33" t="n">
        <v>60</v>
      </c>
      <c r="S1197" s="33" t="n">
        <v>275</v>
      </c>
      <c r="T1197" s="33" t="n">
        <v>179.82</v>
      </c>
      <c r="U1197" s="11" t="n">
        <f aca="false">IFERROR(YEAR(A1197),"")</f>
        <v>2022</v>
      </c>
      <c r="V1197" s="33" t="n">
        <f aca="false">IFERROR(O1197*B1197,0)</f>
        <v>18057835</v>
      </c>
      <c r="W1197" s="32" t="n">
        <f aca="false">IFERROR(N1197*B1197,0)</f>
        <v>100420</v>
      </c>
      <c r="X1197" s="11" t="n">
        <f aca="false">IF(OR(ISNUMBER(SEARCH("live nation",L1197)),ISNUMBER(SEARCH("ocesa",L1197))),1,0)</f>
        <v>0</v>
      </c>
      <c r="Y1197" s="11" t="s">
        <v>49</v>
      </c>
    </row>
    <row r="1198" customFormat="false" ht="15" hidden="false" customHeight="false" outlineLevel="0" collapsed="false">
      <c r="A1198" s="25" t="n">
        <v>44659</v>
      </c>
      <c r="B1198" s="13" t="n">
        <v>2</v>
      </c>
      <c r="C1198" s="26" t="s">
        <v>60</v>
      </c>
      <c r="D1198" s="26"/>
      <c r="E1198" s="13" t="s">
        <v>772</v>
      </c>
      <c r="F1198" s="13" t="s">
        <v>395</v>
      </c>
      <c r="G1198" s="13" t="s">
        <v>396</v>
      </c>
      <c r="H1198" s="13" t="s">
        <v>20</v>
      </c>
      <c r="I1198" s="13" t="s">
        <v>395</v>
      </c>
      <c r="J1198" s="13" t="s">
        <v>133</v>
      </c>
      <c r="K1198" s="13" t="s">
        <v>107</v>
      </c>
      <c r="L1198" s="13" t="s">
        <v>145</v>
      </c>
      <c r="M1198" s="13" t="s">
        <v>100</v>
      </c>
      <c r="N1198" s="27" t="n">
        <v>49638</v>
      </c>
      <c r="O1198" s="28" t="n">
        <v>8943507.5</v>
      </c>
      <c r="P1198" s="27" t="n">
        <v>49638</v>
      </c>
      <c r="Q1198" s="29" t="n">
        <v>1</v>
      </c>
      <c r="R1198" s="28" t="n">
        <v>60</v>
      </c>
      <c r="S1198" s="28" t="n">
        <v>275</v>
      </c>
      <c r="T1198" s="28" t="n">
        <v>180.17</v>
      </c>
      <c r="U1198" s="13" t="n">
        <f aca="false">IFERROR(YEAR(A1198),"")</f>
        <v>2022</v>
      </c>
      <c r="V1198" s="28" t="n">
        <f aca="false">IFERROR(O1198*B1198,0)</f>
        <v>17887015</v>
      </c>
      <c r="W1198" s="27" t="n">
        <f aca="false">IFERROR(N1198*B1198,0)</f>
        <v>99276</v>
      </c>
      <c r="X1198" s="13" t="n">
        <f aca="false">IF(OR(ISNUMBER(SEARCH("live nation",L1198)),ISNUMBER(SEARCH("ocesa",L1198))),1,0)</f>
        <v>0</v>
      </c>
      <c r="Y1198" s="13" t="s">
        <v>49</v>
      </c>
    </row>
    <row r="1199" customFormat="false" ht="15" hidden="false" customHeight="false" outlineLevel="0" collapsed="false">
      <c r="A1199" s="30" t="n">
        <v>44659</v>
      </c>
      <c r="B1199" s="11" t="n">
        <v>4</v>
      </c>
      <c r="C1199" s="31" t="s">
        <v>60</v>
      </c>
      <c r="D1199" s="31"/>
      <c r="E1199" s="11" t="s">
        <v>792</v>
      </c>
      <c r="F1199" s="11" t="s">
        <v>395</v>
      </c>
      <c r="G1199" s="11" t="s">
        <v>396</v>
      </c>
      <c r="H1199" s="11" t="s">
        <v>20</v>
      </c>
      <c r="I1199" s="11" t="s">
        <v>395</v>
      </c>
      <c r="J1199" s="11" t="s">
        <v>97</v>
      </c>
      <c r="K1199" s="11" t="s">
        <v>107</v>
      </c>
      <c r="L1199" s="11" t="s">
        <v>145</v>
      </c>
      <c r="M1199" s="11" t="s">
        <v>100</v>
      </c>
      <c r="N1199" s="32" t="n">
        <v>5433</v>
      </c>
      <c r="O1199" s="33" t="n">
        <v>313908.75</v>
      </c>
      <c r="P1199" s="32" t="n">
        <v>9200</v>
      </c>
      <c r="Q1199" s="34" t="n">
        <v>0.59</v>
      </c>
      <c r="R1199" s="33" t="n">
        <v>55</v>
      </c>
      <c r="S1199" s="33" t="n">
        <v>60</v>
      </c>
      <c r="T1199" s="33" t="n">
        <v>57.78</v>
      </c>
      <c r="U1199" s="11" t="n">
        <f aca="false">IFERROR(YEAR(A1199),"")</f>
        <v>2022</v>
      </c>
      <c r="V1199" s="33" t="n">
        <f aca="false">IFERROR(O1199*B1199,0)</f>
        <v>1255635</v>
      </c>
      <c r="W1199" s="32" t="n">
        <f aca="false">IFERROR(N1199*B1199,0)</f>
        <v>21732</v>
      </c>
      <c r="X1199" s="11" t="n">
        <f aca="false">IF(OR(ISNUMBER(SEARCH("live nation",L1199)),ISNUMBER(SEARCH("ocesa",L1199))),1,0)</f>
        <v>0</v>
      </c>
      <c r="Y1199" s="11" t="s">
        <v>49</v>
      </c>
    </row>
    <row r="1200" customFormat="false" ht="15" hidden="false" customHeight="false" outlineLevel="0" collapsed="false">
      <c r="A1200" s="25" t="n">
        <v>44650</v>
      </c>
      <c r="B1200" s="13" t="n">
        <v>1</v>
      </c>
      <c r="C1200" s="26" t="s">
        <v>1158</v>
      </c>
      <c r="D1200" s="26"/>
      <c r="E1200" s="13" t="s">
        <v>1267</v>
      </c>
      <c r="F1200" s="13" t="s">
        <v>963</v>
      </c>
      <c r="G1200" s="13" t="s">
        <v>162</v>
      </c>
      <c r="H1200" s="13" t="s">
        <v>20</v>
      </c>
      <c r="I1200" s="13" t="s">
        <v>1268</v>
      </c>
      <c r="J1200" s="13" t="s">
        <v>121</v>
      </c>
      <c r="K1200" s="13" t="s">
        <v>107</v>
      </c>
      <c r="L1200" s="13" t="s">
        <v>122</v>
      </c>
      <c r="M1200" s="13" t="s">
        <v>100</v>
      </c>
      <c r="N1200" s="27" t="n">
        <v>949</v>
      </c>
      <c r="O1200" s="28" t="n">
        <v>43715</v>
      </c>
      <c r="P1200" s="27" t="n">
        <v>2271</v>
      </c>
      <c r="Q1200" s="29" t="n">
        <v>0.41</v>
      </c>
      <c r="R1200" s="28" t="n">
        <v>26.5</v>
      </c>
      <c r="S1200" s="28" t="n">
        <v>53</v>
      </c>
      <c r="T1200" s="28" t="n">
        <v>46.06</v>
      </c>
      <c r="U1200" s="13" t="n">
        <f aca="false">IFERROR(YEAR(A1200),"")</f>
        <v>2022</v>
      </c>
      <c r="V1200" s="28" t="n">
        <f aca="false">IFERROR(O1200*B1200,0)</f>
        <v>43715</v>
      </c>
      <c r="W1200" s="27" t="n">
        <f aca="false">IFERROR(N1200*B1200,0)</f>
        <v>949</v>
      </c>
      <c r="X1200" s="13" t="n">
        <f aca="false">IF(OR(ISNUMBER(SEARCH("live nation",L1200)),ISNUMBER(SEARCH("ocesa",L1200))),1,0)</f>
        <v>0</v>
      </c>
      <c r="Y1200" s="13" t="s">
        <v>49</v>
      </c>
    </row>
    <row r="1201" customFormat="false" ht="15" hidden="false" customHeight="false" outlineLevel="0" collapsed="false">
      <c r="A1201" s="30" t="n">
        <v>44630</v>
      </c>
      <c r="B1201" s="11" t="n">
        <v>3</v>
      </c>
      <c r="C1201" s="31" t="s">
        <v>60</v>
      </c>
      <c r="D1201" s="31"/>
      <c r="E1201" s="11" t="s">
        <v>696</v>
      </c>
      <c r="F1201" s="11" t="s">
        <v>147</v>
      </c>
      <c r="G1201" s="11"/>
      <c r="H1201" s="11" t="s">
        <v>24</v>
      </c>
      <c r="I1201" s="11"/>
      <c r="J1201" s="11" t="s">
        <v>133</v>
      </c>
      <c r="K1201" s="11" t="s">
        <v>148</v>
      </c>
      <c r="L1201" s="11" t="s">
        <v>145</v>
      </c>
      <c r="M1201" s="11" t="s">
        <v>100</v>
      </c>
      <c r="N1201" s="32" t="n">
        <v>14898</v>
      </c>
      <c r="O1201" s="33" t="n">
        <v>1944666.05</v>
      </c>
      <c r="P1201" s="32" t="n">
        <v>14898</v>
      </c>
      <c r="Q1201" s="34" t="n">
        <v>1</v>
      </c>
      <c r="R1201" s="33" t="n">
        <v>124.79</v>
      </c>
      <c r="S1201" s="33" t="n">
        <v>166.73</v>
      </c>
      <c r="T1201" s="33" t="n">
        <v>130.53</v>
      </c>
      <c r="U1201" s="11" t="n">
        <f aca="false">IFERROR(YEAR(A1201),"")</f>
        <v>2022</v>
      </c>
      <c r="V1201" s="33" t="n">
        <f aca="false">IFERROR(O1201*B1201,0)</f>
        <v>5833998.15</v>
      </c>
      <c r="W1201" s="32" t="n">
        <f aca="false">IFERROR(N1201*B1201,0)</f>
        <v>44694</v>
      </c>
      <c r="X1201" s="11" t="n">
        <f aca="false">IF(OR(ISNUMBER(SEARCH("live nation",L1201)),ISNUMBER(SEARCH("ocesa",L1201))),1,0)</f>
        <v>0</v>
      </c>
      <c r="Y1201" s="11" t="s">
        <v>50</v>
      </c>
    </row>
    <row r="1202" customFormat="false" ht="15" hidden="false" customHeight="false" outlineLevel="0" collapsed="false">
      <c r="A1202" s="25" t="n">
        <v>44618</v>
      </c>
      <c r="B1202" s="13" t="n">
        <v>2</v>
      </c>
      <c r="C1202" s="26" t="s">
        <v>68</v>
      </c>
      <c r="D1202" s="26"/>
      <c r="E1202" s="13" t="s">
        <v>355</v>
      </c>
      <c r="F1202" s="13" t="s">
        <v>356</v>
      </c>
      <c r="G1202" s="13" t="s">
        <v>139</v>
      </c>
      <c r="H1202" s="13" t="s">
        <v>20</v>
      </c>
      <c r="I1202" s="13" t="s">
        <v>139</v>
      </c>
      <c r="J1202" s="13" t="s">
        <v>97</v>
      </c>
      <c r="K1202" s="13" t="s">
        <v>107</v>
      </c>
      <c r="L1202" s="13" t="s">
        <v>177</v>
      </c>
      <c r="M1202" s="13" t="s">
        <v>100</v>
      </c>
      <c r="N1202" s="27" t="n">
        <v>13384</v>
      </c>
      <c r="O1202" s="28" t="n">
        <v>2022441</v>
      </c>
      <c r="P1202" s="27" t="n">
        <v>13384</v>
      </c>
      <c r="Q1202" s="29" t="n">
        <v>1</v>
      </c>
      <c r="R1202" s="28" t="n">
        <v>53.5</v>
      </c>
      <c r="S1202" s="28" t="n">
        <v>193.5</v>
      </c>
      <c r="T1202" s="28" t="n">
        <v>151.11</v>
      </c>
      <c r="U1202" s="13" t="n">
        <f aca="false">IFERROR(YEAR(A1202),"")</f>
        <v>2022</v>
      </c>
      <c r="V1202" s="28" t="n">
        <f aca="false">IFERROR(O1202*B1202,0)</f>
        <v>4044882</v>
      </c>
      <c r="W1202" s="27" t="n">
        <f aca="false">IFERROR(N1202*B1202,0)</f>
        <v>26768</v>
      </c>
      <c r="X1202" s="13" t="n">
        <f aca="false">IF(OR(ISNUMBER(SEARCH("live nation",L1202)),ISNUMBER(SEARCH("ocesa",L1202))),1,0)</f>
        <v>1</v>
      </c>
      <c r="Y1202" s="13" t="s">
        <v>49</v>
      </c>
    </row>
    <row r="1203" customFormat="false" ht="15" hidden="false" customHeight="false" outlineLevel="0" collapsed="false">
      <c r="A1203" s="30" t="n">
        <v>44616</v>
      </c>
      <c r="B1203" s="11" t="n">
        <v>1</v>
      </c>
      <c r="C1203" s="31" t="s">
        <v>68</v>
      </c>
      <c r="D1203" s="31"/>
      <c r="E1203" s="11" t="s">
        <v>345</v>
      </c>
      <c r="F1203" s="11" t="s">
        <v>346</v>
      </c>
      <c r="G1203" s="11" t="s">
        <v>347</v>
      </c>
      <c r="H1203" s="11" t="s">
        <v>20</v>
      </c>
      <c r="I1203" s="11" t="s">
        <v>346</v>
      </c>
      <c r="J1203" s="11" t="s">
        <v>97</v>
      </c>
      <c r="K1203" s="11" t="s">
        <v>107</v>
      </c>
      <c r="L1203" s="11" t="s">
        <v>177</v>
      </c>
      <c r="M1203" s="11" t="s">
        <v>100</v>
      </c>
      <c r="N1203" s="32" t="n">
        <v>11596</v>
      </c>
      <c r="O1203" s="33" t="n">
        <v>1294523.5</v>
      </c>
      <c r="P1203" s="32" t="n">
        <v>11596</v>
      </c>
      <c r="Q1203" s="34" t="n">
        <v>1</v>
      </c>
      <c r="R1203" s="33" t="n">
        <v>59.5</v>
      </c>
      <c r="S1203" s="33" t="n">
        <v>199.5</v>
      </c>
      <c r="T1203" s="33" t="n">
        <v>111.64</v>
      </c>
      <c r="U1203" s="11" t="n">
        <f aca="false">IFERROR(YEAR(A1203),"")</f>
        <v>2022</v>
      </c>
      <c r="V1203" s="33" t="n">
        <f aca="false">IFERROR(O1203*B1203,0)</f>
        <v>1294523.5</v>
      </c>
      <c r="W1203" s="32" t="n">
        <f aca="false">IFERROR(N1203*B1203,0)</f>
        <v>11596</v>
      </c>
      <c r="X1203" s="11" t="n">
        <f aca="false">IF(OR(ISNUMBER(SEARCH("live nation",L1203)),ISNUMBER(SEARCH("ocesa",L1203))),1,0)</f>
        <v>1</v>
      </c>
      <c r="Y1203" s="11" t="s">
        <v>49</v>
      </c>
    </row>
    <row r="1204" customFormat="false" ht="15" hidden="false" customHeight="false" outlineLevel="0" collapsed="false">
      <c r="A1204" s="25" t="n">
        <v>44610</v>
      </c>
      <c r="B1204" s="13" t="n">
        <v>1</v>
      </c>
      <c r="C1204" s="26" t="s">
        <v>68</v>
      </c>
      <c r="D1204" s="26"/>
      <c r="E1204" s="13" t="s">
        <v>230</v>
      </c>
      <c r="F1204" s="13" t="s">
        <v>231</v>
      </c>
      <c r="G1204" s="13" t="s">
        <v>202</v>
      </c>
      <c r="H1204" s="13" t="s">
        <v>20</v>
      </c>
      <c r="I1204" s="13" t="s">
        <v>232</v>
      </c>
      <c r="J1204" s="13" t="s">
        <v>97</v>
      </c>
      <c r="K1204" s="13" t="s">
        <v>107</v>
      </c>
      <c r="L1204" s="13" t="s">
        <v>177</v>
      </c>
      <c r="M1204" s="13" t="s">
        <v>100</v>
      </c>
      <c r="N1204" s="27" t="n">
        <v>12891</v>
      </c>
      <c r="O1204" s="28" t="n">
        <v>1397174.59</v>
      </c>
      <c r="P1204" s="27" t="n">
        <v>12891</v>
      </c>
      <c r="Q1204" s="29" t="n">
        <v>1</v>
      </c>
      <c r="R1204" s="28" t="n">
        <v>56.67</v>
      </c>
      <c r="S1204" s="28" t="n">
        <v>190</v>
      </c>
      <c r="T1204" s="28" t="n">
        <v>108.38</v>
      </c>
      <c r="U1204" s="13" t="n">
        <f aca="false">IFERROR(YEAR(A1204),"")</f>
        <v>2022</v>
      </c>
      <c r="V1204" s="28" t="n">
        <f aca="false">IFERROR(O1204*B1204,0)</f>
        <v>1397174.59</v>
      </c>
      <c r="W1204" s="27" t="n">
        <f aca="false">IFERROR(N1204*B1204,0)</f>
        <v>12891</v>
      </c>
      <c r="X1204" s="13" t="n">
        <f aca="false">IF(OR(ISNUMBER(SEARCH("live nation",L1204)),ISNUMBER(SEARCH("ocesa",L1204))),1,0)</f>
        <v>1</v>
      </c>
      <c r="Y1204" s="13" t="s">
        <v>49</v>
      </c>
    </row>
    <row r="1205" customFormat="false" ht="15" hidden="false" customHeight="false" outlineLevel="0" collapsed="false">
      <c r="A1205" s="30" t="n">
        <v>44607</v>
      </c>
      <c r="B1205" s="11" t="n">
        <v>2</v>
      </c>
      <c r="C1205" s="31" t="s">
        <v>68</v>
      </c>
      <c r="D1205" s="31"/>
      <c r="E1205" s="11" t="s">
        <v>1269</v>
      </c>
      <c r="F1205" s="11" t="s">
        <v>201</v>
      </c>
      <c r="G1205" s="11" t="s">
        <v>202</v>
      </c>
      <c r="H1205" s="11" t="s">
        <v>20</v>
      </c>
      <c r="I1205" s="11" t="s">
        <v>203</v>
      </c>
      <c r="J1205" s="11" t="s">
        <v>97</v>
      </c>
      <c r="K1205" s="11" t="s">
        <v>107</v>
      </c>
      <c r="L1205" s="11" t="s">
        <v>177</v>
      </c>
      <c r="M1205" s="11" t="s">
        <v>100</v>
      </c>
      <c r="N1205" s="32" t="n">
        <v>12753</v>
      </c>
      <c r="O1205" s="33" t="n">
        <v>2219313</v>
      </c>
      <c r="P1205" s="32" t="n">
        <v>12753</v>
      </c>
      <c r="Q1205" s="34" t="n">
        <v>1</v>
      </c>
      <c r="R1205" s="33" t="n">
        <v>59.5</v>
      </c>
      <c r="S1205" s="33" t="n">
        <v>199.5</v>
      </c>
      <c r="T1205" s="33" t="n">
        <v>174.02</v>
      </c>
      <c r="U1205" s="11" t="n">
        <f aca="false">IFERROR(YEAR(A1205),"")</f>
        <v>2022</v>
      </c>
      <c r="V1205" s="33" t="n">
        <f aca="false">IFERROR(O1205*B1205,0)</f>
        <v>4438626</v>
      </c>
      <c r="W1205" s="32" t="n">
        <f aca="false">IFERROR(N1205*B1205,0)</f>
        <v>25506</v>
      </c>
      <c r="X1205" s="11" t="n">
        <f aca="false">IF(OR(ISNUMBER(SEARCH("live nation",L1205)),ISNUMBER(SEARCH("ocesa",L1205))),1,0)</f>
        <v>1</v>
      </c>
      <c r="Y1205" s="11" t="s">
        <v>49</v>
      </c>
    </row>
    <row r="1206" customFormat="false" ht="15" hidden="false" customHeight="false" outlineLevel="0" collapsed="false">
      <c r="A1206" s="25" t="n">
        <v>44598</v>
      </c>
      <c r="B1206" s="13" t="n">
        <v>1</v>
      </c>
      <c r="C1206" s="26" t="s">
        <v>875</v>
      </c>
      <c r="D1206" s="26"/>
      <c r="E1206" s="13" t="s">
        <v>651</v>
      </c>
      <c r="F1206" s="13" t="s">
        <v>652</v>
      </c>
      <c r="G1206" s="13" t="s">
        <v>653</v>
      </c>
      <c r="H1206" s="13" t="s">
        <v>20</v>
      </c>
      <c r="I1206" s="13" t="s">
        <v>654</v>
      </c>
      <c r="J1206" s="13" t="s">
        <v>97</v>
      </c>
      <c r="K1206" s="13" t="s">
        <v>107</v>
      </c>
      <c r="L1206" s="13" t="s">
        <v>122</v>
      </c>
      <c r="M1206" s="13" t="s">
        <v>100</v>
      </c>
      <c r="N1206" s="27" t="n">
        <v>4171</v>
      </c>
      <c r="O1206" s="28" t="n">
        <v>775158</v>
      </c>
      <c r="P1206" s="27" t="n">
        <v>6717</v>
      </c>
      <c r="Q1206" s="29" t="n">
        <v>0.62</v>
      </c>
      <c r="R1206" s="28" t="n">
        <v>98</v>
      </c>
      <c r="S1206" s="28" t="n">
        <v>268</v>
      </c>
      <c r="T1206" s="28" t="n">
        <v>185.84</v>
      </c>
      <c r="U1206" s="13" t="n">
        <f aca="false">IFERROR(YEAR(A1206),"")</f>
        <v>2022</v>
      </c>
      <c r="V1206" s="28" t="n">
        <f aca="false">IFERROR(O1206*B1206,0)</f>
        <v>775158</v>
      </c>
      <c r="W1206" s="27" t="n">
        <f aca="false">IFERROR(N1206*B1206,0)</f>
        <v>4171</v>
      </c>
      <c r="X1206" s="13" t="n">
        <f aca="false">IF(OR(ISNUMBER(SEARCH("live nation",L1206)),ISNUMBER(SEARCH("ocesa",L1206))),1,0)</f>
        <v>0</v>
      </c>
      <c r="Y1206" s="13" t="s">
        <v>49</v>
      </c>
    </row>
    <row r="1207" customFormat="false" ht="15" hidden="false" customHeight="false" outlineLevel="0" collapsed="false">
      <c r="A1207" s="30" t="n">
        <v>44591</v>
      </c>
      <c r="B1207" s="11" t="n">
        <v>2</v>
      </c>
      <c r="C1207" s="31" t="s">
        <v>71</v>
      </c>
      <c r="D1207" s="31"/>
      <c r="E1207" s="11" t="s">
        <v>1269</v>
      </c>
      <c r="F1207" s="11" t="s">
        <v>201</v>
      </c>
      <c r="G1207" s="11" t="s">
        <v>202</v>
      </c>
      <c r="H1207" s="11" t="s">
        <v>20</v>
      </c>
      <c r="I1207" s="11" t="s">
        <v>203</v>
      </c>
      <c r="J1207" s="11" t="s">
        <v>97</v>
      </c>
      <c r="K1207" s="11" t="s">
        <v>107</v>
      </c>
      <c r="L1207" s="11" t="s">
        <v>788</v>
      </c>
      <c r="M1207" s="11" t="s">
        <v>100</v>
      </c>
      <c r="N1207" s="32" t="n">
        <v>9934</v>
      </c>
      <c r="O1207" s="33" t="n">
        <v>1089360</v>
      </c>
      <c r="P1207" s="32" t="n">
        <v>9934</v>
      </c>
      <c r="Q1207" s="34" t="n">
        <v>1</v>
      </c>
      <c r="R1207" s="33" t="n">
        <v>45</v>
      </c>
      <c r="S1207" s="33" t="n">
        <v>205</v>
      </c>
      <c r="T1207" s="33" t="n">
        <v>109.66</v>
      </c>
      <c r="U1207" s="11" t="n">
        <f aca="false">IFERROR(YEAR(A1207),"")</f>
        <v>2022</v>
      </c>
      <c r="V1207" s="33" t="n">
        <f aca="false">IFERROR(O1207*B1207,0)</f>
        <v>2178720</v>
      </c>
      <c r="W1207" s="32" t="n">
        <f aca="false">IFERROR(N1207*B1207,0)</f>
        <v>19868</v>
      </c>
      <c r="X1207" s="11" t="n">
        <f aca="false">IF(OR(ISNUMBER(SEARCH("live nation",L1207)),ISNUMBER(SEARCH("ocesa",L1207))),1,0)</f>
        <v>0</v>
      </c>
      <c r="Y1207" s="11" t="s">
        <v>49</v>
      </c>
    </row>
    <row r="1208" customFormat="false" ht="15" hidden="false" customHeight="false" outlineLevel="0" collapsed="false">
      <c r="A1208" s="25" t="n">
        <v>44585</v>
      </c>
      <c r="B1208" s="13" t="n">
        <v>1</v>
      </c>
      <c r="C1208" s="26" t="s">
        <v>71</v>
      </c>
      <c r="D1208" s="26"/>
      <c r="E1208" s="13" t="s">
        <v>506</v>
      </c>
      <c r="F1208" s="13" t="s">
        <v>507</v>
      </c>
      <c r="G1208" s="13" t="s">
        <v>221</v>
      </c>
      <c r="H1208" s="13" t="s">
        <v>20</v>
      </c>
      <c r="I1208" s="13" t="s">
        <v>139</v>
      </c>
      <c r="J1208" s="13" t="s">
        <v>97</v>
      </c>
      <c r="K1208" s="13" t="s">
        <v>107</v>
      </c>
      <c r="L1208" s="13" t="s">
        <v>788</v>
      </c>
      <c r="M1208" s="13" t="s">
        <v>100</v>
      </c>
      <c r="N1208" s="27" t="n">
        <v>11148</v>
      </c>
      <c r="O1208" s="28" t="n">
        <v>1122904.3</v>
      </c>
      <c r="P1208" s="27" t="n">
        <v>11242</v>
      </c>
      <c r="Q1208" s="29" t="n">
        <v>0.99</v>
      </c>
      <c r="R1208" s="28" t="n">
        <v>44</v>
      </c>
      <c r="S1208" s="28" t="n">
        <v>204</v>
      </c>
      <c r="T1208" s="28" t="n">
        <v>100.73</v>
      </c>
      <c r="U1208" s="13" t="n">
        <f aca="false">IFERROR(YEAR(A1208),"")</f>
        <v>2022</v>
      </c>
      <c r="V1208" s="28" t="n">
        <f aca="false">IFERROR(O1208*B1208,0)</f>
        <v>1122904.3</v>
      </c>
      <c r="W1208" s="27" t="n">
        <f aca="false">IFERROR(N1208*B1208,0)</f>
        <v>11148</v>
      </c>
      <c r="X1208" s="13" t="n">
        <f aca="false">IF(OR(ISNUMBER(SEARCH("live nation",L1208)),ISNUMBER(SEARCH("ocesa",L1208))),1,0)</f>
        <v>0</v>
      </c>
      <c r="Y1208" s="13" t="s">
        <v>49</v>
      </c>
    </row>
    <row r="1209" customFormat="false" ht="15" hidden="false" customHeight="false" outlineLevel="0" collapsed="false">
      <c r="A1209" s="30" t="n">
        <v>44531</v>
      </c>
      <c r="B1209" s="11" t="n">
        <v>2</v>
      </c>
      <c r="C1209" s="31" t="s">
        <v>60</v>
      </c>
      <c r="D1209" s="31"/>
      <c r="E1209" s="11" t="s">
        <v>701</v>
      </c>
      <c r="F1209" s="11" t="s">
        <v>201</v>
      </c>
      <c r="G1209" s="11" t="s">
        <v>202</v>
      </c>
      <c r="H1209" s="11" t="s">
        <v>20</v>
      </c>
      <c r="I1209" s="11" t="s">
        <v>203</v>
      </c>
      <c r="J1209" s="11" t="s">
        <v>133</v>
      </c>
      <c r="K1209" s="11" t="s">
        <v>107</v>
      </c>
      <c r="L1209" s="11" t="s">
        <v>145</v>
      </c>
      <c r="M1209" s="11" t="s">
        <v>100</v>
      </c>
      <c r="N1209" s="32" t="n">
        <v>53729</v>
      </c>
      <c r="O1209" s="33" t="n">
        <v>8408382.5</v>
      </c>
      <c r="P1209" s="32" t="n">
        <v>53729</v>
      </c>
      <c r="Q1209" s="34" t="n">
        <v>1</v>
      </c>
      <c r="R1209" s="33" t="n">
        <v>156</v>
      </c>
      <c r="S1209" s="33" t="n">
        <v>0</v>
      </c>
      <c r="T1209" s="33" t="n">
        <v>156.5</v>
      </c>
      <c r="U1209" s="11" t="n">
        <f aca="false">IFERROR(YEAR(A1209),"")</f>
        <v>2021</v>
      </c>
      <c r="V1209" s="33" t="n">
        <f aca="false">IFERROR(O1209*B1209,0)</f>
        <v>16816765</v>
      </c>
      <c r="W1209" s="32" t="n">
        <f aca="false">IFERROR(N1209*B1209,0)</f>
        <v>107458</v>
      </c>
      <c r="X1209" s="11" t="n">
        <f aca="false">IF(OR(ISNUMBER(SEARCH("live nation",L1209)),ISNUMBER(SEARCH("ocesa",L1209))),1,0)</f>
        <v>0</v>
      </c>
      <c r="Y1209" s="11" t="s">
        <v>49</v>
      </c>
    </row>
    <row r="1210" customFormat="false" ht="15" hidden="false" customHeight="false" outlineLevel="0" collapsed="false">
      <c r="A1210" s="25" t="n">
        <v>44527</v>
      </c>
      <c r="B1210" s="13" t="n">
        <v>2</v>
      </c>
      <c r="C1210" s="26" t="s">
        <v>60</v>
      </c>
      <c r="D1210" s="26"/>
      <c r="E1210" s="13" t="s">
        <v>701</v>
      </c>
      <c r="F1210" s="13" t="s">
        <v>201</v>
      </c>
      <c r="G1210" s="13" t="s">
        <v>202</v>
      </c>
      <c r="H1210" s="13" t="s">
        <v>20</v>
      </c>
      <c r="I1210" s="13" t="s">
        <v>203</v>
      </c>
      <c r="J1210" s="13" t="s">
        <v>133</v>
      </c>
      <c r="K1210" s="13" t="s">
        <v>107</v>
      </c>
      <c r="L1210" s="13" t="s">
        <v>145</v>
      </c>
      <c r="M1210" s="13" t="s">
        <v>100</v>
      </c>
      <c r="N1210" s="27" t="n">
        <v>53147</v>
      </c>
      <c r="O1210" s="28" t="n">
        <v>8249790</v>
      </c>
      <c r="P1210" s="27" t="n">
        <v>53147</v>
      </c>
      <c r="Q1210" s="29" t="n">
        <v>1</v>
      </c>
      <c r="R1210" s="28" t="n">
        <v>156</v>
      </c>
      <c r="S1210" s="28" t="n">
        <v>0</v>
      </c>
      <c r="T1210" s="28" t="n">
        <v>155.23</v>
      </c>
      <c r="U1210" s="13" t="n">
        <f aca="false">IFERROR(YEAR(A1210),"")</f>
        <v>2021</v>
      </c>
      <c r="V1210" s="28" t="n">
        <f aca="false">IFERROR(O1210*B1210,0)</f>
        <v>16499580</v>
      </c>
      <c r="W1210" s="27" t="n">
        <f aca="false">IFERROR(N1210*B1210,0)</f>
        <v>106294</v>
      </c>
      <c r="X1210" s="13" t="n">
        <f aca="false">IF(OR(ISNUMBER(SEARCH("live nation",L1210)),ISNUMBER(SEARCH("ocesa",L1210))),1,0)</f>
        <v>0</v>
      </c>
      <c r="Y1210" s="13" t="s">
        <v>49</v>
      </c>
    </row>
    <row r="1211" customFormat="false" ht="15" hidden="false" customHeight="false" outlineLevel="0" collapsed="false">
      <c r="A1211" s="30" t="n">
        <v>44527</v>
      </c>
      <c r="B1211" s="11" t="n">
        <v>4</v>
      </c>
      <c r="C1211" s="31" t="s">
        <v>60</v>
      </c>
      <c r="D1211" s="31"/>
      <c r="E1211" s="11" t="s">
        <v>200</v>
      </c>
      <c r="F1211" s="11" t="s">
        <v>201</v>
      </c>
      <c r="G1211" s="11" t="s">
        <v>202</v>
      </c>
      <c r="H1211" s="11" t="s">
        <v>20</v>
      </c>
      <c r="I1211" s="11" t="s">
        <v>203</v>
      </c>
      <c r="J1211" s="11" t="s">
        <v>121</v>
      </c>
      <c r="K1211" s="11" t="s">
        <v>107</v>
      </c>
      <c r="L1211" s="11" t="s">
        <v>145</v>
      </c>
      <c r="M1211" s="11" t="s">
        <v>100</v>
      </c>
      <c r="N1211" s="32" t="n">
        <v>4472</v>
      </c>
      <c r="O1211" s="33" t="n">
        <v>268320</v>
      </c>
      <c r="P1211" s="32" t="n">
        <v>5936</v>
      </c>
      <c r="Q1211" s="34" t="n">
        <v>0.75</v>
      </c>
      <c r="R1211" s="33" t="n">
        <v>60</v>
      </c>
      <c r="S1211" s="33" t="n">
        <v>0</v>
      </c>
      <c r="T1211" s="33" t="n">
        <v>60</v>
      </c>
      <c r="U1211" s="11" t="n">
        <f aca="false">IFERROR(YEAR(A1211),"")</f>
        <v>2021</v>
      </c>
      <c r="V1211" s="33" t="n">
        <f aca="false">IFERROR(O1211*B1211,0)</f>
        <v>1073280</v>
      </c>
      <c r="W1211" s="32" t="n">
        <f aca="false">IFERROR(N1211*B1211,0)</f>
        <v>17888</v>
      </c>
      <c r="X1211" s="11" t="n">
        <f aca="false">IF(OR(ISNUMBER(SEARCH("live nation",L1211)),ISNUMBER(SEARCH("ocesa",L1211))),1,0)</f>
        <v>0</v>
      </c>
      <c r="Y1211" s="11" t="s">
        <v>49</v>
      </c>
    </row>
    <row r="1212" customFormat="false" ht="15" hidden="false" customHeight="false" outlineLevel="0" collapsed="false">
      <c r="A1212" s="25" t="n">
        <v>43884</v>
      </c>
      <c r="B1212" s="13" t="n">
        <v>1</v>
      </c>
      <c r="C1212" s="26" t="s">
        <v>272</v>
      </c>
      <c r="D1212" s="26"/>
      <c r="E1212" s="13" t="s">
        <v>1270</v>
      </c>
      <c r="F1212" s="13" t="s">
        <v>313</v>
      </c>
      <c r="G1212" s="13"/>
      <c r="H1212" s="13" t="s">
        <v>27</v>
      </c>
      <c r="I1212" s="13"/>
      <c r="J1212" s="13" t="s">
        <v>121</v>
      </c>
      <c r="K1212" s="13" t="s">
        <v>314</v>
      </c>
      <c r="L1212" s="13" t="s">
        <v>1271</v>
      </c>
      <c r="M1212" s="13" t="s">
        <v>277</v>
      </c>
      <c r="N1212" s="27" t="n">
        <v>4552</v>
      </c>
      <c r="O1212" s="28" t="n">
        <v>209373.56</v>
      </c>
      <c r="P1212" s="27" t="n">
        <v>5300</v>
      </c>
      <c r="Q1212" s="29" t="n">
        <v>0.85</v>
      </c>
      <c r="R1212" s="28" t="n">
        <v>46</v>
      </c>
      <c r="S1212" s="28" t="n">
        <v>0</v>
      </c>
      <c r="T1212" s="28" t="n">
        <v>46</v>
      </c>
      <c r="U1212" s="13" t="n">
        <f aca="false">IFERROR(YEAR(A1212),"")</f>
        <v>2020</v>
      </c>
      <c r="V1212" s="28" t="n">
        <f aca="false">IFERROR(O1212*B1212,0)</f>
        <v>209373.56</v>
      </c>
      <c r="W1212" s="27" t="n">
        <f aca="false">IFERROR(N1212*B1212,0)</f>
        <v>4552</v>
      </c>
      <c r="X1212" s="13" t="n">
        <f aca="false">IF(OR(ISNUMBER(SEARCH("live nation",L1212)),ISNUMBER(SEARCH("ocesa",L1212))),1,0)</f>
        <v>0</v>
      </c>
      <c r="Y1212" s="13" t="s">
        <v>49</v>
      </c>
    </row>
    <row r="1213" customFormat="false" ht="15" hidden="false" customHeight="false" outlineLevel="0" collapsed="false">
      <c r="A1213" s="30" t="n">
        <v>43883</v>
      </c>
      <c r="B1213" s="11" t="n">
        <v>1</v>
      </c>
      <c r="C1213" s="31" t="s">
        <v>272</v>
      </c>
      <c r="D1213" s="31"/>
      <c r="E1213" s="11" t="s">
        <v>1272</v>
      </c>
      <c r="F1213" s="11" t="s">
        <v>565</v>
      </c>
      <c r="G1213" s="11"/>
      <c r="H1213" s="11" t="s">
        <v>27</v>
      </c>
      <c r="I1213" s="11"/>
      <c r="J1213" s="11" t="s">
        <v>121</v>
      </c>
      <c r="K1213" s="11" t="s">
        <v>314</v>
      </c>
      <c r="L1213" s="11" t="s">
        <v>1271</v>
      </c>
      <c r="M1213" s="11" t="s">
        <v>277</v>
      </c>
      <c r="N1213" s="32" t="n">
        <v>3412</v>
      </c>
      <c r="O1213" s="33" t="n">
        <v>145728.31</v>
      </c>
      <c r="P1213" s="32" t="n">
        <v>3500</v>
      </c>
      <c r="Q1213" s="34" t="n">
        <v>0.97</v>
      </c>
      <c r="R1213" s="33" t="n">
        <v>42.71</v>
      </c>
      <c r="S1213" s="33" t="n">
        <v>0</v>
      </c>
      <c r="T1213" s="33" t="n">
        <v>42.71</v>
      </c>
      <c r="U1213" s="11" t="n">
        <f aca="false">IFERROR(YEAR(A1213),"")</f>
        <v>2020</v>
      </c>
      <c r="V1213" s="33" t="n">
        <f aca="false">IFERROR(O1213*B1213,0)</f>
        <v>145728.31</v>
      </c>
      <c r="W1213" s="32" t="n">
        <f aca="false">IFERROR(N1213*B1213,0)</f>
        <v>3412</v>
      </c>
      <c r="X1213" s="11" t="n">
        <f aca="false">IF(OR(ISNUMBER(SEARCH("live nation",L1213)),ISNUMBER(SEARCH("ocesa",L1213))),1,0)</f>
        <v>0</v>
      </c>
      <c r="Y1213" s="11" t="s">
        <v>49</v>
      </c>
    </row>
    <row r="1214" customFormat="false" ht="15" hidden="false" customHeight="false" outlineLevel="0" collapsed="false">
      <c r="A1214" s="25" t="n">
        <v>43881</v>
      </c>
      <c r="B1214" s="13" t="n">
        <v>1</v>
      </c>
      <c r="C1214" s="26" t="s">
        <v>272</v>
      </c>
      <c r="D1214" s="26"/>
      <c r="E1214" s="13" t="s">
        <v>1273</v>
      </c>
      <c r="F1214" s="13" t="s">
        <v>1274</v>
      </c>
      <c r="G1214" s="13"/>
      <c r="H1214" s="13" t="s">
        <v>27</v>
      </c>
      <c r="I1214" s="13"/>
      <c r="J1214" s="13" t="s">
        <v>121</v>
      </c>
      <c r="K1214" s="13" t="s">
        <v>314</v>
      </c>
      <c r="L1214" s="13" t="s">
        <v>1271</v>
      </c>
      <c r="M1214" s="13" t="s">
        <v>277</v>
      </c>
      <c r="N1214" s="27" t="n">
        <v>1500</v>
      </c>
      <c r="O1214" s="28" t="n">
        <v>64065.79</v>
      </c>
      <c r="P1214" s="27" t="n">
        <v>1500</v>
      </c>
      <c r="Q1214" s="29" t="n">
        <v>1</v>
      </c>
      <c r="R1214" s="28" t="n">
        <v>42.71</v>
      </c>
      <c r="S1214" s="28" t="n">
        <v>0</v>
      </c>
      <c r="T1214" s="28" t="n">
        <v>42.71</v>
      </c>
      <c r="U1214" s="13" t="n">
        <f aca="false">IFERROR(YEAR(A1214),"")</f>
        <v>2020</v>
      </c>
      <c r="V1214" s="28" t="n">
        <f aca="false">IFERROR(O1214*B1214,0)</f>
        <v>64065.79</v>
      </c>
      <c r="W1214" s="27" t="n">
        <f aca="false">IFERROR(N1214*B1214,0)</f>
        <v>1500</v>
      </c>
      <c r="X1214" s="13" t="n">
        <f aca="false">IF(OR(ISNUMBER(SEARCH("live nation",L1214)),ISNUMBER(SEARCH("ocesa",L1214))),1,0)</f>
        <v>0</v>
      </c>
      <c r="Y1214" s="13" t="s">
        <v>49</v>
      </c>
    </row>
    <row r="1215" customFormat="false" ht="15" hidden="false" customHeight="false" outlineLevel="0" collapsed="false">
      <c r="A1215" s="30" t="n">
        <v>43880</v>
      </c>
      <c r="B1215" s="11" t="n">
        <v>1</v>
      </c>
      <c r="C1215" s="31" t="s">
        <v>272</v>
      </c>
      <c r="D1215" s="31"/>
      <c r="E1215" s="11" t="s">
        <v>1275</v>
      </c>
      <c r="F1215" s="11" t="s">
        <v>802</v>
      </c>
      <c r="G1215" s="11"/>
      <c r="H1215" s="11" t="s">
        <v>27</v>
      </c>
      <c r="I1215" s="11"/>
      <c r="J1215" s="11" t="s">
        <v>106</v>
      </c>
      <c r="K1215" s="11" t="s">
        <v>314</v>
      </c>
      <c r="L1215" s="11" t="s">
        <v>1276</v>
      </c>
      <c r="M1215" s="11" t="s">
        <v>277</v>
      </c>
      <c r="N1215" s="32" t="n">
        <v>1900</v>
      </c>
      <c r="O1215" s="33" t="n">
        <v>81150</v>
      </c>
      <c r="P1215" s="32" t="n">
        <v>1900</v>
      </c>
      <c r="Q1215" s="34" t="n">
        <v>1</v>
      </c>
      <c r="R1215" s="33" t="n">
        <v>42.71</v>
      </c>
      <c r="S1215" s="33" t="n">
        <v>0</v>
      </c>
      <c r="T1215" s="33" t="n">
        <v>42.71</v>
      </c>
      <c r="U1215" s="11" t="n">
        <f aca="false">IFERROR(YEAR(A1215),"")</f>
        <v>2020</v>
      </c>
      <c r="V1215" s="33" t="n">
        <f aca="false">IFERROR(O1215*B1215,0)</f>
        <v>81150</v>
      </c>
      <c r="W1215" s="32" t="n">
        <f aca="false">IFERROR(N1215*B1215,0)</f>
        <v>1900</v>
      </c>
      <c r="X1215" s="11" t="n">
        <f aca="false">IF(OR(ISNUMBER(SEARCH("live nation",L1215)),ISNUMBER(SEARCH("ocesa",L1215))),1,0)</f>
        <v>0</v>
      </c>
      <c r="Y1215" s="11" t="s">
        <v>49</v>
      </c>
    </row>
    <row r="1216" customFormat="false" ht="15" hidden="false" customHeight="false" outlineLevel="0" collapsed="false">
      <c r="A1216" s="25" t="n">
        <v>43880</v>
      </c>
      <c r="B1216" s="13" t="n">
        <v>1</v>
      </c>
      <c r="C1216" s="26" t="s">
        <v>1260</v>
      </c>
      <c r="D1216" s="26"/>
      <c r="E1216" s="13" t="s">
        <v>1277</v>
      </c>
      <c r="F1216" s="13" t="s">
        <v>1278</v>
      </c>
      <c r="G1216" s="13" t="s">
        <v>139</v>
      </c>
      <c r="H1216" s="13" t="s">
        <v>20</v>
      </c>
      <c r="I1216" s="13" t="s">
        <v>139</v>
      </c>
      <c r="J1216" s="13" t="s">
        <v>106</v>
      </c>
      <c r="K1216" s="13" t="s">
        <v>107</v>
      </c>
      <c r="L1216" s="13" t="s">
        <v>122</v>
      </c>
      <c r="M1216" s="13" t="s">
        <v>251</v>
      </c>
      <c r="N1216" s="27" t="n">
        <v>1573</v>
      </c>
      <c r="O1216" s="28" t="n">
        <v>33260.25</v>
      </c>
      <c r="P1216" s="27" t="n">
        <v>1573</v>
      </c>
      <c r="Q1216" s="29" t="n">
        <v>1</v>
      </c>
      <c r="R1216" s="28" t="n">
        <v>20</v>
      </c>
      <c r="S1216" s="28" t="n">
        <v>0</v>
      </c>
      <c r="T1216" s="28" t="n">
        <v>21.14</v>
      </c>
      <c r="U1216" s="13" t="n">
        <f aca="false">IFERROR(YEAR(A1216),"")</f>
        <v>2020</v>
      </c>
      <c r="V1216" s="28" t="n">
        <f aca="false">IFERROR(O1216*B1216,0)</f>
        <v>33260.25</v>
      </c>
      <c r="W1216" s="27" t="n">
        <f aca="false">IFERROR(N1216*B1216,0)</f>
        <v>1573</v>
      </c>
      <c r="X1216" s="13" t="n">
        <f aca="false">IF(OR(ISNUMBER(SEARCH("live nation",L1216)),ISNUMBER(SEARCH("ocesa",L1216))),1,0)</f>
        <v>0</v>
      </c>
      <c r="Y1216" s="13" t="s">
        <v>49</v>
      </c>
    </row>
    <row r="1217" customFormat="false" ht="15" hidden="false" customHeight="false" outlineLevel="0" collapsed="false">
      <c r="A1217" s="30" t="n">
        <v>43866</v>
      </c>
      <c r="B1217" s="11" t="n">
        <v>1</v>
      </c>
      <c r="C1217" s="31" t="s">
        <v>66</v>
      </c>
      <c r="D1217" s="31"/>
      <c r="E1217" s="11" t="s">
        <v>487</v>
      </c>
      <c r="F1217" s="11" t="s">
        <v>207</v>
      </c>
      <c r="G1217" s="11" t="s">
        <v>208</v>
      </c>
      <c r="H1217" s="11" t="s">
        <v>20</v>
      </c>
      <c r="I1217" s="11" t="s">
        <v>209</v>
      </c>
      <c r="J1217" s="11" t="s">
        <v>121</v>
      </c>
      <c r="K1217" s="11" t="s">
        <v>107</v>
      </c>
      <c r="L1217" s="11" t="s">
        <v>1279</v>
      </c>
      <c r="M1217" s="11" t="s">
        <v>100</v>
      </c>
      <c r="N1217" s="32" t="n">
        <v>3595</v>
      </c>
      <c r="O1217" s="33" t="n">
        <v>476134</v>
      </c>
      <c r="P1217" s="32" t="n">
        <v>3800</v>
      </c>
      <c r="Q1217" s="34" t="n">
        <v>0.94</v>
      </c>
      <c r="R1217" s="33" t="n">
        <v>69</v>
      </c>
      <c r="S1217" s="33" t="n">
        <v>199</v>
      </c>
      <c r="T1217" s="33" t="n">
        <v>132.44</v>
      </c>
      <c r="U1217" s="11" t="n">
        <f aca="false">IFERROR(YEAR(A1217),"")</f>
        <v>2020</v>
      </c>
      <c r="V1217" s="33" t="n">
        <f aca="false">IFERROR(O1217*B1217,0)</f>
        <v>476134</v>
      </c>
      <c r="W1217" s="32" t="n">
        <f aca="false">IFERROR(N1217*B1217,0)</f>
        <v>3595</v>
      </c>
      <c r="X1217" s="11" t="n">
        <f aca="false">IF(OR(ISNUMBER(SEARCH("live nation",L1217)),ISNUMBER(SEARCH("ocesa",L1217))),1,0)</f>
        <v>0</v>
      </c>
      <c r="Y1217" s="11" t="s">
        <v>49</v>
      </c>
    </row>
    <row r="1218" customFormat="false" ht="15" hidden="false" customHeight="false" outlineLevel="0" collapsed="false">
      <c r="A1218" s="25" t="n">
        <v>43861</v>
      </c>
      <c r="B1218" s="13" t="n">
        <v>1</v>
      </c>
      <c r="C1218" s="26" t="s">
        <v>66</v>
      </c>
      <c r="D1218" s="26"/>
      <c r="E1218" s="13" t="s">
        <v>731</v>
      </c>
      <c r="F1218" s="13" t="s">
        <v>346</v>
      </c>
      <c r="G1218" s="13" t="s">
        <v>347</v>
      </c>
      <c r="H1218" s="13" t="s">
        <v>20</v>
      </c>
      <c r="I1218" s="13" t="s">
        <v>346</v>
      </c>
      <c r="J1218" s="13" t="s">
        <v>121</v>
      </c>
      <c r="K1218" s="13" t="s">
        <v>107</v>
      </c>
      <c r="L1218" s="13" t="s">
        <v>1279</v>
      </c>
      <c r="M1218" s="13" t="s">
        <v>100</v>
      </c>
      <c r="N1218" s="27" t="n">
        <v>3077</v>
      </c>
      <c r="O1218" s="28" t="n">
        <v>419403</v>
      </c>
      <c r="P1218" s="27" t="n">
        <v>4519</v>
      </c>
      <c r="Q1218" s="29" t="n">
        <v>0.68</v>
      </c>
      <c r="R1218" s="28" t="n">
        <v>69</v>
      </c>
      <c r="S1218" s="28" t="n">
        <v>199</v>
      </c>
      <c r="T1218" s="28" t="n">
        <v>136.3</v>
      </c>
      <c r="U1218" s="13" t="n">
        <f aca="false">IFERROR(YEAR(A1218),"")</f>
        <v>2020</v>
      </c>
      <c r="V1218" s="28" t="n">
        <f aca="false">IFERROR(O1218*B1218,0)</f>
        <v>419403</v>
      </c>
      <c r="W1218" s="27" t="n">
        <f aca="false">IFERROR(N1218*B1218,0)</f>
        <v>3077</v>
      </c>
      <c r="X1218" s="13" t="n">
        <f aca="false">IF(OR(ISNUMBER(SEARCH("live nation",L1218)),ISNUMBER(SEARCH("ocesa",L1218))),1,0)</f>
        <v>0</v>
      </c>
      <c r="Y1218" s="13" t="s">
        <v>49</v>
      </c>
    </row>
    <row r="1219" customFormat="false" ht="15" hidden="false" customHeight="false" outlineLevel="0" collapsed="false">
      <c r="A1219" s="30" t="n">
        <v>43859</v>
      </c>
      <c r="B1219" s="11" t="n">
        <v>1</v>
      </c>
      <c r="C1219" s="31" t="s">
        <v>66</v>
      </c>
      <c r="D1219" s="31"/>
      <c r="E1219" s="11" t="s">
        <v>1232</v>
      </c>
      <c r="F1219" s="11" t="s">
        <v>139</v>
      </c>
      <c r="G1219" s="11" t="s">
        <v>139</v>
      </c>
      <c r="H1219" s="11" t="s">
        <v>20</v>
      </c>
      <c r="I1219" s="11" t="s">
        <v>139</v>
      </c>
      <c r="J1219" s="11" t="s">
        <v>121</v>
      </c>
      <c r="K1219" s="11" t="s">
        <v>107</v>
      </c>
      <c r="L1219" s="11" t="s">
        <v>1279</v>
      </c>
      <c r="M1219" s="11" t="s">
        <v>100</v>
      </c>
      <c r="N1219" s="32" t="n">
        <v>4004</v>
      </c>
      <c r="O1219" s="33" t="n">
        <v>556734</v>
      </c>
      <c r="P1219" s="32" t="n">
        <v>4825</v>
      </c>
      <c r="Q1219" s="34" t="n">
        <v>0.82</v>
      </c>
      <c r="R1219" s="33" t="n">
        <v>69</v>
      </c>
      <c r="S1219" s="33" t="n">
        <v>199</v>
      </c>
      <c r="T1219" s="33" t="n">
        <v>139.04</v>
      </c>
      <c r="U1219" s="11" t="n">
        <f aca="false">IFERROR(YEAR(A1219),"")</f>
        <v>2020</v>
      </c>
      <c r="V1219" s="33" t="n">
        <f aca="false">IFERROR(O1219*B1219,0)</f>
        <v>556734</v>
      </c>
      <c r="W1219" s="32" t="n">
        <f aca="false">IFERROR(N1219*B1219,0)</f>
        <v>4004</v>
      </c>
      <c r="X1219" s="11" t="n">
        <f aca="false">IF(OR(ISNUMBER(SEARCH("live nation",L1219)),ISNUMBER(SEARCH("ocesa",L1219))),1,0)</f>
        <v>0</v>
      </c>
      <c r="Y1219" s="11" t="s">
        <v>49</v>
      </c>
    </row>
    <row r="1220" customFormat="false" ht="15" hidden="false" customHeight="false" outlineLevel="0" collapsed="false">
      <c r="A1220" s="25" t="n">
        <v>43859</v>
      </c>
      <c r="B1220" s="13" t="n">
        <v>1</v>
      </c>
      <c r="C1220" s="26" t="s">
        <v>748</v>
      </c>
      <c r="D1220" s="26"/>
      <c r="E1220" s="13" t="s">
        <v>1280</v>
      </c>
      <c r="F1220" s="13" t="s">
        <v>1281</v>
      </c>
      <c r="G1220" s="13"/>
      <c r="H1220" s="13" t="s">
        <v>1282</v>
      </c>
      <c r="I1220" s="13"/>
      <c r="J1220" s="13" t="s">
        <v>97</v>
      </c>
      <c r="K1220" s="13" t="s">
        <v>173</v>
      </c>
      <c r="L1220" s="13" t="s">
        <v>1283</v>
      </c>
      <c r="M1220" s="13" t="s">
        <v>251</v>
      </c>
      <c r="N1220" s="27" t="n">
        <v>2504</v>
      </c>
      <c r="O1220" s="28" t="n">
        <v>310983.63</v>
      </c>
      <c r="P1220" s="27" t="n">
        <v>2604</v>
      </c>
      <c r="Q1220" s="29" t="n">
        <v>0.96</v>
      </c>
      <c r="R1220" s="28" t="n">
        <v>84.11</v>
      </c>
      <c r="S1220" s="28" t="n">
        <v>224.29</v>
      </c>
      <c r="T1220" s="28" t="n">
        <v>124.19</v>
      </c>
      <c r="U1220" s="13" t="n">
        <f aca="false">IFERROR(YEAR(A1220),"")</f>
        <v>2020</v>
      </c>
      <c r="V1220" s="28" t="n">
        <f aca="false">IFERROR(O1220*B1220,0)</f>
        <v>310983.63</v>
      </c>
      <c r="W1220" s="27" t="n">
        <f aca="false">IFERROR(N1220*B1220,0)</f>
        <v>2504</v>
      </c>
      <c r="X1220" s="13" t="n">
        <f aca="false">IF(OR(ISNUMBER(SEARCH("live nation",L1220)),ISNUMBER(SEARCH("ocesa",L1220))),1,0)</f>
        <v>0</v>
      </c>
      <c r="Y1220" s="13" t="s">
        <v>49</v>
      </c>
    </row>
    <row r="1221" customFormat="false" ht="15" hidden="false" customHeight="false" outlineLevel="0" collapsed="false">
      <c r="A1221" s="30" t="n">
        <v>43853</v>
      </c>
      <c r="B1221" s="11" t="n">
        <v>1</v>
      </c>
      <c r="C1221" s="31" t="s">
        <v>62</v>
      </c>
      <c r="D1221" s="31"/>
      <c r="E1221" s="11" t="s">
        <v>1284</v>
      </c>
      <c r="F1221" s="11" t="s">
        <v>1285</v>
      </c>
      <c r="G1221" s="11" t="s">
        <v>188</v>
      </c>
      <c r="H1221" s="11" t="s">
        <v>20</v>
      </c>
      <c r="I1221" s="11" t="s">
        <v>307</v>
      </c>
      <c r="J1221" s="11" t="s">
        <v>97</v>
      </c>
      <c r="K1221" s="11" t="s">
        <v>107</v>
      </c>
      <c r="L1221" s="11" t="s">
        <v>1023</v>
      </c>
      <c r="M1221" s="11" t="s">
        <v>100</v>
      </c>
      <c r="N1221" s="32" t="n">
        <v>3878</v>
      </c>
      <c r="O1221" s="33" t="n">
        <v>480169</v>
      </c>
      <c r="P1221" s="32" t="n">
        <v>3878</v>
      </c>
      <c r="Q1221" s="34" t="n">
        <v>1</v>
      </c>
      <c r="R1221" s="33" t="n">
        <v>55</v>
      </c>
      <c r="S1221" s="33" t="n">
        <v>425</v>
      </c>
      <c r="T1221" s="33" t="n">
        <v>123.82</v>
      </c>
      <c r="U1221" s="11" t="n">
        <f aca="false">IFERROR(YEAR(A1221),"")</f>
        <v>2020</v>
      </c>
      <c r="V1221" s="33" t="n">
        <f aca="false">IFERROR(O1221*B1221,0)</f>
        <v>480169</v>
      </c>
      <c r="W1221" s="32" t="n">
        <f aca="false">IFERROR(N1221*B1221,0)</f>
        <v>3878</v>
      </c>
      <c r="X1221" s="11" t="n">
        <f aca="false">IF(OR(ISNUMBER(SEARCH("live nation",L1221)),ISNUMBER(SEARCH("ocesa",L1221))),1,0)</f>
        <v>1</v>
      </c>
      <c r="Y1221" s="11" t="s">
        <v>49</v>
      </c>
    </row>
    <row r="1222" customFormat="false" ht="15" hidden="false" customHeight="false" outlineLevel="0" collapsed="false">
      <c r="A1222" s="25" t="n">
        <v>43852</v>
      </c>
      <c r="B1222" s="13" t="n">
        <v>1</v>
      </c>
      <c r="C1222" s="26" t="s">
        <v>748</v>
      </c>
      <c r="D1222" s="26"/>
      <c r="E1222" s="13" t="s">
        <v>1286</v>
      </c>
      <c r="F1222" s="13" t="s">
        <v>557</v>
      </c>
      <c r="G1222" s="13"/>
      <c r="H1222" s="13" t="s">
        <v>558</v>
      </c>
      <c r="I1222" s="13"/>
      <c r="J1222" s="13" t="s">
        <v>106</v>
      </c>
      <c r="K1222" s="13" t="s">
        <v>173</v>
      </c>
      <c r="L1222" s="13" t="s">
        <v>453</v>
      </c>
      <c r="M1222" s="13" t="s">
        <v>251</v>
      </c>
      <c r="N1222" s="27" t="n">
        <v>735</v>
      </c>
      <c r="O1222" s="28" t="n">
        <v>99285.42</v>
      </c>
      <c r="P1222" s="27" t="n">
        <v>735</v>
      </c>
      <c r="Q1222" s="29" t="n">
        <v>1</v>
      </c>
      <c r="R1222" s="28" t="n">
        <v>95.89</v>
      </c>
      <c r="S1222" s="28" t="n">
        <v>224.29</v>
      </c>
      <c r="T1222" s="28" t="n">
        <v>135.08</v>
      </c>
      <c r="U1222" s="13" t="n">
        <f aca="false">IFERROR(YEAR(A1222),"")</f>
        <v>2020</v>
      </c>
      <c r="V1222" s="28" t="n">
        <f aca="false">IFERROR(O1222*B1222,0)</f>
        <v>99285.42</v>
      </c>
      <c r="W1222" s="27" t="n">
        <f aca="false">IFERROR(N1222*B1222,0)</f>
        <v>735</v>
      </c>
      <c r="X1222" s="13" t="n">
        <f aca="false">IF(OR(ISNUMBER(SEARCH("live nation",L1222)),ISNUMBER(SEARCH("ocesa",L1222))),1,0)</f>
        <v>0</v>
      </c>
      <c r="Y1222" s="13" t="s">
        <v>49</v>
      </c>
    </row>
    <row r="1223" customFormat="false" ht="15" hidden="false" customHeight="false" outlineLevel="0" collapsed="false">
      <c r="A1223" s="30" t="n">
        <v>43849</v>
      </c>
      <c r="B1223" s="11" t="n">
        <v>1</v>
      </c>
      <c r="C1223" s="31" t="s">
        <v>1009</v>
      </c>
      <c r="D1223" s="31"/>
      <c r="E1223" s="11" t="s">
        <v>160</v>
      </c>
      <c r="F1223" s="11" t="s">
        <v>161</v>
      </c>
      <c r="G1223" s="11" t="s">
        <v>162</v>
      </c>
      <c r="H1223" s="11" t="s">
        <v>20</v>
      </c>
      <c r="I1223" s="11" t="s">
        <v>163</v>
      </c>
      <c r="J1223" s="11" t="s">
        <v>121</v>
      </c>
      <c r="K1223" s="11" t="s">
        <v>107</v>
      </c>
      <c r="L1223" s="11" t="s">
        <v>1279</v>
      </c>
      <c r="M1223" s="11" t="s">
        <v>100</v>
      </c>
      <c r="N1223" s="32" t="n">
        <v>1385</v>
      </c>
      <c r="O1223" s="33" t="n">
        <v>163265</v>
      </c>
      <c r="P1223" s="32" t="n">
        <v>1840</v>
      </c>
      <c r="Q1223" s="34" t="n">
        <v>0.75</v>
      </c>
      <c r="R1223" s="33" t="n">
        <v>59</v>
      </c>
      <c r="S1223" s="33" t="n">
        <v>209</v>
      </c>
      <c r="T1223" s="33" t="n">
        <v>117.88</v>
      </c>
      <c r="U1223" s="11" t="n">
        <f aca="false">IFERROR(YEAR(A1223),"")</f>
        <v>2020</v>
      </c>
      <c r="V1223" s="33" t="n">
        <f aca="false">IFERROR(O1223*B1223,0)</f>
        <v>163265</v>
      </c>
      <c r="W1223" s="32" t="n">
        <f aca="false">IFERROR(N1223*B1223,0)</f>
        <v>1385</v>
      </c>
      <c r="X1223" s="11" t="n">
        <f aca="false">IF(OR(ISNUMBER(SEARCH("live nation",L1223)),ISNUMBER(SEARCH("ocesa",L1223))),1,0)</f>
        <v>0</v>
      </c>
      <c r="Y1223" s="11" t="s">
        <v>49</v>
      </c>
    </row>
    <row r="1224" customFormat="false" ht="15" hidden="false" customHeight="false" outlineLevel="0" collapsed="false">
      <c r="A1224" s="25" t="n">
        <v>43848</v>
      </c>
      <c r="B1224" s="13" t="n">
        <v>1</v>
      </c>
      <c r="C1224" s="26" t="s">
        <v>748</v>
      </c>
      <c r="D1224" s="26"/>
      <c r="E1224" s="13" t="s">
        <v>1061</v>
      </c>
      <c r="F1224" s="13" t="s">
        <v>349</v>
      </c>
      <c r="G1224" s="13"/>
      <c r="H1224" s="13" t="s">
        <v>350</v>
      </c>
      <c r="I1224" s="13"/>
      <c r="J1224" s="13" t="s">
        <v>121</v>
      </c>
      <c r="K1224" s="13" t="s">
        <v>173</v>
      </c>
      <c r="L1224" s="13" t="s">
        <v>788</v>
      </c>
      <c r="M1224" s="13" t="s">
        <v>251</v>
      </c>
      <c r="N1224" s="27" t="n">
        <v>2816</v>
      </c>
      <c r="O1224" s="28" t="n">
        <v>324980.7</v>
      </c>
      <c r="P1224" s="27" t="n">
        <v>3446</v>
      </c>
      <c r="Q1224" s="29" t="n">
        <v>0.81</v>
      </c>
      <c r="R1224" s="28" t="n">
        <v>86.24</v>
      </c>
      <c r="S1224" s="28" t="n">
        <v>103.51</v>
      </c>
      <c r="T1224" s="28" t="n">
        <v>115.41</v>
      </c>
      <c r="U1224" s="13" t="n">
        <f aca="false">IFERROR(YEAR(A1224),"")</f>
        <v>2020</v>
      </c>
      <c r="V1224" s="28" t="n">
        <f aca="false">IFERROR(O1224*B1224,0)</f>
        <v>324980.7</v>
      </c>
      <c r="W1224" s="27" t="n">
        <f aca="false">IFERROR(N1224*B1224,0)</f>
        <v>2816</v>
      </c>
      <c r="X1224" s="13" t="n">
        <f aca="false">IF(OR(ISNUMBER(SEARCH("live nation",L1224)),ISNUMBER(SEARCH("ocesa",L1224))),1,0)</f>
        <v>0</v>
      </c>
      <c r="Y1224" s="13" t="s">
        <v>49</v>
      </c>
    </row>
    <row r="1225" customFormat="false" ht="15" hidden="false" customHeight="false" outlineLevel="0" collapsed="false">
      <c r="A1225" s="30" t="n">
        <v>43847</v>
      </c>
      <c r="B1225" s="11" t="n">
        <v>1</v>
      </c>
      <c r="C1225" s="31" t="s">
        <v>62</v>
      </c>
      <c r="D1225" s="31"/>
      <c r="E1225" s="11" t="s">
        <v>926</v>
      </c>
      <c r="F1225" s="11" t="s">
        <v>132</v>
      </c>
      <c r="G1225" s="11"/>
      <c r="H1225" s="11" t="s">
        <v>23</v>
      </c>
      <c r="I1225" s="11"/>
      <c r="J1225" s="11" t="s">
        <v>97</v>
      </c>
      <c r="K1225" s="11" t="s">
        <v>134</v>
      </c>
      <c r="L1225" s="11" t="s">
        <v>1287</v>
      </c>
      <c r="M1225" s="11" t="s">
        <v>100</v>
      </c>
      <c r="N1225" s="32" t="n">
        <v>7233</v>
      </c>
      <c r="O1225" s="33" t="n">
        <v>764533.51</v>
      </c>
      <c r="P1225" s="32" t="n">
        <v>7849</v>
      </c>
      <c r="Q1225" s="34" t="n">
        <v>0.92</v>
      </c>
      <c r="R1225" s="33" t="n">
        <v>31.72</v>
      </c>
      <c r="S1225" s="33" t="n">
        <v>211.48</v>
      </c>
      <c r="T1225" s="33" t="n">
        <v>105.7</v>
      </c>
      <c r="U1225" s="11" t="n">
        <f aca="false">IFERROR(YEAR(A1225),"")</f>
        <v>2020</v>
      </c>
      <c r="V1225" s="33" t="n">
        <f aca="false">IFERROR(O1225*B1225,0)</f>
        <v>764533.51</v>
      </c>
      <c r="W1225" s="32" t="n">
        <f aca="false">IFERROR(N1225*B1225,0)</f>
        <v>7233</v>
      </c>
      <c r="X1225" s="11" t="n">
        <f aca="false">IF(OR(ISNUMBER(SEARCH("live nation",L1225)),ISNUMBER(SEARCH("ocesa",L1225))),1,0)</f>
        <v>1</v>
      </c>
      <c r="Y1225" s="11" t="s">
        <v>49</v>
      </c>
    </row>
    <row r="1226" customFormat="false" ht="15" hidden="false" customHeight="false" outlineLevel="0" collapsed="false">
      <c r="A1226" s="25" t="n">
        <v>43846</v>
      </c>
      <c r="B1226" s="13" t="n">
        <v>1</v>
      </c>
      <c r="C1226" s="26" t="s">
        <v>748</v>
      </c>
      <c r="D1226" s="26"/>
      <c r="E1226" s="13" t="s">
        <v>1288</v>
      </c>
      <c r="F1226" s="13" t="s">
        <v>561</v>
      </c>
      <c r="G1226" s="13"/>
      <c r="H1226" s="13" t="s">
        <v>449</v>
      </c>
      <c r="I1226" s="13"/>
      <c r="J1226" s="13" t="s">
        <v>914</v>
      </c>
      <c r="K1226" s="13" t="s">
        <v>173</v>
      </c>
      <c r="L1226" s="13" t="s">
        <v>453</v>
      </c>
      <c r="M1226" s="13" t="s">
        <v>251</v>
      </c>
      <c r="N1226" s="27" t="n">
        <v>1428</v>
      </c>
      <c r="O1226" s="28" t="n">
        <v>169959.34</v>
      </c>
      <c r="P1226" s="27" t="n">
        <v>2050</v>
      </c>
      <c r="Q1226" s="29" t="n">
        <v>0.69</v>
      </c>
      <c r="R1226" s="28" t="n">
        <v>65.61</v>
      </c>
      <c r="S1226" s="28" t="n">
        <v>224.29</v>
      </c>
      <c r="T1226" s="28" t="n">
        <v>119.02</v>
      </c>
      <c r="U1226" s="13" t="n">
        <f aca="false">IFERROR(YEAR(A1226),"")</f>
        <v>2020</v>
      </c>
      <c r="V1226" s="28" t="n">
        <f aca="false">IFERROR(O1226*B1226,0)</f>
        <v>169959.34</v>
      </c>
      <c r="W1226" s="27" t="n">
        <f aca="false">IFERROR(N1226*B1226,0)</f>
        <v>1428</v>
      </c>
      <c r="X1226" s="13" t="n">
        <f aca="false">IF(OR(ISNUMBER(SEARCH("live nation",L1226)),ISNUMBER(SEARCH("ocesa",L1226))),1,0)</f>
        <v>0</v>
      </c>
      <c r="Y1226" s="13" t="s">
        <v>49</v>
      </c>
    </row>
    <row r="1227" customFormat="false" ht="15" hidden="false" customHeight="false" outlineLevel="0" collapsed="false">
      <c r="A1227" s="30" t="n">
        <v>43845</v>
      </c>
      <c r="B1227" s="11" t="n">
        <v>1</v>
      </c>
      <c r="C1227" s="31" t="s">
        <v>62</v>
      </c>
      <c r="D1227" s="31"/>
      <c r="E1227" s="11" t="s">
        <v>1087</v>
      </c>
      <c r="F1227" s="11" t="s">
        <v>834</v>
      </c>
      <c r="G1227" s="11" t="s">
        <v>143</v>
      </c>
      <c r="H1227" s="11" t="s">
        <v>20</v>
      </c>
      <c r="I1227" s="11" t="s">
        <v>586</v>
      </c>
      <c r="J1227" s="11" t="s">
        <v>121</v>
      </c>
      <c r="K1227" s="11" t="s">
        <v>107</v>
      </c>
      <c r="L1227" s="11" t="s">
        <v>122</v>
      </c>
      <c r="M1227" s="11" t="s">
        <v>100</v>
      </c>
      <c r="N1227" s="32" t="n">
        <v>4793</v>
      </c>
      <c r="O1227" s="33" t="n">
        <v>511095</v>
      </c>
      <c r="P1227" s="32" t="n">
        <v>6517</v>
      </c>
      <c r="Q1227" s="34" t="n">
        <v>0.73</v>
      </c>
      <c r="R1227" s="33" t="n">
        <v>55</v>
      </c>
      <c r="S1227" s="33" t="n">
        <v>175</v>
      </c>
      <c r="T1227" s="33" t="n">
        <v>106.63</v>
      </c>
      <c r="U1227" s="11" t="n">
        <f aca="false">IFERROR(YEAR(A1227),"")</f>
        <v>2020</v>
      </c>
      <c r="V1227" s="33" t="n">
        <f aca="false">IFERROR(O1227*B1227,0)</f>
        <v>511095</v>
      </c>
      <c r="W1227" s="32" t="n">
        <f aca="false">IFERROR(N1227*B1227,0)</f>
        <v>4793</v>
      </c>
      <c r="X1227" s="11" t="n">
        <f aca="false">IF(OR(ISNUMBER(SEARCH("live nation",L1227)),ISNUMBER(SEARCH("ocesa",L1227))),1,0)</f>
        <v>0</v>
      </c>
      <c r="Y1227" s="11" t="s">
        <v>49</v>
      </c>
    </row>
    <row r="1228" customFormat="false" ht="15" hidden="false" customHeight="false" outlineLevel="0" collapsed="false">
      <c r="A1228" s="25" t="n">
        <v>43840</v>
      </c>
      <c r="B1228" s="13" t="n">
        <v>1</v>
      </c>
      <c r="C1228" s="26" t="s">
        <v>62</v>
      </c>
      <c r="D1228" s="26"/>
      <c r="E1228" s="13" t="s">
        <v>506</v>
      </c>
      <c r="F1228" s="13" t="s">
        <v>507</v>
      </c>
      <c r="G1228" s="13" t="s">
        <v>221</v>
      </c>
      <c r="H1228" s="13" t="s">
        <v>20</v>
      </c>
      <c r="I1228" s="13" t="s">
        <v>139</v>
      </c>
      <c r="J1228" s="13" t="s">
        <v>97</v>
      </c>
      <c r="K1228" s="13" t="s">
        <v>107</v>
      </c>
      <c r="L1228" s="13" t="s">
        <v>1023</v>
      </c>
      <c r="M1228" s="13" t="s">
        <v>100</v>
      </c>
      <c r="N1228" s="27" t="n">
        <v>7636</v>
      </c>
      <c r="O1228" s="28" t="n">
        <v>888980</v>
      </c>
      <c r="P1228" s="27" t="n">
        <v>7930</v>
      </c>
      <c r="Q1228" s="29" t="n">
        <v>0.96</v>
      </c>
      <c r="R1228" s="28" t="n">
        <v>116</v>
      </c>
      <c r="S1228" s="28" t="n">
        <v>0</v>
      </c>
      <c r="T1228" s="28" t="n">
        <v>116.42</v>
      </c>
      <c r="U1228" s="13" t="n">
        <f aca="false">IFERROR(YEAR(A1228),"")</f>
        <v>2020</v>
      </c>
      <c r="V1228" s="28" t="n">
        <f aca="false">IFERROR(O1228*B1228,0)</f>
        <v>888980</v>
      </c>
      <c r="W1228" s="27" t="n">
        <f aca="false">IFERROR(N1228*B1228,0)</f>
        <v>7636</v>
      </c>
      <c r="X1228" s="13" t="n">
        <f aca="false">IF(OR(ISNUMBER(SEARCH("live nation",L1228)),ISNUMBER(SEARCH("ocesa",L1228))),1,0)</f>
        <v>1</v>
      </c>
      <c r="Y1228" s="13" t="s">
        <v>49</v>
      </c>
    </row>
    <row r="1229" customFormat="false" ht="15" hidden="false" customHeight="false" outlineLevel="0" collapsed="false">
      <c r="A1229" s="30" t="n">
        <v>43819</v>
      </c>
      <c r="B1229" s="11" t="n">
        <v>1</v>
      </c>
      <c r="C1229" s="31" t="s">
        <v>518</v>
      </c>
      <c r="D1229" s="31"/>
      <c r="E1229" s="11" t="s">
        <v>1068</v>
      </c>
      <c r="F1229" s="11" t="s">
        <v>561</v>
      </c>
      <c r="G1229" s="11"/>
      <c r="H1229" s="11" t="s">
        <v>449</v>
      </c>
      <c r="I1229" s="11"/>
      <c r="J1229" s="11" t="s">
        <v>106</v>
      </c>
      <c r="K1229" s="11" t="s">
        <v>173</v>
      </c>
      <c r="L1229" s="11" t="s">
        <v>453</v>
      </c>
      <c r="M1229" s="11" t="s">
        <v>100</v>
      </c>
      <c r="N1229" s="32" t="n">
        <v>665</v>
      </c>
      <c r="O1229" s="33" t="n">
        <v>70420.24</v>
      </c>
      <c r="P1229" s="32" t="n">
        <v>1380</v>
      </c>
      <c r="Q1229" s="34" t="n">
        <v>0.48</v>
      </c>
      <c r="R1229" s="33" t="n">
        <v>49.57</v>
      </c>
      <c r="S1229" s="33" t="n">
        <v>176.25</v>
      </c>
      <c r="T1229" s="33" t="n">
        <v>105.9</v>
      </c>
      <c r="U1229" s="11" t="n">
        <f aca="false">IFERROR(YEAR(A1229),"")</f>
        <v>2019</v>
      </c>
      <c r="V1229" s="33" t="n">
        <f aca="false">IFERROR(O1229*B1229,0)</f>
        <v>70420.24</v>
      </c>
      <c r="W1229" s="32" t="n">
        <f aca="false">IFERROR(N1229*B1229,0)</f>
        <v>665</v>
      </c>
      <c r="X1229" s="11" t="n">
        <f aca="false">IF(OR(ISNUMBER(SEARCH("live nation",L1229)),ISNUMBER(SEARCH("ocesa",L1229))),1,0)</f>
        <v>0</v>
      </c>
      <c r="Y1229" s="11" t="s">
        <v>49</v>
      </c>
    </row>
    <row r="1230" customFormat="false" ht="15" hidden="false" customHeight="false" outlineLevel="0" collapsed="false">
      <c r="A1230" s="25" t="n">
        <v>43798</v>
      </c>
      <c r="B1230" s="13" t="n">
        <v>2</v>
      </c>
      <c r="C1230" s="26" t="s">
        <v>875</v>
      </c>
      <c r="D1230" s="26"/>
      <c r="E1230" s="13" t="s">
        <v>651</v>
      </c>
      <c r="F1230" s="13" t="s">
        <v>652</v>
      </c>
      <c r="G1230" s="13" t="s">
        <v>653</v>
      </c>
      <c r="H1230" s="13" t="s">
        <v>20</v>
      </c>
      <c r="I1230" s="13" t="s">
        <v>654</v>
      </c>
      <c r="J1230" s="13" t="s">
        <v>97</v>
      </c>
      <c r="K1230" s="13" t="s">
        <v>107</v>
      </c>
      <c r="L1230" s="13" t="s">
        <v>322</v>
      </c>
      <c r="M1230" s="13" t="s">
        <v>100</v>
      </c>
      <c r="N1230" s="27" t="n">
        <v>4208</v>
      </c>
      <c r="O1230" s="28" t="n">
        <v>591709</v>
      </c>
      <c r="P1230" s="27" t="n">
        <v>4539</v>
      </c>
      <c r="Q1230" s="29" t="n">
        <v>0.92</v>
      </c>
      <c r="R1230" s="28" t="n">
        <v>98</v>
      </c>
      <c r="S1230" s="28" t="n">
        <v>238</v>
      </c>
      <c r="T1230" s="28" t="n">
        <v>140.62</v>
      </c>
      <c r="U1230" s="13" t="n">
        <f aca="false">IFERROR(YEAR(A1230),"")</f>
        <v>2019</v>
      </c>
      <c r="V1230" s="28" t="n">
        <f aca="false">IFERROR(O1230*B1230,0)</f>
        <v>1183418</v>
      </c>
      <c r="W1230" s="27" t="n">
        <f aca="false">IFERROR(N1230*B1230,0)</f>
        <v>8416</v>
      </c>
      <c r="X1230" s="13" t="n">
        <f aca="false">IF(OR(ISNUMBER(SEARCH("live nation",L1230)),ISNUMBER(SEARCH("ocesa",L1230))),1,0)</f>
        <v>0</v>
      </c>
      <c r="Y1230" s="13" t="s">
        <v>49</v>
      </c>
    </row>
    <row r="1231" customFormat="false" ht="15" hidden="false" customHeight="false" outlineLevel="0" collapsed="false">
      <c r="A1231" s="30" t="n">
        <v>43786</v>
      </c>
      <c r="B1231" s="11" t="n">
        <v>1</v>
      </c>
      <c r="C1231" s="31" t="s">
        <v>587</v>
      </c>
      <c r="D1231" s="31"/>
      <c r="E1231" s="11" t="s">
        <v>1024</v>
      </c>
      <c r="F1231" s="11" t="s">
        <v>557</v>
      </c>
      <c r="G1231" s="11"/>
      <c r="H1231" s="11" t="s">
        <v>558</v>
      </c>
      <c r="I1231" s="11"/>
      <c r="J1231" s="11" t="s">
        <v>121</v>
      </c>
      <c r="K1231" s="11" t="s">
        <v>173</v>
      </c>
      <c r="L1231" s="11" t="s">
        <v>453</v>
      </c>
      <c r="M1231" s="11" t="s">
        <v>100</v>
      </c>
      <c r="N1231" s="32" t="n">
        <v>1078</v>
      </c>
      <c r="O1231" s="33" t="n">
        <v>71122.85</v>
      </c>
      <c r="P1231" s="32" t="n">
        <v>1198</v>
      </c>
      <c r="Q1231" s="34" t="n">
        <v>0.89</v>
      </c>
      <c r="R1231" s="33" t="n">
        <v>45.18</v>
      </c>
      <c r="S1231" s="33" t="n">
        <v>133.87</v>
      </c>
      <c r="T1231" s="33" t="n">
        <v>65.98</v>
      </c>
      <c r="U1231" s="11" t="n">
        <f aca="false">IFERROR(YEAR(A1231),"")</f>
        <v>2019</v>
      </c>
      <c r="V1231" s="33" t="n">
        <f aca="false">IFERROR(O1231*B1231,0)</f>
        <v>71122.85</v>
      </c>
      <c r="W1231" s="32" t="n">
        <f aca="false">IFERROR(N1231*B1231,0)</f>
        <v>1078</v>
      </c>
      <c r="X1231" s="11" t="n">
        <f aca="false">IF(OR(ISNUMBER(SEARCH("live nation",L1231)),ISNUMBER(SEARCH("ocesa",L1231))),1,0)</f>
        <v>0</v>
      </c>
      <c r="Y1231" s="11" t="s">
        <v>49</v>
      </c>
    </row>
    <row r="1232" customFormat="false" ht="15" hidden="false" customHeight="false" outlineLevel="0" collapsed="false">
      <c r="A1232" s="25" t="n">
        <v>43783</v>
      </c>
      <c r="B1232" s="13" t="n">
        <v>1</v>
      </c>
      <c r="C1232" s="26" t="s">
        <v>587</v>
      </c>
      <c r="D1232" s="26"/>
      <c r="E1232" s="13" t="s">
        <v>1068</v>
      </c>
      <c r="F1232" s="13" t="s">
        <v>561</v>
      </c>
      <c r="G1232" s="13"/>
      <c r="H1232" s="13" t="s">
        <v>449</v>
      </c>
      <c r="I1232" s="13"/>
      <c r="J1232" s="13" t="s">
        <v>106</v>
      </c>
      <c r="K1232" s="13" t="s">
        <v>173</v>
      </c>
      <c r="L1232" s="13" t="s">
        <v>453</v>
      </c>
      <c r="M1232" s="13" t="s">
        <v>100</v>
      </c>
      <c r="N1232" s="27" t="n">
        <v>1317</v>
      </c>
      <c r="O1232" s="28" t="n">
        <v>87675</v>
      </c>
      <c r="P1232" s="27" t="n">
        <v>1380</v>
      </c>
      <c r="Q1232" s="29" t="n">
        <v>0.95</v>
      </c>
      <c r="R1232" s="28" t="n">
        <v>50.2</v>
      </c>
      <c r="S1232" s="28" t="n">
        <v>133.87</v>
      </c>
      <c r="T1232" s="28" t="n">
        <v>66.57</v>
      </c>
      <c r="U1232" s="13" t="n">
        <f aca="false">IFERROR(YEAR(A1232),"")</f>
        <v>2019</v>
      </c>
      <c r="V1232" s="28" t="n">
        <f aca="false">IFERROR(O1232*B1232,0)</f>
        <v>87675</v>
      </c>
      <c r="W1232" s="27" t="n">
        <f aca="false">IFERROR(N1232*B1232,0)</f>
        <v>1317</v>
      </c>
      <c r="X1232" s="13" t="n">
        <f aca="false">IF(OR(ISNUMBER(SEARCH("live nation",L1232)),ISNUMBER(SEARCH("ocesa",L1232))),1,0)</f>
        <v>0</v>
      </c>
      <c r="Y1232" s="13" t="s">
        <v>49</v>
      </c>
    </row>
    <row r="1233" customFormat="false" ht="15" hidden="false" customHeight="false" outlineLevel="0" collapsed="false">
      <c r="A1233" s="30" t="n">
        <v>43764</v>
      </c>
      <c r="B1233" s="11" t="n">
        <v>3</v>
      </c>
      <c r="C1233" s="31" t="s">
        <v>60</v>
      </c>
      <c r="D1233" s="31"/>
      <c r="E1233" s="11" t="s">
        <v>696</v>
      </c>
      <c r="F1233" s="11" t="s">
        <v>147</v>
      </c>
      <c r="G1233" s="11"/>
      <c r="H1233" s="11" t="s">
        <v>24</v>
      </c>
      <c r="I1233" s="11"/>
      <c r="J1233" s="11" t="s">
        <v>133</v>
      </c>
      <c r="K1233" s="11" t="s">
        <v>148</v>
      </c>
      <c r="L1233" s="11" t="s">
        <v>1289</v>
      </c>
      <c r="M1233" s="11" t="s">
        <v>100</v>
      </c>
      <c r="N1233" s="32" t="n">
        <v>43089</v>
      </c>
      <c r="O1233" s="33" t="n">
        <v>4036341.67</v>
      </c>
      <c r="P1233" s="32" t="n">
        <v>43000</v>
      </c>
      <c r="Q1233" s="34" t="n">
        <v>1</v>
      </c>
      <c r="R1233" s="33" t="n">
        <v>91.3</v>
      </c>
      <c r="S1233" s="33" t="n">
        <v>0</v>
      </c>
      <c r="T1233" s="33" t="n">
        <v>93.67</v>
      </c>
      <c r="U1233" s="11" t="n">
        <f aca="false">IFERROR(YEAR(A1233),"")</f>
        <v>2019</v>
      </c>
      <c r="V1233" s="33" t="n">
        <f aca="false">IFERROR(O1233*B1233,0)</f>
        <v>12109025.01</v>
      </c>
      <c r="W1233" s="32" t="n">
        <f aca="false">IFERROR(N1233*B1233,0)</f>
        <v>129267</v>
      </c>
      <c r="X1233" s="11" t="n">
        <f aca="false">IF(OR(ISNUMBER(SEARCH("live nation",L1233)),ISNUMBER(SEARCH("ocesa",L1233))),1,0)</f>
        <v>0</v>
      </c>
      <c r="Y1233" s="11" t="s">
        <v>50</v>
      </c>
    </row>
    <row r="1234" customFormat="false" ht="15" hidden="false" customHeight="false" outlineLevel="0" collapsed="false">
      <c r="A1234" s="25" t="n">
        <v>43754</v>
      </c>
      <c r="B1234" s="13" t="n">
        <v>1</v>
      </c>
      <c r="C1234" s="26" t="s">
        <v>272</v>
      </c>
      <c r="D1234" s="26" t="s">
        <v>1290</v>
      </c>
      <c r="E1234" s="13" t="s">
        <v>503</v>
      </c>
      <c r="F1234" s="13" t="s">
        <v>306</v>
      </c>
      <c r="G1234" s="13" t="s">
        <v>188</v>
      </c>
      <c r="H1234" s="13" t="s">
        <v>20</v>
      </c>
      <c r="I1234" s="13" t="s">
        <v>307</v>
      </c>
      <c r="J1234" s="13" t="s">
        <v>121</v>
      </c>
      <c r="K1234" s="13" t="s">
        <v>107</v>
      </c>
      <c r="L1234" s="13" t="s">
        <v>531</v>
      </c>
      <c r="M1234" s="13" t="s">
        <v>277</v>
      </c>
      <c r="N1234" s="27" t="n">
        <v>2762</v>
      </c>
      <c r="O1234" s="28" t="n">
        <v>176789.25</v>
      </c>
      <c r="P1234" s="27" t="n">
        <v>2839</v>
      </c>
      <c r="Q1234" s="29" t="n">
        <v>0.97</v>
      </c>
      <c r="R1234" s="28" t="n">
        <v>55</v>
      </c>
      <c r="S1234" s="28" t="n">
        <v>317.25</v>
      </c>
      <c r="T1234" s="28" t="n">
        <v>64.01</v>
      </c>
      <c r="U1234" s="13" t="n">
        <f aca="false">IFERROR(YEAR(A1234),"")</f>
        <v>2019</v>
      </c>
      <c r="V1234" s="28" t="n">
        <f aca="false">IFERROR(O1234*B1234,0)</f>
        <v>176789.25</v>
      </c>
      <c r="W1234" s="27" t="n">
        <f aca="false">IFERROR(N1234*B1234,0)</f>
        <v>2762</v>
      </c>
      <c r="X1234" s="13" t="n">
        <f aca="false">IF(OR(ISNUMBER(SEARCH("live nation",L1234)),ISNUMBER(SEARCH("ocesa",L1234))),1,0)</f>
        <v>0</v>
      </c>
      <c r="Y1234" s="13" t="s">
        <v>49</v>
      </c>
    </row>
    <row r="1235" customFormat="false" ht="15" hidden="false" customHeight="false" outlineLevel="0" collapsed="false">
      <c r="A1235" s="30" t="n">
        <v>43754</v>
      </c>
      <c r="B1235" s="11" t="n">
        <v>1</v>
      </c>
      <c r="C1235" s="31" t="s">
        <v>1291</v>
      </c>
      <c r="D1235" s="31"/>
      <c r="E1235" s="11" t="s">
        <v>1206</v>
      </c>
      <c r="F1235" s="11" t="s">
        <v>609</v>
      </c>
      <c r="G1235" s="11"/>
      <c r="H1235" s="11" t="s">
        <v>610</v>
      </c>
      <c r="I1235" s="11"/>
      <c r="J1235" s="11" t="s">
        <v>97</v>
      </c>
      <c r="K1235" s="11" t="s">
        <v>173</v>
      </c>
      <c r="L1235" s="11" t="s">
        <v>177</v>
      </c>
      <c r="M1235" s="11" t="s">
        <v>251</v>
      </c>
      <c r="N1235" s="32" t="n">
        <v>3535</v>
      </c>
      <c r="O1235" s="33" t="n">
        <v>437407.41</v>
      </c>
      <c r="P1235" s="32" t="n">
        <v>5771</v>
      </c>
      <c r="Q1235" s="34" t="n">
        <v>0.61</v>
      </c>
      <c r="R1235" s="33" t="n">
        <v>73.36</v>
      </c>
      <c r="S1235" s="33" t="n">
        <v>174.11</v>
      </c>
      <c r="T1235" s="33" t="n">
        <v>123.74</v>
      </c>
      <c r="U1235" s="11" t="n">
        <f aca="false">IFERROR(YEAR(A1235),"")</f>
        <v>2019</v>
      </c>
      <c r="V1235" s="33" t="n">
        <f aca="false">IFERROR(O1235*B1235,0)</f>
        <v>437407.41</v>
      </c>
      <c r="W1235" s="32" t="n">
        <f aca="false">IFERROR(N1235*B1235,0)</f>
        <v>3535</v>
      </c>
      <c r="X1235" s="11" t="n">
        <f aca="false">IF(OR(ISNUMBER(SEARCH("live nation",L1235)),ISNUMBER(SEARCH("ocesa",L1235))),1,0)</f>
        <v>1</v>
      </c>
      <c r="Y1235" s="11" t="s">
        <v>49</v>
      </c>
    </row>
    <row r="1236" customFormat="false" ht="15" hidden="false" customHeight="false" outlineLevel="0" collapsed="false">
      <c r="A1236" s="25" t="n">
        <v>43753</v>
      </c>
      <c r="B1236" s="13" t="n">
        <v>1</v>
      </c>
      <c r="C1236" s="26" t="s">
        <v>272</v>
      </c>
      <c r="D1236" s="26"/>
      <c r="E1236" s="13" t="s">
        <v>1292</v>
      </c>
      <c r="F1236" s="13" t="s">
        <v>1002</v>
      </c>
      <c r="G1236" s="13" t="s">
        <v>1003</v>
      </c>
      <c r="H1236" s="13" t="s">
        <v>20</v>
      </c>
      <c r="I1236" s="13" t="s">
        <v>1004</v>
      </c>
      <c r="J1236" s="13" t="s">
        <v>106</v>
      </c>
      <c r="K1236" s="13" t="s">
        <v>107</v>
      </c>
      <c r="L1236" s="13" t="s">
        <v>1293</v>
      </c>
      <c r="M1236" s="13" t="s">
        <v>277</v>
      </c>
      <c r="N1236" s="27" t="n">
        <v>1360</v>
      </c>
      <c r="O1236" s="28" t="n">
        <v>60088</v>
      </c>
      <c r="P1236" s="27" t="n">
        <v>1360</v>
      </c>
      <c r="Q1236" s="29" t="n">
        <v>1</v>
      </c>
      <c r="R1236" s="28" t="n">
        <v>42</v>
      </c>
      <c r="S1236" s="28" t="n">
        <v>56</v>
      </c>
      <c r="T1236" s="28" t="n">
        <v>44.18</v>
      </c>
      <c r="U1236" s="13" t="n">
        <f aca="false">IFERROR(YEAR(A1236),"")</f>
        <v>2019</v>
      </c>
      <c r="V1236" s="28" t="n">
        <f aca="false">IFERROR(O1236*B1236,0)</f>
        <v>60088</v>
      </c>
      <c r="W1236" s="27" t="n">
        <f aca="false">IFERROR(N1236*B1236,0)</f>
        <v>1360</v>
      </c>
      <c r="X1236" s="13" t="n">
        <f aca="false">IF(OR(ISNUMBER(SEARCH("live nation",L1236)),ISNUMBER(SEARCH("ocesa",L1236))),1,0)</f>
        <v>0</v>
      </c>
      <c r="Y1236" s="13" t="s">
        <v>49</v>
      </c>
    </row>
    <row r="1237" customFormat="false" ht="15" hidden="false" customHeight="false" outlineLevel="0" collapsed="false">
      <c r="A1237" s="30" t="n">
        <v>43749</v>
      </c>
      <c r="B1237" s="11" t="n">
        <v>1</v>
      </c>
      <c r="C1237" s="31" t="s">
        <v>272</v>
      </c>
      <c r="D1237" s="31" t="s">
        <v>1294</v>
      </c>
      <c r="E1237" s="11" t="s">
        <v>1269</v>
      </c>
      <c r="F1237" s="11" t="s">
        <v>201</v>
      </c>
      <c r="G1237" s="11" t="s">
        <v>202</v>
      </c>
      <c r="H1237" s="11" t="s">
        <v>20</v>
      </c>
      <c r="I1237" s="11" t="s">
        <v>203</v>
      </c>
      <c r="J1237" s="11" t="s">
        <v>97</v>
      </c>
      <c r="K1237" s="11" t="s">
        <v>107</v>
      </c>
      <c r="L1237" s="11" t="s">
        <v>177</v>
      </c>
      <c r="M1237" s="11" t="s">
        <v>277</v>
      </c>
      <c r="N1237" s="32" t="n">
        <v>5817</v>
      </c>
      <c r="O1237" s="33" t="n">
        <v>419955</v>
      </c>
      <c r="P1237" s="32" t="n">
        <v>5817</v>
      </c>
      <c r="Q1237" s="34" t="n">
        <v>1</v>
      </c>
      <c r="R1237" s="33" t="n">
        <v>59.5</v>
      </c>
      <c r="S1237" s="33" t="n">
        <v>89.5</v>
      </c>
      <c r="T1237" s="33" t="n">
        <v>72.19</v>
      </c>
      <c r="U1237" s="11" t="n">
        <f aca="false">IFERROR(YEAR(A1237),"")</f>
        <v>2019</v>
      </c>
      <c r="V1237" s="33" t="n">
        <f aca="false">IFERROR(O1237*B1237,0)</f>
        <v>419955</v>
      </c>
      <c r="W1237" s="32" t="n">
        <f aca="false">IFERROR(N1237*B1237,0)</f>
        <v>5817</v>
      </c>
      <c r="X1237" s="11" t="n">
        <f aca="false">IF(OR(ISNUMBER(SEARCH("live nation",L1237)),ISNUMBER(SEARCH("ocesa",L1237))),1,0)</f>
        <v>1</v>
      </c>
      <c r="Y1237" s="11" t="s">
        <v>49</v>
      </c>
    </row>
    <row r="1238" customFormat="false" ht="15" hidden="false" customHeight="false" outlineLevel="0" collapsed="false">
      <c r="A1238" s="25" t="n">
        <v>43749</v>
      </c>
      <c r="B1238" s="13" t="n">
        <v>1</v>
      </c>
      <c r="C1238" s="26" t="s">
        <v>60</v>
      </c>
      <c r="D1238" s="26"/>
      <c r="E1238" s="13" t="s">
        <v>1295</v>
      </c>
      <c r="F1238" s="13" t="s">
        <v>1296</v>
      </c>
      <c r="G1238" s="13"/>
      <c r="H1238" s="13" t="s">
        <v>1297</v>
      </c>
      <c r="I1238" s="13"/>
      <c r="J1238" s="13" t="s">
        <v>738</v>
      </c>
      <c r="K1238" s="13" t="s">
        <v>1298</v>
      </c>
      <c r="L1238" s="13" t="s">
        <v>177</v>
      </c>
      <c r="M1238" s="13" t="s">
        <v>100</v>
      </c>
      <c r="N1238" s="27" t="n">
        <v>31899</v>
      </c>
      <c r="O1238" s="28" t="n">
        <v>4381559.87</v>
      </c>
      <c r="P1238" s="27" t="n">
        <v>37141</v>
      </c>
      <c r="Q1238" s="29" t="n">
        <v>0.85</v>
      </c>
      <c r="R1238" s="28" t="n">
        <v>53.27</v>
      </c>
      <c r="S1238" s="28" t="n">
        <v>319.61</v>
      </c>
      <c r="T1238" s="28" t="n">
        <v>137.36</v>
      </c>
      <c r="U1238" s="13" t="n">
        <f aca="false">IFERROR(YEAR(A1238),"")</f>
        <v>2019</v>
      </c>
      <c r="V1238" s="28" t="n">
        <f aca="false">IFERROR(O1238*B1238,0)</f>
        <v>4381559.87</v>
      </c>
      <c r="W1238" s="27" t="n">
        <f aca="false">IFERROR(N1238*B1238,0)</f>
        <v>31899</v>
      </c>
      <c r="X1238" s="13" t="n">
        <f aca="false">IF(OR(ISNUMBER(SEARCH("live nation",L1238)),ISNUMBER(SEARCH("ocesa",L1238))),1,0)</f>
        <v>1</v>
      </c>
      <c r="Y1238" s="13" t="s">
        <v>50</v>
      </c>
    </row>
    <row r="1239" customFormat="false" ht="15" hidden="false" customHeight="false" outlineLevel="0" collapsed="false">
      <c r="A1239" s="30" t="n">
        <v>43743</v>
      </c>
      <c r="B1239" s="11" t="n">
        <v>1</v>
      </c>
      <c r="C1239" s="31" t="s">
        <v>1299</v>
      </c>
      <c r="D1239" s="31" t="s">
        <v>1300</v>
      </c>
      <c r="E1239" s="11" t="s">
        <v>734</v>
      </c>
      <c r="F1239" s="11" t="s">
        <v>557</v>
      </c>
      <c r="G1239" s="11"/>
      <c r="H1239" s="11" t="s">
        <v>558</v>
      </c>
      <c r="I1239" s="11"/>
      <c r="J1239" s="11" t="s">
        <v>97</v>
      </c>
      <c r="K1239" s="11" t="s">
        <v>173</v>
      </c>
      <c r="L1239" s="11" t="s">
        <v>122</v>
      </c>
      <c r="M1239" s="11" t="s">
        <v>100</v>
      </c>
      <c r="N1239" s="32" t="n">
        <v>3459</v>
      </c>
      <c r="O1239" s="33" t="n">
        <v>57103.17</v>
      </c>
      <c r="P1239" s="32" t="n">
        <v>3500</v>
      </c>
      <c r="Q1239" s="34" t="n">
        <v>0.98</v>
      </c>
      <c r="R1239" s="33" t="n">
        <v>21.83</v>
      </c>
      <c r="S1239" s="33" t="n">
        <v>0</v>
      </c>
      <c r="T1239" s="33" t="n">
        <v>16.51</v>
      </c>
      <c r="U1239" s="11" t="n">
        <f aca="false">IFERROR(YEAR(A1239),"")</f>
        <v>2019</v>
      </c>
      <c r="V1239" s="33" t="n">
        <f aca="false">IFERROR(O1239*B1239,0)</f>
        <v>57103.17</v>
      </c>
      <c r="W1239" s="32" t="n">
        <f aca="false">IFERROR(N1239*B1239,0)</f>
        <v>3459</v>
      </c>
      <c r="X1239" s="11" t="n">
        <f aca="false">IF(OR(ISNUMBER(SEARCH("live nation",L1239)),ISNUMBER(SEARCH("ocesa",L1239))),1,0)</f>
        <v>0</v>
      </c>
      <c r="Y1239" s="11" t="s">
        <v>49</v>
      </c>
    </row>
    <row r="1240" customFormat="false" ht="15" hidden="false" customHeight="false" outlineLevel="0" collapsed="false">
      <c r="A1240" s="25" t="n">
        <v>43739</v>
      </c>
      <c r="B1240" s="13" t="n">
        <v>1</v>
      </c>
      <c r="C1240" s="26" t="s">
        <v>272</v>
      </c>
      <c r="D1240" s="26" t="s">
        <v>1301</v>
      </c>
      <c r="E1240" s="13" t="s">
        <v>841</v>
      </c>
      <c r="F1240" s="13" t="s">
        <v>842</v>
      </c>
      <c r="G1240" s="13" t="s">
        <v>119</v>
      </c>
      <c r="H1240" s="13" t="s">
        <v>20</v>
      </c>
      <c r="I1240" s="13" t="s">
        <v>120</v>
      </c>
      <c r="J1240" s="13" t="s">
        <v>106</v>
      </c>
      <c r="K1240" s="13" t="s">
        <v>107</v>
      </c>
      <c r="L1240" s="13" t="s">
        <v>1302</v>
      </c>
      <c r="M1240" s="13" t="s">
        <v>277</v>
      </c>
      <c r="N1240" s="27" t="n">
        <v>1582</v>
      </c>
      <c r="O1240" s="28" t="n">
        <v>78955.5</v>
      </c>
      <c r="P1240" s="27" t="n">
        <v>1750</v>
      </c>
      <c r="Q1240" s="29" t="n">
        <v>0.9</v>
      </c>
      <c r="R1240" s="28" t="n">
        <v>39</v>
      </c>
      <c r="S1240" s="28" t="n">
        <v>89</v>
      </c>
      <c r="T1240" s="28" t="n">
        <v>49.91</v>
      </c>
      <c r="U1240" s="13" t="n">
        <f aca="false">IFERROR(YEAR(A1240),"")</f>
        <v>2019</v>
      </c>
      <c r="V1240" s="28" t="n">
        <f aca="false">IFERROR(O1240*B1240,0)</f>
        <v>78955.5</v>
      </c>
      <c r="W1240" s="27" t="n">
        <f aca="false">IFERROR(N1240*B1240,0)</f>
        <v>1582</v>
      </c>
      <c r="X1240" s="13" t="n">
        <f aca="false">IF(OR(ISNUMBER(SEARCH("live nation",L1240)),ISNUMBER(SEARCH("ocesa",L1240))),1,0)</f>
        <v>0</v>
      </c>
      <c r="Y1240" s="13" t="s">
        <v>49</v>
      </c>
    </row>
    <row r="1241" customFormat="false" ht="15" hidden="false" customHeight="false" outlineLevel="0" collapsed="false">
      <c r="A1241" s="30" t="n">
        <v>43736</v>
      </c>
      <c r="B1241" s="11" t="n">
        <v>1</v>
      </c>
      <c r="C1241" s="31" t="s">
        <v>1303</v>
      </c>
      <c r="D1241" s="31" t="s">
        <v>1304</v>
      </c>
      <c r="E1241" s="11" t="s">
        <v>1305</v>
      </c>
      <c r="F1241" s="11" t="s">
        <v>1306</v>
      </c>
      <c r="G1241" s="11"/>
      <c r="H1241" s="11" t="s">
        <v>350</v>
      </c>
      <c r="I1241" s="11"/>
      <c r="J1241" s="11" t="s">
        <v>97</v>
      </c>
      <c r="K1241" s="11" t="s">
        <v>173</v>
      </c>
      <c r="L1241" s="11" t="s">
        <v>351</v>
      </c>
      <c r="M1241" s="11" t="s">
        <v>100</v>
      </c>
      <c r="N1241" s="32" t="n">
        <v>3829</v>
      </c>
      <c r="O1241" s="33" t="n">
        <v>381070.92</v>
      </c>
      <c r="P1241" s="32" t="n">
        <v>5890</v>
      </c>
      <c r="Q1241" s="34" t="n">
        <v>0.65</v>
      </c>
      <c r="R1241" s="33" t="n">
        <v>76.99</v>
      </c>
      <c r="S1241" s="33" t="n">
        <v>174.53</v>
      </c>
      <c r="T1241" s="33" t="n">
        <v>99.52</v>
      </c>
      <c r="U1241" s="11" t="n">
        <f aca="false">IFERROR(YEAR(A1241),"")</f>
        <v>2019</v>
      </c>
      <c r="V1241" s="33" t="n">
        <f aca="false">IFERROR(O1241*B1241,0)</f>
        <v>381070.92</v>
      </c>
      <c r="W1241" s="32" t="n">
        <f aca="false">IFERROR(N1241*B1241,0)</f>
        <v>3829</v>
      </c>
      <c r="X1241" s="11" t="n">
        <f aca="false">IF(OR(ISNUMBER(SEARCH("live nation",L1241)),ISNUMBER(SEARCH("ocesa",L1241))),1,0)</f>
        <v>0</v>
      </c>
      <c r="Y1241" s="11" t="s">
        <v>49</v>
      </c>
    </row>
    <row r="1242" customFormat="false" ht="15" hidden="false" customHeight="false" outlineLevel="0" collapsed="false">
      <c r="A1242" s="25" t="n">
        <v>43730</v>
      </c>
      <c r="B1242" s="13" t="n">
        <v>1</v>
      </c>
      <c r="C1242" s="26" t="s">
        <v>748</v>
      </c>
      <c r="D1242" s="26"/>
      <c r="E1242" s="13" t="s">
        <v>487</v>
      </c>
      <c r="F1242" s="13" t="s">
        <v>207</v>
      </c>
      <c r="G1242" s="13" t="s">
        <v>208</v>
      </c>
      <c r="H1242" s="13" t="s">
        <v>20</v>
      </c>
      <c r="I1242" s="13" t="s">
        <v>209</v>
      </c>
      <c r="J1242" s="13" t="s">
        <v>121</v>
      </c>
      <c r="K1242" s="13" t="s">
        <v>107</v>
      </c>
      <c r="L1242" s="13" t="s">
        <v>1307</v>
      </c>
      <c r="M1242" s="13" t="s">
        <v>251</v>
      </c>
      <c r="N1242" s="27" t="n">
        <v>2362</v>
      </c>
      <c r="O1242" s="28" t="n">
        <v>300318</v>
      </c>
      <c r="P1242" s="27" t="n">
        <v>3000</v>
      </c>
      <c r="Q1242" s="29" t="n">
        <v>0.78</v>
      </c>
      <c r="R1242" s="28" t="n">
        <v>69</v>
      </c>
      <c r="S1242" s="28" t="n">
        <v>199</v>
      </c>
      <c r="T1242" s="28" t="n">
        <v>127.15</v>
      </c>
      <c r="U1242" s="13" t="n">
        <f aca="false">IFERROR(YEAR(A1242),"")</f>
        <v>2019</v>
      </c>
      <c r="V1242" s="28" t="n">
        <f aca="false">IFERROR(O1242*B1242,0)</f>
        <v>300318</v>
      </c>
      <c r="W1242" s="27" t="n">
        <f aca="false">IFERROR(N1242*B1242,0)</f>
        <v>2362</v>
      </c>
      <c r="X1242" s="13" t="n">
        <f aca="false">IF(OR(ISNUMBER(SEARCH("live nation",L1242)),ISNUMBER(SEARCH("ocesa",L1242))),1,0)</f>
        <v>0</v>
      </c>
      <c r="Y1242" s="13" t="s">
        <v>49</v>
      </c>
    </row>
    <row r="1243" customFormat="false" ht="15" hidden="false" customHeight="false" outlineLevel="0" collapsed="false">
      <c r="A1243" s="30" t="n">
        <v>43729</v>
      </c>
      <c r="B1243" s="11" t="n">
        <v>1</v>
      </c>
      <c r="C1243" s="31" t="s">
        <v>272</v>
      </c>
      <c r="D1243" s="31"/>
      <c r="E1243" s="11" t="s">
        <v>1308</v>
      </c>
      <c r="F1243" s="11" t="s">
        <v>948</v>
      </c>
      <c r="G1243" s="11" t="s">
        <v>162</v>
      </c>
      <c r="H1243" s="11" t="s">
        <v>20</v>
      </c>
      <c r="I1243" s="11" t="s">
        <v>163</v>
      </c>
      <c r="J1243" s="11" t="s">
        <v>106</v>
      </c>
      <c r="K1243" s="11" t="s">
        <v>107</v>
      </c>
      <c r="L1243" s="11" t="s">
        <v>1309</v>
      </c>
      <c r="M1243" s="11" t="s">
        <v>277</v>
      </c>
      <c r="N1243" s="32" t="n">
        <v>1735</v>
      </c>
      <c r="O1243" s="33" t="n">
        <v>64936</v>
      </c>
      <c r="P1243" s="32" t="n">
        <v>2200</v>
      </c>
      <c r="Q1243" s="34" t="n">
        <v>0.78</v>
      </c>
      <c r="R1243" s="33" t="n">
        <v>27.5</v>
      </c>
      <c r="S1243" s="33" t="n">
        <v>45</v>
      </c>
      <c r="T1243" s="33" t="n">
        <v>37.43</v>
      </c>
      <c r="U1243" s="11" t="n">
        <f aca="false">IFERROR(YEAR(A1243),"")</f>
        <v>2019</v>
      </c>
      <c r="V1243" s="33" t="n">
        <f aca="false">IFERROR(O1243*B1243,0)</f>
        <v>64936</v>
      </c>
      <c r="W1243" s="32" t="n">
        <f aca="false">IFERROR(N1243*B1243,0)</f>
        <v>1735</v>
      </c>
      <c r="X1243" s="11" t="n">
        <f aca="false">IF(OR(ISNUMBER(SEARCH("live nation",L1243)),ISNUMBER(SEARCH("ocesa",L1243))),1,0)</f>
        <v>0</v>
      </c>
      <c r="Y1243" s="11" t="s">
        <v>49</v>
      </c>
    </row>
    <row r="1244" customFormat="false" ht="15" hidden="false" customHeight="false" outlineLevel="0" collapsed="false">
      <c r="A1244" s="25" t="n">
        <v>43719</v>
      </c>
      <c r="B1244" s="13" t="n">
        <v>1</v>
      </c>
      <c r="C1244" s="26" t="s">
        <v>272</v>
      </c>
      <c r="D1244" s="26" t="s">
        <v>1301</v>
      </c>
      <c r="E1244" s="13" t="s">
        <v>1310</v>
      </c>
      <c r="F1244" s="13" t="s">
        <v>223</v>
      </c>
      <c r="G1244" s="13" t="s">
        <v>224</v>
      </c>
      <c r="H1244" s="13" t="s">
        <v>20</v>
      </c>
      <c r="I1244" s="13" t="s">
        <v>225</v>
      </c>
      <c r="J1244" s="13" t="s">
        <v>106</v>
      </c>
      <c r="K1244" s="13" t="s">
        <v>107</v>
      </c>
      <c r="L1244" s="13" t="s">
        <v>1311</v>
      </c>
      <c r="M1244" s="13" t="s">
        <v>277</v>
      </c>
      <c r="N1244" s="27" t="n">
        <v>2138</v>
      </c>
      <c r="O1244" s="28" t="n">
        <v>126200</v>
      </c>
      <c r="P1244" s="27" t="n">
        <v>2425</v>
      </c>
      <c r="Q1244" s="29" t="n">
        <v>0.88</v>
      </c>
      <c r="R1244" s="28" t="n">
        <v>52</v>
      </c>
      <c r="S1244" s="28" t="n">
        <v>82</v>
      </c>
      <c r="T1244" s="28" t="n">
        <v>59.03</v>
      </c>
      <c r="U1244" s="13" t="n">
        <f aca="false">IFERROR(YEAR(A1244),"")</f>
        <v>2019</v>
      </c>
      <c r="V1244" s="28" t="n">
        <f aca="false">IFERROR(O1244*B1244,0)</f>
        <v>126200</v>
      </c>
      <c r="W1244" s="27" t="n">
        <f aca="false">IFERROR(N1244*B1244,0)</f>
        <v>2138</v>
      </c>
      <c r="X1244" s="13" t="n">
        <f aca="false">IF(OR(ISNUMBER(SEARCH("live nation",L1244)),ISNUMBER(SEARCH("ocesa",L1244))),1,0)</f>
        <v>0</v>
      </c>
      <c r="Y1244" s="13" t="s">
        <v>49</v>
      </c>
    </row>
    <row r="1245" customFormat="false" ht="15" hidden="false" customHeight="false" outlineLevel="0" collapsed="false">
      <c r="A1245" s="30" t="n">
        <v>43719</v>
      </c>
      <c r="B1245" s="11" t="n">
        <v>1</v>
      </c>
      <c r="C1245" s="31" t="s">
        <v>71</v>
      </c>
      <c r="D1245" s="31"/>
      <c r="E1245" s="11" t="s">
        <v>1312</v>
      </c>
      <c r="F1245" s="11" t="s">
        <v>1313</v>
      </c>
      <c r="G1245" s="11"/>
      <c r="H1245" s="11" t="s">
        <v>28</v>
      </c>
      <c r="I1245" s="11"/>
      <c r="J1245" s="11" t="s">
        <v>121</v>
      </c>
      <c r="K1245" s="11" t="s">
        <v>98</v>
      </c>
      <c r="L1245" s="11" t="s">
        <v>1066</v>
      </c>
      <c r="M1245" s="11" t="s">
        <v>100</v>
      </c>
      <c r="N1245" s="32" t="n">
        <v>1132</v>
      </c>
      <c r="O1245" s="33" t="n">
        <v>134522.17</v>
      </c>
      <c r="P1245" s="32" t="n">
        <v>2500</v>
      </c>
      <c r="Q1245" s="34" t="n">
        <v>0.45</v>
      </c>
      <c r="R1245" s="33" t="n">
        <v>84.19</v>
      </c>
      <c r="S1245" s="33" t="n">
        <v>114.5</v>
      </c>
      <c r="T1245" s="33" t="n">
        <v>118.84</v>
      </c>
      <c r="U1245" s="11" t="n">
        <f aca="false">IFERROR(YEAR(A1245),"")</f>
        <v>2019</v>
      </c>
      <c r="V1245" s="33" t="n">
        <f aca="false">IFERROR(O1245*B1245,0)</f>
        <v>134522.17</v>
      </c>
      <c r="W1245" s="32" t="n">
        <f aca="false">IFERROR(N1245*B1245,0)</f>
        <v>1132</v>
      </c>
      <c r="X1245" s="11" t="n">
        <f aca="false">IF(OR(ISNUMBER(SEARCH("live nation",L1245)),ISNUMBER(SEARCH("ocesa",L1245))),1,0)</f>
        <v>0</v>
      </c>
      <c r="Y1245" s="11" t="s">
        <v>49</v>
      </c>
    </row>
    <row r="1246" customFormat="false" ht="15" hidden="false" customHeight="false" outlineLevel="0" collapsed="false">
      <c r="A1246" s="25" t="n">
        <v>43716</v>
      </c>
      <c r="B1246" s="13" t="n">
        <v>1</v>
      </c>
      <c r="C1246" s="26" t="s">
        <v>272</v>
      </c>
      <c r="D1246" s="26" t="s">
        <v>1301</v>
      </c>
      <c r="E1246" s="13" t="s">
        <v>891</v>
      </c>
      <c r="F1246" s="13" t="s">
        <v>188</v>
      </c>
      <c r="G1246" s="13" t="s">
        <v>189</v>
      </c>
      <c r="H1246" s="13" t="s">
        <v>20</v>
      </c>
      <c r="I1246" s="13" t="s">
        <v>190</v>
      </c>
      <c r="J1246" s="13" t="s">
        <v>121</v>
      </c>
      <c r="K1246" s="13" t="s">
        <v>107</v>
      </c>
      <c r="L1246" s="13" t="s">
        <v>911</v>
      </c>
      <c r="M1246" s="13" t="s">
        <v>277</v>
      </c>
      <c r="N1246" s="27" t="n">
        <v>1958</v>
      </c>
      <c r="O1246" s="28" t="n">
        <v>130422</v>
      </c>
      <c r="P1246" s="27" t="n">
        <v>2500</v>
      </c>
      <c r="Q1246" s="29" t="n">
        <v>0.78</v>
      </c>
      <c r="R1246" s="28" t="n">
        <v>52</v>
      </c>
      <c r="S1246" s="28" t="n">
        <v>300</v>
      </c>
      <c r="T1246" s="28" t="n">
        <v>66.61</v>
      </c>
      <c r="U1246" s="13" t="n">
        <f aca="false">IFERROR(YEAR(A1246),"")</f>
        <v>2019</v>
      </c>
      <c r="V1246" s="28" t="n">
        <f aca="false">IFERROR(O1246*B1246,0)</f>
        <v>130422</v>
      </c>
      <c r="W1246" s="27" t="n">
        <f aca="false">IFERROR(N1246*B1246,0)</f>
        <v>1958</v>
      </c>
      <c r="X1246" s="13" t="n">
        <f aca="false">IF(OR(ISNUMBER(SEARCH("live nation",L1246)),ISNUMBER(SEARCH("ocesa",L1246))),1,0)</f>
        <v>0</v>
      </c>
      <c r="Y1246" s="13" t="s">
        <v>49</v>
      </c>
    </row>
    <row r="1247" customFormat="false" ht="15" hidden="false" customHeight="false" outlineLevel="0" collapsed="false">
      <c r="A1247" s="30" t="n">
        <v>43707</v>
      </c>
      <c r="B1247" s="11" t="n">
        <v>1</v>
      </c>
      <c r="C1247" s="31" t="s">
        <v>587</v>
      </c>
      <c r="D1247" s="31"/>
      <c r="E1247" s="11" t="s">
        <v>1314</v>
      </c>
      <c r="F1247" s="11" t="s">
        <v>161</v>
      </c>
      <c r="G1247" s="11" t="s">
        <v>162</v>
      </c>
      <c r="H1247" s="11" t="s">
        <v>20</v>
      </c>
      <c r="I1247" s="11" t="s">
        <v>163</v>
      </c>
      <c r="J1247" s="11" t="s">
        <v>121</v>
      </c>
      <c r="K1247" s="11" t="s">
        <v>107</v>
      </c>
      <c r="L1247" s="11" t="s">
        <v>788</v>
      </c>
      <c r="M1247" s="11" t="s">
        <v>100</v>
      </c>
      <c r="N1247" s="32" t="n">
        <v>740</v>
      </c>
      <c r="O1247" s="33" t="n">
        <v>66938</v>
      </c>
      <c r="P1247" s="32" t="n">
        <v>995</v>
      </c>
      <c r="Q1247" s="34" t="n">
        <v>0.74</v>
      </c>
      <c r="R1247" s="33" t="n">
        <v>41</v>
      </c>
      <c r="S1247" s="33" t="n">
        <v>150</v>
      </c>
      <c r="T1247" s="33" t="n">
        <v>90.46</v>
      </c>
      <c r="U1247" s="11" t="n">
        <f aca="false">IFERROR(YEAR(A1247),"")</f>
        <v>2019</v>
      </c>
      <c r="V1247" s="33" t="n">
        <f aca="false">IFERROR(O1247*B1247,0)</f>
        <v>66938</v>
      </c>
      <c r="W1247" s="32" t="n">
        <f aca="false">IFERROR(N1247*B1247,0)</f>
        <v>740</v>
      </c>
      <c r="X1247" s="11" t="n">
        <f aca="false">IF(OR(ISNUMBER(SEARCH("live nation",L1247)),ISNUMBER(SEARCH("ocesa",L1247))),1,0)</f>
        <v>0</v>
      </c>
      <c r="Y1247" s="11" t="s">
        <v>49</v>
      </c>
    </row>
    <row r="1248" customFormat="false" ht="15" hidden="false" customHeight="false" outlineLevel="0" collapsed="false">
      <c r="A1248" s="25" t="n">
        <v>43694</v>
      </c>
      <c r="B1248" s="13" t="n">
        <v>2</v>
      </c>
      <c r="C1248" s="26" t="s">
        <v>968</v>
      </c>
      <c r="D1248" s="26" t="s">
        <v>1315</v>
      </c>
      <c r="E1248" s="13" t="s">
        <v>1316</v>
      </c>
      <c r="F1248" s="13" t="s">
        <v>203</v>
      </c>
      <c r="G1248" s="13" t="s">
        <v>202</v>
      </c>
      <c r="H1248" s="13" t="s">
        <v>20</v>
      </c>
      <c r="I1248" s="13" t="s">
        <v>203</v>
      </c>
      <c r="J1248" s="13" t="s">
        <v>97</v>
      </c>
      <c r="K1248" s="13" t="s">
        <v>107</v>
      </c>
      <c r="L1248" s="13" t="s">
        <v>531</v>
      </c>
      <c r="M1248" s="13" t="s">
        <v>100</v>
      </c>
      <c r="N1248" s="27" t="n">
        <v>14935</v>
      </c>
      <c r="O1248" s="28" t="n">
        <v>1722495</v>
      </c>
      <c r="P1248" s="27" t="n">
        <v>17108</v>
      </c>
      <c r="Q1248" s="29" t="n">
        <v>0.87</v>
      </c>
      <c r="R1248" s="28" t="n">
        <v>72.45</v>
      </c>
      <c r="S1248" s="28" t="n">
        <v>207</v>
      </c>
      <c r="T1248" s="28" t="n">
        <v>115.33</v>
      </c>
      <c r="U1248" s="13" t="n">
        <f aca="false">IFERROR(YEAR(A1248),"")</f>
        <v>2019</v>
      </c>
      <c r="V1248" s="28" t="n">
        <f aca="false">IFERROR(O1248*B1248,0)</f>
        <v>3444990</v>
      </c>
      <c r="W1248" s="27" t="n">
        <f aca="false">IFERROR(N1248*B1248,0)</f>
        <v>29870</v>
      </c>
      <c r="X1248" s="13" t="n">
        <f aca="false">IF(OR(ISNUMBER(SEARCH("live nation",L1248)),ISNUMBER(SEARCH("ocesa",L1248))),1,0)</f>
        <v>0</v>
      </c>
      <c r="Y1248" s="13" t="s">
        <v>49</v>
      </c>
    </row>
    <row r="1249" customFormat="false" ht="15" hidden="false" customHeight="false" outlineLevel="0" collapsed="false">
      <c r="A1249" s="30" t="n">
        <v>43687</v>
      </c>
      <c r="B1249" s="11" t="n">
        <v>1</v>
      </c>
      <c r="C1249" s="31" t="s">
        <v>1260</v>
      </c>
      <c r="D1249" s="31"/>
      <c r="E1249" s="11" t="s">
        <v>1316</v>
      </c>
      <c r="F1249" s="11" t="s">
        <v>203</v>
      </c>
      <c r="G1249" s="11" t="s">
        <v>202</v>
      </c>
      <c r="H1249" s="11" t="s">
        <v>20</v>
      </c>
      <c r="I1249" s="11" t="s">
        <v>203</v>
      </c>
      <c r="J1249" s="11" t="s">
        <v>97</v>
      </c>
      <c r="K1249" s="11" t="s">
        <v>107</v>
      </c>
      <c r="L1249" s="11" t="s">
        <v>531</v>
      </c>
      <c r="M1249" s="11" t="s">
        <v>251</v>
      </c>
      <c r="N1249" s="32" t="n">
        <v>9115</v>
      </c>
      <c r="O1249" s="33" t="n">
        <v>1103392</v>
      </c>
      <c r="P1249" s="32" t="n">
        <v>9985</v>
      </c>
      <c r="Q1249" s="34" t="n">
        <v>0.91</v>
      </c>
      <c r="R1249" s="33" t="n">
        <v>59</v>
      </c>
      <c r="S1249" s="33" t="n">
        <v>169</v>
      </c>
      <c r="T1249" s="33" t="n">
        <v>121.05</v>
      </c>
      <c r="U1249" s="11" t="n">
        <f aca="false">IFERROR(YEAR(A1249),"")</f>
        <v>2019</v>
      </c>
      <c r="V1249" s="33" t="n">
        <f aca="false">IFERROR(O1249*B1249,0)</f>
        <v>1103392</v>
      </c>
      <c r="W1249" s="32" t="n">
        <f aca="false">IFERROR(N1249*B1249,0)</f>
        <v>9115</v>
      </c>
      <c r="X1249" s="11" t="n">
        <f aca="false">IF(OR(ISNUMBER(SEARCH("live nation",L1249)),ISNUMBER(SEARCH("ocesa",L1249))),1,0)</f>
        <v>0</v>
      </c>
      <c r="Y1249" s="11" t="s">
        <v>49</v>
      </c>
    </row>
    <row r="1250" customFormat="false" ht="15" hidden="false" customHeight="false" outlineLevel="0" collapsed="false">
      <c r="A1250" s="25" t="n">
        <v>43686</v>
      </c>
      <c r="B1250" s="13" t="n">
        <v>1</v>
      </c>
      <c r="C1250" s="26" t="s">
        <v>71</v>
      </c>
      <c r="D1250" s="26"/>
      <c r="E1250" s="13" t="s">
        <v>1317</v>
      </c>
      <c r="F1250" s="13" t="s">
        <v>295</v>
      </c>
      <c r="G1250" s="13"/>
      <c r="H1250" s="13" t="s">
        <v>28</v>
      </c>
      <c r="I1250" s="13"/>
      <c r="J1250" s="13" t="s">
        <v>97</v>
      </c>
      <c r="K1250" s="13" t="s">
        <v>98</v>
      </c>
      <c r="L1250" s="13" t="s">
        <v>1066</v>
      </c>
      <c r="M1250" s="13" t="s">
        <v>100</v>
      </c>
      <c r="N1250" s="27" t="n">
        <v>1365</v>
      </c>
      <c r="O1250" s="28" t="n">
        <v>158519.26</v>
      </c>
      <c r="P1250" s="27" t="n">
        <v>2500</v>
      </c>
      <c r="Q1250" s="29" t="n">
        <v>0.54</v>
      </c>
      <c r="R1250" s="28" t="n">
        <v>85.97</v>
      </c>
      <c r="S1250" s="28" t="n">
        <v>116.92</v>
      </c>
      <c r="T1250" s="28" t="n">
        <v>116.13</v>
      </c>
      <c r="U1250" s="13" t="n">
        <f aca="false">IFERROR(YEAR(A1250),"")</f>
        <v>2019</v>
      </c>
      <c r="V1250" s="28" t="n">
        <f aca="false">IFERROR(O1250*B1250,0)</f>
        <v>158519.26</v>
      </c>
      <c r="W1250" s="27" t="n">
        <f aca="false">IFERROR(N1250*B1250,0)</f>
        <v>1365</v>
      </c>
      <c r="X1250" s="13" t="n">
        <f aca="false">IF(OR(ISNUMBER(SEARCH("live nation",L1250)),ISNUMBER(SEARCH("ocesa",L1250))),1,0)</f>
        <v>0</v>
      </c>
      <c r="Y1250" s="13" t="s">
        <v>49</v>
      </c>
    </row>
    <row r="1251" customFormat="false" ht="15" hidden="false" customHeight="false" outlineLevel="0" collapsed="false">
      <c r="A1251" s="30" t="n">
        <v>43683</v>
      </c>
      <c r="B1251" s="11" t="n">
        <v>1</v>
      </c>
      <c r="C1251" s="31" t="s">
        <v>1260</v>
      </c>
      <c r="D1251" s="31"/>
      <c r="E1251" s="11" t="s">
        <v>487</v>
      </c>
      <c r="F1251" s="11" t="s">
        <v>207</v>
      </c>
      <c r="G1251" s="11" t="s">
        <v>208</v>
      </c>
      <c r="H1251" s="11" t="s">
        <v>20</v>
      </c>
      <c r="I1251" s="11" t="s">
        <v>209</v>
      </c>
      <c r="J1251" s="11" t="s">
        <v>121</v>
      </c>
      <c r="K1251" s="11" t="s">
        <v>107</v>
      </c>
      <c r="L1251" s="11" t="s">
        <v>791</v>
      </c>
      <c r="M1251" s="11" t="s">
        <v>251</v>
      </c>
      <c r="N1251" s="32" t="n">
        <v>4144</v>
      </c>
      <c r="O1251" s="33" t="n">
        <v>499957</v>
      </c>
      <c r="P1251" s="32" t="n">
        <v>4144</v>
      </c>
      <c r="Q1251" s="34" t="n">
        <v>1</v>
      </c>
      <c r="R1251" s="33" t="n">
        <v>59</v>
      </c>
      <c r="S1251" s="33" t="n">
        <v>199</v>
      </c>
      <c r="T1251" s="33" t="n">
        <v>120.65</v>
      </c>
      <c r="U1251" s="11" t="n">
        <f aca="false">IFERROR(YEAR(A1251),"")</f>
        <v>2019</v>
      </c>
      <c r="V1251" s="33" t="n">
        <f aca="false">IFERROR(O1251*B1251,0)</f>
        <v>499957</v>
      </c>
      <c r="W1251" s="32" t="n">
        <f aca="false">IFERROR(N1251*B1251,0)</f>
        <v>4144</v>
      </c>
      <c r="X1251" s="11" t="n">
        <f aca="false">IF(OR(ISNUMBER(SEARCH("live nation",L1251)),ISNUMBER(SEARCH("ocesa",L1251))),1,0)</f>
        <v>0</v>
      </c>
      <c r="Y1251" s="11" t="s">
        <v>49</v>
      </c>
    </row>
    <row r="1252" customFormat="false" ht="15" hidden="false" customHeight="false" outlineLevel="0" collapsed="false">
      <c r="A1252" s="25" t="n">
        <v>43680</v>
      </c>
      <c r="B1252" s="13" t="n">
        <v>1</v>
      </c>
      <c r="C1252" s="26" t="s">
        <v>1260</v>
      </c>
      <c r="D1252" s="26"/>
      <c r="E1252" s="13" t="s">
        <v>1232</v>
      </c>
      <c r="F1252" s="13" t="s">
        <v>139</v>
      </c>
      <c r="G1252" s="13" t="s">
        <v>139</v>
      </c>
      <c r="H1252" s="13" t="s">
        <v>20</v>
      </c>
      <c r="I1252" s="13" t="s">
        <v>139</v>
      </c>
      <c r="J1252" s="13" t="s">
        <v>121</v>
      </c>
      <c r="K1252" s="13" t="s">
        <v>107</v>
      </c>
      <c r="L1252" s="13" t="s">
        <v>791</v>
      </c>
      <c r="M1252" s="13" t="s">
        <v>251</v>
      </c>
      <c r="N1252" s="27" t="n">
        <v>5058</v>
      </c>
      <c r="O1252" s="28" t="n">
        <v>648556</v>
      </c>
      <c r="P1252" s="27" t="n">
        <v>5058</v>
      </c>
      <c r="Q1252" s="29" t="n">
        <v>1</v>
      </c>
      <c r="R1252" s="28" t="n">
        <v>59</v>
      </c>
      <c r="S1252" s="28" t="n">
        <v>199</v>
      </c>
      <c r="T1252" s="28" t="n">
        <v>128.22</v>
      </c>
      <c r="U1252" s="13" t="n">
        <f aca="false">IFERROR(YEAR(A1252),"")</f>
        <v>2019</v>
      </c>
      <c r="V1252" s="28" t="n">
        <f aca="false">IFERROR(O1252*B1252,0)</f>
        <v>648556</v>
      </c>
      <c r="W1252" s="27" t="n">
        <f aca="false">IFERROR(N1252*B1252,0)</f>
        <v>5058</v>
      </c>
      <c r="X1252" s="13" t="n">
        <f aca="false">IF(OR(ISNUMBER(SEARCH("live nation",L1252)),ISNUMBER(SEARCH("ocesa",L1252))),1,0)</f>
        <v>0</v>
      </c>
      <c r="Y1252" s="13" t="s">
        <v>49</v>
      </c>
    </row>
    <row r="1253" customFormat="false" ht="15" hidden="false" customHeight="false" outlineLevel="0" collapsed="false">
      <c r="A1253" s="30" t="n">
        <v>43676</v>
      </c>
      <c r="B1253" s="11" t="n">
        <v>1</v>
      </c>
      <c r="C1253" s="31" t="s">
        <v>1260</v>
      </c>
      <c r="D1253" s="31"/>
      <c r="E1253" s="11" t="s">
        <v>731</v>
      </c>
      <c r="F1253" s="11" t="s">
        <v>346</v>
      </c>
      <c r="G1253" s="11" t="s">
        <v>347</v>
      </c>
      <c r="H1253" s="11" t="s">
        <v>20</v>
      </c>
      <c r="I1253" s="11" t="s">
        <v>346</v>
      </c>
      <c r="J1253" s="11" t="s">
        <v>121</v>
      </c>
      <c r="K1253" s="11" t="s">
        <v>107</v>
      </c>
      <c r="L1253" s="11" t="s">
        <v>122</v>
      </c>
      <c r="M1253" s="11" t="s">
        <v>251</v>
      </c>
      <c r="N1253" s="32" t="n">
        <v>4221</v>
      </c>
      <c r="O1253" s="33" t="n">
        <v>499839</v>
      </c>
      <c r="P1253" s="32" t="n">
        <v>4368</v>
      </c>
      <c r="Q1253" s="34" t="n">
        <v>0.96</v>
      </c>
      <c r="R1253" s="33" t="n">
        <v>59</v>
      </c>
      <c r="S1253" s="33" t="n">
        <v>249</v>
      </c>
      <c r="T1253" s="33" t="n">
        <v>118.42</v>
      </c>
      <c r="U1253" s="11" t="n">
        <f aca="false">IFERROR(YEAR(A1253),"")</f>
        <v>2019</v>
      </c>
      <c r="V1253" s="33" t="n">
        <f aca="false">IFERROR(O1253*B1253,0)</f>
        <v>499839</v>
      </c>
      <c r="W1253" s="32" t="n">
        <f aca="false">IFERROR(N1253*B1253,0)</f>
        <v>4221</v>
      </c>
      <c r="X1253" s="11" t="n">
        <f aca="false">IF(OR(ISNUMBER(SEARCH("live nation",L1253)),ISNUMBER(SEARCH("ocesa",L1253))),1,0)</f>
        <v>0</v>
      </c>
      <c r="Y1253" s="11" t="s">
        <v>49</v>
      </c>
    </row>
    <row r="1254" customFormat="false" ht="15" hidden="false" customHeight="false" outlineLevel="0" collapsed="false">
      <c r="A1254" s="25" t="n">
        <v>43673</v>
      </c>
      <c r="B1254" s="13" t="n">
        <v>1</v>
      </c>
      <c r="C1254" s="26" t="s">
        <v>1260</v>
      </c>
      <c r="D1254" s="26"/>
      <c r="E1254" s="13" t="s">
        <v>1087</v>
      </c>
      <c r="F1254" s="13" t="s">
        <v>834</v>
      </c>
      <c r="G1254" s="13" t="s">
        <v>143</v>
      </c>
      <c r="H1254" s="13" t="s">
        <v>20</v>
      </c>
      <c r="I1254" s="13" t="s">
        <v>586</v>
      </c>
      <c r="J1254" s="13" t="s">
        <v>121</v>
      </c>
      <c r="K1254" s="13" t="s">
        <v>107</v>
      </c>
      <c r="L1254" s="13" t="s">
        <v>791</v>
      </c>
      <c r="M1254" s="13" t="s">
        <v>251</v>
      </c>
      <c r="N1254" s="27" t="n">
        <v>5163</v>
      </c>
      <c r="O1254" s="28" t="n">
        <v>617794</v>
      </c>
      <c r="P1254" s="27" t="n">
        <v>5503</v>
      </c>
      <c r="Q1254" s="29" t="n">
        <v>0.93</v>
      </c>
      <c r="R1254" s="28" t="n">
        <v>64</v>
      </c>
      <c r="S1254" s="28" t="n">
        <v>174</v>
      </c>
      <c r="T1254" s="28" t="n">
        <v>119.66</v>
      </c>
      <c r="U1254" s="13" t="n">
        <f aca="false">IFERROR(YEAR(A1254),"")</f>
        <v>2019</v>
      </c>
      <c r="V1254" s="28" t="n">
        <f aca="false">IFERROR(O1254*B1254,0)</f>
        <v>617794</v>
      </c>
      <c r="W1254" s="27" t="n">
        <f aca="false">IFERROR(N1254*B1254,0)</f>
        <v>5163</v>
      </c>
      <c r="X1254" s="13" t="n">
        <f aca="false">IF(OR(ISNUMBER(SEARCH("live nation",L1254)),ISNUMBER(SEARCH("ocesa",L1254))),1,0)</f>
        <v>0</v>
      </c>
      <c r="Y1254" s="13" t="s">
        <v>49</v>
      </c>
    </row>
    <row r="1255" customFormat="false" ht="15" hidden="false" customHeight="false" outlineLevel="0" collapsed="false">
      <c r="A1255" s="30" t="n">
        <v>43667</v>
      </c>
      <c r="B1255" s="11" t="n">
        <v>1</v>
      </c>
      <c r="C1255" s="31" t="s">
        <v>68</v>
      </c>
      <c r="D1255" s="31"/>
      <c r="E1255" s="11" t="s">
        <v>506</v>
      </c>
      <c r="F1255" s="11" t="s">
        <v>507</v>
      </c>
      <c r="G1255" s="11" t="s">
        <v>221</v>
      </c>
      <c r="H1255" s="11" t="s">
        <v>20</v>
      </c>
      <c r="I1255" s="11" t="s">
        <v>139</v>
      </c>
      <c r="J1255" s="11" t="s">
        <v>97</v>
      </c>
      <c r="K1255" s="11" t="s">
        <v>107</v>
      </c>
      <c r="L1255" s="11" t="s">
        <v>1023</v>
      </c>
      <c r="M1255" s="11" t="s">
        <v>100</v>
      </c>
      <c r="N1255" s="32" t="n">
        <v>10271</v>
      </c>
      <c r="O1255" s="33" t="n">
        <v>1064899</v>
      </c>
      <c r="P1255" s="32" t="n">
        <v>10735</v>
      </c>
      <c r="Q1255" s="34" t="n">
        <v>0.95</v>
      </c>
      <c r="R1255" s="33" t="n">
        <v>44.5</v>
      </c>
      <c r="S1255" s="33" t="n">
        <v>194.5</v>
      </c>
      <c r="T1255" s="33" t="n">
        <v>103.68</v>
      </c>
      <c r="U1255" s="11" t="n">
        <f aca="false">IFERROR(YEAR(A1255),"")</f>
        <v>2019</v>
      </c>
      <c r="V1255" s="33" t="n">
        <f aca="false">IFERROR(O1255*B1255,0)</f>
        <v>1064899</v>
      </c>
      <c r="W1255" s="32" t="n">
        <f aca="false">IFERROR(N1255*B1255,0)</f>
        <v>10271</v>
      </c>
      <c r="X1255" s="11" t="n">
        <f aca="false">IF(OR(ISNUMBER(SEARCH("live nation",L1255)),ISNUMBER(SEARCH("ocesa",L1255))),1,0)</f>
        <v>1</v>
      </c>
      <c r="Y1255" s="11" t="s">
        <v>49</v>
      </c>
    </row>
    <row r="1256" customFormat="false" ht="15" hidden="false" customHeight="false" outlineLevel="0" collapsed="false">
      <c r="A1256" s="25" t="n">
        <v>43665</v>
      </c>
      <c r="B1256" s="13" t="n">
        <v>1</v>
      </c>
      <c r="C1256" s="26" t="s">
        <v>68</v>
      </c>
      <c r="D1256" s="26"/>
      <c r="E1256" s="13" t="s">
        <v>926</v>
      </c>
      <c r="F1256" s="13" t="s">
        <v>132</v>
      </c>
      <c r="G1256" s="13"/>
      <c r="H1256" s="13" t="s">
        <v>23</v>
      </c>
      <c r="I1256" s="13"/>
      <c r="J1256" s="13" t="s">
        <v>97</v>
      </c>
      <c r="K1256" s="13" t="s">
        <v>134</v>
      </c>
      <c r="L1256" s="13" t="s">
        <v>1287</v>
      </c>
      <c r="M1256" s="13" t="s">
        <v>100</v>
      </c>
      <c r="N1256" s="27" t="n">
        <v>7942</v>
      </c>
      <c r="O1256" s="28" t="n">
        <v>885000.48</v>
      </c>
      <c r="P1256" s="27" t="n">
        <v>10651</v>
      </c>
      <c r="Q1256" s="29" t="n">
        <v>0.74</v>
      </c>
      <c r="R1256" s="28" t="n">
        <v>31.2</v>
      </c>
      <c r="S1256" s="28" t="n">
        <v>156</v>
      </c>
      <c r="T1256" s="28" t="n">
        <v>111.43</v>
      </c>
      <c r="U1256" s="13" t="n">
        <f aca="false">IFERROR(YEAR(A1256),"")</f>
        <v>2019</v>
      </c>
      <c r="V1256" s="28" t="n">
        <f aca="false">IFERROR(O1256*B1256,0)</f>
        <v>885000.48</v>
      </c>
      <c r="W1256" s="27" t="n">
        <f aca="false">IFERROR(N1256*B1256,0)</f>
        <v>7942</v>
      </c>
      <c r="X1256" s="13" t="n">
        <f aca="false">IF(OR(ISNUMBER(SEARCH("live nation",L1256)),ISNUMBER(SEARCH("ocesa",L1256))),1,0)</f>
        <v>1</v>
      </c>
      <c r="Y1256" s="13" t="s">
        <v>49</v>
      </c>
    </row>
    <row r="1257" customFormat="false" ht="15" hidden="false" customHeight="false" outlineLevel="0" collapsed="false">
      <c r="A1257" s="30" t="n">
        <v>43663</v>
      </c>
      <c r="B1257" s="11" t="n">
        <v>1</v>
      </c>
      <c r="C1257" s="31" t="s">
        <v>68</v>
      </c>
      <c r="D1257" s="31"/>
      <c r="E1257" s="11" t="s">
        <v>1269</v>
      </c>
      <c r="F1257" s="11" t="s">
        <v>201</v>
      </c>
      <c r="G1257" s="11" t="s">
        <v>202</v>
      </c>
      <c r="H1257" s="11" t="s">
        <v>20</v>
      </c>
      <c r="I1257" s="11" t="s">
        <v>203</v>
      </c>
      <c r="J1257" s="11" t="s">
        <v>97</v>
      </c>
      <c r="K1257" s="11" t="s">
        <v>107</v>
      </c>
      <c r="L1257" s="11" t="s">
        <v>177</v>
      </c>
      <c r="M1257" s="11" t="s">
        <v>100</v>
      </c>
      <c r="N1257" s="32" t="n">
        <v>11827</v>
      </c>
      <c r="O1257" s="33" t="n">
        <v>1388228</v>
      </c>
      <c r="P1257" s="32" t="n">
        <v>11827</v>
      </c>
      <c r="Q1257" s="34" t="n">
        <v>1</v>
      </c>
      <c r="R1257" s="33" t="n">
        <v>49.5</v>
      </c>
      <c r="S1257" s="33" t="n">
        <v>199.5</v>
      </c>
      <c r="T1257" s="33" t="n">
        <v>117.38</v>
      </c>
      <c r="U1257" s="11" t="n">
        <f aca="false">IFERROR(YEAR(A1257),"")</f>
        <v>2019</v>
      </c>
      <c r="V1257" s="33" t="n">
        <f aca="false">IFERROR(O1257*B1257,0)</f>
        <v>1388228</v>
      </c>
      <c r="W1257" s="32" t="n">
        <f aca="false">IFERROR(N1257*B1257,0)</f>
        <v>11827</v>
      </c>
      <c r="X1257" s="11" t="n">
        <f aca="false">IF(OR(ISNUMBER(SEARCH("live nation",L1257)),ISNUMBER(SEARCH("ocesa",L1257))),1,0)</f>
        <v>1</v>
      </c>
      <c r="Y1257" s="11" t="s">
        <v>49</v>
      </c>
    </row>
    <row r="1258" customFormat="false" ht="15" hidden="false" customHeight="false" outlineLevel="0" collapsed="false">
      <c r="A1258" s="25" t="n">
        <v>43662</v>
      </c>
      <c r="B1258" s="13" t="n">
        <v>1</v>
      </c>
      <c r="C1258" s="26" t="s">
        <v>1291</v>
      </c>
      <c r="D1258" s="26"/>
      <c r="E1258" s="13" t="s">
        <v>155</v>
      </c>
      <c r="F1258" s="13" t="s">
        <v>156</v>
      </c>
      <c r="G1258" s="13"/>
      <c r="H1258" s="13" t="s">
        <v>157</v>
      </c>
      <c r="I1258" s="13"/>
      <c r="J1258" s="13" t="s">
        <v>97</v>
      </c>
      <c r="K1258" s="13" t="s">
        <v>158</v>
      </c>
      <c r="L1258" s="13" t="s">
        <v>1318</v>
      </c>
      <c r="M1258" s="13" t="s">
        <v>251</v>
      </c>
      <c r="N1258" s="27" t="n">
        <v>8898</v>
      </c>
      <c r="O1258" s="28" t="n">
        <v>829464.52</v>
      </c>
      <c r="P1258" s="27" t="n">
        <v>13250</v>
      </c>
      <c r="Q1258" s="29" t="n">
        <v>0.67</v>
      </c>
      <c r="R1258" s="28" t="n">
        <v>37</v>
      </c>
      <c r="S1258" s="28" t="n">
        <v>192.4</v>
      </c>
      <c r="T1258" s="28" t="n">
        <v>93.22</v>
      </c>
      <c r="U1258" s="13" t="n">
        <f aca="false">IFERROR(YEAR(A1258),"")</f>
        <v>2019</v>
      </c>
      <c r="V1258" s="28" t="n">
        <f aca="false">IFERROR(O1258*B1258,0)</f>
        <v>829464.52</v>
      </c>
      <c r="W1258" s="27" t="n">
        <f aca="false">IFERROR(N1258*B1258,0)</f>
        <v>8898</v>
      </c>
      <c r="X1258" s="13" t="n">
        <f aca="false">IF(OR(ISNUMBER(SEARCH("live nation",L1258)),ISNUMBER(SEARCH("ocesa",L1258))),1,0)</f>
        <v>0</v>
      </c>
      <c r="Y1258" s="13" t="s">
        <v>49</v>
      </c>
    </row>
    <row r="1259" customFormat="false" ht="15" hidden="false" customHeight="false" outlineLevel="0" collapsed="false">
      <c r="A1259" s="30" t="n">
        <v>43659</v>
      </c>
      <c r="B1259" s="11" t="n">
        <v>2</v>
      </c>
      <c r="C1259" s="31" t="s">
        <v>60</v>
      </c>
      <c r="D1259" s="31"/>
      <c r="E1259" s="11" t="s">
        <v>1319</v>
      </c>
      <c r="F1259" s="11" t="s">
        <v>1320</v>
      </c>
      <c r="G1259" s="11"/>
      <c r="H1259" s="11" t="s">
        <v>21</v>
      </c>
      <c r="I1259" s="11"/>
      <c r="J1259" s="11" t="s">
        <v>133</v>
      </c>
      <c r="K1259" s="11" t="s">
        <v>113</v>
      </c>
      <c r="L1259" s="11" t="s">
        <v>1321</v>
      </c>
      <c r="M1259" s="11" t="s">
        <v>100</v>
      </c>
      <c r="N1259" s="32" t="n">
        <v>53576</v>
      </c>
      <c r="O1259" s="33" t="n">
        <v>5243158.5</v>
      </c>
      <c r="P1259" s="32" t="n">
        <v>53578</v>
      </c>
      <c r="Q1259" s="34" t="n">
        <v>0.99</v>
      </c>
      <c r="R1259" s="33" t="n">
        <v>100.01</v>
      </c>
      <c r="S1259" s="33" t="n">
        <v>110.01</v>
      </c>
      <c r="T1259" s="33" t="n">
        <v>97.86</v>
      </c>
      <c r="U1259" s="11" t="n">
        <f aca="false">IFERROR(YEAR(A1259),"")</f>
        <v>2019</v>
      </c>
      <c r="V1259" s="33" t="n">
        <f aca="false">IFERROR(O1259*B1259,0)</f>
        <v>10486317</v>
      </c>
      <c r="W1259" s="32" t="n">
        <f aca="false">IFERROR(N1259*B1259,0)</f>
        <v>107152</v>
      </c>
      <c r="X1259" s="11" t="n">
        <f aca="false">IF(OR(ISNUMBER(SEARCH("live nation",L1259)),ISNUMBER(SEARCH("ocesa",L1259))),1,0)</f>
        <v>0</v>
      </c>
      <c r="Y1259" s="11" t="s">
        <v>50</v>
      </c>
    </row>
    <row r="1260" customFormat="false" ht="15" hidden="false" customHeight="false" outlineLevel="0" collapsed="false">
      <c r="A1260" s="25" t="n">
        <v>43659</v>
      </c>
      <c r="B1260" s="13" t="n">
        <v>1</v>
      </c>
      <c r="C1260" s="26" t="s">
        <v>1291</v>
      </c>
      <c r="D1260" s="26"/>
      <c r="E1260" s="13" t="s">
        <v>926</v>
      </c>
      <c r="F1260" s="13" t="s">
        <v>132</v>
      </c>
      <c r="G1260" s="13"/>
      <c r="H1260" s="13" t="s">
        <v>23</v>
      </c>
      <c r="I1260" s="13"/>
      <c r="J1260" s="13" t="s">
        <v>97</v>
      </c>
      <c r="K1260" s="13" t="s">
        <v>134</v>
      </c>
      <c r="L1260" s="13" t="s">
        <v>1287</v>
      </c>
      <c r="M1260" s="13" t="s">
        <v>251</v>
      </c>
      <c r="N1260" s="27" t="n">
        <v>6874</v>
      </c>
      <c r="O1260" s="28" t="n">
        <v>805136.28</v>
      </c>
      <c r="P1260" s="27" t="n">
        <v>9500</v>
      </c>
      <c r="Q1260" s="29" t="n">
        <v>0.72</v>
      </c>
      <c r="R1260" s="28" t="n">
        <v>52</v>
      </c>
      <c r="S1260" s="28" t="n">
        <v>182</v>
      </c>
      <c r="T1260" s="28" t="n">
        <v>117.13</v>
      </c>
      <c r="U1260" s="13" t="n">
        <f aca="false">IFERROR(YEAR(A1260),"")</f>
        <v>2019</v>
      </c>
      <c r="V1260" s="28" t="n">
        <f aca="false">IFERROR(O1260*B1260,0)</f>
        <v>805136.28</v>
      </c>
      <c r="W1260" s="27" t="n">
        <f aca="false">IFERROR(N1260*B1260,0)</f>
        <v>6874</v>
      </c>
      <c r="X1260" s="13" t="n">
        <f aca="false">IF(OR(ISNUMBER(SEARCH("live nation",L1260)),ISNUMBER(SEARCH("ocesa",L1260))),1,0)</f>
        <v>1</v>
      </c>
      <c r="Y1260" s="13" t="s">
        <v>49</v>
      </c>
    </row>
    <row r="1261" customFormat="false" ht="15" hidden="false" customHeight="false" outlineLevel="0" collapsed="false">
      <c r="A1261" s="30" t="n">
        <v>43659</v>
      </c>
      <c r="B1261" s="11" t="n">
        <v>1</v>
      </c>
      <c r="C1261" s="31" t="s">
        <v>1260</v>
      </c>
      <c r="D1261" s="31"/>
      <c r="E1261" s="11" t="s">
        <v>1146</v>
      </c>
      <c r="F1261" s="11" t="s">
        <v>349</v>
      </c>
      <c r="G1261" s="11"/>
      <c r="H1261" s="11" t="s">
        <v>350</v>
      </c>
      <c r="I1261" s="11"/>
      <c r="J1261" s="11" t="s">
        <v>97</v>
      </c>
      <c r="K1261" s="11" t="s">
        <v>173</v>
      </c>
      <c r="L1261" s="11" t="s">
        <v>1322</v>
      </c>
      <c r="M1261" s="11" t="s">
        <v>251</v>
      </c>
      <c r="N1261" s="32" t="n">
        <v>8851</v>
      </c>
      <c r="O1261" s="33" t="n">
        <v>844273.46</v>
      </c>
      <c r="P1261" s="32" t="n">
        <v>9111</v>
      </c>
      <c r="Q1261" s="34" t="n">
        <v>0.97</v>
      </c>
      <c r="R1261" s="33" t="n">
        <v>56.83</v>
      </c>
      <c r="S1261" s="33" t="n">
        <v>204.6</v>
      </c>
      <c r="T1261" s="33" t="n">
        <v>95.39</v>
      </c>
      <c r="U1261" s="11" t="n">
        <f aca="false">IFERROR(YEAR(A1261),"")</f>
        <v>2019</v>
      </c>
      <c r="V1261" s="33" t="n">
        <f aca="false">IFERROR(O1261*B1261,0)</f>
        <v>844273.46</v>
      </c>
      <c r="W1261" s="32" t="n">
        <f aca="false">IFERROR(N1261*B1261,0)</f>
        <v>8851</v>
      </c>
      <c r="X1261" s="11" t="n">
        <f aca="false">IF(OR(ISNUMBER(SEARCH("live nation",L1261)),ISNUMBER(SEARCH("ocesa",L1261))),1,0)</f>
        <v>0</v>
      </c>
      <c r="Y1261" s="11" t="s">
        <v>49</v>
      </c>
    </row>
    <row r="1262" customFormat="false" ht="15" hidden="false" customHeight="false" outlineLevel="0" collapsed="false">
      <c r="A1262" s="25" t="n">
        <v>43656</v>
      </c>
      <c r="B1262" s="13" t="n">
        <v>1</v>
      </c>
      <c r="C1262" s="26" t="s">
        <v>1291</v>
      </c>
      <c r="D1262" s="26"/>
      <c r="E1262" s="13" t="s">
        <v>1323</v>
      </c>
      <c r="F1262" s="13" t="s">
        <v>231</v>
      </c>
      <c r="G1262" s="13" t="s">
        <v>202</v>
      </c>
      <c r="H1262" s="13" t="s">
        <v>20</v>
      </c>
      <c r="I1262" s="13" t="s">
        <v>232</v>
      </c>
      <c r="J1262" s="13" t="s">
        <v>97</v>
      </c>
      <c r="K1262" s="13" t="s">
        <v>107</v>
      </c>
      <c r="L1262" s="13" t="s">
        <v>177</v>
      </c>
      <c r="M1262" s="13" t="s">
        <v>251</v>
      </c>
      <c r="N1262" s="27" t="n">
        <v>5657</v>
      </c>
      <c r="O1262" s="28" t="n">
        <v>711584.23</v>
      </c>
      <c r="P1262" s="27" t="n">
        <v>6521</v>
      </c>
      <c r="Q1262" s="29" t="n">
        <v>0.86</v>
      </c>
      <c r="R1262" s="28" t="n">
        <v>47.14</v>
      </c>
      <c r="S1262" s="28" t="n">
        <v>190</v>
      </c>
      <c r="T1262" s="28" t="n">
        <v>125.79</v>
      </c>
      <c r="U1262" s="13" t="n">
        <f aca="false">IFERROR(YEAR(A1262),"")</f>
        <v>2019</v>
      </c>
      <c r="V1262" s="28" t="n">
        <f aca="false">IFERROR(O1262*B1262,0)</f>
        <v>711584.23</v>
      </c>
      <c r="W1262" s="27" t="n">
        <f aca="false">IFERROR(N1262*B1262,0)</f>
        <v>5657</v>
      </c>
      <c r="X1262" s="13" t="n">
        <f aca="false">IF(OR(ISNUMBER(SEARCH("live nation",L1262)),ISNUMBER(SEARCH("ocesa",L1262))),1,0)</f>
        <v>1</v>
      </c>
      <c r="Y1262" s="13" t="s">
        <v>49</v>
      </c>
    </row>
    <row r="1263" customFormat="false" ht="15" hidden="false" customHeight="false" outlineLevel="0" collapsed="false">
      <c r="A1263" s="30" t="n">
        <v>43652</v>
      </c>
      <c r="B1263" s="11" t="n">
        <v>1</v>
      </c>
      <c r="C1263" s="31" t="s">
        <v>1291</v>
      </c>
      <c r="D1263" s="31"/>
      <c r="E1263" s="11" t="s">
        <v>1269</v>
      </c>
      <c r="F1263" s="11" t="s">
        <v>201</v>
      </c>
      <c r="G1263" s="11" t="s">
        <v>202</v>
      </c>
      <c r="H1263" s="11" t="s">
        <v>20</v>
      </c>
      <c r="I1263" s="11" t="s">
        <v>203</v>
      </c>
      <c r="J1263" s="11" t="s">
        <v>97</v>
      </c>
      <c r="K1263" s="11" t="s">
        <v>107</v>
      </c>
      <c r="L1263" s="11" t="s">
        <v>177</v>
      </c>
      <c r="M1263" s="11" t="s">
        <v>251</v>
      </c>
      <c r="N1263" s="32" t="n">
        <v>8450</v>
      </c>
      <c r="O1263" s="33" t="n">
        <v>1049866</v>
      </c>
      <c r="P1263" s="32" t="n">
        <v>9469</v>
      </c>
      <c r="Q1263" s="34" t="n">
        <v>0.89</v>
      </c>
      <c r="R1263" s="33" t="n">
        <v>49.5</v>
      </c>
      <c r="S1263" s="33" t="n">
        <v>199.5</v>
      </c>
      <c r="T1263" s="33" t="n">
        <v>124.24</v>
      </c>
      <c r="U1263" s="11" t="n">
        <f aca="false">IFERROR(YEAR(A1263),"")</f>
        <v>2019</v>
      </c>
      <c r="V1263" s="33" t="n">
        <f aca="false">IFERROR(O1263*B1263,0)</f>
        <v>1049866</v>
      </c>
      <c r="W1263" s="32" t="n">
        <f aca="false">IFERROR(N1263*B1263,0)</f>
        <v>8450</v>
      </c>
      <c r="X1263" s="11" t="n">
        <f aca="false">IF(OR(ISNUMBER(SEARCH("live nation",L1263)),ISNUMBER(SEARCH("ocesa",L1263))),1,0)</f>
        <v>1</v>
      </c>
      <c r="Y1263" s="11" t="s">
        <v>49</v>
      </c>
    </row>
    <row r="1264" customFormat="false" ht="15" hidden="false" customHeight="false" outlineLevel="0" collapsed="false">
      <c r="A1264" s="25" t="n">
        <v>43652</v>
      </c>
      <c r="B1264" s="13" t="n">
        <v>2</v>
      </c>
      <c r="C1264" s="26" t="s">
        <v>968</v>
      </c>
      <c r="D1264" s="26" t="s">
        <v>1324</v>
      </c>
      <c r="E1264" s="13" t="s">
        <v>1026</v>
      </c>
      <c r="F1264" s="13" t="s">
        <v>139</v>
      </c>
      <c r="G1264" s="13" t="s">
        <v>139</v>
      </c>
      <c r="H1264" s="13" t="s">
        <v>20</v>
      </c>
      <c r="I1264" s="13" t="s">
        <v>139</v>
      </c>
      <c r="J1264" s="13" t="s">
        <v>97</v>
      </c>
      <c r="K1264" s="13" t="s">
        <v>107</v>
      </c>
      <c r="L1264" s="13" t="s">
        <v>1325</v>
      </c>
      <c r="M1264" s="13" t="s">
        <v>100</v>
      </c>
      <c r="N1264" s="27" t="n">
        <v>8428</v>
      </c>
      <c r="O1264" s="28" t="n">
        <v>928020</v>
      </c>
      <c r="P1264" s="27" t="n">
        <v>10076</v>
      </c>
      <c r="Q1264" s="29" t="n">
        <v>0.83</v>
      </c>
      <c r="R1264" s="28" t="n">
        <v>70</v>
      </c>
      <c r="S1264" s="28" t="n">
        <v>850</v>
      </c>
      <c r="T1264" s="28" t="n">
        <v>110.11</v>
      </c>
      <c r="U1264" s="13" t="n">
        <f aca="false">IFERROR(YEAR(A1264),"")</f>
        <v>2019</v>
      </c>
      <c r="V1264" s="28" t="n">
        <f aca="false">IFERROR(O1264*B1264,0)</f>
        <v>1856040</v>
      </c>
      <c r="W1264" s="27" t="n">
        <f aca="false">IFERROR(N1264*B1264,0)</f>
        <v>16856</v>
      </c>
      <c r="X1264" s="13" t="n">
        <f aca="false">IF(OR(ISNUMBER(SEARCH("live nation",L1264)),ISNUMBER(SEARCH("ocesa",L1264))),1,0)</f>
        <v>0</v>
      </c>
      <c r="Y1264" s="13" t="s">
        <v>49</v>
      </c>
    </row>
    <row r="1265" customFormat="false" ht="15" hidden="false" customHeight="false" outlineLevel="0" collapsed="false">
      <c r="A1265" s="30" t="n">
        <v>43652</v>
      </c>
      <c r="B1265" s="11" t="n">
        <v>2</v>
      </c>
      <c r="C1265" s="31" t="s">
        <v>60</v>
      </c>
      <c r="D1265" s="31"/>
      <c r="E1265" s="11" t="s">
        <v>598</v>
      </c>
      <c r="F1265" s="11" t="s">
        <v>370</v>
      </c>
      <c r="G1265" s="11"/>
      <c r="H1265" s="11" t="s">
        <v>21</v>
      </c>
      <c r="I1265" s="11"/>
      <c r="J1265" s="11" t="s">
        <v>133</v>
      </c>
      <c r="K1265" s="11" t="s">
        <v>113</v>
      </c>
      <c r="L1265" s="11" t="s">
        <v>1321</v>
      </c>
      <c r="M1265" s="11" t="s">
        <v>100</v>
      </c>
      <c r="N1265" s="32" t="n">
        <v>50777</v>
      </c>
      <c r="O1265" s="33" t="n">
        <v>4916305</v>
      </c>
      <c r="P1265" s="32" t="n">
        <v>50777</v>
      </c>
      <c r="Q1265" s="34" t="n">
        <v>1</v>
      </c>
      <c r="R1265" s="33" t="n">
        <v>100.01</v>
      </c>
      <c r="S1265" s="33" t="n">
        <v>110.01</v>
      </c>
      <c r="T1265" s="33" t="n">
        <v>96.82</v>
      </c>
      <c r="U1265" s="11" t="n">
        <f aca="false">IFERROR(YEAR(A1265),"")</f>
        <v>2019</v>
      </c>
      <c r="V1265" s="33" t="n">
        <f aca="false">IFERROR(O1265*B1265,0)</f>
        <v>9832610</v>
      </c>
      <c r="W1265" s="32" t="n">
        <f aca="false">IFERROR(N1265*B1265,0)</f>
        <v>101554</v>
      </c>
      <c r="X1265" s="11" t="n">
        <f aca="false">IF(OR(ISNUMBER(SEARCH("live nation",L1265)),ISNUMBER(SEARCH("ocesa",L1265))),1,0)</f>
        <v>0</v>
      </c>
      <c r="Y1265" s="11" t="s">
        <v>50</v>
      </c>
    </row>
    <row r="1266" customFormat="false" ht="15" hidden="false" customHeight="false" outlineLevel="0" collapsed="false">
      <c r="A1266" s="25" t="n">
        <v>43649</v>
      </c>
      <c r="B1266" s="13" t="n">
        <v>1</v>
      </c>
      <c r="C1266" s="26" t="s">
        <v>1291</v>
      </c>
      <c r="D1266" s="26"/>
      <c r="E1266" s="13" t="s">
        <v>373</v>
      </c>
      <c r="F1266" s="13" t="s">
        <v>374</v>
      </c>
      <c r="G1266" s="13" t="s">
        <v>143</v>
      </c>
      <c r="H1266" s="13" t="s">
        <v>20</v>
      </c>
      <c r="I1266" s="13" t="s">
        <v>375</v>
      </c>
      <c r="J1266" s="13" t="s">
        <v>97</v>
      </c>
      <c r="K1266" s="13" t="s">
        <v>107</v>
      </c>
      <c r="L1266" s="13" t="s">
        <v>177</v>
      </c>
      <c r="M1266" s="13" t="s">
        <v>251</v>
      </c>
      <c r="N1266" s="27" t="n">
        <v>5974</v>
      </c>
      <c r="O1266" s="28" t="n">
        <v>431713.62</v>
      </c>
      <c r="P1266" s="27" t="n">
        <v>6644</v>
      </c>
      <c r="Q1266" s="29" t="n">
        <v>0.89</v>
      </c>
      <c r="R1266" s="28" t="n">
        <v>44</v>
      </c>
      <c r="S1266" s="28" t="n">
        <v>194</v>
      </c>
      <c r="T1266" s="28" t="n">
        <v>72.27</v>
      </c>
      <c r="U1266" s="13" t="n">
        <f aca="false">IFERROR(YEAR(A1266),"")</f>
        <v>2019</v>
      </c>
      <c r="V1266" s="28" t="n">
        <f aca="false">IFERROR(O1266*B1266,0)</f>
        <v>431713.62</v>
      </c>
      <c r="W1266" s="27" t="n">
        <f aca="false">IFERROR(N1266*B1266,0)</f>
        <v>5974</v>
      </c>
      <c r="X1266" s="13" t="n">
        <f aca="false">IF(OR(ISNUMBER(SEARCH("live nation",L1266)),ISNUMBER(SEARCH("ocesa",L1266))),1,0)</f>
        <v>1</v>
      </c>
      <c r="Y1266" s="13" t="s">
        <v>49</v>
      </c>
    </row>
    <row r="1267" customFormat="false" ht="15" hidden="false" customHeight="false" outlineLevel="0" collapsed="false">
      <c r="A1267" s="30" t="n">
        <v>43649</v>
      </c>
      <c r="B1267" s="11" t="n">
        <v>1</v>
      </c>
      <c r="C1267" s="31" t="s">
        <v>1260</v>
      </c>
      <c r="D1267" s="31"/>
      <c r="E1267" s="11" t="s">
        <v>1015</v>
      </c>
      <c r="F1267" s="11" t="s">
        <v>561</v>
      </c>
      <c r="G1267" s="11"/>
      <c r="H1267" s="11" t="s">
        <v>449</v>
      </c>
      <c r="I1267" s="11"/>
      <c r="J1267" s="11" t="s">
        <v>121</v>
      </c>
      <c r="K1267" s="11" t="s">
        <v>173</v>
      </c>
      <c r="L1267" s="11" t="s">
        <v>453</v>
      </c>
      <c r="M1267" s="11" t="s">
        <v>251</v>
      </c>
      <c r="N1267" s="32" t="n">
        <v>3477</v>
      </c>
      <c r="O1267" s="33" t="n">
        <v>355154.53</v>
      </c>
      <c r="P1267" s="32" t="n">
        <v>4812</v>
      </c>
      <c r="Q1267" s="34" t="n">
        <v>0.72</v>
      </c>
      <c r="R1267" s="33" t="n">
        <v>62.52</v>
      </c>
      <c r="S1267" s="33" t="n">
        <v>204.6</v>
      </c>
      <c r="T1267" s="33" t="n">
        <v>102.14</v>
      </c>
      <c r="U1267" s="11" t="n">
        <f aca="false">IFERROR(YEAR(A1267),"")</f>
        <v>2019</v>
      </c>
      <c r="V1267" s="33" t="n">
        <f aca="false">IFERROR(O1267*B1267,0)</f>
        <v>355154.53</v>
      </c>
      <c r="W1267" s="32" t="n">
        <f aca="false">IFERROR(N1267*B1267,0)</f>
        <v>3477</v>
      </c>
      <c r="X1267" s="11" t="n">
        <f aca="false">IF(OR(ISNUMBER(SEARCH("live nation",L1267)),ISNUMBER(SEARCH("ocesa",L1267))),1,0)</f>
        <v>0</v>
      </c>
      <c r="Y1267" s="11" t="s">
        <v>49</v>
      </c>
    </row>
    <row r="1268" customFormat="false" ht="15" hidden="false" customHeight="false" outlineLevel="0" collapsed="false">
      <c r="A1268" s="25" t="n">
        <v>43648</v>
      </c>
      <c r="B1268" s="13" t="n">
        <v>1</v>
      </c>
      <c r="C1268" s="26" t="s">
        <v>272</v>
      </c>
      <c r="D1268" s="26" t="s">
        <v>1326</v>
      </c>
      <c r="E1268" s="13" t="s">
        <v>1327</v>
      </c>
      <c r="F1268" s="13" t="s">
        <v>313</v>
      </c>
      <c r="G1268" s="13"/>
      <c r="H1268" s="13" t="s">
        <v>27</v>
      </c>
      <c r="I1268" s="13"/>
      <c r="J1268" s="13" t="s">
        <v>121</v>
      </c>
      <c r="K1268" s="13" t="s">
        <v>314</v>
      </c>
      <c r="L1268" s="13" t="s">
        <v>1271</v>
      </c>
      <c r="M1268" s="13" t="s">
        <v>277</v>
      </c>
      <c r="N1268" s="27" t="n">
        <v>3272</v>
      </c>
      <c r="O1268" s="28" t="n">
        <v>214571.26</v>
      </c>
      <c r="P1268" s="27" t="n">
        <v>4739</v>
      </c>
      <c r="Q1268" s="29" t="n">
        <v>0.69</v>
      </c>
      <c r="R1268" s="28" t="n">
        <v>57.11</v>
      </c>
      <c r="S1268" s="28" t="n">
        <v>190.36</v>
      </c>
      <c r="T1268" s="28" t="n">
        <v>65.58</v>
      </c>
      <c r="U1268" s="13" t="n">
        <f aca="false">IFERROR(YEAR(A1268),"")</f>
        <v>2019</v>
      </c>
      <c r="V1268" s="28" t="n">
        <f aca="false">IFERROR(O1268*B1268,0)</f>
        <v>214571.26</v>
      </c>
      <c r="W1268" s="27" t="n">
        <f aca="false">IFERROR(N1268*B1268,0)</f>
        <v>3272</v>
      </c>
      <c r="X1268" s="13" t="n">
        <f aca="false">IF(OR(ISNUMBER(SEARCH("live nation",L1268)),ISNUMBER(SEARCH("ocesa",L1268))),1,0)</f>
        <v>0</v>
      </c>
      <c r="Y1268" s="13" t="s">
        <v>49</v>
      </c>
    </row>
    <row r="1269" customFormat="false" ht="15" hidden="false" customHeight="false" outlineLevel="0" collapsed="false">
      <c r="A1269" s="30" t="n">
        <v>43646</v>
      </c>
      <c r="B1269" s="11" t="n">
        <v>1</v>
      </c>
      <c r="C1269" s="31" t="s">
        <v>1291</v>
      </c>
      <c r="D1269" s="31"/>
      <c r="E1269" s="11" t="s">
        <v>838</v>
      </c>
      <c r="F1269" s="11" t="s">
        <v>550</v>
      </c>
      <c r="G1269" s="11" t="s">
        <v>328</v>
      </c>
      <c r="H1269" s="11" t="s">
        <v>128</v>
      </c>
      <c r="I1269" s="11"/>
      <c r="J1269" s="11" t="s">
        <v>97</v>
      </c>
      <c r="K1269" s="11" t="s">
        <v>129</v>
      </c>
      <c r="L1269" s="11" t="s">
        <v>177</v>
      </c>
      <c r="M1269" s="11" t="s">
        <v>251</v>
      </c>
      <c r="N1269" s="32" t="n">
        <v>5497</v>
      </c>
      <c r="O1269" s="33" t="n">
        <v>551751.12</v>
      </c>
      <c r="P1269" s="32" t="n">
        <v>5497</v>
      </c>
      <c r="Q1269" s="34" t="n">
        <v>1</v>
      </c>
      <c r="R1269" s="33" t="n">
        <v>43.97</v>
      </c>
      <c r="S1269" s="33" t="n">
        <v>184.36</v>
      </c>
      <c r="T1269" s="33" t="n">
        <v>100.37</v>
      </c>
      <c r="U1269" s="11" t="n">
        <f aca="false">IFERROR(YEAR(A1269),"")</f>
        <v>2019</v>
      </c>
      <c r="V1269" s="33" t="n">
        <f aca="false">IFERROR(O1269*B1269,0)</f>
        <v>551751.12</v>
      </c>
      <c r="W1269" s="32" t="n">
        <f aca="false">IFERROR(N1269*B1269,0)</f>
        <v>5497</v>
      </c>
      <c r="X1269" s="11" t="n">
        <f aca="false">IF(OR(ISNUMBER(SEARCH("live nation",L1269)),ISNUMBER(SEARCH("ocesa",L1269))),1,0)</f>
        <v>1</v>
      </c>
      <c r="Y1269" s="11" t="s">
        <v>49</v>
      </c>
    </row>
    <row r="1270" customFormat="false" ht="15" hidden="false" customHeight="false" outlineLevel="0" collapsed="false">
      <c r="A1270" s="25" t="n">
        <v>43643</v>
      </c>
      <c r="B1270" s="13" t="n">
        <v>1</v>
      </c>
      <c r="C1270" s="26" t="s">
        <v>1291</v>
      </c>
      <c r="D1270" s="26"/>
      <c r="E1270" s="13" t="s">
        <v>506</v>
      </c>
      <c r="F1270" s="13" t="s">
        <v>507</v>
      </c>
      <c r="G1270" s="13" t="s">
        <v>221</v>
      </c>
      <c r="H1270" s="13" t="s">
        <v>20</v>
      </c>
      <c r="I1270" s="13" t="s">
        <v>139</v>
      </c>
      <c r="J1270" s="13" t="s">
        <v>97</v>
      </c>
      <c r="K1270" s="13" t="s">
        <v>107</v>
      </c>
      <c r="L1270" s="13" t="s">
        <v>1023</v>
      </c>
      <c r="M1270" s="13" t="s">
        <v>251</v>
      </c>
      <c r="N1270" s="27" t="n">
        <v>5571</v>
      </c>
      <c r="O1270" s="28" t="n">
        <v>721289</v>
      </c>
      <c r="P1270" s="27" t="n">
        <v>7717</v>
      </c>
      <c r="Q1270" s="29" t="n">
        <v>0.72</v>
      </c>
      <c r="R1270" s="28" t="n">
        <v>44.5</v>
      </c>
      <c r="S1270" s="28" t="n">
        <v>194.5</v>
      </c>
      <c r="T1270" s="28" t="n">
        <v>129.47</v>
      </c>
      <c r="U1270" s="13" t="n">
        <f aca="false">IFERROR(YEAR(A1270),"")</f>
        <v>2019</v>
      </c>
      <c r="V1270" s="28" t="n">
        <f aca="false">IFERROR(O1270*B1270,0)</f>
        <v>721289</v>
      </c>
      <c r="W1270" s="27" t="n">
        <f aca="false">IFERROR(N1270*B1270,0)</f>
        <v>5571</v>
      </c>
      <c r="X1270" s="13" t="n">
        <f aca="false">IF(OR(ISNUMBER(SEARCH("live nation",L1270)),ISNUMBER(SEARCH("ocesa",L1270))),1,0)</f>
        <v>1</v>
      </c>
      <c r="Y1270" s="13" t="s">
        <v>49</v>
      </c>
    </row>
    <row r="1271" customFormat="false" ht="15" hidden="false" customHeight="false" outlineLevel="0" collapsed="false">
      <c r="A1271" s="30" t="n">
        <v>43629</v>
      </c>
      <c r="B1271" s="11" t="n">
        <v>1</v>
      </c>
      <c r="C1271" s="31" t="s">
        <v>69</v>
      </c>
      <c r="D1271" s="31"/>
      <c r="E1271" s="11" t="s">
        <v>330</v>
      </c>
      <c r="F1271" s="11" t="s">
        <v>295</v>
      </c>
      <c r="G1271" s="11"/>
      <c r="H1271" s="11" t="s">
        <v>28</v>
      </c>
      <c r="I1271" s="11"/>
      <c r="J1271" s="11" t="s">
        <v>97</v>
      </c>
      <c r="K1271" s="11" t="s">
        <v>98</v>
      </c>
      <c r="L1271" s="11" t="s">
        <v>177</v>
      </c>
      <c r="M1271" s="11" t="s">
        <v>100</v>
      </c>
      <c r="N1271" s="32" t="n">
        <v>12173</v>
      </c>
      <c r="O1271" s="33" t="n">
        <v>1191195.81</v>
      </c>
      <c r="P1271" s="32" t="n">
        <v>12173</v>
      </c>
      <c r="Q1271" s="34" t="n">
        <v>1</v>
      </c>
      <c r="R1271" s="33" t="n">
        <v>70.4</v>
      </c>
      <c r="S1271" s="33" t="n">
        <v>140.86</v>
      </c>
      <c r="T1271" s="33" t="n">
        <v>97.86</v>
      </c>
      <c r="U1271" s="11" t="n">
        <f aca="false">IFERROR(YEAR(A1271),"")</f>
        <v>2019</v>
      </c>
      <c r="V1271" s="33" t="n">
        <f aca="false">IFERROR(O1271*B1271,0)</f>
        <v>1191195.81</v>
      </c>
      <c r="W1271" s="32" t="n">
        <f aca="false">IFERROR(N1271*B1271,0)</f>
        <v>12173</v>
      </c>
      <c r="X1271" s="11" t="n">
        <f aca="false">IF(OR(ISNUMBER(SEARCH("live nation",L1271)),ISNUMBER(SEARCH("ocesa",L1271))),1,0)</f>
        <v>1</v>
      </c>
      <c r="Y1271" s="11" t="s">
        <v>49</v>
      </c>
    </row>
    <row r="1272" customFormat="false" ht="15" hidden="false" customHeight="false" outlineLevel="0" collapsed="false">
      <c r="A1272" s="25" t="n">
        <v>43623</v>
      </c>
      <c r="B1272" s="13" t="n">
        <v>2</v>
      </c>
      <c r="C1272" s="26" t="s">
        <v>60</v>
      </c>
      <c r="D1272" s="26"/>
      <c r="E1272" s="13" t="s">
        <v>605</v>
      </c>
      <c r="F1272" s="13" t="s">
        <v>606</v>
      </c>
      <c r="G1272" s="13"/>
      <c r="H1272" s="13" t="s">
        <v>26</v>
      </c>
      <c r="I1272" s="13"/>
      <c r="J1272" s="13" t="s">
        <v>133</v>
      </c>
      <c r="K1272" s="13" t="s">
        <v>173</v>
      </c>
      <c r="L1272" s="13" t="s">
        <v>177</v>
      </c>
      <c r="M1272" s="13" t="s">
        <v>100</v>
      </c>
      <c r="N1272" s="27" t="n">
        <v>53664</v>
      </c>
      <c r="O1272" s="28" t="n">
        <v>6864298.77</v>
      </c>
      <c r="P1272" s="27" t="n">
        <v>53664</v>
      </c>
      <c r="Q1272" s="29" t="n">
        <v>1</v>
      </c>
      <c r="R1272" s="28" t="n">
        <v>66.9</v>
      </c>
      <c r="S1272" s="28" t="n">
        <v>200.71</v>
      </c>
      <c r="T1272" s="28" t="n">
        <v>127.91</v>
      </c>
      <c r="U1272" s="13" t="n">
        <f aca="false">IFERROR(YEAR(A1272),"")</f>
        <v>2019</v>
      </c>
      <c r="V1272" s="28" t="n">
        <f aca="false">IFERROR(O1272*B1272,0)</f>
        <v>13728597.54</v>
      </c>
      <c r="W1272" s="27" t="n">
        <f aca="false">IFERROR(N1272*B1272,0)</f>
        <v>107328</v>
      </c>
      <c r="X1272" s="13" t="n">
        <f aca="false">IF(OR(ISNUMBER(SEARCH("live nation",L1272)),ISNUMBER(SEARCH("ocesa",L1272))),1,0)</f>
        <v>1</v>
      </c>
      <c r="Y1272" s="13" t="s">
        <v>49</v>
      </c>
    </row>
    <row r="1273" customFormat="false" ht="15" hidden="false" customHeight="false" outlineLevel="0" collapsed="false">
      <c r="A1273" s="30" t="n">
        <v>43617</v>
      </c>
      <c r="B1273" s="11" t="n">
        <v>2</v>
      </c>
      <c r="C1273" s="31" t="s">
        <v>60</v>
      </c>
      <c r="D1273" s="31"/>
      <c r="E1273" s="11" t="s">
        <v>1328</v>
      </c>
      <c r="F1273" s="11" t="s">
        <v>313</v>
      </c>
      <c r="G1273" s="11"/>
      <c r="H1273" s="11" t="s">
        <v>27</v>
      </c>
      <c r="I1273" s="11"/>
      <c r="J1273" s="11" t="s">
        <v>133</v>
      </c>
      <c r="K1273" s="11" t="s">
        <v>314</v>
      </c>
      <c r="L1273" s="11" t="s">
        <v>177</v>
      </c>
      <c r="M1273" s="11" t="s">
        <v>100</v>
      </c>
      <c r="N1273" s="32" t="n">
        <v>57291</v>
      </c>
      <c r="O1273" s="33" t="n">
        <v>6772850.64</v>
      </c>
      <c r="P1273" s="32" t="n">
        <v>57291</v>
      </c>
      <c r="Q1273" s="34" t="n">
        <v>1</v>
      </c>
      <c r="R1273" s="33" t="n">
        <v>58.69</v>
      </c>
      <c r="S1273" s="33" t="n">
        <v>208.68</v>
      </c>
      <c r="T1273" s="33" t="n">
        <v>118.22</v>
      </c>
      <c r="U1273" s="11" t="n">
        <f aca="false">IFERROR(YEAR(A1273),"")</f>
        <v>2019</v>
      </c>
      <c r="V1273" s="33" t="n">
        <f aca="false">IFERROR(O1273*B1273,0)</f>
        <v>13545701.28</v>
      </c>
      <c r="W1273" s="32" t="n">
        <f aca="false">IFERROR(N1273*B1273,0)</f>
        <v>114582</v>
      </c>
      <c r="X1273" s="11" t="n">
        <f aca="false">IF(OR(ISNUMBER(SEARCH("live nation",L1273)),ISNUMBER(SEARCH("ocesa",L1273))),1,0)</f>
        <v>1</v>
      </c>
      <c r="Y1273" s="11" t="s">
        <v>49</v>
      </c>
    </row>
    <row r="1274" customFormat="false" ht="15" hidden="false" customHeight="false" outlineLevel="0" collapsed="false">
      <c r="A1274" s="25" t="n">
        <v>43610</v>
      </c>
      <c r="B1274" s="13" t="n">
        <v>2</v>
      </c>
      <c r="C1274" s="26" t="s">
        <v>60</v>
      </c>
      <c r="D1274" s="26"/>
      <c r="E1274" s="13" t="s">
        <v>1069</v>
      </c>
      <c r="F1274" s="13" t="s">
        <v>582</v>
      </c>
      <c r="G1274" s="13"/>
      <c r="H1274" s="13" t="s">
        <v>583</v>
      </c>
      <c r="I1274" s="13"/>
      <c r="J1274" s="13" t="s">
        <v>133</v>
      </c>
      <c r="K1274" s="13" t="s">
        <v>584</v>
      </c>
      <c r="L1274" s="13" t="s">
        <v>177</v>
      </c>
      <c r="M1274" s="13" t="s">
        <v>100</v>
      </c>
      <c r="N1274" s="27" t="n">
        <v>42364</v>
      </c>
      <c r="O1274" s="28" t="n">
        <v>3856158.95</v>
      </c>
      <c r="P1274" s="27" t="n">
        <v>42364</v>
      </c>
      <c r="Q1274" s="29" t="n">
        <v>1</v>
      </c>
      <c r="R1274" s="28" t="n">
        <v>36.81</v>
      </c>
      <c r="S1274" s="28" t="n">
        <v>190.41</v>
      </c>
      <c r="T1274" s="28" t="n">
        <v>91.02</v>
      </c>
      <c r="U1274" s="13" t="n">
        <f aca="false">IFERROR(YEAR(A1274),"")</f>
        <v>2019</v>
      </c>
      <c r="V1274" s="28" t="n">
        <f aca="false">IFERROR(O1274*B1274,0)</f>
        <v>7712317.9</v>
      </c>
      <c r="W1274" s="27" t="n">
        <f aca="false">IFERROR(N1274*B1274,0)</f>
        <v>84728</v>
      </c>
      <c r="X1274" s="13" t="n">
        <f aca="false">IF(OR(ISNUMBER(SEARCH("live nation",L1274)),ISNUMBER(SEARCH("ocesa",L1274))),1,0)</f>
        <v>1</v>
      </c>
      <c r="Y1274" s="13" t="s">
        <v>49</v>
      </c>
    </row>
    <row r="1275" customFormat="false" ht="15" hidden="false" customHeight="false" outlineLevel="0" collapsed="false">
      <c r="A1275" s="30" t="n">
        <v>43604</v>
      </c>
      <c r="B1275" s="11" t="n">
        <v>1</v>
      </c>
      <c r="C1275" s="31" t="s">
        <v>798</v>
      </c>
      <c r="D1275" s="31"/>
      <c r="E1275" s="11" t="s">
        <v>1329</v>
      </c>
      <c r="F1275" s="11" t="s">
        <v>524</v>
      </c>
      <c r="G1275" s="11" t="s">
        <v>525</v>
      </c>
      <c r="H1275" s="11" t="s">
        <v>128</v>
      </c>
      <c r="I1275" s="11"/>
      <c r="J1275" s="11" t="s">
        <v>97</v>
      </c>
      <c r="K1275" s="11" t="s">
        <v>129</v>
      </c>
      <c r="L1275" s="11" t="s">
        <v>1330</v>
      </c>
      <c r="M1275" s="11" t="s">
        <v>100</v>
      </c>
      <c r="N1275" s="32" t="n">
        <v>3989</v>
      </c>
      <c r="O1275" s="33" t="n">
        <v>500722.35</v>
      </c>
      <c r="P1275" s="32" t="n">
        <v>7000</v>
      </c>
      <c r="Q1275" s="34" t="n">
        <v>0.56</v>
      </c>
      <c r="R1275" s="33" t="n">
        <v>72.08</v>
      </c>
      <c r="S1275" s="33" t="n">
        <v>216.6</v>
      </c>
      <c r="T1275" s="33" t="n">
        <v>125.53</v>
      </c>
      <c r="U1275" s="11" t="n">
        <f aca="false">IFERROR(YEAR(A1275),"")</f>
        <v>2019</v>
      </c>
      <c r="V1275" s="33" t="n">
        <f aca="false">IFERROR(O1275*B1275,0)</f>
        <v>500722.35</v>
      </c>
      <c r="W1275" s="32" t="n">
        <f aca="false">IFERROR(N1275*B1275,0)</f>
        <v>3989</v>
      </c>
      <c r="X1275" s="11" t="n">
        <f aca="false">IF(OR(ISNUMBER(SEARCH("live nation",L1275)),ISNUMBER(SEARCH("ocesa",L1275))),1,0)</f>
        <v>0</v>
      </c>
      <c r="Y1275" s="11" t="s">
        <v>49</v>
      </c>
    </row>
    <row r="1276" customFormat="false" ht="15" hidden="false" customHeight="false" outlineLevel="0" collapsed="false">
      <c r="A1276" s="25" t="n">
        <v>43603</v>
      </c>
      <c r="B1276" s="13" t="n">
        <v>2</v>
      </c>
      <c r="C1276" s="26" t="s">
        <v>60</v>
      </c>
      <c r="D1276" s="26"/>
      <c r="E1276" s="13" t="s">
        <v>1170</v>
      </c>
      <c r="F1276" s="13" t="s">
        <v>1171</v>
      </c>
      <c r="G1276" s="13" t="s">
        <v>221</v>
      </c>
      <c r="H1276" s="13" t="s">
        <v>20</v>
      </c>
      <c r="I1276" s="13" t="s">
        <v>139</v>
      </c>
      <c r="J1276" s="13" t="s">
        <v>133</v>
      </c>
      <c r="K1276" s="13" t="s">
        <v>107</v>
      </c>
      <c r="L1276" s="13" t="s">
        <v>177</v>
      </c>
      <c r="M1276" s="13" t="s">
        <v>100</v>
      </c>
      <c r="N1276" s="27" t="n">
        <v>49287</v>
      </c>
      <c r="O1276" s="28" t="n">
        <v>7025205</v>
      </c>
      <c r="P1276" s="27" t="n">
        <v>49287</v>
      </c>
      <c r="Q1276" s="29" t="n">
        <v>1</v>
      </c>
      <c r="R1276" s="28" t="n">
        <v>55</v>
      </c>
      <c r="S1276" s="28" t="n">
        <v>250</v>
      </c>
      <c r="T1276" s="28" t="n">
        <v>142.54</v>
      </c>
      <c r="U1276" s="13" t="n">
        <f aca="false">IFERROR(YEAR(A1276),"")</f>
        <v>2019</v>
      </c>
      <c r="V1276" s="28" t="n">
        <f aca="false">IFERROR(O1276*B1276,0)</f>
        <v>14050410</v>
      </c>
      <c r="W1276" s="27" t="n">
        <f aca="false">IFERROR(N1276*B1276,0)</f>
        <v>98574</v>
      </c>
      <c r="X1276" s="13" t="n">
        <f aca="false">IF(OR(ISNUMBER(SEARCH("live nation",L1276)),ISNUMBER(SEARCH("ocesa",L1276))),1,0)</f>
        <v>1</v>
      </c>
      <c r="Y1276" s="13" t="s">
        <v>49</v>
      </c>
    </row>
    <row r="1277" customFormat="false" ht="15" hidden="false" customHeight="false" outlineLevel="0" collapsed="false">
      <c r="A1277" s="30" t="n">
        <v>43599</v>
      </c>
      <c r="B1277" s="11" t="n">
        <v>1</v>
      </c>
      <c r="C1277" s="31" t="s">
        <v>66</v>
      </c>
      <c r="D1277" s="31"/>
      <c r="E1277" s="11" t="s">
        <v>1331</v>
      </c>
      <c r="F1277" s="11" t="s">
        <v>507</v>
      </c>
      <c r="G1277" s="11" t="s">
        <v>221</v>
      </c>
      <c r="H1277" s="11" t="s">
        <v>20</v>
      </c>
      <c r="I1277" s="11" t="s">
        <v>139</v>
      </c>
      <c r="J1277" s="11" t="s">
        <v>121</v>
      </c>
      <c r="K1277" s="11" t="s">
        <v>107</v>
      </c>
      <c r="L1277" s="11" t="s">
        <v>122</v>
      </c>
      <c r="M1277" s="11" t="s">
        <v>100</v>
      </c>
      <c r="N1277" s="32" t="n">
        <v>5359</v>
      </c>
      <c r="O1277" s="33" t="n">
        <v>729771</v>
      </c>
      <c r="P1277" s="32" t="n">
        <v>5526</v>
      </c>
      <c r="Q1277" s="34" t="n">
        <v>0.96</v>
      </c>
      <c r="R1277" s="33" t="n">
        <v>69</v>
      </c>
      <c r="S1277" s="33" t="n">
        <v>199</v>
      </c>
      <c r="T1277" s="33" t="n">
        <v>136.18</v>
      </c>
      <c r="U1277" s="11" t="n">
        <f aca="false">IFERROR(YEAR(A1277),"")</f>
        <v>2019</v>
      </c>
      <c r="V1277" s="33" t="n">
        <f aca="false">IFERROR(O1277*B1277,0)</f>
        <v>729771</v>
      </c>
      <c r="W1277" s="32" t="n">
        <f aca="false">IFERROR(N1277*B1277,0)</f>
        <v>5359</v>
      </c>
      <c r="X1277" s="11" t="n">
        <f aca="false">IF(OR(ISNUMBER(SEARCH("live nation",L1277)),ISNUMBER(SEARCH("ocesa",L1277))),1,0)</f>
        <v>0</v>
      </c>
      <c r="Y1277" s="11" t="s">
        <v>49</v>
      </c>
    </row>
    <row r="1278" customFormat="false" ht="15" hidden="false" customHeight="false" outlineLevel="0" collapsed="false">
      <c r="A1278" s="25" t="n">
        <v>43597</v>
      </c>
      <c r="B1278" s="13" t="n">
        <v>1</v>
      </c>
      <c r="C1278" s="26" t="s">
        <v>798</v>
      </c>
      <c r="D1278" s="26"/>
      <c r="E1278" s="13" t="s">
        <v>1256</v>
      </c>
      <c r="F1278" s="13" t="s">
        <v>203</v>
      </c>
      <c r="G1278" s="13" t="s">
        <v>202</v>
      </c>
      <c r="H1278" s="13" t="s">
        <v>20</v>
      </c>
      <c r="I1278" s="13" t="s">
        <v>203</v>
      </c>
      <c r="J1278" s="13" t="s">
        <v>121</v>
      </c>
      <c r="K1278" s="13" t="s">
        <v>107</v>
      </c>
      <c r="L1278" s="13" t="s">
        <v>1279</v>
      </c>
      <c r="M1278" s="13" t="s">
        <v>100</v>
      </c>
      <c r="N1278" s="27" t="n">
        <v>6534</v>
      </c>
      <c r="O1278" s="28" t="n">
        <v>835589</v>
      </c>
      <c r="P1278" s="27" t="n">
        <v>6785</v>
      </c>
      <c r="Q1278" s="29" t="n">
        <v>0.96</v>
      </c>
      <c r="R1278" s="28" t="n">
        <v>69</v>
      </c>
      <c r="S1278" s="28" t="n">
        <v>205</v>
      </c>
      <c r="T1278" s="28" t="n">
        <v>127.88</v>
      </c>
      <c r="U1278" s="13" t="n">
        <f aca="false">IFERROR(YEAR(A1278),"")</f>
        <v>2019</v>
      </c>
      <c r="V1278" s="28" t="n">
        <f aca="false">IFERROR(O1278*B1278,0)</f>
        <v>835589</v>
      </c>
      <c r="W1278" s="27" t="n">
        <f aca="false">IFERROR(N1278*B1278,0)</f>
        <v>6534</v>
      </c>
      <c r="X1278" s="13" t="n">
        <f aca="false">IF(OR(ISNUMBER(SEARCH("live nation",L1278)),ISNUMBER(SEARCH("ocesa",L1278))),1,0)</f>
        <v>0</v>
      </c>
      <c r="Y1278" s="13" t="s">
        <v>49</v>
      </c>
    </row>
    <row r="1279" customFormat="false" ht="15" hidden="false" customHeight="false" outlineLevel="0" collapsed="false">
      <c r="A1279" s="30" t="n">
        <v>43596</v>
      </c>
      <c r="B1279" s="11" t="n">
        <v>2</v>
      </c>
      <c r="C1279" s="31" t="s">
        <v>60</v>
      </c>
      <c r="D1279" s="31"/>
      <c r="E1279" s="11" t="s">
        <v>1332</v>
      </c>
      <c r="F1279" s="11" t="s">
        <v>209</v>
      </c>
      <c r="G1279" s="11" t="s">
        <v>208</v>
      </c>
      <c r="H1279" s="11" t="s">
        <v>20</v>
      </c>
      <c r="I1279" s="11" t="s">
        <v>209</v>
      </c>
      <c r="J1279" s="11" t="s">
        <v>133</v>
      </c>
      <c r="K1279" s="11" t="s">
        <v>107</v>
      </c>
      <c r="L1279" s="11" t="s">
        <v>177</v>
      </c>
      <c r="M1279" s="11" t="s">
        <v>100</v>
      </c>
      <c r="N1279" s="32" t="n">
        <v>44078</v>
      </c>
      <c r="O1279" s="33" t="n">
        <v>6672897.5</v>
      </c>
      <c r="P1279" s="32" t="n">
        <v>44078</v>
      </c>
      <c r="Q1279" s="34" t="n">
        <v>1</v>
      </c>
      <c r="R1279" s="33" t="n">
        <v>55</v>
      </c>
      <c r="S1279" s="33" t="n">
        <v>250</v>
      </c>
      <c r="T1279" s="33" t="n">
        <v>151.39</v>
      </c>
      <c r="U1279" s="11" t="n">
        <f aca="false">IFERROR(YEAR(A1279),"")</f>
        <v>2019</v>
      </c>
      <c r="V1279" s="33" t="n">
        <f aca="false">IFERROR(O1279*B1279,0)</f>
        <v>13345795</v>
      </c>
      <c r="W1279" s="32" t="n">
        <f aca="false">IFERROR(N1279*B1279,0)</f>
        <v>88156</v>
      </c>
      <c r="X1279" s="11" t="n">
        <f aca="false">IF(OR(ISNUMBER(SEARCH("live nation",L1279)),ISNUMBER(SEARCH("ocesa",L1279))),1,0)</f>
        <v>1</v>
      </c>
      <c r="Y1279" s="11" t="s">
        <v>49</v>
      </c>
    </row>
    <row r="1280" customFormat="false" ht="15" hidden="false" customHeight="false" outlineLevel="0" collapsed="false">
      <c r="A1280" s="25" t="n">
        <v>43592</v>
      </c>
      <c r="B1280" s="13" t="n">
        <v>1</v>
      </c>
      <c r="C1280" s="26" t="s">
        <v>798</v>
      </c>
      <c r="D1280" s="26"/>
      <c r="E1280" s="13" t="s">
        <v>487</v>
      </c>
      <c r="F1280" s="13" t="s">
        <v>207</v>
      </c>
      <c r="G1280" s="13" t="s">
        <v>208</v>
      </c>
      <c r="H1280" s="13" t="s">
        <v>20</v>
      </c>
      <c r="I1280" s="13" t="s">
        <v>209</v>
      </c>
      <c r="J1280" s="13" t="s">
        <v>121</v>
      </c>
      <c r="K1280" s="13" t="s">
        <v>107</v>
      </c>
      <c r="L1280" s="13" t="s">
        <v>1279</v>
      </c>
      <c r="M1280" s="13" t="s">
        <v>100</v>
      </c>
      <c r="N1280" s="27" t="n">
        <v>4128</v>
      </c>
      <c r="O1280" s="28" t="n">
        <v>568512</v>
      </c>
      <c r="P1280" s="27" t="n">
        <v>4128</v>
      </c>
      <c r="Q1280" s="29" t="n">
        <v>1</v>
      </c>
      <c r="R1280" s="28" t="n">
        <v>69</v>
      </c>
      <c r="S1280" s="28" t="n">
        <v>205</v>
      </c>
      <c r="T1280" s="28" t="n">
        <v>137.72</v>
      </c>
      <c r="U1280" s="13" t="n">
        <f aca="false">IFERROR(YEAR(A1280),"")</f>
        <v>2019</v>
      </c>
      <c r="V1280" s="28" t="n">
        <f aca="false">IFERROR(O1280*B1280,0)</f>
        <v>568512</v>
      </c>
      <c r="W1280" s="27" t="n">
        <f aca="false">IFERROR(N1280*B1280,0)</f>
        <v>4128</v>
      </c>
      <c r="X1280" s="13" t="n">
        <f aca="false">IF(OR(ISNUMBER(SEARCH("live nation",L1280)),ISNUMBER(SEARCH("ocesa",L1280))),1,0)</f>
        <v>0</v>
      </c>
      <c r="Y1280" s="13" t="s">
        <v>49</v>
      </c>
    </row>
    <row r="1281" customFormat="false" ht="15" hidden="false" customHeight="false" outlineLevel="0" collapsed="false">
      <c r="A1281" s="30" t="n">
        <v>43590</v>
      </c>
      <c r="B1281" s="11" t="n">
        <v>1</v>
      </c>
      <c r="C1281" s="31" t="s">
        <v>69</v>
      </c>
      <c r="D1281" s="31"/>
      <c r="E1281" s="11" t="s">
        <v>1333</v>
      </c>
      <c r="F1281" s="11" t="s">
        <v>963</v>
      </c>
      <c r="G1281" s="11" t="s">
        <v>347</v>
      </c>
      <c r="H1281" s="11" t="s">
        <v>20</v>
      </c>
      <c r="I1281" s="11" t="s">
        <v>346</v>
      </c>
      <c r="J1281" s="11" t="s">
        <v>97</v>
      </c>
      <c r="K1281" s="11" t="s">
        <v>107</v>
      </c>
      <c r="L1281" s="11" t="s">
        <v>1334</v>
      </c>
      <c r="M1281" s="11" t="s">
        <v>100</v>
      </c>
      <c r="N1281" s="32" t="n">
        <v>9180</v>
      </c>
      <c r="O1281" s="33" t="n">
        <v>1518063.25</v>
      </c>
      <c r="P1281" s="32" t="n">
        <v>9339</v>
      </c>
      <c r="Q1281" s="34" t="n">
        <v>0.98</v>
      </c>
      <c r="R1281" s="33" t="n">
        <v>82.5</v>
      </c>
      <c r="S1281" s="33" t="n">
        <v>282.5</v>
      </c>
      <c r="T1281" s="33" t="n">
        <v>165.37</v>
      </c>
      <c r="U1281" s="11" t="n">
        <f aca="false">IFERROR(YEAR(A1281),"")</f>
        <v>2019</v>
      </c>
      <c r="V1281" s="33" t="n">
        <f aca="false">IFERROR(O1281*B1281,0)</f>
        <v>1518063.25</v>
      </c>
      <c r="W1281" s="32" t="n">
        <f aca="false">IFERROR(N1281*B1281,0)</f>
        <v>9180</v>
      </c>
      <c r="X1281" s="11" t="n">
        <f aca="false">IF(OR(ISNUMBER(SEARCH("live nation",L1281)),ISNUMBER(SEARCH("ocesa",L1281))),1,0)</f>
        <v>0</v>
      </c>
      <c r="Y1281" s="11" t="s">
        <v>49</v>
      </c>
    </row>
    <row r="1282" customFormat="false" ht="15" hidden="false" customHeight="false" outlineLevel="0" collapsed="false">
      <c r="A1282" s="25" t="n">
        <v>43590</v>
      </c>
      <c r="B1282" s="13" t="n">
        <v>1</v>
      </c>
      <c r="C1282" s="26" t="s">
        <v>798</v>
      </c>
      <c r="D1282" s="26"/>
      <c r="E1282" s="13" t="s">
        <v>1087</v>
      </c>
      <c r="F1282" s="13" t="s">
        <v>834</v>
      </c>
      <c r="G1282" s="13" t="s">
        <v>143</v>
      </c>
      <c r="H1282" s="13" t="s">
        <v>20</v>
      </c>
      <c r="I1282" s="13" t="s">
        <v>586</v>
      </c>
      <c r="J1282" s="13" t="s">
        <v>121</v>
      </c>
      <c r="K1282" s="13" t="s">
        <v>107</v>
      </c>
      <c r="L1282" s="13" t="s">
        <v>1279</v>
      </c>
      <c r="M1282" s="13" t="s">
        <v>100</v>
      </c>
      <c r="N1282" s="27" t="n">
        <v>6294</v>
      </c>
      <c r="O1282" s="28" t="n">
        <v>813048</v>
      </c>
      <c r="P1282" s="27" t="n">
        <v>6294</v>
      </c>
      <c r="Q1282" s="29" t="n">
        <v>1</v>
      </c>
      <c r="R1282" s="28" t="n">
        <v>74</v>
      </c>
      <c r="S1282" s="28" t="n">
        <v>210</v>
      </c>
      <c r="T1282" s="28" t="n">
        <v>129.18</v>
      </c>
      <c r="U1282" s="13" t="n">
        <f aca="false">IFERROR(YEAR(A1282),"")</f>
        <v>2019</v>
      </c>
      <c r="V1282" s="28" t="n">
        <f aca="false">IFERROR(O1282*B1282,0)</f>
        <v>813048</v>
      </c>
      <c r="W1282" s="27" t="n">
        <f aca="false">IFERROR(N1282*B1282,0)</f>
        <v>6294</v>
      </c>
      <c r="X1282" s="13" t="n">
        <f aca="false">IF(OR(ISNUMBER(SEARCH("live nation",L1282)),ISNUMBER(SEARCH("ocesa",L1282))),1,0)</f>
        <v>0</v>
      </c>
      <c r="Y1282" s="13" t="s">
        <v>49</v>
      </c>
    </row>
    <row r="1283" customFormat="false" ht="15" hidden="false" customHeight="false" outlineLevel="0" collapsed="false">
      <c r="A1283" s="30" t="n">
        <v>43589</v>
      </c>
      <c r="B1283" s="11" t="n">
        <v>2</v>
      </c>
      <c r="C1283" s="31" t="s">
        <v>60</v>
      </c>
      <c r="D1283" s="31"/>
      <c r="E1283" s="11" t="s">
        <v>1335</v>
      </c>
      <c r="F1283" s="11" t="s">
        <v>1122</v>
      </c>
      <c r="G1283" s="11" t="s">
        <v>202</v>
      </c>
      <c r="H1283" s="11" t="s">
        <v>20</v>
      </c>
      <c r="I1283" s="11" t="s">
        <v>203</v>
      </c>
      <c r="J1283" s="11" t="s">
        <v>133</v>
      </c>
      <c r="K1283" s="11" t="s">
        <v>107</v>
      </c>
      <c r="L1283" s="11" t="s">
        <v>177</v>
      </c>
      <c r="M1283" s="11" t="s">
        <v>100</v>
      </c>
      <c r="N1283" s="32" t="n">
        <v>56520</v>
      </c>
      <c r="O1283" s="33" t="n">
        <v>8278757.5</v>
      </c>
      <c r="P1283" s="32" t="n">
        <v>56520</v>
      </c>
      <c r="Q1283" s="34" t="n">
        <v>1</v>
      </c>
      <c r="R1283" s="33" t="n">
        <v>55</v>
      </c>
      <c r="S1283" s="33" t="n">
        <v>250</v>
      </c>
      <c r="T1283" s="33" t="n">
        <v>146.47</v>
      </c>
      <c r="U1283" s="11" t="n">
        <f aca="false">IFERROR(YEAR(A1283),"")</f>
        <v>2019</v>
      </c>
      <c r="V1283" s="33" t="n">
        <f aca="false">IFERROR(O1283*B1283,0)</f>
        <v>16557515</v>
      </c>
      <c r="W1283" s="32" t="n">
        <f aca="false">IFERROR(N1283*B1283,0)</f>
        <v>113040</v>
      </c>
      <c r="X1283" s="11" t="n">
        <f aca="false">IF(OR(ISNUMBER(SEARCH("live nation",L1283)),ISNUMBER(SEARCH("ocesa",L1283))),1,0)</f>
        <v>1</v>
      </c>
      <c r="Y1283" s="11" t="s">
        <v>49</v>
      </c>
    </row>
    <row r="1284" customFormat="false" ht="15" hidden="false" customHeight="false" outlineLevel="0" collapsed="false">
      <c r="A1284" s="25" t="n">
        <v>43587</v>
      </c>
      <c r="B1284" s="13" t="n">
        <v>1</v>
      </c>
      <c r="C1284" s="26" t="s">
        <v>643</v>
      </c>
      <c r="D1284" s="26"/>
      <c r="E1284" s="13" t="s">
        <v>551</v>
      </c>
      <c r="F1284" s="13" t="s">
        <v>552</v>
      </c>
      <c r="G1284" s="13"/>
      <c r="H1284" s="13" t="s">
        <v>26</v>
      </c>
      <c r="I1284" s="13"/>
      <c r="J1284" s="13" t="s">
        <v>97</v>
      </c>
      <c r="K1284" s="13" t="s">
        <v>173</v>
      </c>
      <c r="L1284" s="13" t="s">
        <v>122</v>
      </c>
      <c r="M1284" s="13" t="s">
        <v>100</v>
      </c>
      <c r="N1284" s="27" t="n">
        <v>7340</v>
      </c>
      <c r="O1284" s="28" t="n">
        <v>2067092.73</v>
      </c>
      <c r="P1284" s="27" t="n">
        <v>10698</v>
      </c>
      <c r="Q1284" s="29" t="n">
        <v>0.68</v>
      </c>
      <c r="R1284" s="28" t="n">
        <v>109.8</v>
      </c>
      <c r="S1284" s="28" t="n">
        <v>479.52</v>
      </c>
      <c r="T1284" s="28" t="n">
        <v>281.62</v>
      </c>
      <c r="U1284" s="13" t="n">
        <f aca="false">IFERROR(YEAR(A1284),"")</f>
        <v>2019</v>
      </c>
      <c r="V1284" s="28" t="n">
        <f aca="false">IFERROR(O1284*B1284,0)</f>
        <v>2067092.73</v>
      </c>
      <c r="W1284" s="27" t="n">
        <f aca="false">IFERROR(N1284*B1284,0)</f>
        <v>7340</v>
      </c>
      <c r="X1284" s="13" t="n">
        <f aca="false">IF(OR(ISNUMBER(SEARCH("live nation",L1284)),ISNUMBER(SEARCH("ocesa",L1284))),1,0)</f>
        <v>0</v>
      </c>
      <c r="Y1284" s="13" t="s">
        <v>49</v>
      </c>
    </row>
    <row r="1285" customFormat="false" ht="15" hidden="false" customHeight="false" outlineLevel="0" collapsed="false">
      <c r="A1285" s="30" t="n">
        <v>43583</v>
      </c>
      <c r="B1285" s="11" t="n">
        <v>1</v>
      </c>
      <c r="C1285" s="31" t="s">
        <v>1336</v>
      </c>
      <c r="D1285" s="31"/>
      <c r="E1285" s="11" t="s">
        <v>1337</v>
      </c>
      <c r="F1285" s="11" t="s">
        <v>404</v>
      </c>
      <c r="G1285" s="11" t="s">
        <v>202</v>
      </c>
      <c r="H1285" s="11" t="s">
        <v>20</v>
      </c>
      <c r="I1285" s="11" t="s">
        <v>232</v>
      </c>
      <c r="J1285" s="11" t="s">
        <v>97</v>
      </c>
      <c r="K1285" s="11" t="s">
        <v>107</v>
      </c>
      <c r="L1285" s="11" t="s">
        <v>122</v>
      </c>
      <c r="M1285" s="11" t="s">
        <v>277</v>
      </c>
      <c r="N1285" s="32" t="n">
        <v>4404</v>
      </c>
      <c r="O1285" s="33" t="n">
        <v>589312</v>
      </c>
      <c r="P1285" s="32" t="n">
        <v>4584</v>
      </c>
      <c r="Q1285" s="34" t="n">
        <v>0.96</v>
      </c>
      <c r="R1285" s="33" t="n">
        <v>78</v>
      </c>
      <c r="S1285" s="33" t="n">
        <v>228</v>
      </c>
      <c r="T1285" s="33" t="n">
        <v>133.81</v>
      </c>
      <c r="U1285" s="11" t="n">
        <f aca="false">IFERROR(YEAR(A1285),"")</f>
        <v>2019</v>
      </c>
      <c r="V1285" s="33" t="n">
        <f aca="false">IFERROR(O1285*B1285,0)</f>
        <v>589312</v>
      </c>
      <c r="W1285" s="32" t="n">
        <f aca="false">IFERROR(N1285*B1285,0)</f>
        <v>4404</v>
      </c>
      <c r="X1285" s="11" t="n">
        <f aca="false">IF(OR(ISNUMBER(SEARCH("live nation",L1285)),ISNUMBER(SEARCH("ocesa",L1285))),1,0)</f>
        <v>0</v>
      </c>
      <c r="Y1285" s="11" t="s">
        <v>49</v>
      </c>
    </row>
    <row r="1286" customFormat="false" ht="15" hidden="false" customHeight="false" outlineLevel="0" collapsed="false">
      <c r="A1286" s="25" t="n">
        <v>43579</v>
      </c>
      <c r="B1286" s="13" t="n">
        <v>1</v>
      </c>
      <c r="C1286" s="26" t="s">
        <v>69</v>
      </c>
      <c r="D1286" s="26"/>
      <c r="E1286" s="13" t="s">
        <v>206</v>
      </c>
      <c r="F1286" s="13" t="s">
        <v>207</v>
      </c>
      <c r="G1286" s="13" t="s">
        <v>208</v>
      </c>
      <c r="H1286" s="13" t="s">
        <v>20</v>
      </c>
      <c r="I1286" s="13" t="s">
        <v>209</v>
      </c>
      <c r="J1286" s="13" t="s">
        <v>97</v>
      </c>
      <c r="K1286" s="13" t="s">
        <v>107</v>
      </c>
      <c r="L1286" s="13" t="s">
        <v>791</v>
      </c>
      <c r="M1286" s="13" t="s">
        <v>100</v>
      </c>
      <c r="N1286" s="27" t="n">
        <v>11417</v>
      </c>
      <c r="O1286" s="28" t="n">
        <v>1815062</v>
      </c>
      <c r="P1286" s="27" t="n">
        <v>11417</v>
      </c>
      <c r="Q1286" s="29" t="n">
        <v>1</v>
      </c>
      <c r="R1286" s="28" t="n">
        <v>63.5</v>
      </c>
      <c r="S1286" s="28" t="n">
        <v>253.5</v>
      </c>
      <c r="T1286" s="28" t="n">
        <v>158.98</v>
      </c>
      <c r="U1286" s="13" t="n">
        <f aca="false">IFERROR(YEAR(A1286),"")</f>
        <v>2019</v>
      </c>
      <c r="V1286" s="28" t="n">
        <f aca="false">IFERROR(O1286*B1286,0)</f>
        <v>1815062</v>
      </c>
      <c r="W1286" s="27" t="n">
        <f aca="false">IFERROR(N1286*B1286,0)</f>
        <v>11417</v>
      </c>
      <c r="X1286" s="13" t="n">
        <f aca="false">IF(OR(ISNUMBER(SEARCH("live nation",L1286)),ISNUMBER(SEARCH("ocesa",L1286))),1,0)</f>
        <v>0</v>
      </c>
      <c r="Y1286" s="13" t="s">
        <v>49</v>
      </c>
    </row>
    <row r="1287" customFormat="false" ht="15" hidden="false" customHeight="false" outlineLevel="0" collapsed="false">
      <c r="A1287" s="30" t="n">
        <v>43579</v>
      </c>
      <c r="B1287" s="11" t="n">
        <v>1</v>
      </c>
      <c r="C1287" s="31" t="s">
        <v>798</v>
      </c>
      <c r="D1287" s="31"/>
      <c r="E1287" s="11" t="s">
        <v>506</v>
      </c>
      <c r="F1287" s="11" t="s">
        <v>507</v>
      </c>
      <c r="G1287" s="11" t="s">
        <v>221</v>
      </c>
      <c r="H1287" s="11" t="s">
        <v>20</v>
      </c>
      <c r="I1287" s="11" t="s">
        <v>139</v>
      </c>
      <c r="J1287" s="11" t="s">
        <v>97</v>
      </c>
      <c r="K1287" s="11" t="s">
        <v>107</v>
      </c>
      <c r="L1287" s="11" t="s">
        <v>1279</v>
      </c>
      <c r="M1287" s="11" t="s">
        <v>100</v>
      </c>
      <c r="N1287" s="32" t="n">
        <v>5869</v>
      </c>
      <c r="O1287" s="33" t="n">
        <v>839206</v>
      </c>
      <c r="P1287" s="32" t="n">
        <v>6447</v>
      </c>
      <c r="Q1287" s="34" t="n">
        <v>0.91</v>
      </c>
      <c r="R1287" s="33" t="n">
        <v>74</v>
      </c>
      <c r="S1287" s="33" t="n">
        <v>210</v>
      </c>
      <c r="T1287" s="33" t="n">
        <v>142.99</v>
      </c>
      <c r="U1287" s="11" t="n">
        <f aca="false">IFERROR(YEAR(A1287),"")</f>
        <v>2019</v>
      </c>
      <c r="V1287" s="33" t="n">
        <f aca="false">IFERROR(O1287*B1287,0)</f>
        <v>839206</v>
      </c>
      <c r="W1287" s="32" t="n">
        <f aca="false">IFERROR(N1287*B1287,0)</f>
        <v>5869</v>
      </c>
      <c r="X1287" s="11" t="n">
        <f aca="false">IF(OR(ISNUMBER(SEARCH("live nation",L1287)),ISNUMBER(SEARCH("ocesa",L1287))),1,0)</f>
        <v>0</v>
      </c>
      <c r="Y1287" s="11" t="s">
        <v>49</v>
      </c>
    </row>
    <row r="1288" customFormat="false" ht="15" hidden="false" customHeight="false" outlineLevel="0" collapsed="false">
      <c r="A1288" s="25" t="n">
        <v>43567</v>
      </c>
      <c r="B1288" s="13" t="n">
        <v>1</v>
      </c>
      <c r="C1288" s="26" t="s">
        <v>71</v>
      </c>
      <c r="D1288" s="26"/>
      <c r="E1288" s="13" t="s">
        <v>1338</v>
      </c>
      <c r="F1288" s="13" t="s">
        <v>561</v>
      </c>
      <c r="G1288" s="13"/>
      <c r="H1288" s="13" t="s">
        <v>449</v>
      </c>
      <c r="I1288" s="13"/>
      <c r="J1288" s="13" t="s">
        <v>106</v>
      </c>
      <c r="K1288" s="13" t="s">
        <v>173</v>
      </c>
      <c r="L1288" s="13" t="s">
        <v>1339</v>
      </c>
      <c r="M1288" s="13" t="s">
        <v>100</v>
      </c>
      <c r="N1288" s="27" t="n">
        <v>876</v>
      </c>
      <c r="O1288" s="28" t="n">
        <v>81097.95</v>
      </c>
      <c r="P1288" s="27" t="n">
        <v>876</v>
      </c>
      <c r="Q1288" s="29" t="n">
        <v>1</v>
      </c>
      <c r="R1288" s="28" t="n">
        <v>45.43</v>
      </c>
      <c r="S1288" s="28" t="n">
        <v>145.82</v>
      </c>
      <c r="T1288" s="28" t="n">
        <v>92.58</v>
      </c>
      <c r="U1288" s="13" t="n">
        <f aca="false">IFERROR(YEAR(A1288),"")</f>
        <v>2019</v>
      </c>
      <c r="V1288" s="28" t="n">
        <f aca="false">IFERROR(O1288*B1288,0)</f>
        <v>81097.95</v>
      </c>
      <c r="W1288" s="27" t="n">
        <f aca="false">IFERROR(N1288*B1288,0)</f>
        <v>876</v>
      </c>
      <c r="X1288" s="13" t="n">
        <f aca="false">IF(OR(ISNUMBER(SEARCH("live nation",L1288)),ISNUMBER(SEARCH("ocesa",L1288))),1,0)</f>
        <v>0</v>
      </c>
      <c r="Y1288" s="13" t="s">
        <v>49</v>
      </c>
    </row>
    <row r="1289" customFormat="false" ht="15" hidden="false" customHeight="false" outlineLevel="0" collapsed="false">
      <c r="A1289" s="30" t="n">
        <v>43561</v>
      </c>
      <c r="B1289" s="11" t="n">
        <v>2</v>
      </c>
      <c r="C1289" s="31" t="s">
        <v>60</v>
      </c>
      <c r="D1289" s="31"/>
      <c r="E1289" s="11" t="s">
        <v>298</v>
      </c>
      <c r="F1289" s="11" t="s">
        <v>299</v>
      </c>
      <c r="G1289" s="11"/>
      <c r="H1289" s="11" t="s">
        <v>56</v>
      </c>
      <c r="I1289" s="11"/>
      <c r="J1289" s="11" t="s">
        <v>133</v>
      </c>
      <c r="K1289" s="11" t="s">
        <v>300</v>
      </c>
      <c r="L1289" s="11" t="s">
        <v>1321</v>
      </c>
      <c r="M1289" s="11" t="s">
        <v>100</v>
      </c>
      <c r="N1289" s="32" t="n">
        <v>34450</v>
      </c>
      <c r="O1289" s="33" t="n">
        <v>7535179.99</v>
      </c>
      <c r="P1289" s="32" t="n">
        <v>38817</v>
      </c>
      <c r="Q1289" s="34" t="n">
        <v>0.88</v>
      </c>
      <c r="R1289" s="33" t="n">
        <v>62.72</v>
      </c>
      <c r="S1289" s="33" t="n">
        <v>213.25</v>
      </c>
      <c r="T1289" s="33" t="n">
        <v>218.73</v>
      </c>
      <c r="U1289" s="11" t="n">
        <f aca="false">IFERROR(YEAR(A1289),"")</f>
        <v>2019</v>
      </c>
      <c r="V1289" s="33" t="n">
        <f aca="false">IFERROR(O1289*B1289,0)</f>
        <v>15070359.98</v>
      </c>
      <c r="W1289" s="32" t="n">
        <f aca="false">IFERROR(N1289*B1289,0)</f>
        <v>68900</v>
      </c>
      <c r="X1289" s="11" t="n">
        <f aca="false">IF(OR(ISNUMBER(SEARCH("live nation",L1289)),ISNUMBER(SEARCH("ocesa",L1289))),1,0)</f>
        <v>0</v>
      </c>
      <c r="Y1289" s="11" t="s">
        <v>50</v>
      </c>
    </row>
    <row r="1290" customFormat="false" ht="15" hidden="false" customHeight="false" outlineLevel="0" collapsed="false">
      <c r="A1290" s="25" t="n">
        <v>43546</v>
      </c>
      <c r="B1290" s="13" t="n">
        <v>1</v>
      </c>
      <c r="C1290" s="26" t="s">
        <v>569</v>
      </c>
      <c r="D1290" s="26"/>
      <c r="E1290" s="13" t="s">
        <v>1136</v>
      </c>
      <c r="F1290" s="13" t="s">
        <v>535</v>
      </c>
      <c r="G1290" s="13" t="s">
        <v>202</v>
      </c>
      <c r="H1290" s="13" t="s">
        <v>20</v>
      </c>
      <c r="I1290" s="13" t="s">
        <v>232</v>
      </c>
      <c r="J1290" s="13" t="s">
        <v>121</v>
      </c>
      <c r="K1290" s="13" t="s">
        <v>107</v>
      </c>
      <c r="L1290" s="13" t="s">
        <v>671</v>
      </c>
      <c r="M1290" s="13" t="s">
        <v>100</v>
      </c>
      <c r="N1290" s="27" t="n">
        <v>4699</v>
      </c>
      <c r="O1290" s="28" t="n">
        <v>969457.5</v>
      </c>
      <c r="P1290" s="27" t="n">
        <v>4699</v>
      </c>
      <c r="Q1290" s="29" t="n">
        <v>1</v>
      </c>
      <c r="R1290" s="28" t="n">
        <v>112.5</v>
      </c>
      <c r="S1290" s="28" t="n">
        <v>392.5</v>
      </c>
      <c r="T1290" s="28" t="n">
        <v>206.31</v>
      </c>
      <c r="U1290" s="13" t="n">
        <f aca="false">IFERROR(YEAR(A1290),"")</f>
        <v>2019</v>
      </c>
      <c r="V1290" s="28" t="n">
        <f aca="false">IFERROR(O1290*B1290,0)</f>
        <v>969457.5</v>
      </c>
      <c r="W1290" s="27" t="n">
        <f aca="false">IFERROR(N1290*B1290,0)</f>
        <v>4699</v>
      </c>
      <c r="X1290" s="13" t="n">
        <f aca="false">IF(OR(ISNUMBER(SEARCH("live nation",L1290)),ISNUMBER(SEARCH("ocesa",L1290))),1,0)</f>
        <v>0</v>
      </c>
      <c r="Y1290" s="13" t="s">
        <v>49</v>
      </c>
    </row>
    <row r="1291" customFormat="false" ht="15" hidden="false" customHeight="false" outlineLevel="0" collapsed="false">
      <c r="A1291" s="30" t="n">
        <v>43544</v>
      </c>
      <c r="B1291" s="11" t="n">
        <v>4</v>
      </c>
      <c r="C1291" s="31" t="s">
        <v>60</v>
      </c>
      <c r="D1291" s="31"/>
      <c r="E1291" s="11" t="s">
        <v>1340</v>
      </c>
      <c r="F1291" s="11" t="s">
        <v>25</v>
      </c>
      <c r="G1291" s="11"/>
      <c r="H1291" s="11" t="s">
        <v>22</v>
      </c>
      <c r="I1291" s="11"/>
      <c r="J1291" s="11" t="s">
        <v>97</v>
      </c>
      <c r="K1291" s="11" t="s">
        <v>25</v>
      </c>
      <c r="L1291" s="11" t="s">
        <v>1321</v>
      </c>
      <c r="M1291" s="11" t="s">
        <v>100</v>
      </c>
      <c r="N1291" s="32" t="n">
        <v>11657</v>
      </c>
      <c r="O1291" s="33" t="n">
        <v>2256464.99</v>
      </c>
      <c r="P1291" s="32" t="n">
        <v>11647</v>
      </c>
      <c r="Q1291" s="34" t="n">
        <v>1</v>
      </c>
      <c r="R1291" s="33" t="n">
        <v>87.89</v>
      </c>
      <c r="S1291" s="33" t="n">
        <v>371.88</v>
      </c>
      <c r="T1291" s="33" t="n">
        <v>193.56</v>
      </c>
      <c r="U1291" s="11" t="n">
        <f aca="false">IFERROR(YEAR(A1291),"")</f>
        <v>2019</v>
      </c>
      <c r="V1291" s="33" t="n">
        <f aca="false">IFERROR(O1291*B1291,0)</f>
        <v>9025859.96</v>
      </c>
      <c r="W1291" s="32" t="n">
        <f aca="false">IFERROR(N1291*B1291,0)</f>
        <v>46628</v>
      </c>
      <c r="X1291" s="11" t="n">
        <f aca="false">IF(OR(ISNUMBER(SEARCH("live nation",L1291)),ISNUMBER(SEARCH("ocesa",L1291))),1,0)</f>
        <v>0</v>
      </c>
      <c r="Y1291" s="11" t="s">
        <v>50</v>
      </c>
    </row>
    <row r="1292" customFormat="false" ht="15" hidden="false" customHeight="false" outlineLevel="0" collapsed="false">
      <c r="A1292" s="25" t="n">
        <v>43535</v>
      </c>
      <c r="B1292" s="13" t="n">
        <v>1</v>
      </c>
      <c r="C1292" s="26" t="s">
        <v>711</v>
      </c>
      <c r="D1292" s="26"/>
      <c r="E1292" s="13" t="s">
        <v>330</v>
      </c>
      <c r="F1292" s="13" t="s">
        <v>295</v>
      </c>
      <c r="G1292" s="13"/>
      <c r="H1292" s="13" t="s">
        <v>28</v>
      </c>
      <c r="I1292" s="13"/>
      <c r="J1292" s="13" t="s">
        <v>97</v>
      </c>
      <c r="K1292" s="13" t="s">
        <v>98</v>
      </c>
      <c r="L1292" s="13" t="s">
        <v>122</v>
      </c>
      <c r="M1292" s="13" t="s">
        <v>100</v>
      </c>
      <c r="N1292" s="27" t="n">
        <v>10874</v>
      </c>
      <c r="O1292" s="28" t="n">
        <v>1739522.48</v>
      </c>
      <c r="P1292" s="27" t="n">
        <v>15000</v>
      </c>
      <c r="Q1292" s="29" t="n">
        <v>0.72</v>
      </c>
      <c r="R1292" s="28" t="n">
        <v>69.81</v>
      </c>
      <c r="S1292" s="28" t="n">
        <v>283.5</v>
      </c>
      <c r="T1292" s="28" t="n">
        <v>159.97</v>
      </c>
      <c r="U1292" s="13" t="n">
        <f aca="false">IFERROR(YEAR(A1292),"")</f>
        <v>2019</v>
      </c>
      <c r="V1292" s="28" t="n">
        <f aca="false">IFERROR(O1292*B1292,0)</f>
        <v>1739522.48</v>
      </c>
      <c r="W1292" s="27" t="n">
        <f aca="false">IFERROR(N1292*B1292,0)</f>
        <v>10874</v>
      </c>
      <c r="X1292" s="13" t="n">
        <f aca="false">IF(OR(ISNUMBER(SEARCH("live nation",L1292)),ISNUMBER(SEARCH("ocesa",L1292))),1,0)</f>
        <v>0</v>
      </c>
      <c r="Y1292" s="13" t="s">
        <v>49</v>
      </c>
    </row>
    <row r="1293" customFormat="false" ht="15" hidden="false" customHeight="false" outlineLevel="0" collapsed="false">
      <c r="A1293" s="30" t="n">
        <v>43533</v>
      </c>
      <c r="B1293" s="11" t="n">
        <v>1</v>
      </c>
      <c r="C1293" s="31" t="s">
        <v>711</v>
      </c>
      <c r="D1293" s="31"/>
      <c r="E1293" s="11" t="s">
        <v>95</v>
      </c>
      <c r="F1293" s="11" t="s">
        <v>96</v>
      </c>
      <c r="G1293" s="11"/>
      <c r="H1293" s="11" t="s">
        <v>28</v>
      </c>
      <c r="I1293" s="11"/>
      <c r="J1293" s="11" t="s">
        <v>97</v>
      </c>
      <c r="K1293" s="11" t="s">
        <v>98</v>
      </c>
      <c r="L1293" s="11" t="s">
        <v>1066</v>
      </c>
      <c r="M1293" s="11" t="s">
        <v>100</v>
      </c>
      <c r="N1293" s="32" t="n">
        <v>11528</v>
      </c>
      <c r="O1293" s="33" t="n">
        <v>2262630.02</v>
      </c>
      <c r="P1293" s="32" t="n">
        <v>11740</v>
      </c>
      <c r="Q1293" s="34" t="n">
        <v>0.98</v>
      </c>
      <c r="R1293" s="33" t="n">
        <v>69.81</v>
      </c>
      <c r="S1293" s="33" t="n">
        <v>283.5</v>
      </c>
      <c r="T1293" s="33" t="n">
        <v>196.27</v>
      </c>
      <c r="U1293" s="11" t="n">
        <f aca="false">IFERROR(YEAR(A1293),"")</f>
        <v>2019</v>
      </c>
      <c r="V1293" s="33" t="n">
        <f aca="false">IFERROR(O1293*B1293,0)</f>
        <v>2262630.02</v>
      </c>
      <c r="W1293" s="32" t="n">
        <f aca="false">IFERROR(N1293*B1293,0)</f>
        <v>11528</v>
      </c>
      <c r="X1293" s="11" t="n">
        <f aca="false">IF(OR(ISNUMBER(SEARCH("live nation",L1293)),ISNUMBER(SEARCH("ocesa",L1293))),1,0)</f>
        <v>0</v>
      </c>
      <c r="Y1293" s="11" t="s">
        <v>49</v>
      </c>
    </row>
    <row r="1294" customFormat="false" ht="15" hidden="false" customHeight="false" outlineLevel="0" collapsed="false">
      <c r="A1294" s="25" t="n">
        <v>43526</v>
      </c>
      <c r="B1294" s="13" t="n">
        <v>1</v>
      </c>
      <c r="C1294" s="26" t="s">
        <v>1341</v>
      </c>
      <c r="D1294" s="26"/>
      <c r="E1294" s="13" t="s">
        <v>1342</v>
      </c>
      <c r="F1294" s="13" t="s">
        <v>1343</v>
      </c>
      <c r="G1294" s="13"/>
      <c r="H1294" s="13" t="s">
        <v>27</v>
      </c>
      <c r="I1294" s="13"/>
      <c r="J1294" s="13" t="s">
        <v>97</v>
      </c>
      <c r="K1294" s="13" t="s">
        <v>314</v>
      </c>
      <c r="L1294" s="13" t="s">
        <v>122</v>
      </c>
      <c r="M1294" s="13" t="s">
        <v>100</v>
      </c>
      <c r="N1294" s="27" t="n">
        <v>4843</v>
      </c>
      <c r="O1294" s="28" t="n">
        <v>117494.26</v>
      </c>
      <c r="P1294" s="27" t="n">
        <v>5425</v>
      </c>
      <c r="Q1294" s="29" t="n">
        <v>0.89</v>
      </c>
      <c r="R1294" s="28" t="n">
        <v>20.99</v>
      </c>
      <c r="S1294" s="28" t="n">
        <v>26.24</v>
      </c>
      <c r="T1294" s="28" t="n">
        <v>24.26</v>
      </c>
      <c r="U1294" s="13" t="n">
        <f aca="false">IFERROR(YEAR(A1294),"")</f>
        <v>2019</v>
      </c>
      <c r="V1294" s="28" t="n">
        <f aca="false">IFERROR(O1294*B1294,0)</f>
        <v>117494.26</v>
      </c>
      <c r="W1294" s="27" t="n">
        <f aca="false">IFERROR(N1294*B1294,0)</f>
        <v>4843</v>
      </c>
      <c r="X1294" s="13" t="n">
        <f aca="false">IF(OR(ISNUMBER(SEARCH("live nation",L1294)),ISNUMBER(SEARCH("ocesa",L1294))),1,0)</f>
        <v>0</v>
      </c>
      <c r="Y1294" s="13" t="s">
        <v>49</v>
      </c>
    </row>
    <row r="1295" customFormat="false" ht="15" hidden="false" customHeight="false" outlineLevel="0" collapsed="false">
      <c r="A1295" s="30" t="n">
        <v>43513</v>
      </c>
      <c r="B1295" s="11" t="n">
        <v>1</v>
      </c>
      <c r="C1295" s="31" t="s">
        <v>1176</v>
      </c>
      <c r="D1295" s="31"/>
      <c r="E1295" s="11" t="s">
        <v>1331</v>
      </c>
      <c r="F1295" s="11" t="s">
        <v>507</v>
      </c>
      <c r="G1295" s="11" t="s">
        <v>221</v>
      </c>
      <c r="H1295" s="11" t="s">
        <v>20</v>
      </c>
      <c r="I1295" s="11" t="s">
        <v>139</v>
      </c>
      <c r="J1295" s="11" t="s">
        <v>121</v>
      </c>
      <c r="K1295" s="11" t="s">
        <v>107</v>
      </c>
      <c r="L1295" s="11" t="s">
        <v>122</v>
      </c>
      <c r="M1295" s="11" t="s">
        <v>251</v>
      </c>
      <c r="N1295" s="32" t="n">
        <v>2785</v>
      </c>
      <c r="O1295" s="33" t="n">
        <v>387989</v>
      </c>
      <c r="P1295" s="32" t="n">
        <v>2843</v>
      </c>
      <c r="Q1295" s="34" t="n">
        <v>0.97</v>
      </c>
      <c r="R1295" s="33" t="n">
        <v>69</v>
      </c>
      <c r="S1295" s="33" t="n">
        <v>199</v>
      </c>
      <c r="T1295" s="33" t="n">
        <v>139.31</v>
      </c>
      <c r="U1295" s="11" t="n">
        <f aca="false">IFERROR(YEAR(A1295),"")</f>
        <v>2019</v>
      </c>
      <c r="V1295" s="33" t="n">
        <f aca="false">IFERROR(O1295*B1295,0)</f>
        <v>387989</v>
      </c>
      <c r="W1295" s="32" t="n">
        <f aca="false">IFERROR(N1295*B1295,0)</f>
        <v>2785</v>
      </c>
      <c r="X1295" s="11" t="n">
        <f aca="false">IF(OR(ISNUMBER(SEARCH("live nation",L1295)),ISNUMBER(SEARCH("ocesa",L1295))),1,0)</f>
        <v>0</v>
      </c>
      <c r="Y1295" s="11" t="s">
        <v>49</v>
      </c>
    </row>
    <row r="1296" customFormat="false" ht="15" hidden="false" customHeight="false" outlineLevel="0" collapsed="false">
      <c r="A1296" s="25" t="n">
        <v>43512</v>
      </c>
      <c r="B1296" s="13" t="n">
        <v>2</v>
      </c>
      <c r="C1296" s="26" t="s">
        <v>60</v>
      </c>
      <c r="D1296" s="26"/>
      <c r="E1296" s="13" t="s">
        <v>1344</v>
      </c>
      <c r="F1296" s="13" t="s">
        <v>408</v>
      </c>
      <c r="G1296" s="13"/>
      <c r="H1296" s="13" t="s">
        <v>21</v>
      </c>
      <c r="I1296" s="13"/>
      <c r="J1296" s="13" t="s">
        <v>133</v>
      </c>
      <c r="K1296" s="13" t="s">
        <v>113</v>
      </c>
      <c r="L1296" s="13" t="s">
        <v>1321</v>
      </c>
      <c r="M1296" s="13" t="s">
        <v>100</v>
      </c>
      <c r="N1296" s="27" t="n">
        <v>36400</v>
      </c>
      <c r="O1296" s="28" t="n">
        <v>3517778.5</v>
      </c>
      <c r="P1296" s="27" t="n">
        <v>36400</v>
      </c>
      <c r="Q1296" s="29" t="n">
        <v>1</v>
      </c>
      <c r="R1296" s="28" t="n">
        <v>99.25</v>
      </c>
      <c r="S1296" s="28" t="n">
        <v>109.18</v>
      </c>
      <c r="T1296" s="28" t="n">
        <v>96.64</v>
      </c>
      <c r="U1296" s="13" t="n">
        <f aca="false">IFERROR(YEAR(A1296),"")</f>
        <v>2019</v>
      </c>
      <c r="V1296" s="28" t="n">
        <f aca="false">IFERROR(O1296*B1296,0)</f>
        <v>7035557</v>
      </c>
      <c r="W1296" s="27" t="n">
        <f aca="false">IFERROR(N1296*B1296,0)</f>
        <v>72800</v>
      </c>
      <c r="X1296" s="13" t="n">
        <f aca="false">IF(OR(ISNUMBER(SEARCH("live nation",L1296)),ISNUMBER(SEARCH("ocesa",L1296))),1,0)</f>
        <v>0</v>
      </c>
      <c r="Y1296" s="13" t="s">
        <v>50</v>
      </c>
    </row>
    <row r="1297" customFormat="false" ht="15" hidden="false" customHeight="false" outlineLevel="0" collapsed="false">
      <c r="A1297" s="30" t="n">
        <v>43511</v>
      </c>
      <c r="B1297" s="11" t="n">
        <v>1</v>
      </c>
      <c r="C1297" s="31" t="s">
        <v>1176</v>
      </c>
      <c r="D1297" s="31"/>
      <c r="E1297" s="11" t="s">
        <v>540</v>
      </c>
      <c r="F1297" s="11" t="s">
        <v>209</v>
      </c>
      <c r="G1297" s="11" t="s">
        <v>208</v>
      </c>
      <c r="H1297" s="11" t="s">
        <v>20</v>
      </c>
      <c r="I1297" s="11" t="s">
        <v>209</v>
      </c>
      <c r="J1297" s="11" t="s">
        <v>121</v>
      </c>
      <c r="K1297" s="11" t="s">
        <v>107</v>
      </c>
      <c r="L1297" s="11" t="s">
        <v>1279</v>
      </c>
      <c r="M1297" s="11" t="s">
        <v>251</v>
      </c>
      <c r="N1297" s="32" t="n">
        <v>3453</v>
      </c>
      <c r="O1297" s="33" t="n">
        <v>485723.2</v>
      </c>
      <c r="P1297" s="32" t="n">
        <v>3453</v>
      </c>
      <c r="Q1297" s="34" t="n">
        <v>1</v>
      </c>
      <c r="R1297" s="33" t="n">
        <v>69</v>
      </c>
      <c r="S1297" s="33" t="n">
        <v>199</v>
      </c>
      <c r="T1297" s="33" t="n">
        <v>140.67</v>
      </c>
      <c r="U1297" s="11" t="n">
        <f aca="false">IFERROR(YEAR(A1297),"")</f>
        <v>2019</v>
      </c>
      <c r="V1297" s="33" t="n">
        <f aca="false">IFERROR(O1297*B1297,0)</f>
        <v>485723.2</v>
      </c>
      <c r="W1297" s="32" t="n">
        <f aca="false">IFERROR(N1297*B1297,0)</f>
        <v>3453</v>
      </c>
      <c r="X1297" s="11" t="n">
        <f aca="false">IF(OR(ISNUMBER(SEARCH("live nation",L1297)),ISNUMBER(SEARCH("ocesa",L1297))),1,0)</f>
        <v>0</v>
      </c>
      <c r="Y1297" s="11" t="s">
        <v>49</v>
      </c>
    </row>
    <row r="1298" customFormat="false" ht="15" hidden="false" customHeight="false" outlineLevel="0" collapsed="false">
      <c r="A1298" s="25" t="n">
        <v>43503</v>
      </c>
      <c r="B1298" s="13" t="n">
        <v>2</v>
      </c>
      <c r="C1298" s="26" t="s">
        <v>1176</v>
      </c>
      <c r="D1298" s="26"/>
      <c r="E1298" s="13" t="s">
        <v>1121</v>
      </c>
      <c r="F1298" s="13" t="s">
        <v>1122</v>
      </c>
      <c r="G1298" s="13" t="s">
        <v>202</v>
      </c>
      <c r="H1298" s="13" t="s">
        <v>20</v>
      </c>
      <c r="I1298" s="13" t="s">
        <v>203</v>
      </c>
      <c r="J1298" s="13" t="s">
        <v>121</v>
      </c>
      <c r="K1298" s="13" t="s">
        <v>107</v>
      </c>
      <c r="L1298" s="13" t="s">
        <v>1279</v>
      </c>
      <c r="M1298" s="13" t="s">
        <v>251</v>
      </c>
      <c r="N1298" s="27" t="n">
        <v>2855</v>
      </c>
      <c r="O1298" s="28" t="n">
        <v>400240</v>
      </c>
      <c r="P1298" s="27" t="n">
        <v>2984</v>
      </c>
      <c r="Q1298" s="29" t="n">
        <v>0.95</v>
      </c>
      <c r="R1298" s="28" t="n">
        <v>69</v>
      </c>
      <c r="S1298" s="28" t="n">
        <v>199</v>
      </c>
      <c r="T1298" s="28" t="n">
        <v>140.19</v>
      </c>
      <c r="U1298" s="13" t="n">
        <f aca="false">IFERROR(YEAR(A1298),"")</f>
        <v>2019</v>
      </c>
      <c r="V1298" s="28" t="n">
        <f aca="false">IFERROR(O1298*B1298,0)</f>
        <v>800480</v>
      </c>
      <c r="W1298" s="27" t="n">
        <f aca="false">IFERROR(N1298*B1298,0)</f>
        <v>5710</v>
      </c>
      <c r="X1298" s="13" t="n">
        <f aca="false">IF(OR(ISNUMBER(SEARCH("live nation",L1298)),ISNUMBER(SEARCH("ocesa",L1298))),1,0)</f>
        <v>0</v>
      </c>
      <c r="Y1298" s="13" t="s">
        <v>49</v>
      </c>
    </row>
    <row r="1299" customFormat="false" ht="15" hidden="false" customHeight="false" outlineLevel="0" collapsed="false">
      <c r="A1299" s="30" t="n">
        <v>43494</v>
      </c>
      <c r="B1299" s="11" t="n">
        <v>1</v>
      </c>
      <c r="C1299" s="31" t="s">
        <v>1345</v>
      </c>
      <c r="D1299" s="31"/>
      <c r="E1299" s="11" t="s">
        <v>1232</v>
      </c>
      <c r="F1299" s="11" t="s">
        <v>139</v>
      </c>
      <c r="G1299" s="11" t="s">
        <v>139</v>
      </c>
      <c r="H1299" s="11" t="s">
        <v>20</v>
      </c>
      <c r="I1299" s="11" t="s">
        <v>139</v>
      </c>
      <c r="J1299" s="11" t="s">
        <v>121</v>
      </c>
      <c r="K1299" s="11" t="s">
        <v>107</v>
      </c>
      <c r="L1299" s="11" t="s">
        <v>177</v>
      </c>
      <c r="M1299" s="11" t="s">
        <v>100</v>
      </c>
      <c r="N1299" s="32" t="n">
        <v>2824</v>
      </c>
      <c r="O1299" s="33" t="n">
        <v>370255</v>
      </c>
      <c r="P1299" s="32" t="n">
        <v>5387</v>
      </c>
      <c r="Q1299" s="34" t="n">
        <v>0.52</v>
      </c>
      <c r="R1299" s="33" t="n">
        <v>79</v>
      </c>
      <c r="S1299" s="33" t="n">
        <v>159</v>
      </c>
      <c r="T1299" s="33" t="n">
        <v>131.11</v>
      </c>
      <c r="U1299" s="11" t="n">
        <f aca="false">IFERROR(YEAR(A1299),"")</f>
        <v>2019</v>
      </c>
      <c r="V1299" s="33" t="n">
        <f aca="false">IFERROR(O1299*B1299,0)</f>
        <v>370255</v>
      </c>
      <c r="W1299" s="32" t="n">
        <f aca="false">IFERROR(N1299*B1299,0)</f>
        <v>2824</v>
      </c>
      <c r="X1299" s="11" t="n">
        <f aca="false">IF(OR(ISNUMBER(SEARCH("live nation",L1299)),ISNUMBER(SEARCH("ocesa",L1299))),1,0)</f>
        <v>1</v>
      </c>
      <c r="Y1299" s="11" t="s">
        <v>49</v>
      </c>
    </row>
    <row r="1300" customFormat="false" ht="15" hidden="false" customHeight="false" outlineLevel="0" collapsed="false">
      <c r="A1300" s="25" t="n">
        <v>43494</v>
      </c>
      <c r="B1300" s="13" t="n">
        <v>1</v>
      </c>
      <c r="C1300" s="26" t="s">
        <v>748</v>
      </c>
      <c r="D1300" s="26"/>
      <c r="E1300" s="13" t="s">
        <v>1288</v>
      </c>
      <c r="F1300" s="13" t="s">
        <v>561</v>
      </c>
      <c r="G1300" s="13"/>
      <c r="H1300" s="13" t="s">
        <v>449</v>
      </c>
      <c r="I1300" s="13"/>
      <c r="J1300" s="13" t="s">
        <v>914</v>
      </c>
      <c r="K1300" s="13" t="s">
        <v>173</v>
      </c>
      <c r="L1300" s="13" t="s">
        <v>1339</v>
      </c>
      <c r="M1300" s="13" t="s">
        <v>251</v>
      </c>
      <c r="N1300" s="27" t="n">
        <v>2180</v>
      </c>
      <c r="O1300" s="28" t="n">
        <v>221749.91</v>
      </c>
      <c r="P1300" s="27" t="n">
        <v>2180</v>
      </c>
      <c r="Q1300" s="29" t="n">
        <v>1</v>
      </c>
      <c r="R1300" s="28" t="n">
        <v>59.51</v>
      </c>
      <c r="S1300" s="28" t="n">
        <v>194.54</v>
      </c>
      <c r="T1300" s="28" t="n">
        <v>101.72</v>
      </c>
      <c r="U1300" s="13" t="n">
        <f aca="false">IFERROR(YEAR(A1300),"")</f>
        <v>2019</v>
      </c>
      <c r="V1300" s="28" t="n">
        <f aca="false">IFERROR(O1300*B1300,0)</f>
        <v>221749.91</v>
      </c>
      <c r="W1300" s="27" t="n">
        <f aca="false">IFERROR(N1300*B1300,0)</f>
        <v>2180</v>
      </c>
      <c r="X1300" s="13" t="n">
        <f aca="false">IF(OR(ISNUMBER(SEARCH("live nation",L1300)),ISNUMBER(SEARCH("ocesa",L1300))),1,0)</f>
        <v>0</v>
      </c>
      <c r="Y1300" s="13" t="s">
        <v>49</v>
      </c>
    </row>
    <row r="1301" customFormat="false" ht="15" hidden="false" customHeight="false" outlineLevel="0" collapsed="false">
      <c r="A1301" s="30" t="n">
        <v>43489</v>
      </c>
      <c r="B1301" s="11" t="n">
        <v>1</v>
      </c>
      <c r="C1301" s="31" t="s">
        <v>1345</v>
      </c>
      <c r="D1301" s="31"/>
      <c r="E1301" s="11" t="s">
        <v>487</v>
      </c>
      <c r="F1301" s="11" t="s">
        <v>207</v>
      </c>
      <c r="G1301" s="11" t="s">
        <v>208</v>
      </c>
      <c r="H1301" s="11" t="s">
        <v>20</v>
      </c>
      <c r="I1301" s="11" t="s">
        <v>209</v>
      </c>
      <c r="J1301" s="11" t="s">
        <v>121</v>
      </c>
      <c r="K1301" s="11" t="s">
        <v>107</v>
      </c>
      <c r="L1301" s="11" t="s">
        <v>177</v>
      </c>
      <c r="M1301" s="11" t="s">
        <v>100</v>
      </c>
      <c r="N1301" s="32" t="n">
        <v>1875</v>
      </c>
      <c r="O1301" s="33" t="n">
        <v>219580.5</v>
      </c>
      <c r="P1301" s="32" t="n">
        <v>2200</v>
      </c>
      <c r="Q1301" s="34" t="n">
        <v>0.85</v>
      </c>
      <c r="R1301" s="33" t="n">
        <v>49.5</v>
      </c>
      <c r="S1301" s="33" t="n">
        <v>157.5</v>
      </c>
      <c r="T1301" s="33" t="n">
        <v>117.11</v>
      </c>
      <c r="U1301" s="11" t="n">
        <f aca="false">IFERROR(YEAR(A1301),"")</f>
        <v>2019</v>
      </c>
      <c r="V1301" s="33" t="n">
        <f aca="false">IFERROR(O1301*B1301,0)</f>
        <v>219580.5</v>
      </c>
      <c r="W1301" s="32" t="n">
        <f aca="false">IFERROR(N1301*B1301,0)</f>
        <v>1875</v>
      </c>
      <c r="X1301" s="11" t="n">
        <f aca="false">IF(OR(ISNUMBER(SEARCH("live nation",L1301)),ISNUMBER(SEARCH("ocesa",L1301))),1,0)</f>
        <v>1</v>
      </c>
      <c r="Y1301" s="11" t="s">
        <v>49</v>
      </c>
    </row>
    <row r="1302" customFormat="false" ht="15" hidden="false" customHeight="false" outlineLevel="0" collapsed="false">
      <c r="A1302" s="25" t="n">
        <v>43484</v>
      </c>
      <c r="B1302" s="13" t="n">
        <v>1</v>
      </c>
      <c r="C1302" s="26" t="s">
        <v>60</v>
      </c>
      <c r="D1302" s="26"/>
      <c r="E1302" s="13" t="s">
        <v>323</v>
      </c>
      <c r="F1302" s="13" t="s">
        <v>324</v>
      </c>
      <c r="G1302" s="13"/>
      <c r="H1302" s="13" t="s">
        <v>324</v>
      </c>
      <c r="I1302" s="13"/>
      <c r="J1302" s="13" t="s">
        <v>133</v>
      </c>
      <c r="K1302" s="13" t="s">
        <v>324</v>
      </c>
      <c r="L1302" s="13" t="s">
        <v>1321</v>
      </c>
      <c r="M1302" s="13" t="s">
        <v>100</v>
      </c>
      <c r="N1302" s="27" t="n">
        <v>39946</v>
      </c>
      <c r="O1302" s="28" t="n">
        <v>7061853.5</v>
      </c>
      <c r="P1302" s="27" t="n">
        <v>39946</v>
      </c>
      <c r="Q1302" s="29" t="n">
        <v>1</v>
      </c>
      <c r="R1302" s="28" t="n">
        <v>64.53</v>
      </c>
      <c r="S1302" s="28" t="n">
        <v>255.2</v>
      </c>
      <c r="T1302" s="28" t="n">
        <v>176.78</v>
      </c>
      <c r="U1302" s="13" t="n">
        <f aca="false">IFERROR(YEAR(A1302),"")</f>
        <v>2019</v>
      </c>
      <c r="V1302" s="28" t="n">
        <f aca="false">IFERROR(O1302*B1302,0)</f>
        <v>7061853.5</v>
      </c>
      <c r="W1302" s="27" t="n">
        <f aca="false">IFERROR(N1302*B1302,0)</f>
        <v>39946</v>
      </c>
      <c r="X1302" s="13" t="n">
        <f aca="false">IF(OR(ISNUMBER(SEARCH("live nation",L1302)),ISNUMBER(SEARCH("ocesa",L1302))),1,0)</f>
        <v>0</v>
      </c>
      <c r="Y1302" s="13" t="s">
        <v>50</v>
      </c>
    </row>
    <row r="1303" customFormat="false" ht="15" hidden="false" customHeight="false" outlineLevel="0" collapsed="false">
      <c r="A1303" s="30" t="n">
        <v>43483</v>
      </c>
      <c r="B1303" s="11" t="n">
        <v>1</v>
      </c>
      <c r="C1303" s="31" t="s">
        <v>1345</v>
      </c>
      <c r="D1303" s="31"/>
      <c r="E1303" s="11" t="s">
        <v>1346</v>
      </c>
      <c r="F1303" s="11" t="s">
        <v>535</v>
      </c>
      <c r="G1303" s="11" t="s">
        <v>202</v>
      </c>
      <c r="H1303" s="11" t="s">
        <v>20</v>
      </c>
      <c r="I1303" s="11" t="s">
        <v>232</v>
      </c>
      <c r="J1303" s="11" t="s">
        <v>121</v>
      </c>
      <c r="K1303" s="11" t="s">
        <v>107</v>
      </c>
      <c r="L1303" s="11" t="s">
        <v>177</v>
      </c>
      <c r="M1303" s="11" t="s">
        <v>100</v>
      </c>
      <c r="N1303" s="32" t="n">
        <v>2008</v>
      </c>
      <c r="O1303" s="33" t="n">
        <v>247350</v>
      </c>
      <c r="P1303" s="32" t="n">
        <v>2545</v>
      </c>
      <c r="Q1303" s="34" t="n">
        <v>0.78</v>
      </c>
      <c r="R1303" s="33" t="n">
        <v>79.5</v>
      </c>
      <c r="S1303" s="33" t="n">
        <v>159.5</v>
      </c>
      <c r="T1303" s="33" t="n">
        <v>123.18</v>
      </c>
      <c r="U1303" s="11" t="n">
        <f aca="false">IFERROR(YEAR(A1303),"")</f>
        <v>2019</v>
      </c>
      <c r="V1303" s="33" t="n">
        <f aca="false">IFERROR(O1303*B1303,0)</f>
        <v>247350</v>
      </c>
      <c r="W1303" s="32" t="n">
        <f aca="false">IFERROR(N1303*B1303,0)</f>
        <v>2008</v>
      </c>
      <c r="X1303" s="11" t="n">
        <f aca="false">IF(OR(ISNUMBER(SEARCH("live nation",L1303)),ISNUMBER(SEARCH("ocesa",L1303))),1,0)</f>
        <v>1</v>
      </c>
      <c r="Y1303" s="11" t="s">
        <v>49</v>
      </c>
    </row>
    <row r="1304" customFormat="false" ht="15" hidden="false" customHeight="false" outlineLevel="0" collapsed="false">
      <c r="A1304" s="25" t="n">
        <v>43480</v>
      </c>
      <c r="B1304" s="13" t="n">
        <v>1</v>
      </c>
      <c r="C1304" s="26" t="s">
        <v>1345</v>
      </c>
      <c r="D1304" s="26"/>
      <c r="E1304" s="13" t="s">
        <v>503</v>
      </c>
      <c r="F1304" s="13" t="s">
        <v>306</v>
      </c>
      <c r="G1304" s="13" t="s">
        <v>188</v>
      </c>
      <c r="H1304" s="13" t="s">
        <v>20</v>
      </c>
      <c r="I1304" s="13" t="s">
        <v>307</v>
      </c>
      <c r="J1304" s="13" t="s">
        <v>121</v>
      </c>
      <c r="K1304" s="13" t="s">
        <v>107</v>
      </c>
      <c r="L1304" s="13" t="s">
        <v>657</v>
      </c>
      <c r="M1304" s="13" t="s">
        <v>100</v>
      </c>
      <c r="N1304" s="27" t="n">
        <v>1909</v>
      </c>
      <c r="O1304" s="28" t="n">
        <v>227219.5</v>
      </c>
      <c r="P1304" s="27" t="n">
        <v>2757</v>
      </c>
      <c r="Q1304" s="29" t="n">
        <v>0.69</v>
      </c>
      <c r="R1304" s="28" t="n">
        <v>85.5</v>
      </c>
      <c r="S1304" s="28" t="n">
        <v>155.5</v>
      </c>
      <c r="T1304" s="28" t="n">
        <v>119.03</v>
      </c>
      <c r="U1304" s="13" t="n">
        <f aca="false">IFERROR(YEAR(A1304),"")</f>
        <v>2019</v>
      </c>
      <c r="V1304" s="28" t="n">
        <f aca="false">IFERROR(O1304*B1304,0)</f>
        <v>227219.5</v>
      </c>
      <c r="W1304" s="27" t="n">
        <f aca="false">IFERROR(N1304*B1304,0)</f>
        <v>1909</v>
      </c>
      <c r="X1304" s="13" t="n">
        <f aca="false">IF(OR(ISNUMBER(SEARCH("live nation",L1304)),ISNUMBER(SEARCH("ocesa",L1304))),1,0)</f>
        <v>1</v>
      </c>
      <c r="Y1304" s="13" t="s">
        <v>49</v>
      </c>
    </row>
    <row r="1305" customFormat="false" ht="15" hidden="false" customHeight="false" outlineLevel="0" collapsed="false">
      <c r="A1305" s="30" t="n">
        <v>43477</v>
      </c>
      <c r="B1305" s="11" t="n">
        <v>2</v>
      </c>
      <c r="C1305" s="31" t="s">
        <v>60</v>
      </c>
      <c r="D1305" s="31"/>
      <c r="E1305" s="11" t="s">
        <v>1347</v>
      </c>
      <c r="F1305" s="11" t="s">
        <v>423</v>
      </c>
      <c r="G1305" s="11"/>
      <c r="H1305" s="11" t="s">
        <v>21</v>
      </c>
      <c r="I1305" s="11"/>
      <c r="J1305" s="11" t="s">
        <v>133</v>
      </c>
      <c r="K1305" s="11" t="s">
        <v>113</v>
      </c>
      <c r="L1305" s="11" t="s">
        <v>1321</v>
      </c>
      <c r="M1305" s="11" t="s">
        <v>100</v>
      </c>
      <c r="N1305" s="32" t="n">
        <v>39810</v>
      </c>
      <c r="O1305" s="33" t="n">
        <v>3846281</v>
      </c>
      <c r="P1305" s="32" t="n">
        <v>39810</v>
      </c>
      <c r="Q1305" s="34" t="n">
        <v>1</v>
      </c>
      <c r="R1305" s="33" t="n">
        <v>98.17</v>
      </c>
      <c r="S1305" s="33" t="n">
        <v>107.99</v>
      </c>
      <c r="T1305" s="33" t="n">
        <v>96.61</v>
      </c>
      <c r="U1305" s="11" t="n">
        <f aca="false">IFERROR(YEAR(A1305),"")</f>
        <v>2019</v>
      </c>
      <c r="V1305" s="33" t="n">
        <f aca="false">IFERROR(O1305*B1305,0)</f>
        <v>7692562</v>
      </c>
      <c r="W1305" s="32" t="n">
        <f aca="false">IFERROR(N1305*B1305,0)</f>
        <v>79620</v>
      </c>
      <c r="X1305" s="11" t="n">
        <f aca="false">IF(OR(ISNUMBER(SEARCH("live nation",L1305)),ISNUMBER(SEARCH("ocesa",L1305))),1,0)</f>
        <v>0</v>
      </c>
      <c r="Y1305" s="11" t="s">
        <v>50</v>
      </c>
    </row>
    <row r="1306" customFormat="false" ht="15" hidden="false" customHeight="false" outlineLevel="0" collapsed="false">
      <c r="A1306" s="25" t="n">
        <v>43443</v>
      </c>
      <c r="B1306" s="13" t="n">
        <v>1</v>
      </c>
      <c r="C1306" s="26" t="s">
        <v>1348</v>
      </c>
      <c r="D1306" s="26" t="s">
        <v>1349</v>
      </c>
      <c r="E1306" s="13" t="s">
        <v>1350</v>
      </c>
      <c r="F1306" s="13" t="s">
        <v>197</v>
      </c>
      <c r="G1306" s="13" t="s">
        <v>139</v>
      </c>
      <c r="H1306" s="13" t="s">
        <v>20</v>
      </c>
      <c r="I1306" s="13" t="s">
        <v>139</v>
      </c>
      <c r="J1306" s="13" t="s">
        <v>106</v>
      </c>
      <c r="K1306" s="13" t="s">
        <v>107</v>
      </c>
      <c r="L1306" s="13" t="s">
        <v>122</v>
      </c>
      <c r="M1306" s="13" t="s">
        <v>100</v>
      </c>
      <c r="N1306" s="27" t="n">
        <v>303</v>
      </c>
      <c r="O1306" s="28" t="n">
        <v>4545</v>
      </c>
      <c r="P1306" s="27" t="n">
        <v>600</v>
      </c>
      <c r="Q1306" s="29" t="n">
        <v>0.5</v>
      </c>
      <c r="R1306" s="28" t="n">
        <v>15</v>
      </c>
      <c r="S1306" s="28" t="n">
        <v>0</v>
      </c>
      <c r="T1306" s="28" t="n">
        <v>15</v>
      </c>
      <c r="U1306" s="13" t="n">
        <f aca="false">IFERROR(YEAR(A1306),"")</f>
        <v>2018</v>
      </c>
      <c r="V1306" s="28" t="n">
        <f aca="false">IFERROR(O1306*B1306,0)</f>
        <v>4545</v>
      </c>
      <c r="W1306" s="27" t="n">
        <f aca="false">IFERROR(N1306*B1306,0)</f>
        <v>303</v>
      </c>
      <c r="X1306" s="13" t="n">
        <f aca="false">IF(OR(ISNUMBER(SEARCH("live nation",L1306)),ISNUMBER(SEARCH("ocesa",L1306))),1,0)</f>
        <v>0</v>
      </c>
      <c r="Y1306" s="13" t="s">
        <v>49</v>
      </c>
    </row>
    <row r="1307" customFormat="false" ht="15" hidden="false" customHeight="false" outlineLevel="0" collapsed="false">
      <c r="A1307" s="30" t="n">
        <v>43442</v>
      </c>
      <c r="B1307" s="11" t="n">
        <v>2</v>
      </c>
      <c r="C1307" s="31" t="s">
        <v>60</v>
      </c>
      <c r="D1307" s="31"/>
      <c r="E1307" s="11" t="s">
        <v>1351</v>
      </c>
      <c r="F1307" s="11" t="s">
        <v>1352</v>
      </c>
      <c r="G1307" s="11"/>
      <c r="H1307" s="11" t="s">
        <v>378</v>
      </c>
      <c r="I1307" s="11"/>
      <c r="J1307" s="11" t="s">
        <v>133</v>
      </c>
      <c r="K1307" s="11" t="s">
        <v>379</v>
      </c>
      <c r="L1307" s="11" t="s">
        <v>1321</v>
      </c>
      <c r="M1307" s="11" t="s">
        <v>100</v>
      </c>
      <c r="N1307" s="32" t="n">
        <v>25072</v>
      </c>
      <c r="O1307" s="33" t="n">
        <v>4356373.99</v>
      </c>
      <c r="P1307" s="32" t="n">
        <v>25072</v>
      </c>
      <c r="Q1307" s="34" t="n">
        <v>1</v>
      </c>
      <c r="R1307" s="33" t="n">
        <v>25.94</v>
      </c>
      <c r="S1307" s="33" t="n">
        <v>252.88</v>
      </c>
      <c r="T1307" s="33" t="n">
        <v>173.75</v>
      </c>
      <c r="U1307" s="11" t="n">
        <f aca="false">IFERROR(YEAR(A1307),"")</f>
        <v>2018</v>
      </c>
      <c r="V1307" s="33" t="n">
        <f aca="false">IFERROR(O1307*B1307,0)</f>
        <v>8712747.98</v>
      </c>
      <c r="W1307" s="32" t="n">
        <f aca="false">IFERROR(N1307*B1307,0)</f>
        <v>50144</v>
      </c>
      <c r="X1307" s="11" t="n">
        <f aca="false">IF(OR(ISNUMBER(SEARCH("live nation",L1307)),ISNUMBER(SEARCH("ocesa",L1307))),1,0)</f>
        <v>0</v>
      </c>
      <c r="Y1307" s="11" t="s">
        <v>50</v>
      </c>
    </row>
    <row r="1308" customFormat="false" ht="15" hidden="false" customHeight="false" outlineLevel="0" collapsed="false">
      <c r="A1308" s="25" t="n">
        <v>43432</v>
      </c>
      <c r="B1308" s="13" t="n">
        <v>1</v>
      </c>
      <c r="C1308" s="26" t="s">
        <v>1353</v>
      </c>
      <c r="D1308" s="26"/>
      <c r="E1308" s="13" t="s">
        <v>551</v>
      </c>
      <c r="F1308" s="13" t="s">
        <v>552</v>
      </c>
      <c r="G1308" s="13"/>
      <c r="H1308" s="13" t="s">
        <v>26</v>
      </c>
      <c r="I1308" s="13"/>
      <c r="J1308" s="13" t="s">
        <v>97</v>
      </c>
      <c r="K1308" s="13" t="s">
        <v>173</v>
      </c>
      <c r="L1308" s="13" t="s">
        <v>1354</v>
      </c>
      <c r="M1308" s="13" t="s">
        <v>100</v>
      </c>
      <c r="N1308" s="27" t="n">
        <v>7133</v>
      </c>
      <c r="O1308" s="28" t="n">
        <v>1514739.19</v>
      </c>
      <c r="P1308" s="27" t="n">
        <v>14582</v>
      </c>
      <c r="Q1308" s="29" t="n">
        <v>0.48</v>
      </c>
      <c r="R1308" s="28" t="n">
        <v>100.28</v>
      </c>
      <c r="S1308" s="28" t="n">
        <v>374.48</v>
      </c>
      <c r="T1308" s="28" t="n">
        <v>212.36</v>
      </c>
      <c r="U1308" s="13" t="n">
        <f aca="false">IFERROR(YEAR(A1308),"")</f>
        <v>2018</v>
      </c>
      <c r="V1308" s="28" t="n">
        <f aca="false">IFERROR(O1308*B1308,0)</f>
        <v>1514739.19</v>
      </c>
      <c r="W1308" s="27" t="n">
        <f aca="false">IFERROR(N1308*B1308,0)</f>
        <v>7133</v>
      </c>
      <c r="X1308" s="13" t="n">
        <f aca="false">IF(OR(ISNUMBER(SEARCH("live nation",L1308)),ISNUMBER(SEARCH("ocesa",L1308))),1,0)</f>
        <v>0</v>
      </c>
      <c r="Y1308" s="13" t="s">
        <v>49</v>
      </c>
    </row>
    <row r="1309" customFormat="false" ht="15" hidden="false" customHeight="false" outlineLevel="0" collapsed="false">
      <c r="A1309" s="30" t="n">
        <v>43428</v>
      </c>
      <c r="B1309" s="11" t="n">
        <v>1</v>
      </c>
      <c r="C1309" s="31" t="s">
        <v>1355</v>
      </c>
      <c r="D1309" s="31"/>
      <c r="E1309" s="11" t="s">
        <v>1314</v>
      </c>
      <c r="F1309" s="11" t="s">
        <v>161</v>
      </c>
      <c r="G1309" s="11" t="s">
        <v>162</v>
      </c>
      <c r="H1309" s="11" t="s">
        <v>20</v>
      </c>
      <c r="I1309" s="11" t="s">
        <v>163</v>
      </c>
      <c r="J1309" s="11" t="s">
        <v>121</v>
      </c>
      <c r="K1309" s="11" t="s">
        <v>107</v>
      </c>
      <c r="L1309" s="11" t="s">
        <v>1356</v>
      </c>
      <c r="M1309" s="11" t="s">
        <v>277</v>
      </c>
      <c r="N1309" s="32" t="n">
        <v>532</v>
      </c>
      <c r="O1309" s="33" t="n">
        <v>60330</v>
      </c>
      <c r="P1309" s="32" t="n">
        <v>992</v>
      </c>
      <c r="Q1309" s="34" t="n">
        <v>0.53</v>
      </c>
      <c r="R1309" s="33" t="n">
        <v>60</v>
      </c>
      <c r="S1309" s="33" t="n">
        <v>200</v>
      </c>
      <c r="T1309" s="33" t="n">
        <v>113.4</v>
      </c>
      <c r="U1309" s="11" t="n">
        <f aca="false">IFERROR(YEAR(A1309),"")</f>
        <v>2018</v>
      </c>
      <c r="V1309" s="33" t="n">
        <f aca="false">IFERROR(O1309*B1309,0)</f>
        <v>60330</v>
      </c>
      <c r="W1309" s="32" t="n">
        <f aca="false">IFERROR(N1309*B1309,0)</f>
        <v>532</v>
      </c>
      <c r="X1309" s="11" t="n">
        <f aca="false">IF(OR(ISNUMBER(SEARCH("live nation",L1309)),ISNUMBER(SEARCH("ocesa",L1309))),1,0)</f>
        <v>0</v>
      </c>
      <c r="Y1309" s="11" t="s">
        <v>49</v>
      </c>
    </row>
    <row r="1310" customFormat="false" ht="15" hidden="false" customHeight="false" outlineLevel="0" collapsed="false">
      <c r="A1310" s="25" t="n">
        <v>43427</v>
      </c>
      <c r="B1310" s="13" t="n">
        <v>1</v>
      </c>
      <c r="C1310" s="26" t="s">
        <v>1353</v>
      </c>
      <c r="D1310" s="26"/>
      <c r="E1310" s="13" t="s">
        <v>1357</v>
      </c>
      <c r="F1310" s="13" t="s">
        <v>313</v>
      </c>
      <c r="G1310" s="13"/>
      <c r="H1310" s="13" t="s">
        <v>27</v>
      </c>
      <c r="I1310" s="13"/>
      <c r="J1310" s="13" t="s">
        <v>97</v>
      </c>
      <c r="K1310" s="13" t="s">
        <v>314</v>
      </c>
      <c r="L1310" s="13" t="s">
        <v>860</v>
      </c>
      <c r="M1310" s="13" t="s">
        <v>100</v>
      </c>
      <c r="N1310" s="27" t="n">
        <v>6774</v>
      </c>
      <c r="O1310" s="28" t="n">
        <v>1862615.08</v>
      </c>
      <c r="P1310" s="27" t="n">
        <v>7254</v>
      </c>
      <c r="Q1310" s="29" t="n">
        <v>0.93</v>
      </c>
      <c r="R1310" s="28" t="n">
        <v>100.67</v>
      </c>
      <c r="S1310" s="28" t="n">
        <v>342.78</v>
      </c>
      <c r="T1310" s="28" t="n">
        <v>274.97</v>
      </c>
      <c r="U1310" s="13" t="n">
        <f aca="false">IFERROR(YEAR(A1310),"")</f>
        <v>2018</v>
      </c>
      <c r="V1310" s="28" t="n">
        <f aca="false">IFERROR(O1310*B1310,0)</f>
        <v>1862615.08</v>
      </c>
      <c r="W1310" s="27" t="n">
        <f aca="false">IFERROR(N1310*B1310,0)</f>
        <v>6774</v>
      </c>
      <c r="X1310" s="13" t="n">
        <f aca="false">IF(OR(ISNUMBER(SEARCH("live nation",L1310)),ISNUMBER(SEARCH("ocesa",L1310))),1,0)</f>
        <v>0</v>
      </c>
      <c r="Y1310" s="13" t="s">
        <v>49</v>
      </c>
    </row>
    <row r="1311" customFormat="false" ht="15" hidden="false" customHeight="false" outlineLevel="0" collapsed="false">
      <c r="A1311" s="30" t="n">
        <v>43425</v>
      </c>
      <c r="B1311" s="11" t="n">
        <v>3</v>
      </c>
      <c r="C1311" s="31" t="s">
        <v>60</v>
      </c>
      <c r="D1311" s="31"/>
      <c r="E1311" s="11" t="s">
        <v>369</v>
      </c>
      <c r="F1311" s="11" t="s">
        <v>370</v>
      </c>
      <c r="G1311" s="11"/>
      <c r="H1311" s="11" t="s">
        <v>21</v>
      </c>
      <c r="I1311" s="11"/>
      <c r="J1311" s="11" t="s">
        <v>133</v>
      </c>
      <c r="K1311" s="11" t="s">
        <v>113</v>
      </c>
      <c r="L1311" s="11" t="s">
        <v>1321</v>
      </c>
      <c r="M1311" s="11" t="s">
        <v>100</v>
      </c>
      <c r="N1311" s="32" t="n">
        <v>36559</v>
      </c>
      <c r="O1311" s="33" t="n">
        <v>3533687.67</v>
      </c>
      <c r="P1311" s="32" t="n">
        <v>36559</v>
      </c>
      <c r="Q1311" s="34" t="n">
        <v>1</v>
      </c>
      <c r="R1311" s="33" t="n">
        <v>95.47</v>
      </c>
      <c r="S1311" s="33" t="n">
        <v>105.02</v>
      </c>
      <c r="T1311" s="33" t="n">
        <v>96.66</v>
      </c>
      <c r="U1311" s="11" t="n">
        <f aca="false">IFERROR(YEAR(A1311),"")</f>
        <v>2018</v>
      </c>
      <c r="V1311" s="33" t="n">
        <f aca="false">IFERROR(O1311*B1311,0)</f>
        <v>10601063.01</v>
      </c>
      <c r="W1311" s="32" t="n">
        <f aca="false">IFERROR(N1311*B1311,0)</f>
        <v>109677</v>
      </c>
      <c r="X1311" s="11" t="n">
        <f aca="false">IF(OR(ISNUMBER(SEARCH("live nation",L1311)),ISNUMBER(SEARCH("ocesa",L1311))),1,0)</f>
        <v>0</v>
      </c>
      <c r="Y1311" s="11" t="s">
        <v>50</v>
      </c>
    </row>
    <row r="1312" customFormat="false" ht="15" hidden="false" customHeight="false" outlineLevel="0" collapsed="false">
      <c r="A1312" s="25" t="n">
        <v>43424</v>
      </c>
      <c r="B1312" s="13" t="n">
        <v>1</v>
      </c>
      <c r="C1312" s="26" t="s">
        <v>1355</v>
      </c>
      <c r="D1312" s="26"/>
      <c r="E1312" s="13" t="s">
        <v>1358</v>
      </c>
      <c r="F1312" s="13" t="s">
        <v>1028</v>
      </c>
      <c r="G1312" s="13" t="s">
        <v>167</v>
      </c>
      <c r="H1312" s="13" t="s">
        <v>20</v>
      </c>
      <c r="I1312" s="13" t="s">
        <v>471</v>
      </c>
      <c r="J1312" s="13" t="s">
        <v>121</v>
      </c>
      <c r="K1312" s="13" t="s">
        <v>107</v>
      </c>
      <c r="L1312" s="13" t="s">
        <v>1356</v>
      </c>
      <c r="M1312" s="13" t="s">
        <v>277</v>
      </c>
      <c r="N1312" s="27" t="n">
        <v>281</v>
      </c>
      <c r="O1312" s="28" t="n">
        <v>40486.75</v>
      </c>
      <c r="P1312" s="27" t="n">
        <v>925</v>
      </c>
      <c r="Q1312" s="29" t="n">
        <v>0.3</v>
      </c>
      <c r="R1312" s="28" t="n">
        <v>81.36</v>
      </c>
      <c r="S1312" s="28" t="n">
        <v>229.49</v>
      </c>
      <c r="T1312" s="28" t="n">
        <v>144.08</v>
      </c>
      <c r="U1312" s="13" t="n">
        <f aca="false">IFERROR(YEAR(A1312),"")</f>
        <v>2018</v>
      </c>
      <c r="V1312" s="28" t="n">
        <f aca="false">IFERROR(O1312*B1312,0)</f>
        <v>40486.75</v>
      </c>
      <c r="W1312" s="27" t="n">
        <f aca="false">IFERROR(N1312*B1312,0)</f>
        <v>281</v>
      </c>
      <c r="X1312" s="13" t="n">
        <f aca="false">IF(OR(ISNUMBER(SEARCH("live nation",L1312)),ISNUMBER(SEARCH("ocesa",L1312))),1,0)</f>
        <v>0</v>
      </c>
      <c r="Y1312" s="13" t="s">
        <v>49</v>
      </c>
    </row>
    <row r="1313" customFormat="false" ht="15" hidden="false" customHeight="false" outlineLevel="0" collapsed="false">
      <c r="A1313" s="30" t="n">
        <v>43418</v>
      </c>
      <c r="B1313" s="11" t="n">
        <v>1</v>
      </c>
      <c r="C1313" s="31" t="s">
        <v>748</v>
      </c>
      <c r="D1313" s="31"/>
      <c r="E1313" s="11" t="s">
        <v>617</v>
      </c>
      <c r="F1313" s="11" t="s">
        <v>346</v>
      </c>
      <c r="G1313" s="11" t="s">
        <v>347</v>
      </c>
      <c r="H1313" s="11" t="s">
        <v>20</v>
      </c>
      <c r="I1313" s="11" t="s">
        <v>346</v>
      </c>
      <c r="J1313" s="11" t="s">
        <v>121</v>
      </c>
      <c r="K1313" s="11" t="s">
        <v>107</v>
      </c>
      <c r="L1313" s="11" t="s">
        <v>1279</v>
      </c>
      <c r="M1313" s="11" t="s">
        <v>251</v>
      </c>
      <c r="N1313" s="32" t="n">
        <v>2546</v>
      </c>
      <c r="O1313" s="33" t="n">
        <v>311820</v>
      </c>
      <c r="P1313" s="32" t="n">
        <v>2648</v>
      </c>
      <c r="Q1313" s="34" t="n">
        <v>0.96</v>
      </c>
      <c r="R1313" s="33" t="n">
        <v>65</v>
      </c>
      <c r="S1313" s="33" t="n">
        <v>185</v>
      </c>
      <c r="T1313" s="33" t="n">
        <v>122.47</v>
      </c>
      <c r="U1313" s="11" t="n">
        <f aca="false">IFERROR(YEAR(A1313),"")</f>
        <v>2018</v>
      </c>
      <c r="V1313" s="33" t="n">
        <f aca="false">IFERROR(O1313*B1313,0)</f>
        <v>311820</v>
      </c>
      <c r="W1313" s="32" t="n">
        <f aca="false">IFERROR(N1313*B1313,0)</f>
        <v>2546</v>
      </c>
      <c r="X1313" s="11" t="n">
        <f aca="false">IF(OR(ISNUMBER(SEARCH("live nation",L1313)),ISNUMBER(SEARCH("ocesa",L1313))),1,0)</f>
        <v>0</v>
      </c>
      <c r="Y1313" s="11" t="s">
        <v>49</v>
      </c>
    </row>
    <row r="1314" customFormat="false" ht="15" hidden="false" customHeight="false" outlineLevel="0" collapsed="false">
      <c r="A1314" s="25" t="n">
        <v>43417</v>
      </c>
      <c r="B1314" s="13" t="n">
        <v>2</v>
      </c>
      <c r="C1314" s="26" t="s">
        <v>60</v>
      </c>
      <c r="D1314" s="26"/>
      <c r="E1314" s="13" t="s">
        <v>184</v>
      </c>
      <c r="F1314" s="13" t="s">
        <v>185</v>
      </c>
      <c r="G1314" s="13"/>
      <c r="H1314" s="13" t="s">
        <v>21</v>
      </c>
      <c r="I1314" s="13"/>
      <c r="J1314" s="13" t="s">
        <v>133</v>
      </c>
      <c r="K1314" s="13" t="s">
        <v>113</v>
      </c>
      <c r="L1314" s="13" t="s">
        <v>1321</v>
      </c>
      <c r="M1314" s="13" t="s">
        <v>100</v>
      </c>
      <c r="N1314" s="27" t="n">
        <v>47969</v>
      </c>
      <c r="O1314" s="28" t="n">
        <v>4638295</v>
      </c>
      <c r="P1314" s="27" t="n">
        <v>47969</v>
      </c>
      <c r="Q1314" s="29" t="n">
        <v>1</v>
      </c>
      <c r="R1314" s="28" t="n">
        <v>95.47</v>
      </c>
      <c r="S1314" s="28" t="n">
        <v>105.02</v>
      </c>
      <c r="T1314" s="28" t="n">
        <v>96.69</v>
      </c>
      <c r="U1314" s="13" t="n">
        <f aca="false">IFERROR(YEAR(A1314),"")</f>
        <v>2018</v>
      </c>
      <c r="V1314" s="28" t="n">
        <f aca="false">IFERROR(O1314*B1314,0)</f>
        <v>9276590</v>
      </c>
      <c r="W1314" s="27" t="n">
        <f aca="false">IFERROR(N1314*B1314,0)</f>
        <v>95938</v>
      </c>
      <c r="X1314" s="13" t="n">
        <f aca="false">IF(OR(ISNUMBER(SEARCH("live nation",L1314)),ISNUMBER(SEARCH("ocesa",L1314))),1,0)</f>
        <v>0</v>
      </c>
      <c r="Y1314" s="13" t="s">
        <v>50</v>
      </c>
    </row>
    <row r="1315" customFormat="false" ht="15" hidden="false" customHeight="false" outlineLevel="0" collapsed="false">
      <c r="A1315" s="30" t="n">
        <v>43415</v>
      </c>
      <c r="B1315" s="11" t="n">
        <v>1</v>
      </c>
      <c r="C1315" s="31" t="s">
        <v>748</v>
      </c>
      <c r="D1315" s="31"/>
      <c r="E1315" s="11" t="s">
        <v>160</v>
      </c>
      <c r="F1315" s="11" t="s">
        <v>161</v>
      </c>
      <c r="G1315" s="11" t="s">
        <v>162</v>
      </c>
      <c r="H1315" s="11" t="s">
        <v>20</v>
      </c>
      <c r="I1315" s="11" t="s">
        <v>163</v>
      </c>
      <c r="J1315" s="11" t="s">
        <v>121</v>
      </c>
      <c r="K1315" s="11" t="s">
        <v>107</v>
      </c>
      <c r="L1315" s="11" t="s">
        <v>1279</v>
      </c>
      <c r="M1315" s="11" t="s">
        <v>251</v>
      </c>
      <c r="N1315" s="32" t="n">
        <v>2060</v>
      </c>
      <c r="O1315" s="33" t="n">
        <v>289980</v>
      </c>
      <c r="P1315" s="32" t="n">
        <v>2091</v>
      </c>
      <c r="Q1315" s="34" t="n">
        <v>0.98</v>
      </c>
      <c r="R1315" s="33" t="n">
        <v>65</v>
      </c>
      <c r="S1315" s="33" t="n">
        <v>205</v>
      </c>
      <c r="T1315" s="33" t="n">
        <v>140.77</v>
      </c>
      <c r="U1315" s="11" t="n">
        <f aca="false">IFERROR(YEAR(A1315),"")</f>
        <v>2018</v>
      </c>
      <c r="V1315" s="33" t="n">
        <f aca="false">IFERROR(O1315*B1315,0)</f>
        <v>289980</v>
      </c>
      <c r="W1315" s="32" t="n">
        <f aca="false">IFERROR(N1315*B1315,0)</f>
        <v>2060</v>
      </c>
      <c r="X1315" s="11" t="n">
        <f aca="false">IF(OR(ISNUMBER(SEARCH("live nation",L1315)),ISNUMBER(SEARCH("ocesa",L1315))),1,0)</f>
        <v>0</v>
      </c>
      <c r="Y1315" s="11" t="s">
        <v>49</v>
      </c>
    </row>
    <row r="1316" customFormat="false" ht="15" hidden="false" customHeight="false" outlineLevel="0" collapsed="false">
      <c r="A1316" s="25" t="n">
        <v>43400</v>
      </c>
      <c r="B1316" s="13" t="n">
        <v>1</v>
      </c>
      <c r="C1316" s="26" t="s">
        <v>1359</v>
      </c>
      <c r="D1316" s="26"/>
      <c r="E1316" s="13" t="s">
        <v>1360</v>
      </c>
      <c r="F1316" s="13" t="s">
        <v>96</v>
      </c>
      <c r="G1316" s="13"/>
      <c r="H1316" s="13" t="s">
        <v>28</v>
      </c>
      <c r="I1316" s="13"/>
      <c r="J1316" s="13" t="s">
        <v>121</v>
      </c>
      <c r="K1316" s="13" t="s">
        <v>98</v>
      </c>
      <c r="L1316" s="13" t="s">
        <v>1361</v>
      </c>
      <c r="M1316" s="13" t="s">
        <v>100</v>
      </c>
      <c r="N1316" s="27" t="n">
        <v>1483</v>
      </c>
      <c r="O1316" s="28" t="n">
        <v>169821.07</v>
      </c>
      <c r="P1316" s="27" t="n">
        <v>3915</v>
      </c>
      <c r="Q1316" s="29" t="n">
        <v>0.37</v>
      </c>
      <c r="R1316" s="28" t="n">
        <v>70.73</v>
      </c>
      <c r="S1316" s="28" t="n">
        <v>229.52</v>
      </c>
      <c r="T1316" s="28" t="n">
        <v>114.51</v>
      </c>
      <c r="U1316" s="13" t="n">
        <f aca="false">IFERROR(YEAR(A1316),"")</f>
        <v>2018</v>
      </c>
      <c r="V1316" s="28" t="n">
        <f aca="false">IFERROR(O1316*B1316,0)</f>
        <v>169821.07</v>
      </c>
      <c r="W1316" s="27" t="n">
        <f aca="false">IFERROR(N1316*B1316,0)</f>
        <v>1483</v>
      </c>
      <c r="X1316" s="13" t="n">
        <f aca="false">IF(OR(ISNUMBER(SEARCH("live nation",L1316)),ISNUMBER(SEARCH("ocesa",L1316))),1,0)</f>
        <v>0</v>
      </c>
      <c r="Y1316" s="13" t="s">
        <v>49</v>
      </c>
    </row>
    <row r="1317" customFormat="false" ht="15" hidden="false" customHeight="false" outlineLevel="0" collapsed="false">
      <c r="A1317" s="30" t="n">
        <v>43392</v>
      </c>
      <c r="B1317" s="11" t="n">
        <v>2</v>
      </c>
      <c r="C1317" s="31" t="s">
        <v>60</v>
      </c>
      <c r="D1317" s="31"/>
      <c r="E1317" s="11" t="s">
        <v>551</v>
      </c>
      <c r="F1317" s="11" t="s">
        <v>552</v>
      </c>
      <c r="G1317" s="11"/>
      <c r="H1317" s="11" t="s">
        <v>26</v>
      </c>
      <c r="I1317" s="11"/>
      <c r="J1317" s="11" t="s">
        <v>97</v>
      </c>
      <c r="K1317" s="11" t="s">
        <v>173</v>
      </c>
      <c r="L1317" s="11" t="s">
        <v>177</v>
      </c>
      <c r="M1317" s="11" t="s">
        <v>100</v>
      </c>
      <c r="N1317" s="32" t="n">
        <v>14074</v>
      </c>
      <c r="O1317" s="33" t="n">
        <v>2289586.23</v>
      </c>
      <c r="P1317" s="32" t="n">
        <v>14032</v>
      </c>
      <c r="Q1317" s="34" t="n">
        <v>1</v>
      </c>
      <c r="R1317" s="33" t="n">
        <v>78.31</v>
      </c>
      <c r="S1317" s="33" t="n">
        <v>231.46</v>
      </c>
      <c r="T1317" s="33" t="n">
        <v>162.68</v>
      </c>
      <c r="U1317" s="11" t="n">
        <f aca="false">IFERROR(YEAR(A1317),"")</f>
        <v>2018</v>
      </c>
      <c r="V1317" s="33" t="n">
        <f aca="false">IFERROR(O1317*B1317,0)</f>
        <v>4579172.46</v>
      </c>
      <c r="W1317" s="32" t="n">
        <f aca="false">IFERROR(N1317*B1317,0)</f>
        <v>28148</v>
      </c>
      <c r="X1317" s="11" t="n">
        <f aca="false">IF(OR(ISNUMBER(SEARCH("live nation",L1317)),ISNUMBER(SEARCH("ocesa",L1317))),1,0)</f>
        <v>1</v>
      </c>
      <c r="Y1317" s="11" t="s">
        <v>49</v>
      </c>
    </row>
    <row r="1318" customFormat="false" ht="15" hidden="false" customHeight="false" outlineLevel="0" collapsed="false">
      <c r="A1318" s="25" t="n">
        <v>43386</v>
      </c>
      <c r="B1318" s="13" t="n">
        <v>1</v>
      </c>
      <c r="C1318" s="26" t="s">
        <v>60</v>
      </c>
      <c r="D1318" s="26"/>
      <c r="E1318" s="13" t="s">
        <v>560</v>
      </c>
      <c r="F1318" s="13" t="s">
        <v>561</v>
      </c>
      <c r="G1318" s="13"/>
      <c r="H1318" s="13" t="s">
        <v>449</v>
      </c>
      <c r="I1318" s="13"/>
      <c r="J1318" s="13" t="s">
        <v>97</v>
      </c>
      <c r="K1318" s="13" t="s">
        <v>173</v>
      </c>
      <c r="L1318" s="13" t="s">
        <v>177</v>
      </c>
      <c r="M1318" s="13" t="s">
        <v>100</v>
      </c>
      <c r="N1318" s="27" t="n">
        <v>13893</v>
      </c>
      <c r="O1318" s="28" t="n">
        <v>2250969.63</v>
      </c>
      <c r="P1318" s="27" t="n">
        <v>13893</v>
      </c>
      <c r="Q1318" s="29" t="n">
        <v>1</v>
      </c>
      <c r="R1318" s="28" t="n">
        <v>69.61</v>
      </c>
      <c r="S1318" s="28" t="n">
        <v>208.83</v>
      </c>
      <c r="T1318" s="28" t="n">
        <v>162.02</v>
      </c>
      <c r="U1318" s="13" t="n">
        <f aca="false">IFERROR(YEAR(A1318),"")</f>
        <v>2018</v>
      </c>
      <c r="V1318" s="28" t="n">
        <f aca="false">IFERROR(O1318*B1318,0)</f>
        <v>2250969.63</v>
      </c>
      <c r="W1318" s="27" t="n">
        <f aca="false">IFERROR(N1318*B1318,0)</f>
        <v>13893</v>
      </c>
      <c r="X1318" s="13" t="n">
        <f aca="false">IF(OR(ISNUMBER(SEARCH("live nation",L1318)),ISNUMBER(SEARCH("ocesa",L1318))),1,0)</f>
        <v>1</v>
      </c>
      <c r="Y1318" s="13" t="s">
        <v>49</v>
      </c>
    </row>
    <row r="1319" customFormat="false" ht="15" hidden="false" customHeight="false" outlineLevel="0" collapsed="false">
      <c r="A1319" s="30" t="n">
        <v>43382</v>
      </c>
      <c r="B1319" s="11" t="n">
        <v>2</v>
      </c>
      <c r="C1319" s="31" t="s">
        <v>60</v>
      </c>
      <c r="D1319" s="31"/>
      <c r="E1319" s="11" t="s">
        <v>567</v>
      </c>
      <c r="F1319" s="11" t="s">
        <v>313</v>
      </c>
      <c r="G1319" s="11"/>
      <c r="H1319" s="11" t="s">
        <v>27</v>
      </c>
      <c r="I1319" s="11"/>
      <c r="J1319" s="11" t="s">
        <v>97</v>
      </c>
      <c r="K1319" s="11" t="s">
        <v>314</v>
      </c>
      <c r="L1319" s="11" t="s">
        <v>177</v>
      </c>
      <c r="M1319" s="11" t="s">
        <v>100</v>
      </c>
      <c r="N1319" s="32" t="n">
        <v>15737</v>
      </c>
      <c r="O1319" s="33" t="n">
        <v>2460932.43</v>
      </c>
      <c r="P1319" s="32" t="n">
        <v>16139</v>
      </c>
      <c r="Q1319" s="34" t="n">
        <v>0.97</v>
      </c>
      <c r="R1319" s="33" t="n">
        <v>78.15</v>
      </c>
      <c r="S1319" s="33" t="n">
        <v>227.94</v>
      </c>
      <c r="T1319" s="33" t="n">
        <v>156.37</v>
      </c>
      <c r="U1319" s="11" t="n">
        <f aca="false">IFERROR(YEAR(A1319),"")</f>
        <v>2018</v>
      </c>
      <c r="V1319" s="33" t="n">
        <f aca="false">IFERROR(O1319*B1319,0)</f>
        <v>4921864.86</v>
      </c>
      <c r="W1319" s="32" t="n">
        <f aca="false">IFERROR(N1319*B1319,0)</f>
        <v>31474</v>
      </c>
      <c r="X1319" s="11" t="n">
        <f aca="false">IF(OR(ISNUMBER(SEARCH("live nation",L1319)),ISNUMBER(SEARCH("ocesa",L1319))),1,0)</f>
        <v>1</v>
      </c>
      <c r="Y1319" s="11" t="s">
        <v>49</v>
      </c>
    </row>
    <row r="1320" customFormat="false" ht="15" hidden="false" customHeight="false" outlineLevel="0" collapsed="false">
      <c r="A1320" s="25" t="n">
        <v>43366</v>
      </c>
      <c r="B1320" s="13" t="n">
        <v>1</v>
      </c>
      <c r="C1320" s="26" t="s">
        <v>1359</v>
      </c>
      <c r="D1320" s="26"/>
      <c r="E1320" s="13" t="s">
        <v>651</v>
      </c>
      <c r="F1320" s="13" t="s">
        <v>652</v>
      </c>
      <c r="G1320" s="13" t="s">
        <v>653</v>
      </c>
      <c r="H1320" s="13" t="s">
        <v>20</v>
      </c>
      <c r="I1320" s="13" t="s">
        <v>654</v>
      </c>
      <c r="J1320" s="13" t="s">
        <v>97</v>
      </c>
      <c r="K1320" s="13" t="s">
        <v>107</v>
      </c>
      <c r="L1320" s="13" t="s">
        <v>1362</v>
      </c>
      <c r="M1320" s="13" t="s">
        <v>100</v>
      </c>
      <c r="N1320" s="27" t="n">
        <v>5535</v>
      </c>
      <c r="O1320" s="28" t="n">
        <v>834770</v>
      </c>
      <c r="P1320" s="27" t="n">
        <v>6778</v>
      </c>
      <c r="Q1320" s="29" t="n">
        <v>0.81</v>
      </c>
      <c r="R1320" s="28" t="n">
        <v>78</v>
      </c>
      <c r="S1320" s="28" t="n">
        <v>238</v>
      </c>
      <c r="T1320" s="28" t="n">
        <v>150.82</v>
      </c>
      <c r="U1320" s="13" t="n">
        <f aca="false">IFERROR(YEAR(A1320),"")</f>
        <v>2018</v>
      </c>
      <c r="V1320" s="28" t="n">
        <f aca="false">IFERROR(O1320*B1320,0)</f>
        <v>834770</v>
      </c>
      <c r="W1320" s="27" t="n">
        <f aca="false">IFERROR(N1320*B1320,0)</f>
        <v>5535</v>
      </c>
      <c r="X1320" s="13" t="n">
        <f aca="false">IF(OR(ISNUMBER(SEARCH("live nation",L1320)),ISNUMBER(SEARCH("ocesa",L1320))),1,0)</f>
        <v>0</v>
      </c>
      <c r="Y1320" s="13" t="s">
        <v>49</v>
      </c>
    </row>
    <row r="1321" customFormat="false" ht="15" hidden="false" customHeight="false" outlineLevel="0" collapsed="false">
      <c r="A1321" s="30" t="n">
        <v>43317</v>
      </c>
      <c r="B1321" s="11" t="n">
        <v>1</v>
      </c>
      <c r="C1321" s="31" t="s">
        <v>1260</v>
      </c>
      <c r="D1321" s="31"/>
      <c r="E1321" s="11" t="s">
        <v>1173</v>
      </c>
      <c r="F1321" s="11" t="s">
        <v>463</v>
      </c>
      <c r="G1321" s="11"/>
      <c r="H1321" s="11" t="s">
        <v>23</v>
      </c>
      <c r="I1321" s="11"/>
      <c r="J1321" s="11" t="s">
        <v>121</v>
      </c>
      <c r="K1321" s="11" t="s">
        <v>134</v>
      </c>
      <c r="L1321" s="11" t="s">
        <v>122</v>
      </c>
      <c r="M1321" s="11" t="s">
        <v>251</v>
      </c>
      <c r="N1321" s="32" t="n">
        <v>2168</v>
      </c>
      <c r="O1321" s="33" t="n">
        <v>304018.34</v>
      </c>
      <c r="P1321" s="32" t="n">
        <v>2213</v>
      </c>
      <c r="Q1321" s="34" t="n">
        <v>0.97</v>
      </c>
      <c r="R1321" s="33" t="n">
        <v>80.67</v>
      </c>
      <c r="S1321" s="33" t="n">
        <v>215.12</v>
      </c>
      <c r="T1321" s="33" t="n">
        <v>140.23</v>
      </c>
      <c r="U1321" s="11" t="n">
        <f aca="false">IFERROR(YEAR(A1321),"")</f>
        <v>2018</v>
      </c>
      <c r="V1321" s="33" t="n">
        <f aca="false">IFERROR(O1321*B1321,0)</f>
        <v>304018.34</v>
      </c>
      <c r="W1321" s="32" t="n">
        <f aca="false">IFERROR(N1321*B1321,0)</f>
        <v>2168</v>
      </c>
      <c r="X1321" s="11" t="n">
        <f aca="false">IF(OR(ISNUMBER(SEARCH("live nation",L1321)),ISNUMBER(SEARCH("ocesa",L1321))),1,0)</f>
        <v>0</v>
      </c>
      <c r="Y1321" s="11" t="s">
        <v>49</v>
      </c>
    </row>
    <row r="1322" customFormat="false" ht="15" hidden="false" customHeight="false" outlineLevel="0" collapsed="false">
      <c r="A1322" s="25" t="n">
        <v>43310</v>
      </c>
      <c r="B1322" s="13" t="n">
        <v>1</v>
      </c>
      <c r="C1322" s="26" t="s">
        <v>1260</v>
      </c>
      <c r="D1322" s="26"/>
      <c r="E1322" s="13" t="s">
        <v>1087</v>
      </c>
      <c r="F1322" s="13" t="s">
        <v>834</v>
      </c>
      <c r="G1322" s="13" t="s">
        <v>143</v>
      </c>
      <c r="H1322" s="13" t="s">
        <v>20</v>
      </c>
      <c r="I1322" s="13" t="s">
        <v>586</v>
      </c>
      <c r="J1322" s="13" t="s">
        <v>121</v>
      </c>
      <c r="K1322" s="13" t="s">
        <v>107</v>
      </c>
      <c r="L1322" s="13" t="s">
        <v>791</v>
      </c>
      <c r="M1322" s="13" t="s">
        <v>251</v>
      </c>
      <c r="N1322" s="27" t="n">
        <v>3383</v>
      </c>
      <c r="O1322" s="28" t="n">
        <v>375735</v>
      </c>
      <c r="P1322" s="27" t="n">
        <v>3383</v>
      </c>
      <c r="Q1322" s="29" t="n">
        <v>1</v>
      </c>
      <c r="R1322" s="28" t="n">
        <v>60</v>
      </c>
      <c r="S1322" s="28" t="n">
        <v>200</v>
      </c>
      <c r="T1322" s="28" t="n">
        <v>111.07</v>
      </c>
      <c r="U1322" s="13" t="n">
        <f aca="false">IFERROR(YEAR(A1322),"")</f>
        <v>2018</v>
      </c>
      <c r="V1322" s="28" t="n">
        <f aca="false">IFERROR(O1322*B1322,0)</f>
        <v>375735</v>
      </c>
      <c r="W1322" s="27" t="n">
        <f aca="false">IFERROR(N1322*B1322,0)</f>
        <v>3383</v>
      </c>
      <c r="X1322" s="13" t="n">
        <f aca="false">IF(OR(ISNUMBER(SEARCH("live nation",L1322)),ISNUMBER(SEARCH("ocesa",L1322))),1,0)</f>
        <v>0</v>
      </c>
      <c r="Y1322" s="13" t="s">
        <v>49</v>
      </c>
    </row>
    <row r="1323" customFormat="false" ht="15" hidden="false" customHeight="false" outlineLevel="0" collapsed="false">
      <c r="A1323" s="30" t="n">
        <v>43306</v>
      </c>
      <c r="B1323" s="11" t="n">
        <v>1</v>
      </c>
      <c r="C1323" s="31" t="s">
        <v>1260</v>
      </c>
      <c r="D1323" s="31"/>
      <c r="E1323" s="11" t="s">
        <v>617</v>
      </c>
      <c r="F1323" s="11" t="s">
        <v>346</v>
      </c>
      <c r="G1323" s="11" t="s">
        <v>347</v>
      </c>
      <c r="H1323" s="11" t="s">
        <v>20</v>
      </c>
      <c r="I1323" s="11" t="s">
        <v>346</v>
      </c>
      <c r="J1323" s="11" t="s">
        <v>121</v>
      </c>
      <c r="K1323" s="11" t="s">
        <v>107</v>
      </c>
      <c r="L1323" s="11" t="s">
        <v>791</v>
      </c>
      <c r="M1323" s="11" t="s">
        <v>251</v>
      </c>
      <c r="N1323" s="32" t="n">
        <v>2527</v>
      </c>
      <c r="O1323" s="33" t="n">
        <v>322275</v>
      </c>
      <c r="P1323" s="32" t="n">
        <v>2537</v>
      </c>
      <c r="Q1323" s="34" t="n">
        <v>0.99</v>
      </c>
      <c r="R1323" s="33" t="n">
        <v>85</v>
      </c>
      <c r="S1323" s="33" t="n">
        <v>195</v>
      </c>
      <c r="T1323" s="33" t="n">
        <v>127.53</v>
      </c>
      <c r="U1323" s="11" t="n">
        <f aca="false">IFERROR(YEAR(A1323),"")</f>
        <v>2018</v>
      </c>
      <c r="V1323" s="33" t="n">
        <f aca="false">IFERROR(O1323*B1323,0)</f>
        <v>322275</v>
      </c>
      <c r="W1323" s="32" t="n">
        <f aca="false">IFERROR(N1323*B1323,0)</f>
        <v>2527</v>
      </c>
      <c r="X1323" s="11" t="n">
        <f aca="false">IF(OR(ISNUMBER(SEARCH("live nation",L1323)),ISNUMBER(SEARCH("ocesa",L1323))),1,0)</f>
        <v>0</v>
      </c>
      <c r="Y1323" s="11" t="s">
        <v>49</v>
      </c>
    </row>
    <row r="1324" customFormat="false" ht="15" hidden="false" customHeight="false" outlineLevel="0" collapsed="false">
      <c r="A1324" s="25" t="n">
        <v>43303</v>
      </c>
      <c r="B1324" s="13" t="n">
        <v>1</v>
      </c>
      <c r="C1324" s="26" t="s">
        <v>1260</v>
      </c>
      <c r="D1324" s="26"/>
      <c r="E1324" s="13" t="s">
        <v>1331</v>
      </c>
      <c r="F1324" s="13" t="s">
        <v>507</v>
      </c>
      <c r="G1324" s="13" t="s">
        <v>221</v>
      </c>
      <c r="H1324" s="13" t="s">
        <v>20</v>
      </c>
      <c r="I1324" s="13" t="s">
        <v>139</v>
      </c>
      <c r="J1324" s="13" t="s">
        <v>121</v>
      </c>
      <c r="K1324" s="13" t="s">
        <v>107</v>
      </c>
      <c r="L1324" s="13" t="s">
        <v>1029</v>
      </c>
      <c r="M1324" s="13" t="s">
        <v>251</v>
      </c>
      <c r="N1324" s="27" t="n">
        <v>2775</v>
      </c>
      <c r="O1324" s="28" t="n">
        <v>312295</v>
      </c>
      <c r="P1324" s="27" t="n">
        <v>2775</v>
      </c>
      <c r="Q1324" s="29" t="n">
        <v>1</v>
      </c>
      <c r="R1324" s="28" t="n">
        <v>45</v>
      </c>
      <c r="S1324" s="28" t="n">
        <v>195</v>
      </c>
      <c r="T1324" s="28" t="n">
        <v>112.54</v>
      </c>
      <c r="U1324" s="13" t="n">
        <f aca="false">IFERROR(YEAR(A1324),"")</f>
        <v>2018</v>
      </c>
      <c r="V1324" s="28" t="n">
        <f aca="false">IFERROR(O1324*B1324,0)</f>
        <v>312295</v>
      </c>
      <c r="W1324" s="27" t="n">
        <f aca="false">IFERROR(N1324*B1324,0)</f>
        <v>2775</v>
      </c>
      <c r="X1324" s="13" t="n">
        <f aca="false">IF(OR(ISNUMBER(SEARCH("live nation",L1324)),ISNUMBER(SEARCH("ocesa",L1324))),1,0)</f>
        <v>0</v>
      </c>
      <c r="Y1324" s="13" t="s">
        <v>49</v>
      </c>
    </row>
    <row r="1325" customFormat="false" ht="15" hidden="false" customHeight="false" outlineLevel="0" collapsed="false">
      <c r="A1325" s="30" t="n">
        <v>43301</v>
      </c>
      <c r="B1325" s="11" t="n">
        <v>1</v>
      </c>
      <c r="C1325" s="31" t="s">
        <v>1260</v>
      </c>
      <c r="D1325" s="31"/>
      <c r="E1325" s="11" t="s">
        <v>487</v>
      </c>
      <c r="F1325" s="11" t="s">
        <v>207</v>
      </c>
      <c r="G1325" s="11" t="s">
        <v>208</v>
      </c>
      <c r="H1325" s="11" t="s">
        <v>20</v>
      </c>
      <c r="I1325" s="11" t="s">
        <v>209</v>
      </c>
      <c r="J1325" s="11" t="s">
        <v>121</v>
      </c>
      <c r="K1325" s="11" t="s">
        <v>107</v>
      </c>
      <c r="L1325" s="11" t="s">
        <v>1363</v>
      </c>
      <c r="M1325" s="11" t="s">
        <v>251</v>
      </c>
      <c r="N1325" s="32" t="n">
        <v>4270</v>
      </c>
      <c r="O1325" s="33" t="n">
        <v>392320</v>
      </c>
      <c r="P1325" s="32" t="n">
        <v>4270</v>
      </c>
      <c r="Q1325" s="34" t="n">
        <v>1</v>
      </c>
      <c r="R1325" s="33" t="n">
        <v>55</v>
      </c>
      <c r="S1325" s="33" t="n">
        <v>195</v>
      </c>
      <c r="T1325" s="33" t="n">
        <v>91.88</v>
      </c>
      <c r="U1325" s="11" t="n">
        <f aca="false">IFERROR(YEAR(A1325),"")</f>
        <v>2018</v>
      </c>
      <c r="V1325" s="33" t="n">
        <f aca="false">IFERROR(O1325*B1325,0)</f>
        <v>392320</v>
      </c>
      <c r="W1325" s="32" t="n">
        <f aca="false">IFERROR(N1325*B1325,0)</f>
        <v>4270</v>
      </c>
      <c r="X1325" s="11" t="n">
        <f aca="false">IF(OR(ISNUMBER(SEARCH("live nation",L1325)),ISNUMBER(SEARCH("ocesa",L1325))),1,0)</f>
        <v>0</v>
      </c>
      <c r="Y1325" s="11" t="s">
        <v>49</v>
      </c>
    </row>
    <row r="1326" customFormat="false" ht="15" hidden="false" customHeight="false" outlineLevel="0" collapsed="false">
      <c r="A1326" s="25" t="n">
        <v>43292</v>
      </c>
      <c r="B1326" s="13" t="n">
        <v>1</v>
      </c>
      <c r="C1326" s="26" t="s">
        <v>1291</v>
      </c>
      <c r="D1326" s="26"/>
      <c r="E1326" s="13" t="s">
        <v>196</v>
      </c>
      <c r="F1326" s="13" t="s">
        <v>197</v>
      </c>
      <c r="G1326" s="13" t="s">
        <v>139</v>
      </c>
      <c r="H1326" s="13" t="s">
        <v>20</v>
      </c>
      <c r="I1326" s="13" t="s">
        <v>139</v>
      </c>
      <c r="J1326" s="13" t="s">
        <v>97</v>
      </c>
      <c r="K1326" s="13" t="s">
        <v>107</v>
      </c>
      <c r="L1326" s="13" t="s">
        <v>1279</v>
      </c>
      <c r="M1326" s="13" t="s">
        <v>251</v>
      </c>
      <c r="N1326" s="27" t="n">
        <v>9453</v>
      </c>
      <c r="O1326" s="28" t="n">
        <v>1180415</v>
      </c>
      <c r="P1326" s="27" t="n">
        <v>9972</v>
      </c>
      <c r="Q1326" s="29" t="n">
        <v>0.94</v>
      </c>
      <c r="R1326" s="28" t="n">
        <v>65</v>
      </c>
      <c r="S1326" s="28" t="n">
        <v>255</v>
      </c>
      <c r="T1326" s="28" t="n">
        <v>124.87</v>
      </c>
      <c r="U1326" s="13" t="n">
        <f aca="false">IFERROR(YEAR(A1326),"")</f>
        <v>2018</v>
      </c>
      <c r="V1326" s="28" t="n">
        <f aca="false">IFERROR(O1326*B1326,0)</f>
        <v>1180415</v>
      </c>
      <c r="W1326" s="27" t="n">
        <f aca="false">IFERROR(N1326*B1326,0)</f>
        <v>9453</v>
      </c>
      <c r="X1326" s="13" t="n">
        <f aca="false">IF(OR(ISNUMBER(SEARCH("live nation",L1326)),ISNUMBER(SEARCH("ocesa",L1326))),1,0)</f>
        <v>0</v>
      </c>
      <c r="Y1326" s="13" t="s">
        <v>49</v>
      </c>
    </row>
    <row r="1327" customFormat="false" ht="15" hidden="false" customHeight="false" outlineLevel="0" collapsed="false">
      <c r="A1327" s="30" t="n">
        <v>43292</v>
      </c>
      <c r="B1327" s="11" t="n">
        <v>1</v>
      </c>
      <c r="C1327" s="31" t="s">
        <v>1056</v>
      </c>
      <c r="D1327" s="31"/>
      <c r="E1327" s="11" t="s">
        <v>1146</v>
      </c>
      <c r="F1327" s="11" t="s">
        <v>1364</v>
      </c>
      <c r="G1327" s="11"/>
      <c r="H1327" s="11" t="s">
        <v>22</v>
      </c>
      <c r="I1327" s="11"/>
      <c r="J1327" s="11" t="s">
        <v>97</v>
      </c>
      <c r="K1327" s="11" t="s">
        <v>406</v>
      </c>
      <c r="L1327" s="11" t="s">
        <v>1365</v>
      </c>
      <c r="M1327" s="11" t="s">
        <v>100</v>
      </c>
      <c r="N1327" s="32" t="n">
        <v>5669</v>
      </c>
      <c r="O1327" s="33" t="n">
        <v>800138.13</v>
      </c>
      <c r="P1327" s="32" t="n">
        <v>10242</v>
      </c>
      <c r="Q1327" s="34" t="n">
        <v>0.55</v>
      </c>
      <c r="R1327" s="33" t="n">
        <v>90.48</v>
      </c>
      <c r="S1327" s="33" t="n">
        <v>211.32</v>
      </c>
      <c r="T1327" s="33" t="n">
        <v>141.14</v>
      </c>
      <c r="U1327" s="11" t="n">
        <f aca="false">IFERROR(YEAR(A1327),"")</f>
        <v>2018</v>
      </c>
      <c r="V1327" s="33" t="n">
        <f aca="false">IFERROR(O1327*B1327,0)</f>
        <v>800138.13</v>
      </c>
      <c r="W1327" s="32" t="n">
        <f aca="false">IFERROR(N1327*B1327,0)</f>
        <v>5669</v>
      </c>
      <c r="X1327" s="11" t="n">
        <f aca="false">IF(OR(ISNUMBER(SEARCH("live nation",L1327)),ISNUMBER(SEARCH("ocesa",L1327))),1,0)</f>
        <v>0</v>
      </c>
      <c r="Y1327" s="11" t="s">
        <v>50</v>
      </c>
    </row>
    <row r="1328" customFormat="false" ht="15" hidden="false" customHeight="false" outlineLevel="0" collapsed="false">
      <c r="A1328" s="25" t="n">
        <v>43287</v>
      </c>
      <c r="B1328" s="13" t="n">
        <v>1</v>
      </c>
      <c r="C1328" s="26" t="s">
        <v>1291</v>
      </c>
      <c r="D1328" s="26"/>
      <c r="E1328" s="13" t="s">
        <v>1269</v>
      </c>
      <c r="F1328" s="13" t="s">
        <v>201</v>
      </c>
      <c r="G1328" s="13" t="s">
        <v>202</v>
      </c>
      <c r="H1328" s="13" t="s">
        <v>20</v>
      </c>
      <c r="I1328" s="13" t="s">
        <v>203</v>
      </c>
      <c r="J1328" s="13" t="s">
        <v>97</v>
      </c>
      <c r="K1328" s="13" t="s">
        <v>107</v>
      </c>
      <c r="L1328" s="13" t="s">
        <v>1279</v>
      </c>
      <c r="M1328" s="13" t="s">
        <v>251</v>
      </c>
      <c r="N1328" s="27" t="n">
        <v>9600</v>
      </c>
      <c r="O1328" s="28" t="n">
        <v>1303154</v>
      </c>
      <c r="P1328" s="27" t="n">
        <v>10371</v>
      </c>
      <c r="Q1328" s="29" t="n">
        <v>0.92</v>
      </c>
      <c r="R1328" s="28" t="n">
        <v>64</v>
      </c>
      <c r="S1328" s="28" t="n">
        <v>254</v>
      </c>
      <c r="T1328" s="28" t="n">
        <v>135.75</v>
      </c>
      <c r="U1328" s="13" t="n">
        <f aca="false">IFERROR(YEAR(A1328),"")</f>
        <v>2018</v>
      </c>
      <c r="V1328" s="28" t="n">
        <f aca="false">IFERROR(O1328*B1328,0)</f>
        <v>1303154</v>
      </c>
      <c r="W1328" s="27" t="n">
        <f aca="false">IFERROR(N1328*B1328,0)</f>
        <v>9600</v>
      </c>
      <c r="X1328" s="13" t="n">
        <f aca="false">IF(OR(ISNUMBER(SEARCH("live nation",L1328)),ISNUMBER(SEARCH("ocesa",L1328))),1,0)</f>
        <v>0</v>
      </c>
      <c r="Y1328" s="13" t="s">
        <v>49</v>
      </c>
    </row>
    <row r="1329" customFormat="false" ht="15" hidden="false" customHeight="false" outlineLevel="0" collapsed="false">
      <c r="A1329" s="30" t="n">
        <v>43284</v>
      </c>
      <c r="B1329" s="11" t="n">
        <v>1</v>
      </c>
      <c r="C1329" s="31" t="s">
        <v>1291</v>
      </c>
      <c r="D1329" s="31"/>
      <c r="E1329" s="11" t="s">
        <v>838</v>
      </c>
      <c r="F1329" s="11" t="s">
        <v>550</v>
      </c>
      <c r="G1329" s="11" t="s">
        <v>328</v>
      </c>
      <c r="H1329" s="11" t="s">
        <v>128</v>
      </c>
      <c r="I1329" s="11"/>
      <c r="J1329" s="11" t="s">
        <v>97</v>
      </c>
      <c r="K1329" s="11" t="s">
        <v>129</v>
      </c>
      <c r="L1329" s="11" t="s">
        <v>1279</v>
      </c>
      <c r="M1329" s="11" t="s">
        <v>251</v>
      </c>
      <c r="N1329" s="32" t="n">
        <v>5852</v>
      </c>
      <c r="O1329" s="33" t="n">
        <v>829709.97</v>
      </c>
      <c r="P1329" s="32" t="n">
        <v>5852</v>
      </c>
      <c r="Q1329" s="34" t="n">
        <v>1</v>
      </c>
      <c r="R1329" s="33" t="n">
        <v>60.11</v>
      </c>
      <c r="S1329" s="33" t="n">
        <v>242.72</v>
      </c>
      <c r="T1329" s="33" t="n">
        <v>141.78</v>
      </c>
      <c r="U1329" s="11" t="n">
        <f aca="false">IFERROR(YEAR(A1329),"")</f>
        <v>2018</v>
      </c>
      <c r="V1329" s="33" t="n">
        <f aca="false">IFERROR(O1329*B1329,0)</f>
        <v>829709.97</v>
      </c>
      <c r="W1329" s="32" t="n">
        <f aca="false">IFERROR(N1329*B1329,0)</f>
        <v>5852</v>
      </c>
      <c r="X1329" s="11" t="n">
        <f aca="false">IF(OR(ISNUMBER(SEARCH("live nation",L1329)),ISNUMBER(SEARCH("ocesa",L1329))),1,0)</f>
        <v>0</v>
      </c>
      <c r="Y1329" s="11" t="s">
        <v>49</v>
      </c>
    </row>
    <row r="1330" customFormat="false" ht="15" hidden="false" customHeight="false" outlineLevel="0" collapsed="false">
      <c r="A1330" s="25" t="n">
        <v>43283</v>
      </c>
      <c r="B1330" s="13" t="n">
        <v>1</v>
      </c>
      <c r="C1330" s="26" t="s">
        <v>1366</v>
      </c>
      <c r="D1330" s="26"/>
      <c r="E1330" s="13" t="s">
        <v>617</v>
      </c>
      <c r="F1330" s="13" t="s">
        <v>346</v>
      </c>
      <c r="G1330" s="13" t="s">
        <v>347</v>
      </c>
      <c r="H1330" s="13" t="s">
        <v>20</v>
      </c>
      <c r="I1330" s="13" t="s">
        <v>346</v>
      </c>
      <c r="J1330" s="13" t="s">
        <v>121</v>
      </c>
      <c r="K1330" s="13" t="s">
        <v>107</v>
      </c>
      <c r="L1330" s="13" t="s">
        <v>791</v>
      </c>
      <c r="M1330" s="13" t="s">
        <v>100</v>
      </c>
      <c r="N1330" s="27" t="n">
        <v>1822</v>
      </c>
      <c r="O1330" s="28" t="n">
        <v>301740</v>
      </c>
      <c r="P1330" s="27" t="n">
        <v>2515</v>
      </c>
      <c r="Q1330" s="29" t="n">
        <v>0.72</v>
      </c>
      <c r="R1330" s="28" t="n">
        <v>60</v>
      </c>
      <c r="S1330" s="28" t="n">
        <v>220</v>
      </c>
      <c r="T1330" s="28" t="n">
        <v>165.61</v>
      </c>
      <c r="U1330" s="13" t="n">
        <f aca="false">IFERROR(YEAR(A1330),"")</f>
        <v>2018</v>
      </c>
      <c r="V1330" s="28" t="n">
        <f aca="false">IFERROR(O1330*B1330,0)</f>
        <v>301740</v>
      </c>
      <c r="W1330" s="27" t="n">
        <f aca="false">IFERROR(N1330*B1330,0)</f>
        <v>1822</v>
      </c>
      <c r="X1330" s="13" t="n">
        <f aca="false">IF(OR(ISNUMBER(SEARCH("live nation",L1330)),ISNUMBER(SEARCH("ocesa",L1330))),1,0)</f>
        <v>0</v>
      </c>
      <c r="Y1330" s="13" t="s">
        <v>49</v>
      </c>
    </row>
    <row r="1331" customFormat="false" ht="15" hidden="false" customHeight="false" outlineLevel="0" collapsed="false">
      <c r="A1331" s="30" t="n">
        <v>43280</v>
      </c>
      <c r="B1331" s="11" t="n">
        <v>1</v>
      </c>
      <c r="C1331" s="31" t="s">
        <v>1366</v>
      </c>
      <c r="D1331" s="31"/>
      <c r="E1331" s="11" t="s">
        <v>487</v>
      </c>
      <c r="F1331" s="11" t="s">
        <v>207</v>
      </c>
      <c r="G1331" s="11" t="s">
        <v>208</v>
      </c>
      <c r="H1331" s="11" t="s">
        <v>20</v>
      </c>
      <c r="I1331" s="11" t="s">
        <v>209</v>
      </c>
      <c r="J1331" s="11" t="s">
        <v>121</v>
      </c>
      <c r="K1331" s="11" t="s">
        <v>107</v>
      </c>
      <c r="L1331" s="11" t="s">
        <v>791</v>
      </c>
      <c r="M1331" s="11" t="s">
        <v>100</v>
      </c>
      <c r="N1331" s="32" t="n">
        <v>2960</v>
      </c>
      <c r="O1331" s="33" t="n">
        <v>414290</v>
      </c>
      <c r="P1331" s="32" t="n">
        <v>3773</v>
      </c>
      <c r="Q1331" s="34" t="n">
        <v>0.78</v>
      </c>
      <c r="R1331" s="33" t="n">
        <v>60</v>
      </c>
      <c r="S1331" s="33" t="n">
        <v>240</v>
      </c>
      <c r="T1331" s="33" t="n">
        <v>139.96</v>
      </c>
      <c r="U1331" s="11" t="n">
        <f aca="false">IFERROR(YEAR(A1331),"")</f>
        <v>2018</v>
      </c>
      <c r="V1331" s="33" t="n">
        <f aca="false">IFERROR(O1331*B1331,0)</f>
        <v>414290</v>
      </c>
      <c r="W1331" s="32" t="n">
        <f aca="false">IFERROR(N1331*B1331,0)</f>
        <v>2960</v>
      </c>
      <c r="X1331" s="11" t="n">
        <f aca="false">IF(OR(ISNUMBER(SEARCH("live nation",L1331)),ISNUMBER(SEARCH("ocesa",L1331))),1,0)</f>
        <v>0</v>
      </c>
      <c r="Y1331" s="11" t="s">
        <v>49</v>
      </c>
    </row>
    <row r="1332" customFormat="false" ht="15" hidden="false" customHeight="false" outlineLevel="0" collapsed="false">
      <c r="A1332" s="25" t="n">
        <v>43274</v>
      </c>
      <c r="B1332" s="13" t="n">
        <v>2</v>
      </c>
      <c r="C1332" s="26" t="s">
        <v>968</v>
      </c>
      <c r="D1332" s="26" t="s">
        <v>1367</v>
      </c>
      <c r="E1332" s="13" t="s">
        <v>506</v>
      </c>
      <c r="F1332" s="13" t="s">
        <v>507</v>
      </c>
      <c r="G1332" s="13" t="s">
        <v>221</v>
      </c>
      <c r="H1332" s="13" t="s">
        <v>20</v>
      </c>
      <c r="I1332" s="13" t="s">
        <v>139</v>
      </c>
      <c r="J1332" s="13" t="s">
        <v>97</v>
      </c>
      <c r="K1332" s="13" t="s">
        <v>107</v>
      </c>
      <c r="L1332" s="13" t="s">
        <v>1368</v>
      </c>
      <c r="M1332" s="13" t="s">
        <v>100</v>
      </c>
      <c r="N1332" s="27" t="n">
        <v>8717</v>
      </c>
      <c r="O1332" s="28" t="n">
        <v>1015930</v>
      </c>
      <c r="P1332" s="27" t="n">
        <v>10863</v>
      </c>
      <c r="Q1332" s="29" t="n">
        <v>0.8</v>
      </c>
      <c r="R1332" s="28" t="n">
        <v>45</v>
      </c>
      <c r="S1332" s="28" t="n">
        <v>750</v>
      </c>
      <c r="T1332" s="28" t="n">
        <v>116.55</v>
      </c>
      <c r="U1332" s="13" t="n">
        <f aca="false">IFERROR(YEAR(A1332),"")</f>
        <v>2018</v>
      </c>
      <c r="V1332" s="28" t="n">
        <f aca="false">IFERROR(O1332*B1332,0)</f>
        <v>2031860</v>
      </c>
      <c r="W1332" s="27" t="n">
        <f aca="false">IFERROR(N1332*B1332,0)</f>
        <v>17434</v>
      </c>
      <c r="X1332" s="13" t="n">
        <f aca="false">IF(OR(ISNUMBER(SEARCH("live nation",L1332)),ISNUMBER(SEARCH("ocesa",L1332))),1,0)</f>
        <v>0</v>
      </c>
      <c r="Y1332" s="13" t="s">
        <v>49</v>
      </c>
    </row>
    <row r="1333" customFormat="false" ht="15" hidden="false" customHeight="false" outlineLevel="0" collapsed="false">
      <c r="A1333" s="30" t="n">
        <v>43271</v>
      </c>
      <c r="B1333" s="11" t="n">
        <v>1</v>
      </c>
      <c r="C1333" s="31" t="s">
        <v>1260</v>
      </c>
      <c r="D1333" s="31"/>
      <c r="E1333" s="11" t="s">
        <v>1015</v>
      </c>
      <c r="F1333" s="11" t="s">
        <v>561</v>
      </c>
      <c r="G1333" s="11"/>
      <c r="H1333" s="11" t="s">
        <v>449</v>
      </c>
      <c r="I1333" s="11"/>
      <c r="J1333" s="11" t="s">
        <v>121</v>
      </c>
      <c r="K1333" s="11" t="s">
        <v>173</v>
      </c>
      <c r="L1333" s="11" t="s">
        <v>453</v>
      </c>
      <c r="M1333" s="11" t="s">
        <v>251</v>
      </c>
      <c r="N1333" s="32" t="n">
        <v>3800</v>
      </c>
      <c r="O1333" s="33" t="n">
        <v>508733.76</v>
      </c>
      <c r="P1333" s="32" t="n">
        <v>3800</v>
      </c>
      <c r="Q1333" s="34" t="n">
        <v>1</v>
      </c>
      <c r="R1333" s="33" t="n">
        <v>64.24</v>
      </c>
      <c r="S1333" s="33" t="n">
        <v>210.24</v>
      </c>
      <c r="T1333" s="33" t="n">
        <v>133.88</v>
      </c>
      <c r="U1333" s="11" t="n">
        <f aca="false">IFERROR(YEAR(A1333),"")</f>
        <v>2018</v>
      </c>
      <c r="V1333" s="33" t="n">
        <f aca="false">IFERROR(O1333*B1333,0)</f>
        <v>508733.76</v>
      </c>
      <c r="W1333" s="32" t="n">
        <f aca="false">IFERROR(N1333*B1333,0)</f>
        <v>3800</v>
      </c>
      <c r="X1333" s="11" t="n">
        <f aca="false">IF(OR(ISNUMBER(SEARCH("live nation",L1333)),ISNUMBER(SEARCH("ocesa",L1333))),1,0)</f>
        <v>0</v>
      </c>
      <c r="Y1333" s="11" t="s">
        <v>49</v>
      </c>
    </row>
    <row r="1334" customFormat="false" ht="15" hidden="false" customHeight="false" outlineLevel="0" collapsed="false">
      <c r="A1334" s="25" t="n">
        <v>43266</v>
      </c>
      <c r="B1334" s="13" t="n">
        <v>1</v>
      </c>
      <c r="C1334" s="26" t="s">
        <v>1369</v>
      </c>
      <c r="D1334" s="26"/>
      <c r="E1334" s="13" t="s">
        <v>797</v>
      </c>
      <c r="F1334" s="13" t="s">
        <v>306</v>
      </c>
      <c r="G1334" s="13" t="s">
        <v>188</v>
      </c>
      <c r="H1334" s="13" t="s">
        <v>20</v>
      </c>
      <c r="I1334" s="13" t="s">
        <v>307</v>
      </c>
      <c r="J1334" s="13" t="s">
        <v>121</v>
      </c>
      <c r="K1334" s="13" t="s">
        <v>107</v>
      </c>
      <c r="L1334" s="13" t="s">
        <v>832</v>
      </c>
      <c r="M1334" s="13" t="s">
        <v>100</v>
      </c>
      <c r="N1334" s="27" t="n">
        <v>279</v>
      </c>
      <c r="O1334" s="28" t="n">
        <v>41444</v>
      </c>
      <c r="P1334" s="27" t="n">
        <v>1674</v>
      </c>
      <c r="Q1334" s="29" t="n">
        <v>0.16</v>
      </c>
      <c r="R1334" s="28" t="n">
        <v>69</v>
      </c>
      <c r="S1334" s="28" t="n">
        <v>239</v>
      </c>
      <c r="T1334" s="28" t="n">
        <v>148.54</v>
      </c>
      <c r="U1334" s="13" t="n">
        <f aca="false">IFERROR(YEAR(A1334),"")</f>
        <v>2018</v>
      </c>
      <c r="V1334" s="28" t="n">
        <f aca="false">IFERROR(O1334*B1334,0)</f>
        <v>41444</v>
      </c>
      <c r="W1334" s="27" t="n">
        <f aca="false">IFERROR(N1334*B1334,0)</f>
        <v>279</v>
      </c>
      <c r="X1334" s="13" t="n">
        <f aca="false">IF(OR(ISNUMBER(SEARCH("live nation",L1334)),ISNUMBER(SEARCH("ocesa",L1334))),1,0)</f>
        <v>0</v>
      </c>
      <c r="Y1334" s="13" t="s">
        <v>49</v>
      </c>
    </row>
    <row r="1335" customFormat="false" ht="15" hidden="false" customHeight="false" outlineLevel="0" collapsed="false">
      <c r="A1335" s="30" t="n">
        <v>43266</v>
      </c>
      <c r="B1335" s="11" t="n">
        <v>4</v>
      </c>
      <c r="C1335" s="31" t="s">
        <v>643</v>
      </c>
      <c r="D1335" s="31"/>
      <c r="E1335" s="11" t="s">
        <v>1146</v>
      </c>
      <c r="F1335" s="11" t="s">
        <v>1364</v>
      </c>
      <c r="G1335" s="11"/>
      <c r="H1335" s="11" t="s">
        <v>22</v>
      </c>
      <c r="I1335" s="11"/>
      <c r="J1335" s="11" t="s">
        <v>97</v>
      </c>
      <c r="K1335" s="11" t="s">
        <v>406</v>
      </c>
      <c r="L1335" s="11" t="s">
        <v>1370</v>
      </c>
      <c r="M1335" s="11" t="s">
        <v>100</v>
      </c>
      <c r="N1335" s="32" t="n">
        <v>10942</v>
      </c>
      <c r="O1335" s="33" t="n">
        <v>2345326.03</v>
      </c>
      <c r="P1335" s="32" t="n">
        <v>10943</v>
      </c>
      <c r="Q1335" s="34" t="n">
        <v>0.99</v>
      </c>
      <c r="R1335" s="33" t="n">
        <v>90.47</v>
      </c>
      <c r="S1335" s="33" t="n">
        <v>402.45</v>
      </c>
      <c r="T1335" s="33" t="n">
        <v>214.34</v>
      </c>
      <c r="U1335" s="11" t="n">
        <f aca="false">IFERROR(YEAR(A1335),"")</f>
        <v>2018</v>
      </c>
      <c r="V1335" s="33" t="n">
        <f aca="false">IFERROR(O1335*B1335,0)</f>
        <v>9381304.12</v>
      </c>
      <c r="W1335" s="32" t="n">
        <f aca="false">IFERROR(N1335*B1335,0)</f>
        <v>43768</v>
      </c>
      <c r="X1335" s="11" t="n">
        <f aca="false">IF(OR(ISNUMBER(SEARCH("live nation",L1335)),ISNUMBER(SEARCH("ocesa",L1335))),1,0)</f>
        <v>0</v>
      </c>
      <c r="Y1335" s="11" t="s">
        <v>50</v>
      </c>
    </row>
    <row r="1336" customFormat="false" ht="15" hidden="false" customHeight="false" outlineLevel="0" collapsed="false">
      <c r="A1336" s="25" t="n">
        <v>43252</v>
      </c>
      <c r="B1336" s="13" t="n">
        <v>2</v>
      </c>
      <c r="C1336" s="26" t="s">
        <v>1371</v>
      </c>
      <c r="D1336" s="26"/>
      <c r="E1336" s="13" t="s">
        <v>1146</v>
      </c>
      <c r="F1336" s="13" t="s">
        <v>1364</v>
      </c>
      <c r="G1336" s="13"/>
      <c r="H1336" s="13" t="s">
        <v>22</v>
      </c>
      <c r="I1336" s="13"/>
      <c r="J1336" s="13" t="s">
        <v>97</v>
      </c>
      <c r="K1336" s="13" t="s">
        <v>406</v>
      </c>
      <c r="L1336" s="13" t="s">
        <v>1372</v>
      </c>
      <c r="M1336" s="13" t="s">
        <v>100</v>
      </c>
      <c r="N1336" s="27" t="n">
        <v>10305</v>
      </c>
      <c r="O1336" s="28" t="n">
        <v>1550149.07</v>
      </c>
      <c r="P1336" s="27" t="n">
        <v>11380</v>
      </c>
      <c r="Q1336" s="29" t="n">
        <v>0.9</v>
      </c>
      <c r="R1336" s="28" t="n">
        <v>60.01</v>
      </c>
      <c r="S1336" s="28" t="n">
        <v>265.32</v>
      </c>
      <c r="T1336" s="28" t="n">
        <v>150.43</v>
      </c>
      <c r="U1336" s="13" t="n">
        <f aca="false">IFERROR(YEAR(A1336),"")</f>
        <v>2018</v>
      </c>
      <c r="V1336" s="28" t="n">
        <f aca="false">IFERROR(O1336*B1336,0)</f>
        <v>3100298.14</v>
      </c>
      <c r="W1336" s="27" t="n">
        <f aca="false">IFERROR(N1336*B1336,0)</f>
        <v>20610</v>
      </c>
      <c r="X1336" s="13" t="n">
        <f aca="false">IF(OR(ISNUMBER(SEARCH("live nation",L1336)),ISNUMBER(SEARCH("ocesa",L1336))),1,0)</f>
        <v>0</v>
      </c>
      <c r="Y1336" s="13" t="s">
        <v>50</v>
      </c>
    </row>
    <row r="1337" customFormat="false" ht="15" hidden="false" customHeight="false" outlineLevel="0" collapsed="false">
      <c r="A1337" s="30" t="n">
        <v>43246</v>
      </c>
      <c r="B1337" s="11" t="n">
        <v>1</v>
      </c>
      <c r="C1337" s="31" t="s">
        <v>1359</v>
      </c>
      <c r="D1337" s="31" t="s">
        <v>1373</v>
      </c>
      <c r="E1337" s="11" t="s">
        <v>1146</v>
      </c>
      <c r="F1337" s="11" t="s">
        <v>1364</v>
      </c>
      <c r="G1337" s="11"/>
      <c r="H1337" s="11" t="s">
        <v>22</v>
      </c>
      <c r="I1337" s="11"/>
      <c r="J1337" s="11" t="s">
        <v>97</v>
      </c>
      <c r="K1337" s="11" t="s">
        <v>406</v>
      </c>
      <c r="L1337" s="11" t="s">
        <v>1374</v>
      </c>
      <c r="M1337" s="11" t="s">
        <v>100</v>
      </c>
      <c r="N1337" s="32" t="n">
        <v>9867</v>
      </c>
      <c r="O1337" s="33" t="n">
        <v>1084350.54</v>
      </c>
      <c r="P1337" s="32" t="n">
        <v>10552</v>
      </c>
      <c r="Q1337" s="34" t="n">
        <v>0.93</v>
      </c>
      <c r="R1337" s="33" t="n">
        <v>60.01</v>
      </c>
      <c r="S1337" s="33" t="n">
        <v>217.94</v>
      </c>
      <c r="T1337" s="33" t="n">
        <v>109.9</v>
      </c>
      <c r="U1337" s="11" t="n">
        <f aca="false">IFERROR(YEAR(A1337),"")</f>
        <v>2018</v>
      </c>
      <c r="V1337" s="33" t="n">
        <f aca="false">IFERROR(O1337*B1337,0)</f>
        <v>1084350.54</v>
      </c>
      <c r="W1337" s="32" t="n">
        <f aca="false">IFERROR(N1337*B1337,0)</f>
        <v>9867</v>
      </c>
      <c r="X1337" s="11" t="n">
        <f aca="false">IF(OR(ISNUMBER(SEARCH("live nation",L1337)),ISNUMBER(SEARCH("ocesa",L1337))),1,0)</f>
        <v>0</v>
      </c>
      <c r="Y1337" s="11" t="s">
        <v>50</v>
      </c>
    </row>
    <row r="1338" customFormat="false" ht="15" hidden="false" customHeight="false" outlineLevel="0" collapsed="false">
      <c r="A1338" s="25" t="n">
        <v>43240</v>
      </c>
      <c r="B1338" s="13" t="n">
        <v>2</v>
      </c>
      <c r="C1338" s="26" t="s">
        <v>1375</v>
      </c>
      <c r="D1338" s="26"/>
      <c r="E1338" s="13" t="s">
        <v>1376</v>
      </c>
      <c r="F1338" s="13" t="s">
        <v>1364</v>
      </c>
      <c r="G1338" s="13"/>
      <c r="H1338" s="13" t="s">
        <v>22</v>
      </c>
      <c r="I1338" s="13"/>
      <c r="J1338" s="13" t="s">
        <v>106</v>
      </c>
      <c r="K1338" s="13" t="s">
        <v>406</v>
      </c>
      <c r="L1338" s="13" t="s">
        <v>1377</v>
      </c>
      <c r="M1338" s="13" t="s">
        <v>100</v>
      </c>
      <c r="N1338" s="27" t="n">
        <v>194</v>
      </c>
      <c r="O1338" s="28" t="n">
        <v>8272.38</v>
      </c>
      <c r="P1338" s="27" t="n">
        <v>647</v>
      </c>
      <c r="Q1338" s="29" t="n">
        <v>0.29</v>
      </c>
      <c r="R1338" s="28" t="n">
        <v>18.95</v>
      </c>
      <c r="S1338" s="28" t="n">
        <v>82.12</v>
      </c>
      <c r="T1338" s="28" t="n">
        <v>42.64</v>
      </c>
      <c r="U1338" s="13" t="n">
        <f aca="false">IFERROR(YEAR(A1338),"")</f>
        <v>2018</v>
      </c>
      <c r="V1338" s="28" t="n">
        <f aca="false">IFERROR(O1338*B1338,0)</f>
        <v>16544.76</v>
      </c>
      <c r="W1338" s="27" t="n">
        <f aca="false">IFERROR(N1338*B1338,0)</f>
        <v>388</v>
      </c>
      <c r="X1338" s="13" t="n">
        <f aca="false">IF(OR(ISNUMBER(SEARCH("live nation",L1338)),ISNUMBER(SEARCH("ocesa",L1338))),1,0)</f>
        <v>0</v>
      </c>
      <c r="Y1338" s="13" t="s">
        <v>50</v>
      </c>
    </row>
    <row r="1339" customFormat="false" ht="15" hidden="false" customHeight="false" outlineLevel="0" collapsed="false">
      <c r="A1339" s="30" t="n">
        <v>43238</v>
      </c>
      <c r="B1339" s="11" t="n">
        <v>1</v>
      </c>
      <c r="C1339" s="31" t="s">
        <v>272</v>
      </c>
      <c r="D1339" s="31" t="s">
        <v>1378</v>
      </c>
      <c r="E1339" s="11" t="s">
        <v>1379</v>
      </c>
      <c r="F1339" s="11" t="s">
        <v>953</v>
      </c>
      <c r="G1339" s="11" t="s">
        <v>954</v>
      </c>
      <c r="H1339" s="11" t="s">
        <v>20</v>
      </c>
      <c r="I1339" s="11" t="s">
        <v>953</v>
      </c>
      <c r="J1339" s="11" t="s">
        <v>106</v>
      </c>
      <c r="K1339" s="11" t="s">
        <v>107</v>
      </c>
      <c r="L1339" s="11" t="s">
        <v>1380</v>
      </c>
      <c r="M1339" s="11" t="s">
        <v>277</v>
      </c>
      <c r="N1339" s="32" t="n">
        <v>1740</v>
      </c>
      <c r="O1339" s="33" t="n">
        <v>72509.5</v>
      </c>
      <c r="P1339" s="32" t="n">
        <v>1740</v>
      </c>
      <c r="Q1339" s="34" t="n">
        <v>1</v>
      </c>
      <c r="R1339" s="33" t="n">
        <v>28.5</v>
      </c>
      <c r="S1339" s="33" t="n">
        <v>200</v>
      </c>
      <c r="T1339" s="33" t="n">
        <v>41.67</v>
      </c>
      <c r="U1339" s="11" t="n">
        <f aca="false">IFERROR(YEAR(A1339),"")</f>
        <v>2018</v>
      </c>
      <c r="V1339" s="33" t="n">
        <f aca="false">IFERROR(O1339*B1339,0)</f>
        <v>72509.5</v>
      </c>
      <c r="W1339" s="32" t="n">
        <f aca="false">IFERROR(N1339*B1339,0)</f>
        <v>1740</v>
      </c>
      <c r="X1339" s="11" t="n">
        <f aca="false">IF(OR(ISNUMBER(SEARCH("live nation",L1339)),ISNUMBER(SEARCH("ocesa",L1339))),1,0)</f>
        <v>0</v>
      </c>
      <c r="Y1339" s="11" t="s">
        <v>49</v>
      </c>
    </row>
    <row r="1340" customFormat="false" ht="15" hidden="false" customHeight="false" outlineLevel="0" collapsed="false">
      <c r="A1340" s="25" t="n">
        <v>43238</v>
      </c>
      <c r="B1340" s="13" t="n">
        <v>1</v>
      </c>
      <c r="C1340" s="26" t="s">
        <v>1381</v>
      </c>
      <c r="D1340" s="26"/>
      <c r="E1340" s="13" t="s">
        <v>1146</v>
      </c>
      <c r="F1340" s="13" t="s">
        <v>1364</v>
      </c>
      <c r="G1340" s="13"/>
      <c r="H1340" s="13" t="s">
        <v>22</v>
      </c>
      <c r="I1340" s="13"/>
      <c r="J1340" s="13" t="s">
        <v>97</v>
      </c>
      <c r="K1340" s="13" t="s">
        <v>406</v>
      </c>
      <c r="L1340" s="13" t="s">
        <v>1382</v>
      </c>
      <c r="M1340" s="13" t="s">
        <v>100</v>
      </c>
      <c r="N1340" s="27" t="n">
        <v>7297</v>
      </c>
      <c r="O1340" s="28" t="n">
        <v>526014.29</v>
      </c>
      <c r="P1340" s="27" t="n">
        <v>10440</v>
      </c>
      <c r="Q1340" s="29" t="n">
        <v>0.69</v>
      </c>
      <c r="R1340" s="28" t="n">
        <v>28.43</v>
      </c>
      <c r="S1340" s="28" t="n">
        <v>170.56</v>
      </c>
      <c r="T1340" s="28" t="n">
        <v>72.09</v>
      </c>
      <c r="U1340" s="13" t="n">
        <f aca="false">IFERROR(YEAR(A1340),"")</f>
        <v>2018</v>
      </c>
      <c r="V1340" s="28" t="n">
        <f aca="false">IFERROR(O1340*B1340,0)</f>
        <v>526014.29</v>
      </c>
      <c r="W1340" s="27" t="n">
        <f aca="false">IFERROR(N1340*B1340,0)</f>
        <v>7297</v>
      </c>
      <c r="X1340" s="13" t="n">
        <f aca="false">IF(OR(ISNUMBER(SEARCH("live nation",L1340)),ISNUMBER(SEARCH("ocesa",L1340))),1,0)</f>
        <v>0</v>
      </c>
      <c r="Y1340" s="13" t="s">
        <v>50</v>
      </c>
    </row>
    <row r="1341" customFormat="false" ht="15" hidden="false" customHeight="false" outlineLevel="0" collapsed="false">
      <c r="A1341" s="30" t="n">
        <v>43237</v>
      </c>
      <c r="B1341" s="11" t="n">
        <v>1</v>
      </c>
      <c r="C1341" s="31" t="s">
        <v>272</v>
      </c>
      <c r="D1341" s="31" t="s">
        <v>1378</v>
      </c>
      <c r="E1341" s="11" t="s">
        <v>1383</v>
      </c>
      <c r="F1341" s="11" t="s">
        <v>234</v>
      </c>
      <c r="G1341" s="11" t="s">
        <v>235</v>
      </c>
      <c r="H1341" s="11" t="s">
        <v>20</v>
      </c>
      <c r="I1341" s="11" t="s">
        <v>234</v>
      </c>
      <c r="J1341" s="11" t="s">
        <v>106</v>
      </c>
      <c r="K1341" s="11" t="s">
        <v>107</v>
      </c>
      <c r="L1341" s="11" t="s">
        <v>177</v>
      </c>
      <c r="M1341" s="11" t="s">
        <v>277</v>
      </c>
      <c r="N1341" s="32" t="n">
        <v>1913</v>
      </c>
      <c r="O1341" s="33" t="n">
        <v>54566</v>
      </c>
      <c r="P1341" s="32" t="n">
        <v>1913</v>
      </c>
      <c r="Q1341" s="34" t="n">
        <v>1</v>
      </c>
      <c r="R1341" s="33" t="n">
        <v>28.5</v>
      </c>
      <c r="S1341" s="33" t="n">
        <v>0</v>
      </c>
      <c r="T1341" s="33" t="n">
        <v>28.52</v>
      </c>
      <c r="U1341" s="11" t="n">
        <f aca="false">IFERROR(YEAR(A1341),"")</f>
        <v>2018</v>
      </c>
      <c r="V1341" s="33" t="n">
        <f aca="false">IFERROR(O1341*B1341,0)</f>
        <v>54566</v>
      </c>
      <c r="W1341" s="32" t="n">
        <f aca="false">IFERROR(N1341*B1341,0)</f>
        <v>1913</v>
      </c>
      <c r="X1341" s="11" t="n">
        <f aca="false">IF(OR(ISNUMBER(SEARCH("live nation",L1341)),ISNUMBER(SEARCH("ocesa",L1341))),1,0)</f>
        <v>1</v>
      </c>
      <c r="Y1341" s="11" t="s">
        <v>49</v>
      </c>
    </row>
    <row r="1342" customFormat="false" ht="15" hidden="false" customHeight="false" outlineLevel="0" collapsed="false">
      <c r="A1342" s="25" t="n">
        <v>43235</v>
      </c>
      <c r="B1342" s="13" t="n">
        <v>1</v>
      </c>
      <c r="C1342" s="26" t="s">
        <v>272</v>
      </c>
      <c r="D1342" s="26" t="s">
        <v>1378</v>
      </c>
      <c r="E1342" s="13" t="s">
        <v>878</v>
      </c>
      <c r="F1342" s="13" t="s">
        <v>346</v>
      </c>
      <c r="G1342" s="13" t="s">
        <v>347</v>
      </c>
      <c r="H1342" s="13" t="s">
        <v>20</v>
      </c>
      <c r="I1342" s="13" t="s">
        <v>346</v>
      </c>
      <c r="J1342" s="13" t="s">
        <v>121</v>
      </c>
      <c r="K1342" s="13" t="s">
        <v>107</v>
      </c>
      <c r="L1342" s="13" t="s">
        <v>177</v>
      </c>
      <c r="M1342" s="13" t="s">
        <v>277</v>
      </c>
      <c r="N1342" s="27" t="n">
        <v>2483</v>
      </c>
      <c r="O1342" s="28" t="n">
        <v>106760</v>
      </c>
      <c r="P1342" s="27" t="n">
        <v>2483</v>
      </c>
      <c r="Q1342" s="29" t="n">
        <v>1</v>
      </c>
      <c r="R1342" s="28" t="n">
        <v>34.5</v>
      </c>
      <c r="S1342" s="28" t="n">
        <v>58.5</v>
      </c>
      <c r="T1342" s="28" t="n">
        <v>43</v>
      </c>
      <c r="U1342" s="13" t="n">
        <f aca="false">IFERROR(YEAR(A1342),"")</f>
        <v>2018</v>
      </c>
      <c r="V1342" s="28" t="n">
        <f aca="false">IFERROR(O1342*B1342,0)</f>
        <v>106760</v>
      </c>
      <c r="W1342" s="27" t="n">
        <f aca="false">IFERROR(N1342*B1342,0)</f>
        <v>2483</v>
      </c>
      <c r="X1342" s="13" t="n">
        <f aca="false">IF(OR(ISNUMBER(SEARCH("live nation",L1342)),ISNUMBER(SEARCH("ocesa",L1342))),1,0)</f>
        <v>1</v>
      </c>
      <c r="Y1342" s="13" t="s">
        <v>49</v>
      </c>
    </row>
    <row r="1343" customFormat="false" ht="15" hidden="false" customHeight="false" outlineLevel="0" collapsed="false">
      <c r="A1343" s="30" t="n">
        <v>43233</v>
      </c>
      <c r="B1343" s="11" t="n">
        <v>1</v>
      </c>
      <c r="C1343" s="31" t="s">
        <v>272</v>
      </c>
      <c r="D1343" s="31" t="s">
        <v>1378</v>
      </c>
      <c r="E1343" s="11" t="s">
        <v>1127</v>
      </c>
      <c r="F1343" s="11" t="s">
        <v>586</v>
      </c>
      <c r="G1343" s="11" t="s">
        <v>143</v>
      </c>
      <c r="H1343" s="11" t="s">
        <v>20</v>
      </c>
      <c r="I1343" s="11" t="s">
        <v>586</v>
      </c>
      <c r="J1343" s="11" t="s">
        <v>121</v>
      </c>
      <c r="K1343" s="11" t="s">
        <v>107</v>
      </c>
      <c r="L1343" s="11" t="s">
        <v>177</v>
      </c>
      <c r="M1343" s="11" t="s">
        <v>277</v>
      </c>
      <c r="N1343" s="32" t="n">
        <v>2654</v>
      </c>
      <c r="O1343" s="33" t="n">
        <v>103649.5</v>
      </c>
      <c r="P1343" s="32" t="n">
        <v>2654</v>
      </c>
      <c r="Q1343" s="34" t="n">
        <v>1</v>
      </c>
      <c r="R1343" s="33" t="n">
        <v>32.5</v>
      </c>
      <c r="S1343" s="33" t="n">
        <v>35</v>
      </c>
      <c r="T1343" s="33" t="n">
        <v>39.05</v>
      </c>
      <c r="U1343" s="11" t="n">
        <f aca="false">IFERROR(YEAR(A1343),"")</f>
        <v>2018</v>
      </c>
      <c r="V1343" s="33" t="n">
        <f aca="false">IFERROR(O1343*B1343,0)</f>
        <v>103649.5</v>
      </c>
      <c r="W1343" s="32" t="n">
        <f aca="false">IFERROR(N1343*B1343,0)</f>
        <v>2654</v>
      </c>
      <c r="X1343" s="11" t="n">
        <f aca="false">IF(OR(ISNUMBER(SEARCH("live nation",L1343)),ISNUMBER(SEARCH("ocesa",L1343))),1,0)</f>
        <v>1</v>
      </c>
      <c r="Y1343" s="11" t="s">
        <v>49</v>
      </c>
    </row>
    <row r="1344" customFormat="false" ht="15" hidden="false" customHeight="false" outlineLevel="0" collapsed="false">
      <c r="A1344" s="25" t="n">
        <v>43231</v>
      </c>
      <c r="B1344" s="13" t="n">
        <v>1</v>
      </c>
      <c r="C1344" s="26" t="s">
        <v>272</v>
      </c>
      <c r="D1344" s="26" t="s">
        <v>1378</v>
      </c>
      <c r="E1344" s="13" t="s">
        <v>541</v>
      </c>
      <c r="F1344" s="13" t="s">
        <v>374</v>
      </c>
      <c r="G1344" s="13" t="s">
        <v>143</v>
      </c>
      <c r="H1344" s="13" t="s">
        <v>20</v>
      </c>
      <c r="I1344" s="13" t="s">
        <v>375</v>
      </c>
      <c r="J1344" s="13" t="s">
        <v>106</v>
      </c>
      <c r="K1344" s="13" t="s">
        <v>107</v>
      </c>
      <c r="L1344" s="13" t="s">
        <v>122</v>
      </c>
      <c r="M1344" s="13" t="s">
        <v>277</v>
      </c>
      <c r="N1344" s="27" t="n">
        <v>1675</v>
      </c>
      <c r="O1344" s="28" t="n">
        <v>60900</v>
      </c>
      <c r="P1344" s="27" t="n">
        <v>1675</v>
      </c>
      <c r="Q1344" s="29" t="n">
        <v>1</v>
      </c>
      <c r="R1344" s="28" t="n">
        <v>35</v>
      </c>
      <c r="S1344" s="28" t="n">
        <v>49.5</v>
      </c>
      <c r="T1344" s="28" t="n">
        <v>36.36</v>
      </c>
      <c r="U1344" s="13" t="n">
        <f aca="false">IFERROR(YEAR(A1344),"")</f>
        <v>2018</v>
      </c>
      <c r="V1344" s="28" t="n">
        <f aca="false">IFERROR(O1344*B1344,0)</f>
        <v>60900</v>
      </c>
      <c r="W1344" s="27" t="n">
        <f aca="false">IFERROR(N1344*B1344,0)</f>
        <v>1675</v>
      </c>
      <c r="X1344" s="13" t="n">
        <f aca="false">IF(OR(ISNUMBER(SEARCH("live nation",L1344)),ISNUMBER(SEARCH("ocesa",L1344))),1,0)</f>
        <v>0</v>
      </c>
      <c r="Y1344" s="13" t="s">
        <v>49</v>
      </c>
    </row>
    <row r="1345" customFormat="false" ht="15" hidden="false" customHeight="false" outlineLevel="0" collapsed="false">
      <c r="A1345" s="30" t="n">
        <v>43230</v>
      </c>
      <c r="B1345" s="11" t="n">
        <v>1</v>
      </c>
      <c r="C1345" s="31" t="s">
        <v>272</v>
      </c>
      <c r="D1345" s="31"/>
      <c r="E1345" s="11" t="s">
        <v>1210</v>
      </c>
      <c r="F1345" s="11" t="s">
        <v>176</v>
      </c>
      <c r="G1345" s="11" t="s">
        <v>143</v>
      </c>
      <c r="H1345" s="11" t="s">
        <v>20</v>
      </c>
      <c r="I1345" s="11" t="s">
        <v>176</v>
      </c>
      <c r="J1345" s="11" t="s">
        <v>121</v>
      </c>
      <c r="K1345" s="11" t="s">
        <v>107</v>
      </c>
      <c r="L1345" s="11" t="s">
        <v>122</v>
      </c>
      <c r="M1345" s="11" t="s">
        <v>277</v>
      </c>
      <c r="N1345" s="32" t="n">
        <v>2576</v>
      </c>
      <c r="O1345" s="33" t="n">
        <v>117515.9</v>
      </c>
      <c r="P1345" s="32" t="n">
        <v>2576</v>
      </c>
      <c r="Q1345" s="34" t="n">
        <v>1</v>
      </c>
      <c r="R1345" s="33" t="n">
        <v>35</v>
      </c>
      <c r="S1345" s="33" t="n">
        <v>50</v>
      </c>
      <c r="T1345" s="33" t="n">
        <v>45.62</v>
      </c>
      <c r="U1345" s="11" t="n">
        <f aca="false">IFERROR(YEAR(A1345),"")</f>
        <v>2018</v>
      </c>
      <c r="V1345" s="33" t="n">
        <f aca="false">IFERROR(O1345*B1345,0)</f>
        <v>117515.9</v>
      </c>
      <c r="W1345" s="32" t="n">
        <f aca="false">IFERROR(N1345*B1345,0)</f>
        <v>2576</v>
      </c>
      <c r="X1345" s="11" t="n">
        <f aca="false">IF(OR(ISNUMBER(SEARCH("live nation",L1345)),ISNUMBER(SEARCH("ocesa",L1345))),1,0)</f>
        <v>0</v>
      </c>
      <c r="Y1345" s="11" t="s">
        <v>49</v>
      </c>
    </row>
    <row r="1346" customFormat="false" ht="15" hidden="false" customHeight="false" outlineLevel="0" collapsed="false">
      <c r="A1346" s="25" t="n">
        <v>43228</v>
      </c>
      <c r="B1346" s="13" t="n">
        <v>1</v>
      </c>
      <c r="C1346" s="26" t="s">
        <v>272</v>
      </c>
      <c r="D1346" s="26"/>
      <c r="E1346" s="13" t="s">
        <v>1128</v>
      </c>
      <c r="F1346" s="13" t="s">
        <v>1129</v>
      </c>
      <c r="G1346" s="13" t="s">
        <v>498</v>
      </c>
      <c r="H1346" s="13" t="s">
        <v>20</v>
      </c>
      <c r="I1346" s="13" t="s">
        <v>1129</v>
      </c>
      <c r="J1346" s="13" t="s">
        <v>121</v>
      </c>
      <c r="K1346" s="13" t="s">
        <v>107</v>
      </c>
      <c r="L1346" s="13" t="s">
        <v>140</v>
      </c>
      <c r="M1346" s="13" t="s">
        <v>277</v>
      </c>
      <c r="N1346" s="27" t="n">
        <v>2352</v>
      </c>
      <c r="O1346" s="28" t="n">
        <v>79220</v>
      </c>
      <c r="P1346" s="27" t="n">
        <v>2400</v>
      </c>
      <c r="Q1346" s="29" t="n">
        <v>0.98</v>
      </c>
      <c r="R1346" s="28" t="n">
        <v>29</v>
      </c>
      <c r="S1346" s="28" t="n">
        <v>45</v>
      </c>
      <c r="T1346" s="28" t="n">
        <v>33.68</v>
      </c>
      <c r="U1346" s="13" t="n">
        <f aca="false">IFERROR(YEAR(A1346),"")</f>
        <v>2018</v>
      </c>
      <c r="V1346" s="28" t="n">
        <f aca="false">IFERROR(O1346*B1346,0)</f>
        <v>79220</v>
      </c>
      <c r="W1346" s="27" t="n">
        <f aca="false">IFERROR(N1346*B1346,0)</f>
        <v>2352</v>
      </c>
      <c r="X1346" s="13" t="n">
        <f aca="false">IF(OR(ISNUMBER(SEARCH("live nation",L1346)),ISNUMBER(SEARCH("ocesa",L1346))),1,0)</f>
        <v>0</v>
      </c>
      <c r="Y1346" s="13" t="s">
        <v>49</v>
      </c>
    </row>
    <row r="1347" customFormat="false" ht="15" hidden="false" customHeight="false" outlineLevel="0" collapsed="false">
      <c r="A1347" s="30" t="n">
        <v>43225</v>
      </c>
      <c r="B1347" s="11" t="n">
        <v>2</v>
      </c>
      <c r="C1347" s="31" t="s">
        <v>1384</v>
      </c>
      <c r="D1347" s="31"/>
      <c r="E1347" s="11" t="s">
        <v>1146</v>
      </c>
      <c r="F1347" s="11" t="s">
        <v>1364</v>
      </c>
      <c r="G1347" s="11"/>
      <c r="H1347" s="11" t="s">
        <v>22</v>
      </c>
      <c r="I1347" s="11"/>
      <c r="J1347" s="11" t="s">
        <v>97</v>
      </c>
      <c r="K1347" s="11" t="s">
        <v>406</v>
      </c>
      <c r="L1347" s="11" t="s">
        <v>1385</v>
      </c>
      <c r="M1347" s="11" t="s">
        <v>100</v>
      </c>
      <c r="N1347" s="32" t="n">
        <v>10667</v>
      </c>
      <c r="O1347" s="33" t="n">
        <v>1654566.99</v>
      </c>
      <c r="P1347" s="32" t="n">
        <v>10667</v>
      </c>
      <c r="Q1347" s="34" t="n">
        <v>1</v>
      </c>
      <c r="R1347" s="33" t="n">
        <v>110.39</v>
      </c>
      <c r="S1347" s="33" t="n">
        <v>268.32</v>
      </c>
      <c r="T1347" s="33" t="n">
        <v>155.11</v>
      </c>
      <c r="U1347" s="11" t="n">
        <f aca="false">IFERROR(YEAR(A1347),"")</f>
        <v>2018</v>
      </c>
      <c r="V1347" s="33" t="n">
        <f aca="false">IFERROR(O1347*B1347,0)</f>
        <v>3309133.98</v>
      </c>
      <c r="W1347" s="32" t="n">
        <f aca="false">IFERROR(N1347*B1347,0)</f>
        <v>21334</v>
      </c>
      <c r="X1347" s="11" t="n">
        <f aca="false">IF(OR(ISNUMBER(SEARCH("live nation",L1347)),ISNUMBER(SEARCH("ocesa",L1347))),1,0)</f>
        <v>0</v>
      </c>
      <c r="Y1347" s="11" t="s">
        <v>50</v>
      </c>
    </row>
    <row r="1348" customFormat="false" ht="15" hidden="false" customHeight="false" outlineLevel="0" collapsed="false">
      <c r="A1348" s="25" t="n">
        <v>43219</v>
      </c>
      <c r="B1348" s="13" t="n">
        <v>1</v>
      </c>
      <c r="C1348" s="26" t="s">
        <v>1386</v>
      </c>
      <c r="D1348" s="26"/>
      <c r="E1348" s="13" t="s">
        <v>1146</v>
      </c>
      <c r="F1348" s="13" t="s">
        <v>1364</v>
      </c>
      <c r="G1348" s="13"/>
      <c r="H1348" s="13" t="s">
        <v>22</v>
      </c>
      <c r="I1348" s="13"/>
      <c r="J1348" s="13" t="s">
        <v>97</v>
      </c>
      <c r="K1348" s="13" t="s">
        <v>406</v>
      </c>
      <c r="L1348" s="13" t="s">
        <v>1387</v>
      </c>
      <c r="M1348" s="13" t="s">
        <v>100</v>
      </c>
      <c r="N1348" s="27" t="n">
        <v>10568</v>
      </c>
      <c r="O1348" s="28" t="n">
        <v>1709437.77</v>
      </c>
      <c r="P1348" s="27" t="n">
        <v>10600</v>
      </c>
      <c r="Q1348" s="29" t="n">
        <v>0.99</v>
      </c>
      <c r="R1348" s="28" t="n">
        <v>60.5</v>
      </c>
      <c r="S1348" s="28" t="n">
        <v>299.31</v>
      </c>
      <c r="T1348" s="28" t="n">
        <v>161.76</v>
      </c>
      <c r="U1348" s="13" t="n">
        <f aca="false">IFERROR(YEAR(A1348),"")</f>
        <v>2018</v>
      </c>
      <c r="V1348" s="28" t="n">
        <f aca="false">IFERROR(O1348*B1348,0)</f>
        <v>1709437.77</v>
      </c>
      <c r="W1348" s="27" t="n">
        <f aca="false">IFERROR(N1348*B1348,0)</f>
        <v>10568</v>
      </c>
      <c r="X1348" s="13" t="n">
        <f aca="false">IF(OR(ISNUMBER(SEARCH("live nation",L1348)),ISNUMBER(SEARCH("ocesa",L1348))),1,0)</f>
        <v>0</v>
      </c>
      <c r="Y1348" s="13" t="s">
        <v>50</v>
      </c>
    </row>
    <row r="1349" customFormat="false" ht="15" hidden="false" customHeight="false" outlineLevel="0" collapsed="false">
      <c r="A1349" s="30" t="n">
        <v>43219</v>
      </c>
      <c r="B1349" s="11" t="n">
        <v>1</v>
      </c>
      <c r="C1349" s="31" t="s">
        <v>1176</v>
      </c>
      <c r="D1349" s="31"/>
      <c r="E1349" s="11" t="s">
        <v>487</v>
      </c>
      <c r="F1349" s="11" t="s">
        <v>207</v>
      </c>
      <c r="G1349" s="11" t="s">
        <v>208</v>
      </c>
      <c r="H1349" s="11" t="s">
        <v>20</v>
      </c>
      <c r="I1349" s="11" t="s">
        <v>209</v>
      </c>
      <c r="J1349" s="11" t="s">
        <v>121</v>
      </c>
      <c r="K1349" s="11" t="s">
        <v>107</v>
      </c>
      <c r="L1349" s="11" t="s">
        <v>1279</v>
      </c>
      <c r="M1349" s="11" t="s">
        <v>251</v>
      </c>
      <c r="N1349" s="32" t="n">
        <v>2648</v>
      </c>
      <c r="O1349" s="33" t="n">
        <v>283842</v>
      </c>
      <c r="P1349" s="32" t="n">
        <v>2932</v>
      </c>
      <c r="Q1349" s="34" t="n">
        <v>0.9</v>
      </c>
      <c r="R1349" s="33" t="n">
        <v>59</v>
      </c>
      <c r="S1349" s="33" t="n">
        <v>179</v>
      </c>
      <c r="T1349" s="33" t="n">
        <v>107.19</v>
      </c>
      <c r="U1349" s="11" t="n">
        <f aca="false">IFERROR(YEAR(A1349),"")</f>
        <v>2018</v>
      </c>
      <c r="V1349" s="33" t="n">
        <f aca="false">IFERROR(O1349*B1349,0)</f>
        <v>283842</v>
      </c>
      <c r="W1349" s="32" t="n">
        <f aca="false">IFERROR(N1349*B1349,0)</f>
        <v>2648</v>
      </c>
      <c r="X1349" s="11" t="n">
        <f aca="false">IF(OR(ISNUMBER(SEARCH("live nation",L1349)),ISNUMBER(SEARCH("ocesa",L1349))),1,0)</f>
        <v>0</v>
      </c>
      <c r="Y1349" s="11" t="s">
        <v>49</v>
      </c>
    </row>
    <row r="1350" customFormat="false" ht="15" hidden="false" customHeight="false" outlineLevel="0" collapsed="false">
      <c r="A1350" s="25" t="n">
        <v>43217</v>
      </c>
      <c r="B1350" s="13" t="n">
        <v>1</v>
      </c>
      <c r="C1350" s="26" t="s">
        <v>484</v>
      </c>
      <c r="D1350" s="26"/>
      <c r="E1350" s="13" t="s">
        <v>1388</v>
      </c>
      <c r="F1350" s="13" t="s">
        <v>132</v>
      </c>
      <c r="G1350" s="13"/>
      <c r="H1350" s="13" t="s">
        <v>23</v>
      </c>
      <c r="I1350" s="13"/>
      <c r="J1350" s="13" t="s">
        <v>97</v>
      </c>
      <c r="K1350" s="13" t="s">
        <v>134</v>
      </c>
      <c r="L1350" s="13" t="s">
        <v>461</v>
      </c>
      <c r="M1350" s="13" t="s">
        <v>251</v>
      </c>
      <c r="N1350" s="27" t="n">
        <v>16999</v>
      </c>
      <c r="O1350" s="28" t="n">
        <v>1064382.97</v>
      </c>
      <c r="P1350" s="27" t="n">
        <v>16999</v>
      </c>
      <c r="Q1350" s="29" t="n">
        <v>1</v>
      </c>
      <c r="R1350" s="28" t="n">
        <v>46.66</v>
      </c>
      <c r="S1350" s="28" t="n">
        <v>175.65</v>
      </c>
      <c r="T1350" s="28" t="n">
        <v>62.61</v>
      </c>
      <c r="U1350" s="13" t="n">
        <f aca="false">IFERROR(YEAR(A1350),"")</f>
        <v>2018</v>
      </c>
      <c r="V1350" s="28" t="n">
        <f aca="false">IFERROR(O1350*B1350,0)</f>
        <v>1064382.97</v>
      </c>
      <c r="W1350" s="27" t="n">
        <f aca="false">IFERROR(N1350*B1350,0)</f>
        <v>16999</v>
      </c>
      <c r="X1350" s="13" t="n">
        <f aca="false">IF(OR(ISNUMBER(SEARCH("live nation",L1350)),ISNUMBER(SEARCH("ocesa",L1350))),1,0)</f>
        <v>0</v>
      </c>
      <c r="Y1350" s="13" t="s">
        <v>49</v>
      </c>
    </row>
    <row r="1351" customFormat="false" ht="15" hidden="false" customHeight="false" outlineLevel="0" collapsed="false">
      <c r="A1351" s="30" t="n">
        <v>43206</v>
      </c>
      <c r="B1351" s="11" t="n">
        <v>1</v>
      </c>
      <c r="C1351" s="31" t="s">
        <v>1158</v>
      </c>
      <c r="D1351" s="31"/>
      <c r="E1351" s="11" t="s">
        <v>1389</v>
      </c>
      <c r="F1351" s="11" t="s">
        <v>1390</v>
      </c>
      <c r="G1351" s="11" t="s">
        <v>1391</v>
      </c>
      <c r="H1351" s="11" t="s">
        <v>128</v>
      </c>
      <c r="I1351" s="11"/>
      <c r="J1351" s="11" t="s">
        <v>121</v>
      </c>
      <c r="K1351" s="11" t="s">
        <v>129</v>
      </c>
      <c r="L1351" s="11" t="s">
        <v>122</v>
      </c>
      <c r="M1351" s="11" t="s">
        <v>100</v>
      </c>
      <c r="N1351" s="32" t="n">
        <v>1014</v>
      </c>
      <c r="O1351" s="33" t="n">
        <v>35938.88</v>
      </c>
      <c r="P1351" s="32" t="n">
        <v>1579</v>
      </c>
      <c r="Q1351" s="34" t="n">
        <v>0.64</v>
      </c>
      <c r="R1351" s="33" t="n">
        <v>15.22</v>
      </c>
      <c r="S1351" s="33" t="n">
        <v>58.51</v>
      </c>
      <c r="T1351" s="33" t="n">
        <v>35.44</v>
      </c>
      <c r="U1351" s="11" t="n">
        <f aca="false">IFERROR(YEAR(A1351),"")</f>
        <v>2018</v>
      </c>
      <c r="V1351" s="33" t="n">
        <f aca="false">IFERROR(O1351*B1351,0)</f>
        <v>35938.88</v>
      </c>
      <c r="W1351" s="32" t="n">
        <f aca="false">IFERROR(N1351*B1351,0)</f>
        <v>1014</v>
      </c>
      <c r="X1351" s="11" t="n">
        <f aca="false">IF(OR(ISNUMBER(SEARCH("live nation",L1351)),ISNUMBER(SEARCH("ocesa",L1351))),1,0)</f>
        <v>0</v>
      </c>
      <c r="Y1351" s="11" t="s">
        <v>49</v>
      </c>
    </row>
    <row r="1352" customFormat="false" ht="15" hidden="false" customHeight="false" outlineLevel="0" collapsed="false">
      <c r="A1352" s="25" t="n">
        <v>43197</v>
      </c>
      <c r="B1352" s="13" t="n">
        <v>1</v>
      </c>
      <c r="C1352" s="26" t="s">
        <v>643</v>
      </c>
      <c r="D1352" s="26"/>
      <c r="E1352" s="13" t="s">
        <v>95</v>
      </c>
      <c r="F1352" s="13" t="s">
        <v>96</v>
      </c>
      <c r="G1352" s="13"/>
      <c r="H1352" s="13" t="s">
        <v>28</v>
      </c>
      <c r="I1352" s="13"/>
      <c r="J1352" s="13" t="s">
        <v>97</v>
      </c>
      <c r="K1352" s="13" t="s">
        <v>98</v>
      </c>
      <c r="L1352" s="13" t="s">
        <v>1392</v>
      </c>
      <c r="M1352" s="13" t="s">
        <v>100</v>
      </c>
      <c r="N1352" s="27" t="n">
        <v>10261</v>
      </c>
      <c r="O1352" s="28" t="n">
        <v>2116036.23</v>
      </c>
      <c r="P1352" s="27" t="n">
        <v>12270</v>
      </c>
      <c r="Q1352" s="29" t="n">
        <v>0.83</v>
      </c>
      <c r="R1352" s="28" t="n">
        <v>82.92</v>
      </c>
      <c r="S1352" s="28" t="n">
        <v>459.13</v>
      </c>
      <c r="T1352" s="28" t="n">
        <v>206.22</v>
      </c>
      <c r="U1352" s="13" t="n">
        <f aca="false">IFERROR(YEAR(A1352),"")</f>
        <v>2018</v>
      </c>
      <c r="V1352" s="28" t="n">
        <f aca="false">IFERROR(O1352*B1352,0)</f>
        <v>2116036.23</v>
      </c>
      <c r="W1352" s="27" t="n">
        <f aca="false">IFERROR(N1352*B1352,0)</f>
        <v>10261</v>
      </c>
      <c r="X1352" s="13" t="n">
        <f aca="false">IF(OR(ISNUMBER(SEARCH("live nation",L1352)),ISNUMBER(SEARCH("ocesa",L1352))),1,0)</f>
        <v>0</v>
      </c>
      <c r="Y1352" s="13" t="s">
        <v>49</v>
      </c>
    </row>
    <row r="1353" customFormat="false" ht="15" hidden="false" customHeight="false" outlineLevel="0" collapsed="false">
      <c r="A1353" s="30" t="n">
        <v>43191</v>
      </c>
      <c r="B1353" s="11" t="n">
        <v>1</v>
      </c>
      <c r="C1353" s="31" t="s">
        <v>569</v>
      </c>
      <c r="D1353" s="31"/>
      <c r="E1353" s="11" t="s">
        <v>651</v>
      </c>
      <c r="F1353" s="11" t="s">
        <v>652</v>
      </c>
      <c r="G1353" s="11" t="s">
        <v>653</v>
      </c>
      <c r="H1353" s="11" t="s">
        <v>20</v>
      </c>
      <c r="I1353" s="11" t="s">
        <v>654</v>
      </c>
      <c r="J1353" s="11" t="s">
        <v>97</v>
      </c>
      <c r="K1353" s="11" t="s">
        <v>107</v>
      </c>
      <c r="L1353" s="11" t="s">
        <v>1362</v>
      </c>
      <c r="M1353" s="11" t="s">
        <v>100</v>
      </c>
      <c r="N1353" s="32" t="n">
        <v>6202</v>
      </c>
      <c r="O1353" s="33" t="n">
        <v>872916</v>
      </c>
      <c r="P1353" s="32" t="n">
        <v>7075</v>
      </c>
      <c r="Q1353" s="34" t="n">
        <v>0.87</v>
      </c>
      <c r="R1353" s="33" t="n">
        <v>68</v>
      </c>
      <c r="S1353" s="33" t="n">
        <v>238</v>
      </c>
      <c r="T1353" s="33" t="n">
        <v>140.75</v>
      </c>
      <c r="U1353" s="11" t="n">
        <f aca="false">IFERROR(YEAR(A1353),"")</f>
        <v>2018</v>
      </c>
      <c r="V1353" s="33" t="n">
        <f aca="false">IFERROR(O1353*B1353,0)</f>
        <v>872916</v>
      </c>
      <c r="W1353" s="32" t="n">
        <f aca="false">IFERROR(N1353*B1353,0)</f>
        <v>6202</v>
      </c>
      <c r="X1353" s="11" t="n">
        <f aca="false">IF(OR(ISNUMBER(SEARCH("live nation",L1353)),ISNUMBER(SEARCH("ocesa",L1353))),1,0)</f>
        <v>0</v>
      </c>
      <c r="Y1353" s="11" t="s">
        <v>49</v>
      </c>
    </row>
    <row r="1354" customFormat="false" ht="15" hidden="false" customHeight="false" outlineLevel="0" collapsed="false">
      <c r="A1354" s="25" t="n">
        <v>43191</v>
      </c>
      <c r="B1354" s="13" t="n">
        <v>1</v>
      </c>
      <c r="C1354" s="26" t="s">
        <v>1393</v>
      </c>
      <c r="D1354" s="26" t="s">
        <v>1394</v>
      </c>
      <c r="E1354" s="13" t="s">
        <v>1376</v>
      </c>
      <c r="F1354" s="13" t="s">
        <v>1364</v>
      </c>
      <c r="G1354" s="13"/>
      <c r="H1354" s="13" t="s">
        <v>22</v>
      </c>
      <c r="I1354" s="13"/>
      <c r="J1354" s="13" t="s">
        <v>106</v>
      </c>
      <c r="K1354" s="13" t="s">
        <v>406</v>
      </c>
      <c r="L1354" s="13" t="s">
        <v>1395</v>
      </c>
      <c r="M1354" s="13" t="s">
        <v>100</v>
      </c>
      <c r="N1354" s="27" t="n">
        <v>562</v>
      </c>
      <c r="O1354" s="28" t="n">
        <v>25858.57</v>
      </c>
      <c r="P1354" s="27" t="n">
        <v>650</v>
      </c>
      <c r="Q1354" s="29" t="n">
        <v>0.86</v>
      </c>
      <c r="R1354" s="28" t="n">
        <v>31.44</v>
      </c>
      <c r="S1354" s="28" t="n">
        <v>63.04</v>
      </c>
      <c r="T1354" s="28" t="n">
        <v>46.01</v>
      </c>
      <c r="U1354" s="13" t="n">
        <f aca="false">IFERROR(YEAR(A1354),"")</f>
        <v>2018</v>
      </c>
      <c r="V1354" s="28" t="n">
        <f aca="false">IFERROR(O1354*B1354,0)</f>
        <v>25858.57</v>
      </c>
      <c r="W1354" s="27" t="n">
        <f aca="false">IFERROR(N1354*B1354,0)</f>
        <v>562</v>
      </c>
      <c r="X1354" s="13" t="n">
        <f aca="false">IF(OR(ISNUMBER(SEARCH("live nation",L1354)),ISNUMBER(SEARCH("ocesa",L1354))),1,0)</f>
        <v>0</v>
      </c>
      <c r="Y1354" s="13" t="s">
        <v>50</v>
      </c>
    </row>
    <row r="1355" customFormat="false" ht="15" hidden="false" customHeight="false" outlineLevel="0" collapsed="false">
      <c r="A1355" s="30" t="n">
        <v>43190</v>
      </c>
      <c r="B1355" s="11" t="n">
        <v>1</v>
      </c>
      <c r="C1355" s="31" t="s">
        <v>1396</v>
      </c>
      <c r="D1355" s="31"/>
      <c r="E1355" s="11" t="s">
        <v>1146</v>
      </c>
      <c r="F1355" s="11" t="s">
        <v>1364</v>
      </c>
      <c r="G1355" s="11"/>
      <c r="H1355" s="11" t="s">
        <v>22</v>
      </c>
      <c r="I1355" s="11"/>
      <c r="J1355" s="11" t="s">
        <v>97</v>
      </c>
      <c r="K1355" s="11" t="s">
        <v>406</v>
      </c>
      <c r="L1355" s="11" t="s">
        <v>1397</v>
      </c>
      <c r="M1355" s="11" t="s">
        <v>100</v>
      </c>
      <c r="N1355" s="32" t="n">
        <v>9858</v>
      </c>
      <c r="O1355" s="33" t="n">
        <v>1113371.33</v>
      </c>
      <c r="P1355" s="32" t="n">
        <v>10932</v>
      </c>
      <c r="Q1355" s="34" t="n">
        <v>0.9</v>
      </c>
      <c r="R1355" s="33" t="n">
        <v>44.24</v>
      </c>
      <c r="S1355" s="33" t="n">
        <v>249.62</v>
      </c>
      <c r="T1355" s="33" t="n">
        <v>112.94</v>
      </c>
      <c r="U1355" s="11" t="n">
        <f aca="false">IFERROR(YEAR(A1355),"")</f>
        <v>2018</v>
      </c>
      <c r="V1355" s="33" t="n">
        <f aca="false">IFERROR(O1355*B1355,0)</f>
        <v>1113371.33</v>
      </c>
      <c r="W1355" s="32" t="n">
        <f aca="false">IFERROR(N1355*B1355,0)</f>
        <v>9858</v>
      </c>
      <c r="X1355" s="11" t="n">
        <f aca="false">IF(OR(ISNUMBER(SEARCH("live nation",L1355)),ISNUMBER(SEARCH("ocesa",L1355))),1,0)</f>
        <v>0</v>
      </c>
      <c r="Y1355" s="11" t="s">
        <v>50</v>
      </c>
    </row>
    <row r="1356" customFormat="false" ht="15" hidden="false" customHeight="false" outlineLevel="0" collapsed="false">
      <c r="A1356" s="25" t="n">
        <v>43185</v>
      </c>
      <c r="B1356" s="13" t="n">
        <v>1</v>
      </c>
      <c r="C1356" s="26" t="s">
        <v>1398</v>
      </c>
      <c r="D1356" s="26" t="s">
        <v>1399</v>
      </c>
      <c r="E1356" s="13" t="s">
        <v>1146</v>
      </c>
      <c r="F1356" s="13" t="s">
        <v>1364</v>
      </c>
      <c r="G1356" s="13"/>
      <c r="H1356" s="13" t="s">
        <v>22</v>
      </c>
      <c r="I1356" s="13"/>
      <c r="J1356" s="13" t="s">
        <v>97</v>
      </c>
      <c r="K1356" s="13" t="s">
        <v>406</v>
      </c>
      <c r="L1356" s="13" t="s">
        <v>1400</v>
      </c>
      <c r="M1356" s="13" t="s">
        <v>100</v>
      </c>
      <c r="N1356" s="27" t="n">
        <v>9107</v>
      </c>
      <c r="O1356" s="28" t="n">
        <v>1441674.55</v>
      </c>
      <c r="P1356" s="27" t="n">
        <v>9676</v>
      </c>
      <c r="Q1356" s="29" t="n">
        <v>0.94</v>
      </c>
      <c r="R1356" s="28" t="n">
        <v>60.04</v>
      </c>
      <c r="S1356" s="28" t="n">
        <v>328.62</v>
      </c>
      <c r="T1356" s="28" t="n">
        <v>158.3</v>
      </c>
      <c r="U1356" s="13" t="n">
        <f aca="false">IFERROR(YEAR(A1356),"")</f>
        <v>2018</v>
      </c>
      <c r="V1356" s="28" t="n">
        <f aca="false">IFERROR(O1356*B1356,0)</f>
        <v>1441674.55</v>
      </c>
      <c r="W1356" s="27" t="n">
        <f aca="false">IFERROR(N1356*B1356,0)</f>
        <v>9107</v>
      </c>
      <c r="X1356" s="13" t="n">
        <f aca="false">IF(OR(ISNUMBER(SEARCH("live nation",L1356)),ISNUMBER(SEARCH("ocesa",L1356))),1,0)</f>
        <v>0</v>
      </c>
      <c r="Y1356" s="13" t="s">
        <v>50</v>
      </c>
    </row>
    <row r="1357" customFormat="false" ht="15" hidden="false" customHeight="false" outlineLevel="0" collapsed="false">
      <c r="A1357" s="30" t="n">
        <v>43182</v>
      </c>
      <c r="B1357" s="11" t="n">
        <v>1</v>
      </c>
      <c r="C1357" s="31" t="s">
        <v>1401</v>
      </c>
      <c r="D1357" s="31" t="s">
        <v>1402</v>
      </c>
      <c r="E1357" s="11" t="s">
        <v>155</v>
      </c>
      <c r="F1357" s="11" t="s">
        <v>156</v>
      </c>
      <c r="G1357" s="11"/>
      <c r="H1357" s="11" t="s">
        <v>157</v>
      </c>
      <c r="I1357" s="11"/>
      <c r="J1357" s="11" t="s">
        <v>97</v>
      </c>
      <c r="K1357" s="11" t="s">
        <v>158</v>
      </c>
      <c r="L1357" s="11" t="s">
        <v>1403</v>
      </c>
      <c r="M1357" s="11" t="s">
        <v>100</v>
      </c>
      <c r="N1357" s="32" t="n">
        <v>9014</v>
      </c>
      <c r="O1357" s="33" t="n">
        <v>1024655.45</v>
      </c>
      <c r="P1357" s="32" t="n">
        <v>12974</v>
      </c>
      <c r="Q1357" s="34" t="n">
        <v>0.69</v>
      </c>
      <c r="R1357" s="33" t="n">
        <v>42.25</v>
      </c>
      <c r="S1357" s="33" t="n">
        <v>253.5</v>
      </c>
      <c r="T1357" s="33" t="n">
        <v>113.67</v>
      </c>
      <c r="U1357" s="11" t="n">
        <f aca="false">IFERROR(YEAR(A1357),"")</f>
        <v>2018</v>
      </c>
      <c r="V1357" s="33" t="n">
        <f aca="false">IFERROR(O1357*B1357,0)</f>
        <v>1024655.45</v>
      </c>
      <c r="W1357" s="32" t="n">
        <f aca="false">IFERROR(N1357*B1357,0)</f>
        <v>9014</v>
      </c>
      <c r="X1357" s="11" t="n">
        <f aca="false">IF(OR(ISNUMBER(SEARCH("live nation",L1357)),ISNUMBER(SEARCH("ocesa",L1357))),1,0)</f>
        <v>0</v>
      </c>
      <c r="Y1357" s="11" t="s">
        <v>49</v>
      </c>
    </row>
    <row r="1358" customFormat="false" ht="15" hidden="false" customHeight="false" outlineLevel="0" collapsed="false">
      <c r="A1358" s="25" t="n">
        <v>43176</v>
      </c>
      <c r="B1358" s="13" t="n">
        <v>1</v>
      </c>
      <c r="C1358" s="26" t="s">
        <v>1353</v>
      </c>
      <c r="D1358" s="26"/>
      <c r="E1358" s="13" t="s">
        <v>330</v>
      </c>
      <c r="F1358" s="13" t="s">
        <v>295</v>
      </c>
      <c r="G1358" s="13"/>
      <c r="H1358" s="13" t="s">
        <v>28</v>
      </c>
      <c r="I1358" s="13"/>
      <c r="J1358" s="13" t="s">
        <v>97</v>
      </c>
      <c r="K1358" s="13" t="s">
        <v>98</v>
      </c>
      <c r="L1358" s="13" t="s">
        <v>1404</v>
      </c>
      <c r="M1358" s="13" t="s">
        <v>100</v>
      </c>
      <c r="N1358" s="27" t="n">
        <v>9096</v>
      </c>
      <c r="O1358" s="28" t="n">
        <v>1789065.85</v>
      </c>
      <c r="P1358" s="27" t="n">
        <v>9450</v>
      </c>
      <c r="Q1358" s="29" t="n">
        <v>0.96</v>
      </c>
      <c r="R1358" s="28" t="n">
        <v>91.94</v>
      </c>
      <c r="S1358" s="28" t="n">
        <v>310.11</v>
      </c>
      <c r="T1358" s="28" t="n">
        <v>196.69</v>
      </c>
      <c r="U1358" s="13" t="n">
        <f aca="false">IFERROR(YEAR(A1358),"")</f>
        <v>2018</v>
      </c>
      <c r="V1358" s="28" t="n">
        <f aca="false">IFERROR(O1358*B1358,0)</f>
        <v>1789065.85</v>
      </c>
      <c r="W1358" s="27" t="n">
        <f aca="false">IFERROR(N1358*B1358,0)</f>
        <v>9096</v>
      </c>
      <c r="X1358" s="13" t="n">
        <f aca="false">IF(OR(ISNUMBER(SEARCH("live nation",L1358)),ISNUMBER(SEARCH("ocesa",L1358))),1,0)</f>
        <v>0</v>
      </c>
      <c r="Y1358" s="13" t="s">
        <v>49</v>
      </c>
    </row>
    <row r="1359" customFormat="false" ht="15" hidden="false" customHeight="false" outlineLevel="0" collapsed="false">
      <c r="A1359" s="30" t="n">
        <v>43176</v>
      </c>
      <c r="B1359" s="11" t="n">
        <v>2</v>
      </c>
      <c r="C1359" s="31" t="s">
        <v>711</v>
      </c>
      <c r="D1359" s="31"/>
      <c r="E1359" s="11" t="s">
        <v>1146</v>
      </c>
      <c r="F1359" s="11" t="s">
        <v>1364</v>
      </c>
      <c r="G1359" s="11"/>
      <c r="H1359" s="11" t="s">
        <v>22</v>
      </c>
      <c r="I1359" s="11"/>
      <c r="J1359" s="11" t="s">
        <v>97</v>
      </c>
      <c r="K1359" s="11" t="s">
        <v>406</v>
      </c>
      <c r="L1359" s="11" t="s">
        <v>1374</v>
      </c>
      <c r="M1359" s="11" t="s">
        <v>100</v>
      </c>
      <c r="N1359" s="32" t="n">
        <v>11646</v>
      </c>
      <c r="O1359" s="33" t="n">
        <v>1620087.92</v>
      </c>
      <c r="P1359" s="32" t="n">
        <v>11646</v>
      </c>
      <c r="Q1359" s="34" t="n">
        <v>1</v>
      </c>
      <c r="R1359" s="33" t="n">
        <v>60.04</v>
      </c>
      <c r="S1359" s="33" t="n">
        <v>265.42</v>
      </c>
      <c r="T1359" s="33" t="n">
        <v>139.11</v>
      </c>
      <c r="U1359" s="11" t="n">
        <f aca="false">IFERROR(YEAR(A1359),"")</f>
        <v>2018</v>
      </c>
      <c r="V1359" s="33" t="n">
        <f aca="false">IFERROR(O1359*B1359,0)</f>
        <v>3240175.84</v>
      </c>
      <c r="W1359" s="32" t="n">
        <f aca="false">IFERROR(N1359*B1359,0)</f>
        <v>23292</v>
      </c>
      <c r="X1359" s="11" t="n">
        <f aca="false">IF(OR(ISNUMBER(SEARCH("live nation",L1359)),ISNUMBER(SEARCH("ocesa",L1359))),1,0)</f>
        <v>0</v>
      </c>
      <c r="Y1359" s="11" t="s">
        <v>50</v>
      </c>
    </row>
    <row r="1360" customFormat="false" ht="15" hidden="false" customHeight="false" outlineLevel="0" collapsed="false">
      <c r="A1360" s="25" t="n">
        <v>43169</v>
      </c>
      <c r="B1360" s="13" t="n">
        <v>1</v>
      </c>
      <c r="C1360" s="26" t="s">
        <v>1341</v>
      </c>
      <c r="D1360" s="26" t="s">
        <v>1405</v>
      </c>
      <c r="E1360" s="13" t="s">
        <v>1342</v>
      </c>
      <c r="F1360" s="13" t="s">
        <v>1343</v>
      </c>
      <c r="G1360" s="13"/>
      <c r="H1360" s="13" t="s">
        <v>27</v>
      </c>
      <c r="I1360" s="13"/>
      <c r="J1360" s="13" t="s">
        <v>97</v>
      </c>
      <c r="K1360" s="13" t="s">
        <v>314</v>
      </c>
      <c r="L1360" s="13" t="s">
        <v>1406</v>
      </c>
      <c r="M1360" s="13" t="s">
        <v>100</v>
      </c>
      <c r="N1360" s="27" t="n">
        <v>4574</v>
      </c>
      <c r="O1360" s="28" t="n">
        <v>93825.43</v>
      </c>
      <c r="P1360" s="27" t="n">
        <v>4612</v>
      </c>
      <c r="Q1360" s="29" t="n">
        <v>0.99</v>
      </c>
      <c r="R1360" s="28" t="n">
        <v>13.84</v>
      </c>
      <c r="S1360" s="28" t="n">
        <v>20.76</v>
      </c>
      <c r="T1360" s="28" t="n">
        <v>20.51</v>
      </c>
      <c r="U1360" s="13" t="n">
        <f aca="false">IFERROR(YEAR(A1360),"")</f>
        <v>2018</v>
      </c>
      <c r="V1360" s="28" t="n">
        <f aca="false">IFERROR(O1360*B1360,0)</f>
        <v>93825.43</v>
      </c>
      <c r="W1360" s="27" t="n">
        <f aca="false">IFERROR(N1360*B1360,0)</f>
        <v>4574</v>
      </c>
      <c r="X1360" s="13" t="n">
        <f aca="false">IF(OR(ISNUMBER(SEARCH("live nation",L1360)),ISNUMBER(SEARCH("ocesa",L1360))),1,0)</f>
        <v>0</v>
      </c>
      <c r="Y1360" s="13" t="s">
        <v>49</v>
      </c>
    </row>
    <row r="1361" customFormat="false" ht="15" hidden="false" customHeight="false" outlineLevel="0" collapsed="false">
      <c r="A1361" s="30" t="n">
        <v>43168</v>
      </c>
      <c r="B1361" s="11" t="n">
        <v>1</v>
      </c>
      <c r="C1361" s="31" t="s">
        <v>1353</v>
      </c>
      <c r="D1361" s="31"/>
      <c r="E1361" s="11" t="s">
        <v>95</v>
      </c>
      <c r="F1361" s="11" t="s">
        <v>96</v>
      </c>
      <c r="G1361" s="11"/>
      <c r="H1361" s="11" t="s">
        <v>28</v>
      </c>
      <c r="I1361" s="11"/>
      <c r="J1361" s="11" t="s">
        <v>97</v>
      </c>
      <c r="K1361" s="11" t="s">
        <v>98</v>
      </c>
      <c r="L1361" s="11" t="s">
        <v>1404</v>
      </c>
      <c r="M1361" s="11" t="s">
        <v>100</v>
      </c>
      <c r="N1361" s="32" t="n">
        <v>15987</v>
      </c>
      <c r="O1361" s="33" t="n">
        <v>2320143.25</v>
      </c>
      <c r="P1361" s="32" t="n">
        <v>17025</v>
      </c>
      <c r="Q1361" s="34" t="n">
        <v>0.93</v>
      </c>
      <c r="R1361" s="33" t="n">
        <v>91.94</v>
      </c>
      <c r="S1361" s="33" t="n">
        <v>543.87</v>
      </c>
      <c r="T1361" s="33" t="n">
        <v>145.13</v>
      </c>
      <c r="U1361" s="11" t="n">
        <f aca="false">IFERROR(YEAR(A1361),"")</f>
        <v>2018</v>
      </c>
      <c r="V1361" s="33" t="n">
        <f aca="false">IFERROR(O1361*B1361,0)</f>
        <v>2320143.25</v>
      </c>
      <c r="W1361" s="32" t="n">
        <f aca="false">IFERROR(N1361*B1361,0)</f>
        <v>15987</v>
      </c>
      <c r="X1361" s="11" t="n">
        <f aca="false">IF(OR(ISNUMBER(SEARCH("live nation",L1361)),ISNUMBER(SEARCH("ocesa",L1361))),1,0)</f>
        <v>0</v>
      </c>
      <c r="Y1361" s="11" t="s">
        <v>49</v>
      </c>
    </row>
    <row r="1362" customFormat="false" ht="15" hidden="false" customHeight="false" outlineLevel="0" collapsed="false">
      <c r="A1362" s="25" t="n">
        <v>43161</v>
      </c>
      <c r="B1362" s="13" t="n">
        <v>1</v>
      </c>
      <c r="C1362" s="26" t="s">
        <v>729</v>
      </c>
      <c r="D1362" s="26"/>
      <c r="E1362" s="13" t="s">
        <v>551</v>
      </c>
      <c r="F1362" s="13" t="s">
        <v>552</v>
      </c>
      <c r="G1362" s="13"/>
      <c r="H1362" s="13" t="s">
        <v>26</v>
      </c>
      <c r="I1362" s="13"/>
      <c r="J1362" s="13" t="s">
        <v>97</v>
      </c>
      <c r="K1362" s="13" t="s">
        <v>173</v>
      </c>
      <c r="L1362" s="13" t="s">
        <v>177</v>
      </c>
      <c r="M1362" s="13" t="s">
        <v>100</v>
      </c>
      <c r="N1362" s="27" t="n">
        <v>5073</v>
      </c>
      <c r="O1362" s="28" t="n">
        <v>622004.47</v>
      </c>
      <c r="P1362" s="27" t="n">
        <v>6948</v>
      </c>
      <c r="Q1362" s="29" t="n">
        <v>0.73</v>
      </c>
      <c r="R1362" s="28" t="n">
        <v>34.2</v>
      </c>
      <c r="S1362" s="28" t="n">
        <v>315.13</v>
      </c>
      <c r="T1362" s="28" t="n">
        <v>122.61</v>
      </c>
      <c r="U1362" s="13" t="n">
        <f aca="false">IFERROR(YEAR(A1362),"")</f>
        <v>2018</v>
      </c>
      <c r="V1362" s="28" t="n">
        <f aca="false">IFERROR(O1362*B1362,0)</f>
        <v>622004.47</v>
      </c>
      <c r="W1362" s="27" t="n">
        <f aca="false">IFERROR(N1362*B1362,0)</f>
        <v>5073</v>
      </c>
      <c r="X1362" s="13" t="n">
        <f aca="false">IF(OR(ISNUMBER(SEARCH("live nation",L1362)),ISNUMBER(SEARCH("ocesa",L1362))),1,0)</f>
        <v>1</v>
      </c>
      <c r="Y1362" s="13" t="s">
        <v>49</v>
      </c>
    </row>
    <row r="1363" customFormat="false" ht="15" hidden="false" customHeight="false" outlineLevel="0" collapsed="false">
      <c r="A1363" s="30" t="n">
        <v>43099</v>
      </c>
      <c r="B1363" s="11" t="n">
        <v>1</v>
      </c>
      <c r="C1363" s="31" t="s">
        <v>1407</v>
      </c>
      <c r="D1363" s="31"/>
      <c r="E1363" s="11" t="s">
        <v>1376</v>
      </c>
      <c r="F1363" s="11" t="s">
        <v>1364</v>
      </c>
      <c r="G1363" s="11"/>
      <c r="H1363" s="11" t="s">
        <v>22</v>
      </c>
      <c r="I1363" s="11"/>
      <c r="J1363" s="11" t="s">
        <v>106</v>
      </c>
      <c r="K1363" s="11" t="s">
        <v>406</v>
      </c>
      <c r="L1363" s="11" t="s">
        <v>1408</v>
      </c>
      <c r="M1363" s="11" t="s">
        <v>100</v>
      </c>
      <c r="N1363" s="32" t="n">
        <v>420</v>
      </c>
      <c r="O1363" s="33" t="n">
        <v>26678.74</v>
      </c>
      <c r="P1363" s="32" t="n">
        <v>650</v>
      </c>
      <c r="Q1363" s="34" t="n">
        <v>0.64</v>
      </c>
      <c r="R1363" s="33" t="n">
        <v>42.35</v>
      </c>
      <c r="S1363" s="33" t="n">
        <v>102.84</v>
      </c>
      <c r="T1363" s="33" t="n">
        <v>63.52</v>
      </c>
      <c r="U1363" s="11" t="n">
        <f aca="false">IFERROR(YEAR(A1363),"")</f>
        <v>2017</v>
      </c>
      <c r="V1363" s="33" t="n">
        <f aca="false">IFERROR(O1363*B1363,0)</f>
        <v>26678.74</v>
      </c>
      <c r="W1363" s="32" t="n">
        <f aca="false">IFERROR(N1363*B1363,0)</f>
        <v>420</v>
      </c>
      <c r="X1363" s="11" t="n">
        <f aca="false">IF(OR(ISNUMBER(SEARCH("live nation",L1363)),ISNUMBER(SEARCH("ocesa",L1363))),1,0)</f>
        <v>0</v>
      </c>
      <c r="Y1363" s="11" t="s">
        <v>50</v>
      </c>
    </row>
    <row r="1364" customFormat="false" ht="15" hidden="false" customHeight="false" outlineLevel="0" collapsed="false">
      <c r="A1364" s="25" t="n">
        <v>43098</v>
      </c>
      <c r="B1364" s="13" t="n">
        <v>2</v>
      </c>
      <c r="C1364" s="26" t="s">
        <v>1409</v>
      </c>
      <c r="D1364" s="26"/>
      <c r="E1364" s="13" t="s">
        <v>1146</v>
      </c>
      <c r="F1364" s="13" t="s">
        <v>1364</v>
      </c>
      <c r="G1364" s="13"/>
      <c r="H1364" s="13" t="s">
        <v>22</v>
      </c>
      <c r="I1364" s="13"/>
      <c r="J1364" s="13" t="s">
        <v>97</v>
      </c>
      <c r="K1364" s="13" t="s">
        <v>406</v>
      </c>
      <c r="L1364" s="13" t="s">
        <v>1370</v>
      </c>
      <c r="M1364" s="13" t="s">
        <v>100</v>
      </c>
      <c r="N1364" s="27" t="n">
        <v>9700</v>
      </c>
      <c r="O1364" s="28" t="n">
        <v>1158598.98</v>
      </c>
      <c r="P1364" s="27" t="n">
        <v>10692</v>
      </c>
      <c r="Q1364" s="29" t="n">
        <v>0.9</v>
      </c>
      <c r="R1364" s="28" t="n">
        <v>57.47</v>
      </c>
      <c r="S1364" s="28" t="n">
        <v>238.96</v>
      </c>
      <c r="T1364" s="28" t="n">
        <v>119.44</v>
      </c>
      <c r="U1364" s="13" t="n">
        <f aca="false">IFERROR(YEAR(A1364),"")</f>
        <v>2017</v>
      </c>
      <c r="V1364" s="28" t="n">
        <f aca="false">IFERROR(O1364*B1364,0)</f>
        <v>2317197.96</v>
      </c>
      <c r="W1364" s="27" t="n">
        <f aca="false">IFERROR(N1364*B1364,0)</f>
        <v>19400</v>
      </c>
      <c r="X1364" s="13" t="n">
        <f aca="false">IF(OR(ISNUMBER(SEARCH("live nation",L1364)),ISNUMBER(SEARCH("ocesa",L1364))),1,0)</f>
        <v>0</v>
      </c>
      <c r="Y1364" s="13" t="s">
        <v>50</v>
      </c>
    </row>
    <row r="1365" customFormat="false" ht="15" hidden="false" customHeight="false" outlineLevel="0" collapsed="false">
      <c r="A1365" s="30" t="n">
        <v>43098</v>
      </c>
      <c r="B1365" s="11" t="n">
        <v>1</v>
      </c>
      <c r="C1365" s="31" t="s">
        <v>1410</v>
      </c>
      <c r="D1365" s="31"/>
      <c r="E1365" s="11" t="s">
        <v>1376</v>
      </c>
      <c r="F1365" s="11" t="s">
        <v>1364</v>
      </c>
      <c r="G1365" s="11"/>
      <c r="H1365" s="11" t="s">
        <v>22</v>
      </c>
      <c r="I1365" s="11"/>
      <c r="J1365" s="11" t="s">
        <v>106</v>
      </c>
      <c r="K1365" s="11" t="s">
        <v>406</v>
      </c>
      <c r="L1365" s="11" t="s">
        <v>1395</v>
      </c>
      <c r="M1365" s="11" t="s">
        <v>100</v>
      </c>
      <c r="N1365" s="32" t="n">
        <v>420</v>
      </c>
      <c r="O1365" s="33" t="n">
        <v>21597.07</v>
      </c>
      <c r="P1365" s="32" t="n">
        <v>650</v>
      </c>
      <c r="Q1365" s="34" t="n">
        <v>0.64</v>
      </c>
      <c r="R1365" s="33" t="n">
        <v>33.27</v>
      </c>
      <c r="S1365" s="33" t="n">
        <v>87.72</v>
      </c>
      <c r="T1365" s="33" t="n">
        <v>51.42</v>
      </c>
      <c r="U1365" s="11" t="n">
        <f aca="false">IFERROR(YEAR(A1365),"")</f>
        <v>2017</v>
      </c>
      <c r="V1365" s="33" t="n">
        <f aca="false">IFERROR(O1365*B1365,0)</f>
        <v>21597.07</v>
      </c>
      <c r="W1365" s="32" t="n">
        <f aca="false">IFERROR(N1365*B1365,0)</f>
        <v>420</v>
      </c>
      <c r="X1365" s="11" t="n">
        <f aca="false">IF(OR(ISNUMBER(SEARCH("live nation",L1365)),ISNUMBER(SEARCH("ocesa",L1365))),1,0)</f>
        <v>0</v>
      </c>
      <c r="Y1365" s="11" t="s">
        <v>50</v>
      </c>
    </row>
    <row r="1366" customFormat="false" ht="15" hidden="false" customHeight="false" outlineLevel="0" collapsed="false">
      <c r="A1366" s="25" t="n">
        <v>43091</v>
      </c>
      <c r="B1366" s="13" t="n">
        <v>3</v>
      </c>
      <c r="C1366" s="26" t="s">
        <v>1353</v>
      </c>
      <c r="D1366" s="26"/>
      <c r="E1366" s="13" t="s">
        <v>1146</v>
      </c>
      <c r="F1366" s="13" t="s">
        <v>1364</v>
      </c>
      <c r="G1366" s="13"/>
      <c r="H1366" s="13" t="s">
        <v>22</v>
      </c>
      <c r="I1366" s="13"/>
      <c r="J1366" s="13" t="s">
        <v>97</v>
      </c>
      <c r="K1366" s="13" t="s">
        <v>406</v>
      </c>
      <c r="L1366" s="13" t="s">
        <v>1411</v>
      </c>
      <c r="M1366" s="13" t="s">
        <v>100</v>
      </c>
      <c r="N1366" s="27" t="n">
        <v>18300</v>
      </c>
      <c r="O1366" s="28" t="n">
        <v>3656717.02</v>
      </c>
      <c r="P1366" s="27" t="n">
        <v>18300</v>
      </c>
      <c r="Q1366" s="29" t="n">
        <v>1</v>
      </c>
      <c r="R1366" s="28" t="n">
        <v>148.22</v>
      </c>
      <c r="S1366" s="28" t="n">
        <v>390.2</v>
      </c>
      <c r="T1366" s="28" t="n">
        <v>199.82</v>
      </c>
      <c r="U1366" s="13" t="n">
        <f aca="false">IFERROR(YEAR(A1366),"")</f>
        <v>2017</v>
      </c>
      <c r="V1366" s="28" t="n">
        <f aca="false">IFERROR(O1366*B1366,0)</f>
        <v>10970151.06</v>
      </c>
      <c r="W1366" s="27" t="n">
        <f aca="false">IFERROR(N1366*B1366,0)</f>
        <v>54900</v>
      </c>
      <c r="X1366" s="13" t="n">
        <f aca="false">IF(OR(ISNUMBER(SEARCH("live nation",L1366)),ISNUMBER(SEARCH("ocesa",L1366))),1,0)</f>
        <v>0</v>
      </c>
      <c r="Y1366" s="13" t="s">
        <v>50</v>
      </c>
    </row>
    <row r="1367" customFormat="false" ht="15" hidden="false" customHeight="false" outlineLevel="0" collapsed="false">
      <c r="A1367" s="30" t="n">
        <v>43065</v>
      </c>
      <c r="B1367" s="11" t="n">
        <v>1</v>
      </c>
      <c r="C1367" s="31" t="s">
        <v>729</v>
      </c>
      <c r="D1367" s="31"/>
      <c r="E1367" s="11" t="s">
        <v>1412</v>
      </c>
      <c r="F1367" s="11" t="s">
        <v>550</v>
      </c>
      <c r="G1367" s="11" t="s">
        <v>328</v>
      </c>
      <c r="H1367" s="11" t="s">
        <v>128</v>
      </c>
      <c r="I1367" s="11"/>
      <c r="J1367" s="11" t="s">
        <v>97</v>
      </c>
      <c r="K1367" s="11" t="s">
        <v>129</v>
      </c>
      <c r="L1367" s="11" t="s">
        <v>177</v>
      </c>
      <c r="M1367" s="11" t="s">
        <v>100</v>
      </c>
      <c r="N1367" s="32" t="n">
        <v>8430</v>
      </c>
      <c r="O1367" s="33" t="n">
        <v>1090590.44</v>
      </c>
      <c r="P1367" s="32" t="n">
        <v>8430</v>
      </c>
      <c r="Q1367" s="34" t="n">
        <v>1</v>
      </c>
      <c r="R1367" s="33" t="n">
        <v>52.85</v>
      </c>
      <c r="S1367" s="33" t="n">
        <v>301.56</v>
      </c>
      <c r="T1367" s="33" t="n">
        <v>129.37</v>
      </c>
      <c r="U1367" s="11" t="n">
        <f aca="false">IFERROR(YEAR(A1367),"")</f>
        <v>2017</v>
      </c>
      <c r="V1367" s="33" t="n">
        <f aca="false">IFERROR(O1367*B1367,0)</f>
        <v>1090590.44</v>
      </c>
      <c r="W1367" s="32" t="n">
        <f aca="false">IFERROR(N1367*B1367,0)</f>
        <v>8430</v>
      </c>
      <c r="X1367" s="11" t="n">
        <f aca="false">IF(OR(ISNUMBER(SEARCH("live nation",L1367)),ISNUMBER(SEARCH("ocesa",L1367))),1,0)</f>
        <v>1</v>
      </c>
      <c r="Y1367" s="11" t="s">
        <v>49</v>
      </c>
    </row>
    <row r="1368" customFormat="false" ht="15" hidden="false" customHeight="false" outlineLevel="0" collapsed="false">
      <c r="A1368" s="25" t="n">
        <v>43060</v>
      </c>
      <c r="B1368" s="13" t="n">
        <v>1</v>
      </c>
      <c r="C1368" s="26" t="s">
        <v>729</v>
      </c>
      <c r="D1368" s="26"/>
      <c r="E1368" s="13" t="s">
        <v>1413</v>
      </c>
      <c r="F1368" s="13" t="s">
        <v>209</v>
      </c>
      <c r="G1368" s="13" t="s">
        <v>208</v>
      </c>
      <c r="H1368" s="13" t="s">
        <v>20</v>
      </c>
      <c r="I1368" s="13" t="s">
        <v>209</v>
      </c>
      <c r="J1368" s="13" t="s">
        <v>121</v>
      </c>
      <c r="K1368" s="13" t="s">
        <v>107</v>
      </c>
      <c r="L1368" s="13" t="s">
        <v>177</v>
      </c>
      <c r="M1368" s="13" t="s">
        <v>100</v>
      </c>
      <c r="N1368" s="27" t="n">
        <v>3363</v>
      </c>
      <c r="O1368" s="28" t="n">
        <v>516569</v>
      </c>
      <c r="P1368" s="27" t="n">
        <v>3875</v>
      </c>
      <c r="Q1368" s="29" t="n">
        <v>0.86</v>
      </c>
      <c r="R1368" s="28" t="n">
        <v>95</v>
      </c>
      <c r="S1368" s="28" t="n">
        <v>175</v>
      </c>
      <c r="T1368" s="28" t="n">
        <v>153.6</v>
      </c>
      <c r="U1368" s="13" t="n">
        <f aca="false">IFERROR(YEAR(A1368),"")</f>
        <v>2017</v>
      </c>
      <c r="V1368" s="28" t="n">
        <f aca="false">IFERROR(O1368*B1368,0)</f>
        <v>516569</v>
      </c>
      <c r="W1368" s="27" t="n">
        <f aca="false">IFERROR(N1368*B1368,0)</f>
        <v>3363</v>
      </c>
      <c r="X1368" s="13" t="n">
        <f aca="false">IF(OR(ISNUMBER(SEARCH("live nation",L1368)),ISNUMBER(SEARCH("ocesa",L1368))),1,0)</f>
        <v>1</v>
      </c>
      <c r="Y1368" s="13" t="s">
        <v>49</v>
      </c>
    </row>
    <row r="1369" customFormat="false" ht="15" hidden="false" customHeight="false" outlineLevel="0" collapsed="false">
      <c r="A1369" s="30" t="n">
        <v>43057</v>
      </c>
      <c r="B1369" s="11" t="n">
        <v>1</v>
      </c>
      <c r="C1369" s="31" t="s">
        <v>729</v>
      </c>
      <c r="D1369" s="31"/>
      <c r="E1369" s="11" t="s">
        <v>196</v>
      </c>
      <c r="F1369" s="11" t="s">
        <v>197</v>
      </c>
      <c r="G1369" s="11" t="s">
        <v>139</v>
      </c>
      <c r="H1369" s="11" t="s">
        <v>20</v>
      </c>
      <c r="I1369" s="11" t="s">
        <v>139</v>
      </c>
      <c r="J1369" s="11" t="s">
        <v>97</v>
      </c>
      <c r="K1369" s="11" t="s">
        <v>107</v>
      </c>
      <c r="L1369" s="11" t="s">
        <v>177</v>
      </c>
      <c r="M1369" s="11" t="s">
        <v>100</v>
      </c>
      <c r="N1369" s="32" t="n">
        <v>10469</v>
      </c>
      <c r="O1369" s="33" t="n">
        <v>1603782</v>
      </c>
      <c r="P1369" s="32" t="n">
        <v>12486</v>
      </c>
      <c r="Q1369" s="34" t="n">
        <v>0.83</v>
      </c>
      <c r="R1369" s="33" t="n">
        <v>104</v>
      </c>
      <c r="S1369" s="33" t="n">
        <v>394</v>
      </c>
      <c r="T1369" s="33" t="n">
        <v>153.19</v>
      </c>
      <c r="U1369" s="11" t="n">
        <f aca="false">IFERROR(YEAR(A1369),"")</f>
        <v>2017</v>
      </c>
      <c r="V1369" s="33" t="n">
        <f aca="false">IFERROR(O1369*B1369,0)</f>
        <v>1603782</v>
      </c>
      <c r="W1369" s="32" t="n">
        <f aca="false">IFERROR(N1369*B1369,0)</f>
        <v>10469</v>
      </c>
      <c r="X1369" s="11" t="n">
        <f aca="false">IF(OR(ISNUMBER(SEARCH("live nation",L1369)),ISNUMBER(SEARCH("ocesa",L1369))),1,0)</f>
        <v>1</v>
      </c>
      <c r="Y1369" s="11" t="s">
        <v>49</v>
      </c>
    </row>
    <row r="1370" customFormat="false" ht="15" hidden="false" customHeight="false" outlineLevel="0" collapsed="false">
      <c r="A1370" s="25" t="n">
        <v>43054</v>
      </c>
      <c r="B1370" s="13" t="n">
        <v>1</v>
      </c>
      <c r="C1370" s="26" t="s">
        <v>729</v>
      </c>
      <c r="D1370" s="26"/>
      <c r="E1370" s="13" t="s">
        <v>1087</v>
      </c>
      <c r="F1370" s="13" t="s">
        <v>834</v>
      </c>
      <c r="G1370" s="13" t="s">
        <v>143</v>
      </c>
      <c r="H1370" s="13" t="s">
        <v>20</v>
      </c>
      <c r="I1370" s="13" t="s">
        <v>586</v>
      </c>
      <c r="J1370" s="13" t="s">
        <v>121</v>
      </c>
      <c r="K1370" s="13" t="s">
        <v>107</v>
      </c>
      <c r="L1370" s="13" t="s">
        <v>1023</v>
      </c>
      <c r="M1370" s="13" t="s">
        <v>100</v>
      </c>
      <c r="N1370" s="27" t="n">
        <v>1845</v>
      </c>
      <c r="O1370" s="28" t="n">
        <v>227842</v>
      </c>
      <c r="P1370" s="27" t="n">
        <v>3110</v>
      </c>
      <c r="Q1370" s="29" t="n">
        <v>0.59</v>
      </c>
      <c r="R1370" s="28" t="n">
        <v>73</v>
      </c>
      <c r="S1370" s="28" t="n">
        <v>253</v>
      </c>
      <c r="T1370" s="28" t="n">
        <v>123.49</v>
      </c>
      <c r="U1370" s="13" t="n">
        <f aca="false">IFERROR(YEAR(A1370),"")</f>
        <v>2017</v>
      </c>
      <c r="V1370" s="28" t="n">
        <f aca="false">IFERROR(O1370*B1370,0)</f>
        <v>227842</v>
      </c>
      <c r="W1370" s="27" t="n">
        <f aca="false">IFERROR(N1370*B1370,0)</f>
        <v>1845</v>
      </c>
      <c r="X1370" s="13" t="n">
        <f aca="false">IF(OR(ISNUMBER(SEARCH("live nation",L1370)),ISNUMBER(SEARCH("ocesa",L1370))),1,0)</f>
        <v>1</v>
      </c>
      <c r="Y1370" s="13" t="s">
        <v>49</v>
      </c>
    </row>
    <row r="1371" customFormat="false" ht="15" hidden="false" customHeight="false" outlineLevel="0" collapsed="false">
      <c r="A1371" s="30" t="n">
        <v>43050</v>
      </c>
      <c r="B1371" s="11" t="n">
        <v>1</v>
      </c>
      <c r="C1371" s="31" t="s">
        <v>729</v>
      </c>
      <c r="D1371" s="31"/>
      <c r="E1371" s="11" t="s">
        <v>618</v>
      </c>
      <c r="F1371" s="11" t="s">
        <v>619</v>
      </c>
      <c r="G1371" s="11" t="s">
        <v>202</v>
      </c>
      <c r="H1371" s="11" t="s">
        <v>20</v>
      </c>
      <c r="I1371" s="11" t="s">
        <v>203</v>
      </c>
      <c r="J1371" s="11" t="s">
        <v>97</v>
      </c>
      <c r="K1371" s="11" t="s">
        <v>107</v>
      </c>
      <c r="L1371" s="11" t="s">
        <v>177</v>
      </c>
      <c r="M1371" s="11" t="s">
        <v>100</v>
      </c>
      <c r="N1371" s="32" t="n">
        <v>7716</v>
      </c>
      <c r="O1371" s="33" t="n">
        <v>1147434</v>
      </c>
      <c r="P1371" s="32" t="n">
        <v>10643</v>
      </c>
      <c r="Q1371" s="34" t="n">
        <v>0.72</v>
      </c>
      <c r="R1371" s="33" t="n">
        <v>88</v>
      </c>
      <c r="S1371" s="33" t="n">
        <v>328</v>
      </c>
      <c r="T1371" s="33" t="n">
        <v>148.71</v>
      </c>
      <c r="U1371" s="11" t="n">
        <f aca="false">IFERROR(YEAR(A1371),"")</f>
        <v>2017</v>
      </c>
      <c r="V1371" s="33" t="n">
        <f aca="false">IFERROR(O1371*B1371,0)</f>
        <v>1147434</v>
      </c>
      <c r="W1371" s="32" t="n">
        <f aca="false">IFERROR(N1371*B1371,0)</f>
        <v>7716</v>
      </c>
      <c r="X1371" s="11" t="n">
        <f aca="false">IF(OR(ISNUMBER(SEARCH("live nation",L1371)),ISNUMBER(SEARCH("ocesa",L1371))),1,0)</f>
        <v>1</v>
      </c>
      <c r="Y1371" s="11" t="s">
        <v>49</v>
      </c>
    </row>
    <row r="1372" customFormat="false" ht="15" hidden="false" customHeight="false" outlineLevel="0" collapsed="false">
      <c r="A1372" s="25" t="n">
        <v>43049</v>
      </c>
      <c r="B1372" s="13" t="n">
        <v>1</v>
      </c>
      <c r="C1372" s="26" t="s">
        <v>729</v>
      </c>
      <c r="D1372" s="26"/>
      <c r="E1372" s="13" t="s">
        <v>1218</v>
      </c>
      <c r="F1372" s="13" t="s">
        <v>404</v>
      </c>
      <c r="G1372" s="13" t="s">
        <v>202</v>
      </c>
      <c r="H1372" s="13" t="s">
        <v>20</v>
      </c>
      <c r="I1372" s="13" t="s">
        <v>232</v>
      </c>
      <c r="J1372" s="13" t="s">
        <v>97</v>
      </c>
      <c r="K1372" s="13" t="s">
        <v>107</v>
      </c>
      <c r="L1372" s="13" t="s">
        <v>177</v>
      </c>
      <c r="M1372" s="13" t="s">
        <v>100</v>
      </c>
      <c r="N1372" s="27" t="n">
        <v>8141</v>
      </c>
      <c r="O1372" s="28" t="n">
        <v>1280908</v>
      </c>
      <c r="P1372" s="27" t="n">
        <v>9096</v>
      </c>
      <c r="Q1372" s="29" t="n">
        <v>0.89</v>
      </c>
      <c r="R1372" s="28" t="n">
        <v>88</v>
      </c>
      <c r="S1372" s="28" t="n">
        <v>328</v>
      </c>
      <c r="T1372" s="28" t="n">
        <v>157.34</v>
      </c>
      <c r="U1372" s="13" t="n">
        <f aca="false">IFERROR(YEAR(A1372),"")</f>
        <v>2017</v>
      </c>
      <c r="V1372" s="28" t="n">
        <f aca="false">IFERROR(O1372*B1372,0)</f>
        <v>1280908</v>
      </c>
      <c r="W1372" s="27" t="n">
        <f aca="false">IFERROR(N1372*B1372,0)</f>
        <v>8141</v>
      </c>
      <c r="X1372" s="13" t="n">
        <f aca="false">IF(OR(ISNUMBER(SEARCH("live nation",L1372)),ISNUMBER(SEARCH("ocesa",L1372))),1,0)</f>
        <v>1</v>
      </c>
      <c r="Y1372" s="13" t="s">
        <v>49</v>
      </c>
    </row>
    <row r="1373" customFormat="false" ht="15" hidden="false" customHeight="false" outlineLevel="0" collapsed="false">
      <c r="A1373" s="30" t="n">
        <v>43037</v>
      </c>
      <c r="B1373" s="11" t="n">
        <v>1</v>
      </c>
      <c r="C1373" s="31" t="s">
        <v>1414</v>
      </c>
      <c r="D1373" s="31"/>
      <c r="E1373" s="11" t="s">
        <v>1415</v>
      </c>
      <c r="F1373" s="11" t="s">
        <v>1416</v>
      </c>
      <c r="G1373" s="11"/>
      <c r="H1373" s="11" t="s">
        <v>1417</v>
      </c>
      <c r="I1373" s="11"/>
      <c r="J1373" s="11" t="s">
        <v>97</v>
      </c>
      <c r="K1373" s="11" t="s">
        <v>1418</v>
      </c>
      <c r="L1373" s="11" t="s">
        <v>1419</v>
      </c>
      <c r="M1373" s="11" t="s">
        <v>100</v>
      </c>
      <c r="N1373" s="32" t="n">
        <v>2832</v>
      </c>
      <c r="O1373" s="33" t="n">
        <v>304846.48</v>
      </c>
      <c r="P1373" s="32" t="n">
        <v>2832</v>
      </c>
      <c r="Q1373" s="34" t="n">
        <v>1</v>
      </c>
      <c r="R1373" s="33" t="n">
        <v>26.56</v>
      </c>
      <c r="S1373" s="33" t="n">
        <v>146.76</v>
      </c>
      <c r="T1373" s="33" t="n">
        <v>107.64</v>
      </c>
      <c r="U1373" s="11" t="n">
        <f aca="false">IFERROR(YEAR(A1373),"")</f>
        <v>2017</v>
      </c>
      <c r="V1373" s="33" t="n">
        <f aca="false">IFERROR(O1373*B1373,0)</f>
        <v>304846.48</v>
      </c>
      <c r="W1373" s="32" t="n">
        <f aca="false">IFERROR(N1373*B1373,0)</f>
        <v>2832</v>
      </c>
      <c r="X1373" s="11" t="n">
        <f aca="false">IF(OR(ISNUMBER(SEARCH("live nation",L1373)),ISNUMBER(SEARCH("ocesa",L1373))),1,0)</f>
        <v>0</v>
      </c>
      <c r="Y1373" s="11" t="s">
        <v>50</v>
      </c>
    </row>
    <row r="1374" customFormat="false" ht="15" hidden="false" customHeight="false" outlineLevel="0" collapsed="false">
      <c r="A1374" s="25" t="n">
        <v>43036</v>
      </c>
      <c r="B1374" s="13" t="n">
        <v>1</v>
      </c>
      <c r="C1374" s="26" t="s">
        <v>1420</v>
      </c>
      <c r="D1374" s="26"/>
      <c r="E1374" s="13" t="s">
        <v>1376</v>
      </c>
      <c r="F1374" s="13" t="s">
        <v>1364</v>
      </c>
      <c r="G1374" s="13"/>
      <c r="H1374" s="13" t="s">
        <v>22</v>
      </c>
      <c r="I1374" s="13"/>
      <c r="J1374" s="13" t="s">
        <v>106</v>
      </c>
      <c r="K1374" s="13" t="s">
        <v>406</v>
      </c>
      <c r="L1374" s="13" t="s">
        <v>1421</v>
      </c>
      <c r="M1374" s="13" t="s">
        <v>100</v>
      </c>
      <c r="N1374" s="27" t="n">
        <v>296</v>
      </c>
      <c r="O1374" s="28" t="n">
        <v>5804.54</v>
      </c>
      <c r="P1374" s="27" t="n">
        <v>650</v>
      </c>
      <c r="Q1374" s="29" t="n">
        <v>0.45</v>
      </c>
      <c r="R1374" s="28" t="n">
        <v>18.03</v>
      </c>
      <c r="S1374" s="28" t="n">
        <v>22.54</v>
      </c>
      <c r="T1374" s="28" t="n">
        <v>19.61</v>
      </c>
      <c r="U1374" s="13" t="n">
        <f aca="false">IFERROR(YEAR(A1374),"")</f>
        <v>2017</v>
      </c>
      <c r="V1374" s="28" t="n">
        <f aca="false">IFERROR(O1374*B1374,0)</f>
        <v>5804.54</v>
      </c>
      <c r="W1374" s="27" t="n">
        <f aca="false">IFERROR(N1374*B1374,0)</f>
        <v>296</v>
      </c>
      <c r="X1374" s="13" t="n">
        <f aca="false">IF(OR(ISNUMBER(SEARCH("live nation",L1374)),ISNUMBER(SEARCH("ocesa",L1374))),1,0)</f>
        <v>0</v>
      </c>
      <c r="Y1374" s="13" t="s">
        <v>50</v>
      </c>
    </row>
    <row r="1375" customFormat="false" ht="15" hidden="false" customHeight="false" outlineLevel="0" collapsed="false">
      <c r="A1375" s="30" t="n">
        <v>43029</v>
      </c>
      <c r="B1375" s="11" t="n">
        <v>1</v>
      </c>
      <c r="C1375" s="31" t="s">
        <v>1422</v>
      </c>
      <c r="D1375" s="31"/>
      <c r="E1375" s="11" t="s">
        <v>1376</v>
      </c>
      <c r="F1375" s="11" t="s">
        <v>1364</v>
      </c>
      <c r="G1375" s="11"/>
      <c r="H1375" s="11" t="s">
        <v>22</v>
      </c>
      <c r="I1375" s="11"/>
      <c r="J1375" s="11" t="s">
        <v>106</v>
      </c>
      <c r="K1375" s="11" t="s">
        <v>406</v>
      </c>
      <c r="L1375" s="11" t="s">
        <v>1423</v>
      </c>
      <c r="M1375" s="11" t="s">
        <v>100</v>
      </c>
      <c r="N1375" s="32" t="n">
        <v>445</v>
      </c>
      <c r="O1375" s="33" t="n">
        <v>36553.75</v>
      </c>
      <c r="P1375" s="32" t="n">
        <v>650</v>
      </c>
      <c r="Q1375" s="34" t="n">
        <v>0.68</v>
      </c>
      <c r="R1375" s="33" t="n">
        <v>57.1</v>
      </c>
      <c r="S1375" s="33" t="n">
        <v>132.23</v>
      </c>
      <c r="T1375" s="33" t="n">
        <v>82.14</v>
      </c>
      <c r="U1375" s="11" t="n">
        <f aca="false">IFERROR(YEAR(A1375),"")</f>
        <v>2017</v>
      </c>
      <c r="V1375" s="33" t="n">
        <f aca="false">IFERROR(O1375*B1375,0)</f>
        <v>36553.75</v>
      </c>
      <c r="W1375" s="32" t="n">
        <f aca="false">IFERROR(N1375*B1375,0)</f>
        <v>445</v>
      </c>
      <c r="X1375" s="11" t="n">
        <f aca="false">IF(OR(ISNUMBER(SEARCH("live nation",L1375)),ISNUMBER(SEARCH("ocesa",L1375))),1,0)</f>
        <v>0</v>
      </c>
      <c r="Y1375" s="11" t="s">
        <v>50</v>
      </c>
    </row>
    <row r="1376" customFormat="false" ht="15" hidden="false" customHeight="false" outlineLevel="0" collapsed="false">
      <c r="A1376" s="25" t="n">
        <v>43019</v>
      </c>
      <c r="B1376" s="13" t="n">
        <v>1</v>
      </c>
      <c r="C1376" s="26" t="s">
        <v>1424</v>
      </c>
      <c r="D1376" s="26" t="s">
        <v>1425</v>
      </c>
      <c r="E1376" s="13" t="s">
        <v>1376</v>
      </c>
      <c r="F1376" s="13" t="s">
        <v>1364</v>
      </c>
      <c r="G1376" s="13"/>
      <c r="H1376" s="13" t="s">
        <v>22</v>
      </c>
      <c r="I1376" s="13"/>
      <c r="J1376" s="13" t="s">
        <v>106</v>
      </c>
      <c r="K1376" s="13" t="s">
        <v>406</v>
      </c>
      <c r="L1376" s="13" t="s">
        <v>1426</v>
      </c>
      <c r="M1376" s="13" t="s">
        <v>100</v>
      </c>
      <c r="N1376" s="27" t="n">
        <v>272</v>
      </c>
      <c r="O1376" s="28" t="n">
        <v>9427.31</v>
      </c>
      <c r="P1376" s="27" t="n">
        <v>650</v>
      </c>
      <c r="Q1376" s="29" t="n">
        <v>0.41</v>
      </c>
      <c r="R1376" s="28" t="n">
        <v>27.05</v>
      </c>
      <c r="S1376" s="28" t="n">
        <v>48.08</v>
      </c>
      <c r="T1376" s="28" t="n">
        <v>34.66</v>
      </c>
      <c r="U1376" s="13" t="n">
        <f aca="false">IFERROR(YEAR(A1376),"")</f>
        <v>2017</v>
      </c>
      <c r="V1376" s="28" t="n">
        <f aca="false">IFERROR(O1376*B1376,0)</f>
        <v>9427.31</v>
      </c>
      <c r="W1376" s="27" t="n">
        <f aca="false">IFERROR(N1376*B1376,0)</f>
        <v>272</v>
      </c>
      <c r="X1376" s="13" t="n">
        <f aca="false">IF(OR(ISNUMBER(SEARCH("live nation",L1376)),ISNUMBER(SEARCH("ocesa",L1376))),1,0)</f>
        <v>0</v>
      </c>
      <c r="Y1376" s="13" t="s">
        <v>50</v>
      </c>
    </row>
    <row r="1377" customFormat="false" ht="15" hidden="false" customHeight="false" outlineLevel="0" collapsed="false">
      <c r="A1377" s="30" t="n">
        <v>43010</v>
      </c>
      <c r="B1377" s="11" t="n">
        <v>1</v>
      </c>
      <c r="C1377" s="31" t="s">
        <v>569</v>
      </c>
      <c r="D1377" s="31"/>
      <c r="E1377" s="11" t="s">
        <v>1427</v>
      </c>
      <c r="F1377" s="11" t="s">
        <v>1428</v>
      </c>
      <c r="G1377" s="11"/>
      <c r="H1377" s="11" t="s">
        <v>28</v>
      </c>
      <c r="I1377" s="11"/>
      <c r="J1377" s="11" t="s">
        <v>121</v>
      </c>
      <c r="K1377" s="11" t="s">
        <v>98</v>
      </c>
      <c r="L1377" s="11" t="s">
        <v>99</v>
      </c>
      <c r="M1377" s="11" t="s">
        <v>100</v>
      </c>
      <c r="N1377" s="32" t="n">
        <v>1173</v>
      </c>
      <c r="O1377" s="33" t="n">
        <v>149086.33</v>
      </c>
      <c r="P1377" s="32" t="n">
        <v>1330</v>
      </c>
      <c r="Q1377" s="34" t="n">
        <v>0.88</v>
      </c>
      <c r="R1377" s="33" t="n">
        <v>77.52</v>
      </c>
      <c r="S1377" s="33" t="n">
        <v>390.72</v>
      </c>
      <c r="T1377" s="33" t="n">
        <v>127.1</v>
      </c>
      <c r="U1377" s="11" t="n">
        <f aca="false">IFERROR(YEAR(A1377),"")</f>
        <v>2017</v>
      </c>
      <c r="V1377" s="33" t="n">
        <f aca="false">IFERROR(O1377*B1377,0)</f>
        <v>149086.33</v>
      </c>
      <c r="W1377" s="32" t="n">
        <f aca="false">IFERROR(N1377*B1377,0)</f>
        <v>1173</v>
      </c>
      <c r="X1377" s="11" t="n">
        <f aca="false">IF(OR(ISNUMBER(SEARCH("live nation",L1377)),ISNUMBER(SEARCH("ocesa",L1377))),1,0)</f>
        <v>0</v>
      </c>
      <c r="Y1377" s="11" t="s">
        <v>49</v>
      </c>
    </row>
    <row r="1378" customFormat="false" ht="15" hidden="false" customHeight="false" outlineLevel="0" collapsed="false">
      <c r="A1378" s="25" t="n">
        <v>43008</v>
      </c>
      <c r="B1378" s="13" t="n">
        <v>1</v>
      </c>
      <c r="C1378" s="26" t="s">
        <v>1429</v>
      </c>
      <c r="D1378" s="26" t="s">
        <v>1430</v>
      </c>
      <c r="E1378" s="13" t="s">
        <v>1146</v>
      </c>
      <c r="F1378" s="13" t="s">
        <v>1364</v>
      </c>
      <c r="G1378" s="13"/>
      <c r="H1378" s="13" t="s">
        <v>22</v>
      </c>
      <c r="I1378" s="13"/>
      <c r="J1378" s="13" t="s">
        <v>97</v>
      </c>
      <c r="K1378" s="13" t="s">
        <v>406</v>
      </c>
      <c r="L1378" s="13" t="s">
        <v>1431</v>
      </c>
      <c r="M1378" s="13" t="s">
        <v>100</v>
      </c>
      <c r="N1378" s="27" t="n">
        <v>8526</v>
      </c>
      <c r="O1378" s="28" t="n">
        <v>692554.86</v>
      </c>
      <c r="P1378" s="27" t="n">
        <v>9170</v>
      </c>
      <c r="Q1378" s="29" t="n">
        <v>0.92</v>
      </c>
      <c r="R1378" s="28" t="n">
        <v>42.46</v>
      </c>
      <c r="S1378" s="28" t="n">
        <v>133.43</v>
      </c>
      <c r="T1378" s="28" t="n">
        <v>81.23</v>
      </c>
      <c r="U1378" s="13" t="n">
        <f aca="false">IFERROR(YEAR(A1378),"")</f>
        <v>2017</v>
      </c>
      <c r="V1378" s="28" t="n">
        <f aca="false">IFERROR(O1378*B1378,0)</f>
        <v>692554.86</v>
      </c>
      <c r="W1378" s="27" t="n">
        <f aca="false">IFERROR(N1378*B1378,0)</f>
        <v>8526</v>
      </c>
      <c r="X1378" s="13" t="n">
        <f aca="false">IF(OR(ISNUMBER(SEARCH("live nation",L1378)),ISNUMBER(SEARCH("ocesa",L1378))),1,0)</f>
        <v>0</v>
      </c>
      <c r="Y1378" s="13" t="s">
        <v>50</v>
      </c>
    </row>
    <row r="1379" customFormat="false" ht="15" hidden="false" customHeight="false" outlineLevel="0" collapsed="false">
      <c r="A1379" s="30" t="n">
        <v>43006</v>
      </c>
      <c r="B1379" s="11" t="n">
        <v>1</v>
      </c>
      <c r="C1379" s="31" t="s">
        <v>528</v>
      </c>
      <c r="D1379" s="31"/>
      <c r="E1379" s="11" t="s">
        <v>551</v>
      </c>
      <c r="F1379" s="11" t="s">
        <v>552</v>
      </c>
      <c r="G1379" s="11"/>
      <c r="H1379" s="11" t="s">
        <v>26</v>
      </c>
      <c r="I1379" s="11"/>
      <c r="J1379" s="11" t="s">
        <v>97</v>
      </c>
      <c r="K1379" s="11" t="s">
        <v>173</v>
      </c>
      <c r="L1379" s="11" t="s">
        <v>177</v>
      </c>
      <c r="M1379" s="11" t="s">
        <v>100</v>
      </c>
      <c r="N1379" s="32" t="n">
        <v>7842</v>
      </c>
      <c r="O1379" s="33" t="n">
        <v>1113038.81</v>
      </c>
      <c r="P1379" s="32" t="n">
        <v>14200</v>
      </c>
      <c r="Q1379" s="34" t="n">
        <v>0.55</v>
      </c>
      <c r="R1379" s="33" t="n">
        <v>80.21</v>
      </c>
      <c r="S1379" s="33" t="n">
        <v>282.8</v>
      </c>
      <c r="T1379" s="33" t="n">
        <v>141.93</v>
      </c>
      <c r="U1379" s="11" t="n">
        <f aca="false">IFERROR(YEAR(A1379),"")</f>
        <v>2017</v>
      </c>
      <c r="V1379" s="33" t="n">
        <f aca="false">IFERROR(O1379*B1379,0)</f>
        <v>1113038.81</v>
      </c>
      <c r="W1379" s="32" t="n">
        <f aca="false">IFERROR(N1379*B1379,0)</f>
        <v>7842</v>
      </c>
      <c r="X1379" s="11" t="n">
        <f aca="false">IF(OR(ISNUMBER(SEARCH("live nation",L1379)),ISNUMBER(SEARCH("ocesa",L1379))),1,0)</f>
        <v>1</v>
      </c>
      <c r="Y1379" s="11" t="s">
        <v>49</v>
      </c>
    </row>
    <row r="1380" customFormat="false" ht="15" hidden="false" customHeight="false" outlineLevel="0" collapsed="false">
      <c r="A1380" s="25" t="n">
        <v>43001</v>
      </c>
      <c r="B1380" s="13" t="n">
        <v>1</v>
      </c>
      <c r="C1380" s="26" t="s">
        <v>528</v>
      </c>
      <c r="D1380" s="26"/>
      <c r="E1380" s="13" t="s">
        <v>1432</v>
      </c>
      <c r="F1380" s="13" t="s">
        <v>1343</v>
      </c>
      <c r="G1380" s="13"/>
      <c r="H1380" s="13" t="s">
        <v>27</v>
      </c>
      <c r="I1380" s="13"/>
      <c r="J1380" s="13" t="s">
        <v>97</v>
      </c>
      <c r="K1380" s="13" t="s">
        <v>314</v>
      </c>
      <c r="L1380" s="13" t="s">
        <v>122</v>
      </c>
      <c r="M1380" s="13" t="s">
        <v>100</v>
      </c>
      <c r="N1380" s="27" t="n">
        <v>5365</v>
      </c>
      <c r="O1380" s="28" t="n">
        <v>708211.83</v>
      </c>
      <c r="P1380" s="27" t="n">
        <v>12837</v>
      </c>
      <c r="Q1380" s="29" t="n">
        <v>0.41</v>
      </c>
      <c r="R1380" s="28" t="n">
        <v>74.84</v>
      </c>
      <c r="S1380" s="28" t="n">
        <v>190.97</v>
      </c>
      <c r="T1380" s="28" t="n">
        <v>132.01</v>
      </c>
      <c r="U1380" s="13" t="n">
        <f aca="false">IFERROR(YEAR(A1380),"")</f>
        <v>2017</v>
      </c>
      <c r="V1380" s="28" t="n">
        <f aca="false">IFERROR(O1380*B1380,0)</f>
        <v>708211.83</v>
      </c>
      <c r="W1380" s="27" t="n">
        <f aca="false">IFERROR(N1380*B1380,0)</f>
        <v>5365</v>
      </c>
      <c r="X1380" s="13" t="n">
        <f aca="false">IF(OR(ISNUMBER(SEARCH("live nation",L1380)),ISNUMBER(SEARCH("ocesa",L1380))),1,0)</f>
        <v>0</v>
      </c>
      <c r="Y1380" s="13" t="s">
        <v>49</v>
      </c>
    </row>
    <row r="1381" customFormat="false" ht="15" hidden="false" customHeight="false" outlineLevel="0" collapsed="false">
      <c r="A1381" s="30" t="n">
        <v>43000</v>
      </c>
      <c r="B1381" s="11" t="n">
        <v>2</v>
      </c>
      <c r="C1381" s="31" t="s">
        <v>968</v>
      </c>
      <c r="D1381" s="31" t="s">
        <v>1433</v>
      </c>
      <c r="E1381" s="11" t="s">
        <v>95</v>
      </c>
      <c r="F1381" s="11" t="s">
        <v>96</v>
      </c>
      <c r="G1381" s="11"/>
      <c r="H1381" s="11" t="s">
        <v>28</v>
      </c>
      <c r="I1381" s="11"/>
      <c r="J1381" s="11" t="s">
        <v>97</v>
      </c>
      <c r="K1381" s="11" t="s">
        <v>98</v>
      </c>
      <c r="L1381" s="11" t="s">
        <v>1434</v>
      </c>
      <c r="M1381" s="11" t="s">
        <v>100</v>
      </c>
      <c r="N1381" s="32" t="n">
        <v>4240</v>
      </c>
      <c r="O1381" s="33" t="n">
        <v>789873.16</v>
      </c>
      <c r="P1381" s="32" t="n">
        <v>7899</v>
      </c>
      <c r="Q1381" s="34" t="n">
        <v>0.53</v>
      </c>
      <c r="R1381" s="33" t="n">
        <v>79.05</v>
      </c>
      <c r="S1381" s="33" t="n">
        <v>789.75</v>
      </c>
      <c r="T1381" s="33" t="n">
        <v>186.27</v>
      </c>
      <c r="U1381" s="11" t="n">
        <f aca="false">IFERROR(YEAR(A1381),"")</f>
        <v>2017</v>
      </c>
      <c r="V1381" s="33" t="n">
        <f aca="false">IFERROR(O1381*B1381,0)</f>
        <v>1579746.32</v>
      </c>
      <c r="W1381" s="32" t="n">
        <f aca="false">IFERROR(N1381*B1381,0)</f>
        <v>8480</v>
      </c>
      <c r="X1381" s="11" t="n">
        <f aca="false">IF(OR(ISNUMBER(SEARCH("live nation",L1381)),ISNUMBER(SEARCH("ocesa",L1381))),1,0)</f>
        <v>0</v>
      </c>
      <c r="Y1381" s="11" t="s">
        <v>49</v>
      </c>
    </row>
    <row r="1382" customFormat="false" ht="15" hidden="false" customHeight="false" outlineLevel="0" collapsed="false">
      <c r="A1382" s="25" t="n">
        <v>43000</v>
      </c>
      <c r="B1382" s="13" t="n">
        <v>1</v>
      </c>
      <c r="C1382" s="26" t="s">
        <v>410</v>
      </c>
      <c r="D1382" s="26"/>
      <c r="E1382" s="13" t="s">
        <v>1019</v>
      </c>
      <c r="F1382" s="13" t="s">
        <v>1020</v>
      </c>
      <c r="G1382" s="13" t="s">
        <v>167</v>
      </c>
      <c r="H1382" s="13" t="s">
        <v>20</v>
      </c>
      <c r="I1382" s="13" t="s">
        <v>471</v>
      </c>
      <c r="J1382" s="13" t="s">
        <v>121</v>
      </c>
      <c r="K1382" s="13" t="s">
        <v>107</v>
      </c>
      <c r="L1382" s="13" t="s">
        <v>1279</v>
      </c>
      <c r="M1382" s="13" t="s">
        <v>109</v>
      </c>
      <c r="N1382" s="27" t="n">
        <v>1417</v>
      </c>
      <c r="O1382" s="28" t="n">
        <v>145733</v>
      </c>
      <c r="P1382" s="27" t="n">
        <v>2379</v>
      </c>
      <c r="Q1382" s="29" t="n">
        <v>0.59</v>
      </c>
      <c r="R1382" s="28" t="n">
        <v>59</v>
      </c>
      <c r="S1382" s="28" t="n">
        <v>188</v>
      </c>
      <c r="T1382" s="28" t="n">
        <v>102.85</v>
      </c>
      <c r="U1382" s="13" t="n">
        <f aca="false">IFERROR(YEAR(A1382),"")</f>
        <v>2017</v>
      </c>
      <c r="V1382" s="28" t="n">
        <f aca="false">IFERROR(O1382*B1382,0)</f>
        <v>145733</v>
      </c>
      <c r="W1382" s="27" t="n">
        <f aca="false">IFERROR(N1382*B1382,0)</f>
        <v>1417</v>
      </c>
      <c r="X1382" s="13" t="n">
        <f aca="false">IF(OR(ISNUMBER(SEARCH("live nation",L1382)),ISNUMBER(SEARCH("ocesa",L1382))),1,0)</f>
        <v>0</v>
      </c>
      <c r="Y1382" s="13" t="s">
        <v>49</v>
      </c>
    </row>
    <row r="1383" customFormat="false" ht="15" hidden="false" customHeight="false" outlineLevel="0" collapsed="false">
      <c r="A1383" s="30" t="n">
        <v>42995</v>
      </c>
      <c r="B1383" s="11" t="n">
        <v>1</v>
      </c>
      <c r="C1383" s="31" t="s">
        <v>304</v>
      </c>
      <c r="D1383" s="31"/>
      <c r="E1383" s="11" t="s">
        <v>1376</v>
      </c>
      <c r="F1383" s="11" t="s">
        <v>1364</v>
      </c>
      <c r="G1383" s="11"/>
      <c r="H1383" s="11" t="s">
        <v>22</v>
      </c>
      <c r="I1383" s="11"/>
      <c r="J1383" s="11" t="s">
        <v>106</v>
      </c>
      <c r="K1383" s="11" t="s">
        <v>406</v>
      </c>
      <c r="L1383" s="11" t="s">
        <v>1435</v>
      </c>
      <c r="M1383" s="11" t="s">
        <v>100</v>
      </c>
      <c r="N1383" s="32" t="n">
        <v>656</v>
      </c>
      <c r="O1383" s="33" t="n">
        <v>41892.34</v>
      </c>
      <c r="P1383" s="32" t="n">
        <v>700</v>
      </c>
      <c r="Q1383" s="34" t="n">
        <v>0.93</v>
      </c>
      <c r="R1383" s="33" t="n">
        <v>42.46</v>
      </c>
      <c r="S1383" s="33" t="n">
        <v>87.95</v>
      </c>
      <c r="T1383" s="33" t="n">
        <v>63.86</v>
      </c>
      <c r="U1383" s="11" t="n">
        <f aca="false">IFERROR(YEAR(A1383),"")</f>
        <v>2017</v>
      </c>
      <c r="V1383" s="33" t="n">
        <f aca="false">IFERROR(O1383*B1383,0)</f>
        <v>41892.34</v>
      </c>
      <c r="W1383" s="32" t="n">
        <f aca="false">IFERROR(N1383*B1383,0)</f>
        <v>656</v>
      </c>
      <c r="X1383" s="11" t="n">
        <f aca="false">IF(OR(ISNUMBER(SEARCH("live nation",L1383)),ISNUMBER(SEARCH("ocesa",L1383))),1,0)</f>
        <v>0</v>
      </c>
      <c r="Y1383" s="11" t="s">
        <v>50</v>
      </c>
    </row>
    <row r="1384" customFormat="false" ht="15" hidden="false" customHeight="false" outlineLevel="0" collapsed="false">
      <c r="A1384" s="25" t="n">
        <v>42993</v>
      </c>
      <c r="B1384" s="13" t="n">
        <v>1</v>
      </c>
      <c r="C1384" s="26" t="s">
        <v>410</v>
      </c>
      <c r="D1384" s="26"/>
      <c r="E1384" s="13" t="s">
        <v>160</v>
      </c>
      <c r="F1384" s="13" t="s">
        <v>161</v>
      </c>
      <c r="G1384" s="13" t="s">
        <v>162</v>
      </c>
      <c r="H1384" s="13" t="s">
        <v>20</v>
      </c>
      <c r="I1384" s="13" t="s">
        <v>163</v>
      </c>
      <c r="J1384" s="13" t="s">
        <v>121</v>
      </c>
      <c r="K1384" s="13" t="s">
        <v>107</v>
      </c>
      <c r="L1384" s="13" t="s">
        <v>1279</v>
      </c>
      <c r="M1384" s="13" t="s">
        <v>109</v>
      </c>
      <c r="N1384" s="27" t="n">
        <v>1814</v>
      </c>
      <c r="O1384" s="28" t="n">
        <v>155420</v>
      </c>
      <c r="P1384" s="27" t="n">
        <v>1814</v>
      </c>
      <c r="Q1384" s="29" t="n">
        <v>1</v>
      </c>
      <c r="R1384" s="28" t="n">
        <v>55</v>
      </c>
      <c r="S1384" s="28" t="n">
        <v>175</v>
      </c>
      <c r="T1384" s="28" t="n">
        <v>85.68</v>
      </c>
      <c r="U1384" s="13" t="n">
        <f aca="false">IFERROR(YEAR(A1384),"")</f>
        <v>2017</v>
      </c>
      <c r="V1384" s="28" t="n">
        <f aca="false">IFERROR(O1384*B1384,0)</f>
        <v>155420</v>
      </c>
      <c r="W1384" s="27" t="n">
        <f aca="false">IFERROR(N1384*B1384,0)</f>
        <v>1814</v>
      </c>
      <c r="X1384" s="13" t="n">
        <f aca="false">IF(OR(ISNUMBER(SEARCH("live nation",L1384)),ISNUMBER(SEARCH("ocesa",L1384))),1,0)</f>
        <v>0</v>
      </c>
      <c r="Y1384" s="13" t="s">
        <v>49</v>
      </c>
    </row>
    <row r="1385" customFormat="false" ht="15" hidden="false" customHeight="false" outlineLevel="0" collapsed="false">
      <c r="A1385" s="30" t="n">
        <v>42987</v>
      </c>
      <c r="B1385" s="11" t="n">
        <v>1</v>
      </c>
      <c r="C1385" s="31" t="s">
        <v>1436</v>
      </c>
      <c r="D1385" s="31"/>
      <c r="E1385" s="11" t="s">
        <v>1146</v>
      </c>
      <c r="F1385" s="11" t="s">
        <v>1364</v>
      </c>
      <c r="G1385" s="11"/>
      <c r="H1385" s="11" t="s">
        <v>22</v>
      </c>
      <c r="I1385" s="11"/>
      <c r="J1385" s="11" t="s">
        <v>97</v>
      </c>
      <c r="K1385" s="11" t="s">
        <v>406</v>
      </c>
      <c r="L1385" s="11" t="s">
        <v>1437</v>
      </c>
      <c r="M1385" s="11" t="s">
        <v>100</v>
      </c>
      <c r="N1385" s="32" t="n">
        <v>7070</v>
      </c>
      <c r="O1385" s="33" t="n">
        <v>896612.45</v>
      </c>
      <c r="P1385" s="32" t="n">
        <v>9266</v>
      </c>
      <c r="Q1385" s="34" t="n">
        <v>0.76</v>
      </c>
      <c r="R1385" s="33" t="n">
        <v>57.62</v>
      </c>
      <c r="S1385" s="33" t="n">
        <v>194.09</v>
      </c>
      <c r="T1385" s="33" t="n">
        <v>126.82</v>
      </c>
      <c r="U1385" s="11" t="n">
        <f aca="false">IFERROR(YEAR(A1385),"")</f>
        <v>2017</v>
      </c>
      <c r="V1385" s="33" t="n">
        <f aca="false">IFERROR(O1385*B1385,0)</f>
        <v>896612.45</v>
      </c>
      <c r="W1385" s="32" t="n">
        <f aca="false">IFERROR(N1385*B1385,0)</f>
        <v>7070</v>
      </c>
      <c r="X1385" s="11" t="n">
        <f aca="false">IF(OR(ISNUMBER(SEARCH("live nation",L1385)),ISNUMBER(SEARCH("ocesa",L1385))),1,0)</f>
        <v>0</v>
      </c>
      <c r="Y1385" s="11" t="s">
        <v>50</v>
      </c>
    </row>
    <row r="1386" customFormat="false" ht="15" hidden="false" customHeight="false" outlineLevel="0" collapsed="false">
      <c r="A1386" s="25" t="n">
        <v>42984</v>
      </c>
      <c r="B1386" s="13" t="n">
        <v>1</v>
      </c>
      <c r="C1386" s="26" t="s">
        <v>1438</v>
      </c>
      <c r="D1386" s="26"/>
      <c r="E1386" s="13" t="s">
        <v>617</v>
      </c>
      <c r="F1386" s="13" t="s">
        <v>346</v>
      </c>
      <c r="G1386" s="13" t="s">
        <v>347</v>
      </c>
      <c r="H1386" s="13" t="s">
        <v>20</v>
      </c>
      <c r="I1386" s="13" t="s">
        <v>346</v>
      </c>
      <c r="J1386" s="13" t="s">
        <v>121</v>
      </c>
      <c r="K1386" s="13" t="s">
        <v>107</v>
      </c>
      <c r="L1386" s="13" t="s">
        <v>1439</v>
      </c>
      <c r="M1386" s="13" t="s">
        <v>251</v>
      </c>
      <c r="N1386" s="27" t="n">
        <v>1557</v>
      </c>
      <c r="O1386" s="28" t="n">
        <v>292883.37</v>
      </c>
      <c r="P1386" s="27" t="n">
        <v>2284</v>
      </c>
      <c r="Q1386" s="29" t="n">
        <v>0.68</v>
      </c>
      <c r="R1386" s="28" t="n">
        <v>104.94</v>
      </c>
      <c r="S1386" s="28" t="n">
        <v>338.14</v>
      </c>
      <c r="T1386" s="28" t="n">
        <v>188.11</v>
      </c>
      <c r="U1386" s="13" t="n">
        <f aca="false">IFERROR(YEAR(A1386),"")</f>
        <v>2017</v>
      </c>
      <c r="V1386" s="28" t="n">
        <f aca="false">IFERROR(O1386*B1386,0)</f>
        <v>292883.37</v>
      </c>
      <c r="W1386" s="27" t="n">
        <f aca="false">IFERROR(N1386*B1386,0)</f>
        <v>1557</v>
      </c>
      <c r="X1386" s="13" t="n">
        <f aca="false">IF(OR(ISNUMBER(SEARCH("live nation",L1386)),ISNUMBER(SEARCH("ocesa",L1386))),1,0)</f>
        <v>0</v>
      </c>
      <c r="Y1386" s="13" t="s">
        <v>49</v>
      </c>
    </row>
    <row r="1387" customFormat="false" ht="15" hidden="false" customHeight="false" outlineLevel="0" collapsed="false">
      <c r="A1387" s="30" t="n">
        <v>42981</v>
      </c>
      <c r="B1387" s="11" t="n">
        <v>1</v>
      </c>
      <c r="C1387" s="31" t="s">
        <v>1438</v>
      </c>
      <c r="D1387" s="31"/>
      <c r="E1387" s="11" t="s">
        <v>1440</v>
      </c>
      <c r="F1387" s="11" t="s">
        <v>209</v>
      </c>
      <c r="G1387" s="11" t="s">
        <v>208</v>
      </c>
      <c r="H1387" s="11" t="s">
        <v>20</v>
      </c>
      <c r="I1387" s="11" t="s">
        <v>209</v>
      </c>
      <c r="J1387" s="11" t="s">
        <v>121</v>
      </c>
      <c r="K1387" s="11" t="s">
        <v>107</v>
      </c>
      <c r="L1387" s="11" t="s">
        <v>1441</v>
      </c>
      <c r="M1387" s="11" t="s">
        <v>251</v>
      </c>
      <c r="N1387" s="32" t="n">
        <v>1756</v>
      </c>
      <c r="O1387" s="33" t="n">
        <v>303250</v>
      </c>
      <c r="P1387" s="32" t="n">
        <v>4873</v>
      </c>
      <c r="Q1387" s="34" t="n">
        <v>0.36</v>
      </c>
      <c r="R1387" s="33" t="n">
        <v>150</v>
      </c>
      <c r="S1387" s="33" t="n">
        <v>200</v>
      </c>
      <c r="T1387" s="33" t="n">
        <v>172.69</v>
      </c>
      <c r="U1387" s="11" t="n">
        <f aca="false">IFERROR(YEAR(A1387),"")</f>
        <v>2017</v>
      </c>
      <c r="V1387" s="33" t="n">
        <f aca="false">IFERROR(O1387*B1387,0)</f>
        <v>303250</v>
      </c>
      <c r="W1387" s="32" t="n">
        <f aca="false">IFERROR(N1387*B1387,0)</f>
        <v>1756</v>
      </c>
      <c r="X1387" s="11" t="n">
        <f aca="false">IF(OR(ISNUMBER(SEARCH("live nation",L1387)),ISNUMBER(SEARCH("ocesa",L1387))),1,0)</f>
        <v>1</v>
      </c>
      <c r="Y1387" s="11" t="s">
        <v>49</v>
      </c>
    </row>
    <row r="1388" customFormat="false" ht="15" hidden="false" customHeight="false" outlineLevel="0" collapsed="false">
      <c r="A1388" s="25" t="n">
        <v>42980</v>
      </c>
      <c r="B1388" s="13" t="n">
        <v>1</v>
      </c>
      <c r="C1388" s="26" t="s">
        <v>1442</v>
      </c>
      <c r="D1388" s="26"/>
      <c r="E1388" s="13" t="s">
        <v>1360</v>
      </c>
      <c r="F1388" s="13" t="s">
        <v>96</v>
      </c>
      <c r="G1388" s="13"/>
      <c r="H1388" s="13" t="s">
        <v>28</v>
      </c>
      <c r="I1388" s="13"/>
      <c r="J1388" s="13" t="s">
        <v>121</v>
      </c>
      <c r="K1388" s="13" t="s">
        <v>98</v>
      </c>
      <c r="L1388" s="13" t="s">
        <v>1443</v>
      </c>
      <c r="M1388" s="13" t="s">
        <v>100</v>
      </c>
      <c r="N1388" s="27" t="n">
        <v>1536</v>
      </c>
      <c r="O1388" s="28" t="n">
        <v>160037</v>
      </c>
      <c r="P1388" s="27" t="n">
        <v>1770</v>
      </c>
      <c r="Q1388" s="29" t="n">
        <v>0.86</v>
      </c>
      <c r="R1388" s="28" t="n">
        <v>70.43</v>
      </c>
      <c r="S1388" s="28" t="n">
        <v>292</v>
      </c>
      <c r="T1388" s="28" t="n">
        <v>104.19</v>
      </c>
      <c r="U1388" s="13" t="n">
        <f aca="false">IFERROR(YEAR(A1388),"")</f>
        <v>2017</v>
      </c>
      <c r="V1388" s="28" t="n">
        <f aca="false">IFERROR(O1388*B1388,0)</f>
        <v>160037</v>
      </c>
      <c r="W1388" s="27" t="n">
        <f aca="false">IFERROR(N1388*B1388,0)</f>
        <v>1536</v>
      </c>
      <c r="X1388" s="13" t="n">
        <f aca="false">IF(OR(ISNUMBER(SEARCH("live nation",L1388)),ISNUMBER(SEARCH("ocesa",L1388))),1,0)</f>
        <v>0</v>
      </c>
      <c r="Y1388" s="13" t="s">
        <v>49</v>
      </c>
    </row>
    <row r="1389" customFormat="false" ht="15" hidden="false" customHeight="false" outlineLevel="0" collapsed="false">
      <c r="A1389" s="30" t="n">
        <v>42979</v>
      </c>
      <c r="B1389" s="11" t="n">
        <v>1</v>
      </c>
      <c r="C1389" s="31" t="s">
        <v>1438</v>
      </c>
      <c r="D1389" s="31"/>
      <c r="E1389" s="11" t="s">
        <v>1120</v>
      </c>
      <c r="F1389" s="11" t="s">
        <v>139</v>
      </c>
      <c r="G1389" s="11" t="s">
        <v>139</v>
      </c>
      <c r="H1389" s="11" t="s">
        <v>20</v>
      </c>
      <c r="I1389" s="11" t="s">
        <v>139</v>
      </c>
      <c r="J1389" s="11" t="s">
        <v>121</v>
      </c>
      <c r="K1389" s="11" t="s">
        <v>107</v>
      </c>
      <c r="L1389" s="11" t="s">
        <v>1439</v>
      </c>
      <c r="M1389" s="11" t="s">
        <v>251</v>
      </c>
      <c r="N1389" s="32" t="n">
        <v>3509</v>
      </c>
      <c r="O1389" s="33" t="n">
        <v>539949.25</v>
      </c>
      <c r="P1389" s="32" t="n">
        <v>5322</v>
      </c>
      <c r="Q1389" s="34" t="n">
        <v>0.65</v>
      </c>
      <c r="R1389" s="33" t="n">
        <v>75</v>
      </c>
      <c r="S1389" s="33" t="n">
        <v>319</v>
      </c>
      <c r="T1389" s="33" t="n">
        <v>153.88</v>
      </c>
      <c r="U1389" s="11" t="n">
        <f aca="false">IFERROR(YEAR(A1389),"")</f>
        <v>2017</v>
      </c>
      <c r="V1389" s="33" t="n">
        <f aca="false">IFERROR(O1389*B1389,0)</f>
        <v>539949.25</v>
      </c>
      <c r="W1389" s="32" t="n">
        <f aca="false">IFERROR(N1389*B1389,0)</f>
        <v>3509</v>
      </c>
      <c r="X1389" s="11" t="n">
        <f aca="false">IF(OR(ISNUMBER(SEARCH("live nation",L1389)),ISNUMBER(SEARCH("ocesa",L1389))),1,0)</f>
        <v>0</v>
      </c>
      <c r="Y1389" s="11" t="s">
        <v>49</v>
      </c>
    </row>
    <row r="1390" customFormat="false" ht="15" hidden="false" customHeight="false" outlineLevel="0" collapsed="false">
      <c r="A1390" s="25" t="n">
        <v>42973</v>
      </c>
      <c r="B1390" s="13" t="n">
        <v>1</v>
      </c>
      <c r="C1390" s="26" t="s">
        <v>1444</v>
      </c>
      <c r="D1390" s="26"/>
      <c r="E1390" s="13" t="s">
        <v>1146</v>
      </c>
      <c r="F1390" s="13" t="s">
        <v>1364</v>
      </c>
      <c r="G1390" s="13"/>
      <c r="H1390" s="13" t="s">
        <v>22</v>
      </c>
      <c r="I1390" s="13"/>
      <c r="J1390" s="13" t="s">
        <v>97</v>
      </c>
      <c r="K1390" s="13" t="s">
        <v>406</v>
      </c>
      <c r="L1390" s="13" t="s">
        <v>1445</v>
      </c>
      <c r="M1390" s="13" t="s">
        <v>100</v>
      </c>
      <c r="N1390" s="27" t="n">
        <v>10001</v>
      </c>
      <c r="O1390" s="28" t="n">
        <v>909121.7</v>
      </c>
      <c r="P1390" s="27" t="n">
        <v>10092</v>
      </c>
      <c r="Q1390" s="29" t="n">
        <v>0.99</v>
      </c>
      <c r="R1390" s="28" t="n">
        <v>56.5</v>
      </c>
      <c r="S1390" s="28" t="n">
        <v>145.71</v>
      </c>
      <c r="T1390" s="28" t="n">
        <v>90.9</v>
      </c>
      <c r="U1390" s="13" t="n">
        <f aca="false">IFERROR(YEAR(A1390),"")</f>
        <v>2017</v>
      </c>
      <c r="V1390" s="28" t="n">
        <f aca="false">IFERROR(O1390*B1390,0)</f>
        <v>909121.7</v>
      </c>
      <c r="W1390" s="27" t="n">
        <f aca="false">IFERROR(N1390*B1390,0)</f>
        <v>10001</v>
      </c>
      <c r="X1390" s="13" t="n">
        <f aca="false">IF(OR(ISNUMBER(SEARCH("live nation",L1390)),ISNUMBER(SEARCH("ocesa",L1390))),1,0)</f>
        <v>0</v>
      </c>
      <c r="Y1390" s="13" t="s">
        <v>50</v>
      </c>
    </row>
    <row r="1391" customFormat="false" ht="15" hidden="false" customHeight="false" outlineLevel="0" collapsed="false">
      <c r="A1391" s="30" t="n">
        <v>42966</v>
      </c>
      <c r="B1391" s="11" t="n">
        <v>1</v>
      </c>
      <c r="C1391" s="31" t="s">
        <v>1446</v>
      </c>
      <c r="D1391" s="31"/>
      <c r="E1391" s="11" t="s">
        <v>1146</v>
      </c>
      <c r="F1391" s="11" t="s">
        <v>1364</v>
      </c>
      <c r="G1391" s="11"/>
      <c r="H1391" s="11" t="s">
        <v>22</v>
      </c>
      <c r="I1391" s="11"/>
      <c r="J1391" s="11" t="s">
        <v>97</v>
      </c>
      <c r="K1391" s="11" t="s">
        <v>406</v>
      </c>
      <c r="L1391" s="11" t="s">
        <v>1447</v>
      </c>
      <c r="M1391" s="11" t="s">
        <v>100</v>
      </c>
      <c r="N1391" s="32" t="n">
        <v>11290</v>
      </c>
      <c r="O1391" s="33" t="n">
        <v>1034747.38</v>
      </c>
      <c r="P1391" s="32" t="n">
        <v>11290</v>
      </c>
      <c r="Q1391" s="34" t="n">
        <v>1</v>
      </c>
      <c r="R1391" s="33" t="n">
        <v>56.5</v>
      </c>
      <c r="S1391" s="33" t="n">
        <v>190.31</v>
      </c>
      <c r="T1391" s="33" t="n">
        <v>91.65</v>
      </c>
      <c r="U1391" s="11" t="n">
        <f aca="false">IFERROR(YEAR(A1391),"")</f>
        <v>2017</v>
      </c>
      <c r="V1391" s="33" t="n">
        <f aca="false">IFERROR(O1391*B1391,0)</f>
        <v>1034747.38</v>
      </c>
      <c r="W1391" s="32" t="n">
        <f aca="false">IFERROR(N1391*B1391,0)</f>
        <v>11290</v>
      </c>
      <c r="X1391" s="11" t="n">
        <f aca="false">IF(OR(ISNUMBER(SEARCH("live nation",L1391)),ISNUMBER(SEARCH("ocesa",L1391))),1,0)</f>
        <v>0</v>
      </c>
      <c r="Y1391" s="11" t="s">
        <v>50</v>
      </c>
    </row>
    <row r="1392" customFormat="false" ht="15" hidden="false" customHeight="false" outlineLevel="0" collapsed="false">
      <c r="A1392" s="25" t="n">
        <v>42966</v>
      </c>
      <c r="B1392" s="13" t="n">
        <v>2</v>
      </c>
      <c r="C1392" s="26" t="s">
        <v>968</v>
      </c>
      <c r="D1392" s="26" t="s">
        <v>1448</v>
      </c>
      <c r="E1392" s="13" t="s">
        <v>1316</v>
      </c>
      <c r="F1392" s="13" t="s">
        <v>203</v>
      </c>
      <c r="G1392" s="13" t="s">
        <v>202</v>
      </c>
      <c r="H1392" s="13" t="s">
        <v>20</v>
      </c>
      <c r="I1392" s="13" t="s">
        <v>203</v>
      </c>
      <c r="J1392" s="13" t="s">
        <v>97</v>
      </c>
      <c r="K1392" s="13" t="s">
        <v>107</v>
      </c>
      <c r="L1392" s="13" t="s">
        <v>1368</v>
      </c>
      <c r="M1392" s="13" t="s">
        <v>100</v>
      </c>
      <c r="N1392" s="27" t="n">
        <v>11903</v>
      </c>
      <c r="O1392" s="28" t="n">
        <v>1271220</v>
      </c>
      <c r="P1392" s="27" t="n">
        <v>11903</v>
      </c>
      <c r="Q1392" s="29" t="n">
        <v>1</v>
      </c>
      <c r="R1392" s="28" t="n">
        <v>50</v>
      </c>
      <c r="S1392" s="28" t="n">
        <v>260</v>
      </c>
      <c r="T1392" s="28" t="n">
        <v>106.8</v>
      </c>
      <c r="U1392" s="13" t="n">
        <f aca="false">IFERROR(YEAR(A1392),"")</f>
        <v>2017</v>
      </c>
      <c r="V1392" s="28" t="n">
        <f aca="false">IFERROR(O1392*B1392,0)</f>
        <v>2542440</v>
      </c>
      <c r="W1392" s="27" t="n">
        <f aca="false">IFERROR(N1392*B1392,0)</f>
        <v>23806</v>
      </c>
      <c r="X1392" s="13" t="n">
        <f aca="false">IF(OR(ISNUMBER(SEARCH("live nation",L1392)),ISNUMBER(SEARCH("ocesa",L1392))),1,0)</f>
        <v>0</v>
      </c>
      <c r="Y1392" s="13" t="s">
        <v>49</v>
      </c>
    </row>
    <row r="1393" customFormat="false" ht="15" hidden="false" customHeight="false" outlineLevel="0" collapsed="false">
      <c r="A1393" s="30" t="n">
        <v>42965</v>
      </c>
      <c r="B1393" s="11" t="n">
        <v>1</v>
      </c>
      <c r="C1393" s="31" t="s">
        <v>62</v>
      </c>
      <c r="D1393" s="31"/>
      <c r="E1393" s="11" t="s">
        <v>487</v>
      </c>
      <c r="F1393" s="11" t="s">
        <v>207</v>
      </c>
      <c r="G1393" s="11" t="s">
        <v>208</v>
      </c>
      <c r="H1393" s="11" t="s">
        <v>20</v>
      </c>
      <c r="I1393" s="11" t="s">
        <v>209</v>
      </c>
      <c r="J1393" s="11" t="s">
        <v>121</v>
      </c>
      <c r="K1393" s="11" t="s">
        <v>107</v>
      </c>
      <c r="L1393" s="11" t="s">
        <v>788</v>
      </c>
      <c r="M1393" s="11" t="s">
        <v>100</v>
      </c>
      <c r="N1393" s="32" t="n">
        <v>3866</v>
      </c>
      <c r="O1393" s="33" t="n">
        <v>440116.5</v>
      </c>
      <c r="P1393" s="32" t="n">
        <v>4200</v>
      </c>
      <c r="Q1393" s="34" t="n">
        <v>0.92</v>
      </c>
      <c r="R1393" s="33" t="n">
        <v>65</v>
      </c>
      <c r="S1393" s="33" t="n">
        <v>215</v>
      </c>
      <c r="T1393" s="33" t="n">
        <v>113.84</v>
      </c>
      <c r="U1393" s="11" t="n">
        <f aca="false">IFERROR(YEAR(A1393),"")</f>
        <v>2017</v>
      </c>
      <c r="V1393" s="33" t="n">
        <f aca="false">IFERROR(O1393*B1393,0)</f>
        <v>440116.5</v>
      </c>
      <c r="W1393" s="32" t="n">
        <f aca="false">IFERROR(N1393*B1393,0)</f>
        <v>3866</v>
      </c>
      <c r="X1393" s="11" t="n">
        <f aca="false">IF(OR(ISNUMBER(SEARCH("live nation",L1393)),ISNUMBER(SEARCH("ocesa",L1393))),1,0)</f>
        <v>0</v>
      </c>
      <c r="Y1393" s="11" t="s">
        <v>49</v>
      </c>
    </row>
    <row r="1394" customFormat="false" ht="15" hidden="false" customHeight="false" outlineLevel="0" collapsed="false">
      <c r="A1394" s="25" t="n">
        <v>42959</v>
      </c>
      <c r="B1394" s="13" t="n">
        <v>1</v>
      </c>
      <c r="C1394" s="26" t="s">
        <v>1449</v>
      </c>
      <c r="D1394" s="26"/>
      <c r="E1394" s="13" t="s">
        <v>1146</v>
      </c>
      <c r="F1394" s="13" t="s">
        <v>1364</v>
      </c>
      <c r="G1394" s="13"/>
      <c r="H1394" s="13" t="s">
        <v>22</v>
      </c>
      <c r="I1394" s="13"/>
      <c r="J1394" s="13" t="s">
        <v>97</v>
      </c>
      <c r="K1394" s="13" t="s">
        <v>406</v>
      </c>
      <c r="L1394" s="13" t="s">
        <v>1450</v>
      </c>
      <c r="M1394" s="13" t="s">
        <v>100</v>
      </c>
      <c r="N1394" s="27" t="n">
        <v>8870</v>
      </c>
      <c r="O1394" s="28" t="n">
        <v>707092.34</v>
      </c>
      <c r="P1394" s="27" t="n">
        <v>9968</v>
      </c>
      <c r="Q1394" s="29" t="n">
        <v>0.88</v>
      </c>
      <c r="R1394" s="28" t="n">
        <v>56.5</v>
      </c>
      <c r="S1394" s="28" t="n">
        <v>190.31</v>
      </c>
      <c r="T1394" s="28" t="n">
        <v>79.72</v>
      </c>
      <c r="U1394" s="13" t="n">
        <f aca="false">IFERROR(YEAR(A1394),"")</f>
        <v>2017</v>
      </c>
      <c r="V1394" s="28" t="n">
        <f aca="false">IFERROR(O1394*B1394,0)</f>
        <v>707092.34</v>
      </c>
      <c r="W1394" s="27" t="n">
        <f aca="false">IFERROR(N1394*B1394,0)</f>
        <v>8870</v>
      </c>
      <c r="X1394" s="13" t="n">
        <f aca="false">IF(OR(ISNUMBER(SEARCH("live nation",L1394)),ISNUMBER(SEARCH("ocesa",L1394))),1,0)</f>
        <v>0</v>
      </c>
      <c r="Y1394" s="13" t="s">
        <v>50</v>
      </c>
    </row>
    <row r="1395" customFormat="false" ht="15" hidden="false" customHeight="false" outlineLevel="0" collapsed="false">
      <c r="A1395" s="30" t="n">
        <v>42959</v>
      </c>
      <c r="B1395" s="11" t="n">
        <v>1</v>
      </c>
      <c r="C1395" s="31" t="s">
        <v>1451</v>
      </c>
      <c r="D1395" s="31"/>
      <c r="E1395" s="11" t="s">
        <v>1168</v>
      </c>
      <c r="F1395" s="11" t="s">
        <v>1169</v>
      </c>
      <c r="G1395" s="11" t="s">
        <v>221</v>
      </c>
      <c r="H1395" s="11" t="s">
        <v>20</v>
      </c>
      <c r="I1395" s="11" t="s">
        <v>139</v>
      </c>
      <c r="J1395" s="11" t="s">
        <v>121</v>
      </c>
      <c r="K1395" s="11" t="s">
        <v>107</v>
      </c>
      <c r="L1395" s="11" t="s">
        <v>122</v>
      </c>
      <c r="M1395" s="11" t="s">
        <v>100</v>
      </c>
      <c r="N1395" s="32" t="n">
        <v>120</v>
      </c>
      <c r="O1395" s="33" t="n">
        <v>2752.5</v>
      </c>
      <c r="P1395" s="32" t="n">
        <v>1366</v>
      </c>
      <c r="Q1395" s="34" t="n">
        <v>0.08</v>
      </c>
      <c r="R1395" s="33" t="n">
        <v>15</v>
      </c>
      <c r="S1395" s="33" t="n">
        <v>149</v>
      </c>
      <c r="T1395" s="33" t="n">
        <v>22.94</v>
      </c>
      <c r="U1395" s="11" t="n">
        <f aca="false">IFERROR(YEAR(A1395),"")</f>
        <v>2017</v>
      </c>
      <c r="V1395" s="33" t="n">
        <f aca="false">IFERROR(O1395*B1395,0)</f>
        <v>2752.5</v>
      </c>
      <c r="W1395" s="32" t="n">
        <f aca="false">IFERROR(N1395*B1395,0)</f>
        <v>120</v>
      </c>
      <c r="X1395" s="11" t="n">
        <f aca="false">IF(OR(ISNUMBER(SEARCH("live nation",L1395)),ISNUMBER(SEARCH("ocesa",L1395))),1,0)</f>
        <v>0</v>
      </c>
      <c r="Y1395" s="11" t="s">
        <v>49</v>
      </c>
    </row>
    <row r="1396" customFormat="false" ht="15" hidden="false" customHeight="false" outlineLevel="0" collapsed="false">
      <c r="A1396" s="25" t="n">
        <v>42958</v>
      </c>
      <c r="B1396" s="13" t="n">
        <v>1</v>
      </c>
      <c r="C1396" s="26" t="s">
        <v>1260</v>
      </c>
      <c r="D1396" s="26"/>
      <c r="E1396" s="13" t="s">
        <v>658</v>
      </c>
      <c r="F1396" s="13" t="s">
        <v>349</v>
      </c>
      <c r="G1396" s="13"/>
      <c r="H1396" s="13" t="s">
        <v>350</v>
      </c>
      <c r="I1396" s="13"/>
      <c r="J1396" s="13" t="s">
        <v>121</v>
      </c>
      <c r="K1396" s="13" t="s">
        <v>173</v>
      </c>
      <c r="L1396" s="13" t="s">
        <v>788</v>
      </c>
      <c r="M1396" s="13" t="s">
        <v>251</v>
      </c>
      <c r="N1396" s="27" t="n">
        <v>3152</v>
      </c>
      <c r="O1396" s="28" t="n">
        <v>174346.23</v>
      </c>
      <c r="P1396" s="27" t="n">
        <v>3549</v>
      </c>
      <c r="Q1396" s="29" t="n">
        <v>0.88</v>
      </c>
      <c r="R1396" s="28" t="n">
        <v>55.31</v>
      </c>
      <c r="S1396" s="28" t="n">
        <v>150.64</v>
      </c>
      <c r="T1396" s="28" t="n">
        <v>55.31</v>
      </c>
      <c r="U1396" s="13" t="n">
        <f aca="false">IFERROR(YEAR(A1396),"")</f>
        <v>2017</v>
      </c>
      <c r="V1396" s="28" t="n">
        <f aca="false">IFERROR(O1396*B1396,0)</f>
        <v>174346.23</v>
      </c>
      <c r="W1396" s="27" t="n">
        <f aca="false">IFERROR(N1396*B1396,0)</f>
        <v>3152</v>
      </c>
      <c r="X1396" s="13" t="n">
        <f aca="false">IF(OR(ISNUMBER(SEARCH("live nation",L1396)),ISNUMBER(SEARCH("ocesa",L1396))),1,0)</f>
        <v>0</v>
      </c>
      <c r="Y1396" s="13" t="s">
        <v>49</v>
      </c>
    </row>
    <row r="1397" customFormat="false" ht="15" hidden="false" customHeight="false" outlineLevel="0" collapsed="false">
      <c r="A1397" s="30" t="n">
        <v>42956</v>
      </c>
      <c r="B1397" s="11" t="n">
        <v>1</v>
      </c>
      <c r="C1397" s="31" t="s">
        <v>1348</v>
      </c>
      <c r="D1397" s="31"/>
      <c r="E1397" s="11" t="s">
        <v>1452</v>
      </c>
      <c r="F1397" s="11" t="s">
        <v>139</v>
      </c>
      <c r="G1397" s="11" t="s">
        <v>139</v>
      </c>
      <c r="H1397" s="11" t="s">
        <v>20</v>
      </c>
      <c r="I1397" s="11" t="s">
        <v>139</v>
      </c>
      <c r="J1397" s="11" t="s">
        <v>106</v>
      </c>
      <c r="K1397" s="11" t="s">
        <v>107</v>
      </c>
      <c r="L1397" s="11" t="s">
        <v>122</v>
      </c>
      <c r="M1397" s="11" t="s">
        <v>100</v>
      </c>
      <c r="N1397" s="32" t="n">
        <v>59</v>
      </c>
      <c r="O1397" s="33" t="n">
        <v>1180</v>
      </c>
      <c r="P1397" s="32" t="n">
        <v>120</v>
      </c>
      <c r="Q1397" s="34" t="n">
        <v>0.49</v>
      </c>
      <c r="R1397" s="33" t="n">
        <v>20</v>
      </c>
      <c r="S1397" s="33" t="n">
        <v>0</v>
      </c>
      <c r="T1397" s="33" t="n">
        <v>20</v>
      </c>
      <c r="U1397" s="11" t="n">
        <f aca="false">IFERROR(YEAR(A1397),"")</f>
        <v>2017</v>
      </c>
      <c r="V1397" s="33" t="n">
        <f aca="false">IFERROR(O1397*B1397,0)</f>
        <v>1180</v>
      </c>
      <c r="W1397" s="32" t="n">
        <f aca="false">IFERROR(N1397*B1397,0)</f>
        <v>59</v>
      </c>
      <c r="X1397" s="11" t="n">
        <f aca="false">IF(OR(ISNUMBER(SEARCH("live nation",L1397)),ISNUMBER(SEARCH("ocesa",L1397))),1,0)</f>
        <v>0</v>
      </c>
      <c r="Y1397" s="11" t="s">
        <v>49</v>
      </c>
    </row>
    <row r="1398" customFormat="false" ht="15" hidden="false" customHeight="false" outlineLevel="0" collapsed="false">
      <c r="A1398" s="25" t="n">
        <v>42955</v>
      </c>
      <c r="B1398" s="13" t="n">
        <v>1</v>
      </c>
      <c r="C1398" s="26" t="s">
        <v>528</v>
      </c>
      <c r="D1398" s="26"/>
      <c r="E1398" s="13" t="s">
        <v>1453</v>
      </c>
      <c r="F1398" s="13" t="s">
        <v>1454</v>
      </c>
      <c r="G1398" s="13"/>
      <c r="H1398" s="13" t="s">
        <v>28</v>
      </c>
      <c r="I1398" s="13"/>
      <c r="J1398" s="13" t="s">
        <v>97</v>
      </c>
      <c r="K1398" s="13" t="s">
        <v>98</v>
      </c>
      <c r="L1398" s="13" t="s">
        <v>99</v>
      </c>
      <c r="M1398" s="13" t="s">
        <v>100</v>
      </c>
      <c r="N1398" s="27" t="n">
        <v>2103</v>
      </c>
      <c r="O1398" s="28" t="n">
        <v>404272.98</v>
      </c>
      <c r="P1398" s="27" t="n">
        <v>2351</v>
      </c>
      <c r="Q1398" s="29" t="n">
        <v>0.89</v>
      </c>
      <c r="R1398" s="28" t="n">
        <v>125.41</v>
      </c>
      <c r="S1398" s="28" t="n">
        <v>409.92</v>
      </c>
      <c r="T1398" s="28" t="n">
        <v>192.24</v>
      </c>
      <c r="U1398" s="13" t="n">
        <f aca="false">IFERROR(YEAR(A1398),"")</f>
        <v>2017</v>
      </c>
      <c r="V1398" s="28" t="n">
        <f aca="false">IFERROR(O1398*B1398,0)</f>
        <v>404272.98</v>
      </c>
      <c r="W1398" s="27" t="n">
        <f aca="false">IFERROR(N1398*B1398,0)</f>
        <v>2103</v>
      </c>
      <c r="X1398" s="13" t="n">
        <f aca="false">IF(OR(ISNUMBER(SEARCH("live nation",L1398)),ISNUMBER(SEARCH("ocesa",L1398))),1,0)</f>
        <v>0</v>
      </c>
      <c r="Y1398" s="13" t="s">
        <v>49</v>
      </c>
    </row>
    <row r="1399" customFormat="false" ht="15" hidden="false" customHeight="false" outlineLevel="0" collapsed="false">
      <c r="A1399" s="30" t="n">
        <v>42955</v>
      </c>
      <c r="B1399" s="11" t="n">
        <v>1</v>
      </c>
      <c r="C1399" s="31" t="s">
        <v>1455</v>
      </c>
      <c r="D1399" s="31" t="s">
        <v>1456</v>
      </c>
      <c r="E1399" s="11" t="s">
        <v>1146</v>
      </c>
      <c r="F1399" s="11" t="s">
        <v>1364</v>
      </c>
      <c r="G1399" s="11"/>
      <c r="H1399" s="11" t="s">
        <v>22</v>
      </c>
      <c r="I1399" s="11"/>
      <c r="J1399" s="11" t="s">
        <v>97</v>
      </c>
      <c r="K1399" s="11" t="s">
        <v>406</v>
      </c>
      <c r="L1399" s="11" t="s">
        <v>1437</v>
      </c>
      <c r="M1399" s="11" t="s">
        <v>100</v>
      </c>
      <c r="N1399" s="32" t="n">
        <v>9600</v>
      </c>
      <c r="O1399" s="33" t="n">
        <v>1654629.98</v>
      </c>
      <c r="P1399" s="32" t="n">
        <v>10696</v>
      </c>
      <c r="Q1399" s="34" t="n">
        <v>0.89</v>
      </c>
      <c r="R1399" s="33" t="n">
        <v>101.1</v>
      </c>
      <c r="S1399" s="33" t="n">
        <v>249.78</v>
      </c>
      <c r="T1399" s="33" t="n">
        <v>172.36</v>
      </c>
      <c r="U1399" s="11" t="n">
        <f aca="false">IFERROR(YEAR(A1399),"")</f>
        <v>2017</v>
      </c>
      <c r="V1399" s="33" t="n">
        <f aca="false">IFERROR(O1399*B1399,0)</f>
        <v>1654629.98</v>
      </c>
      <c r="W1399" s="32" t="n">
        <f aca="false">IFERROR(N1399*B1399,0)</f>
        <v>9600</v>
      </c>
      <c r="X1399" s="11" t="n">
        <f aca="false">IF(OR(ISNUMBER(SEARCH("live nation",L1399)),ISNUMBER(SEARCH("ocesa",L1399))),1,0)</f>
        <v>0</v>
      </c>
      <c r="Y1399" s="11" t="s">
        <v>50</v>
      </c>
    </row>
    <row r="1400" customFormat="false" ht="15" hidden="false" customHeight="false" outlineLevel="0" collapsed="false">
      <c r="A1400" s="25" t="n">
        <v>42946</v>
      </c>
      <c r="B1400" s="13" t="n">
        <v>1</v>
      </c>
      <c r="C1400" s="26" t="s">
        <v>528</v>
      </c>
      <c r="D1400" s="26"/>
      <c r="E1400" s="13" t="s">
        <v>1412</v>
      </c>
      <c r="F1400" s="13" t="s">
        <v>550</v>
      </c>
      <c r="G1400" s="13" t="s">
        <v>328</v>
      </c>
      <c r="H1400" s="13" t="s">
        <v>128</v>
      </c>
      <c r="I1400" s="13"/>
      <c r="J1400" s="13" t="s">
        <v>97</v>
      </c>
      <c r="K1400" s="13" t="s">
        <v>129</v>
      </c>
      <c r="L1400" s="13" t="s">
        <v>177</v>
      </c>
      <c r="M1400" s="13" t="s">
        <v>100</v>
      </c>
      <c r="N1400" s="27" t="n">
        <v>9525</v>
      </c>
      <c r="O1400" s="28" t="n">
        <v>1033137.36</v>
      </c>
      <c r="P1400" s="27" t="n">
        <v>9525</v>
      </c>
      <c r="Q1400" s="29" t="n">
        <v>1</v>
      </c>
      <c r="R1400" s="28" t="n">
        <v>61.62</v>
      </c>
      <c r="S1400" s="28" t="n">
        <v>191.78</v>
      </c>
      <c r="T1400" s="28" t="n">
        <v>108.47</v>
      </c>
      <c r="U1400" s="13" t="n">
        <f aca="false">IFERROR(YEAR(A1400),"")</f>
        <v>2017</v>
      </c>
      <c r="V1400" s="28" t="n">
        <f aca="false">IFERROR(O1400*B1400,0)</f>
        <v>1033137.36</v>
      </c>
      <c r="W1400" s="27" t="n">
        <f aca="false">IFERROR(N1400*B1400,0)</f>
        <v>9525</v>
      </c>
      <c r="X1400" s="13" t="n">
        <f aca="false">IF(OR(ISNUMBER(SEARCH("live nation",L1400)),ISNUMBER(SEARCH("ocesa",L1400))),1,0)</f>
        <v>1</v>
      </c>
      <c r="Y1400" s="13" t="s">
        <v>49</v>
      </c>
    </row>
    <row r="1401" customFormat="false" ht="15" hidden="false" customHeight="false" outlineLevel="0" collapsed="false">
      <c r="A1401" s="30" t="n">
        <v>42945</v>
      </c>
      <c r="B1401" s="11" t="n">
        <v>1</v>
      </c>
      <c r="C1401" s="31" t="s">
        <v>1457</v>
      </c>
      <c r="D1401" s="31" t="s">
        <v>1458</v>
      </c>
      <c r="E1401" s="11" t="s">
        <v>1376</v>
      </c>
      <c r="F1401" s="11" t="s">
        <v>1364</v>
      </c>
      <c r="G1401" s="11"/>
      <c r="H1401" s="11" t="s">
        <v>22</v>
      </c>
      <c r="I1401" s="11"/>
      <c r="J1401" s="11" t="s">
        <v>106</v>
      </c>
      <c r="K1401" s="11" t="s">
        <v>406</v>
      </c>
      <c r="L1401" s="11" t="s">
        <v>1395</v>
      </c>
      <c r="M1401" s="11" t="s">
        <v>100</v>
      </c>
      <c r="N1401" s="32" t="n">
        <v>540</v>
      </c>
      <c r="O1401" s="33" t="n">
        <v>18935.28</v>
      </c>
      <c r="P1401" s="32" t="n">
        <v>600</v>
      </c>
      <c r="Q1401" s="34" t="n">
        <v>0.9</v>
      </c>
      <c r="R1401" s="33" t="n">
        <v>26.56</v>
      </c>
      <c r="S1401" s="33" t="n">
        <v>47.21</v>
      </c>
      <c r="T1401" s="33" t="n">
        <v>35.07</v>
      </c>
      <c r="U1401" s="11" t="n">
        <f aca="false">IFERROR(YEAR(A1401),"")</f>
        <v>2017</v>
      </c>
      <c r="V1401" s="33" t="n">
        <f aca="false">IFERROR(O1401*B1401,0)</f>
        <v>18935.28</v>
      </c>
      <c r="W1401" s="32" t="n">
        <f aca="false">IFERROR(N1401*B1401,0)</f>
        <v>540</v>
      </c>
      <c r="X1401" s="11" t="n">
        <f aca="false">IF(OR(ISNUMBER(SEARCH("live nation",L1401)),ISNUMBER(SEARCH("ocesa",L1401))),1,0)</f>
        <v>0</v>
      </c>
      <c r="Y1401" s="11" t="s">
        <v>50</v>
      </c>
    </row>
    <row r="1402" customFormat="false" ht="15" hidden="false" customHeight="false" outlineLevel="0" collapsed="false">
      <c r="A1402" s="25" t="n">
        <v>42943</v>
      </c>
      <c r="B1402" s="13" t="n">
        <v>1</v>
      </c>
      <c r="C1402" s="26" t="s">
        <v>528</v>
      </c>
      <c r="D1402" s="26"/>
      <c r="E1402" s="13" t="s">
        <v>196</v>
      </c>
      <c r="F1402" s="13" t="s">
        <v>197</v>
      </c>
      <c r="G1402" s="13" t="s">
        <v>139</v>
      </c>
      <c r="H1402" s="13" t="s">
        <v>20</v>
      </c>
      <c r="I1402" s="13" t="s">
        <v>139</v>
      </c>
      <c r="J1402" s="13" t="s">
        <v>97</v>
      </c>
      <c r="K1402" s="13" t="s">
        <v>107</v>
      </c>
      <c r="L1402" s="13" t="s">
        <v>177</v>
      </c>
      <c r="M1402" s="13" t="s">
        <v>100</v>
      </c>
      <c r="N1402" s="27" t="n">
        <v>7920</v>
      </c>
      <c r="O1402" s="28" t="n">
        <v>1332828.5</v>
      </c>
      <c r="P1402" s="27" t="n">
        <v>10606</v>
      </c>
      <c r="Q1402" s="29" t="n">
        <v>0.74</v>
      </c>
      <c r="R1402" s="28" t="n">
        <v>86</v>
      </c>
      <c r="S1402" s="28" t="n">
        <v>206</v>
      </c>
      <c r="T1402" s="28" t="n">
        <v>168.29</v>
      </c>
      <c r="U1402" s="13" t="n">
        <f aca="false">IFERROR(YEAR(A1402),"")</f>
        <v>2017</v>
      </c>
      <c r="V1402" s="28" t="n">
        <f aca="false">IFERROR(O1402*B1402,0)</f>
        <v>1332828.5</v>
      </c>
      <c r="W1402" s="27" t="n">
        <f aca="false">IFERROR(N1402*B1402,0)</f>
        <v>7920</v>
      </c>
      <c r="X1402" s="13" t="n">
        <f aca="false">IF(OR(ISNUMBER(SEARCH("live nation",L1402)),ISNUMBER(SEARCH("ocesa",L1402))),1,0)</f>
        <v>1</v>
      </c>
      <c r="Y1402" s="13" t="s">
        <v>49</v>
      </c>
    </row>
    <row r="1403" customFormat="false" ht="15" hidden="false" customHeight="false" outlineLevel="0" collapsed="false">
      <c r="A1403" s="30" t="n">
        <v>42941</v>
      </c>
      <c r="B1403" s="11" t="n">
        <v>1</v>
      </c>
      <c r="C1403" s="31" t="s">
        <v>528</v>
      </c>
      <c r="D1403" s="31"/>
      <c r="E1403" s="11" t="s">
        <v>1459</v>
      </c>
      <c r="F1403" s="11" t="s">
        <v>1020</v>
      </c>
      <c r="G1403" s="11" t="s">
        <v>167</v>
      </c>
      <c r="H1403" s="11" t="s">
        <v>20</v>
      </c>
      <c r="I1403" s="11" t="s">
        <v>471</v>
      </c>
      <c r="J1403" s="11" t="s">
        <v>97</v>
      </c>
      <c r="K1403" s="11" t="s">
        <v>107</v>
      </c>
      <c r="L1403" s="11" t="s">
        <v>177</v>
      </c>
      <c r="M1403" s="11" t="s">
        <v>100</v>
      </c>
      <c r="N1403" s="32" t="n">
        <v>4481</v>
      </c>
      <c r="O1403" s="33" t="n">
        <v>562097.2</v>
      </c>
      <c r="P1403" s="32" t="n">
        <v>12129</v>
      </c>
      <c r="Q1403" s="34" t="n">
        <v>0.36</v>
      </c>
      <c r="R1403" s="33" t="n">
        <v>65</v>
      </c>
      <c r="S1403" s="33" t="n">
        <v>219</v>
      </c>
      <c r="T1403" s="33" t="n">
        <v>125.44</v>
      </c>
      <c r="U1403" s="11" t="n">
        <f aca="false">IFERROR(YEAR(A1403),"")</f>
        <v>2017</v>
      </c>
      <c r="V1403" s="33" t="n">
        <f aca="false">IFERROR(O1403*B1403,0)</f>
        <v>562097.2</v>
      </c>
      <c r="W1403" s="32" t="n">
        <f aca="false">IFERROR(N1403*B1403,0)</f>
        <v>4481</v>
      </c>
      <c r="X1403" s="11" t="n">
        <f aca="false">IF(OR(ISNUMBER(SEARCH("live nation",L1403)),ISNUMBER(SEARCH("ocesa",L1403))),1,0)</f>
        <v>1</v>
      </c>
      <c r="Y1403" s="11" t="s">
        <v>49</v>
      </c>
    </row>
    <row r="1404" customFormat="false" ht="15" hidden="false" customHeight="false" outlineLevel="0" collapsed="false">
      <c r="A1404" s="25" t="n">
        <v>42937</v>
      </c>
      <c r="B1404" s="13" t="n">
        <v>1</v>
      </c>
      <c r="C1404" s="26" t="s">
        <v>528</v>
      </c>
      <c r="D1404" s="26"/>
      <c r="E1404" s="13" t="s">
        <v>592</v>
      </c>
      <c r="F1404" s="13" t="s">
        <v>209</v>
      </c>
      <c r="G1404" s="13" t="s">
        <v>208</v>
      </c>
      <c r="H1404" s="13" t="s">
        <v>20</v>
      </c>
      <c r="I1404" s="13" t="s">
        <v>209</v>
      </c>
      <c r="J1404" s="13" t="s">
        <v>97</v>
      </c>
      <c r="K1404" s="13" t="s">
        <v>107</v>
      </c>
      <c r="L1404" s="13" t="s">
        <v>177</v>
      </c>
      <c r="M1404" s="13" t="s">
        <v>100</v>
      </c>
      <c r="N1404" s="27" t="n">
        <v>7035</v>
      </c>
      <c r="O1404" s="28" t="n">
        <v>944142.72</v>
      </c>
      <c r="P1404" s="27" t="n">
        <v>10688</v>
      </c>
      <c r="Q1404" s="29" t="n">
        <v>0.65</v>
      </c>
      <c r="R1404" s="28" t="n">
        <v>86</v>
      </c>
      <c r="S1404" s="28" t="n">
        <v>208</v>
      </c>
      <c r="T1404" s="28" t="n">
        <v>134.21</v>
      </c>
      <c r="U1404" s="13" t="n">
        <f aca="false">IFERROR(YEAR(A1404),"")</f>
        <v>2017</v>
      </c>
      <c r="V1404" s="28" t="n">
        <f aca="false">IFERROR(O1404*B1404,0)</f>
        <v>944142.72</v>
      </c>
      <c r="W1404" s="27" t="n">
        <f aca="false">IFERROR(N1404*B1404,0)</f>
        <v>7035</v>
      </c>
      <c r="X1404" s="13" t="n">
        <f aca="false">IF(OR(ISNUMBER(SEARCH("live nation",L1404)),ISNUMBER(SEARCH("ocesa",L1404))),1,0)</f>
        <v>1</v>
      </c>
      <c r="Y1404" s="13" t="s">
        <v>49</v>
      </c>
    </row>
    <row r="1405" customFormat="false" ht="15" hidden="false" customHeight="false" outlineLevel="0" collapsed="false">
      <c r="A1405" s="30" t="n">
        <v>42937</v>
      </c>
      <c r="B1405" s="11" t="n">
        <v>3</v>
      </c>
      <c r="C1405" s="31" t="s">
        <v>1460</v>
      </c>
      <c r="D1405" s="31" t="s">
        <v>1461</v>
      </c>
      <c r="E1405" s="11" t="s">
        <v>1146</v>
      </c>
      <c r="F1405" s="11" t="s">
        <v>1364</v>
      </c>
      <c r="G1405" s="11"/>
      <c r="H1405" s="11" t="s">
        <v>22</v>
      </c>
      <c r="I1405" s="11"/>
      <c r="J1405" s="11" t="s">
        <v>97</v>
      </c>
      <c r="K1405" s="11" t="s">
        <v>406</v>
      </c>
      <c r="L1405" s="11" t="s">
        <v>1462</v>
      </c>
      <c r="M1405" s="11" t="s">
        <v>100</v>
      </c>
      <c r="N1405" s="32" t="n">
        <v>8256</v>
      </c>
      <c r="O1405" s="33" t="n">
        <v>931014.78</v>
      </c>
      <c r="P1405" s="32" t="n">
        <v>8716</v>
      </c>
      <c r="Q1405" s="34" t="n">
        <v>0.94</v>
      </c>
      <c r="R1405" s="33" t="n">
        <v>26.56</v>
      </c>
      <c r="S1405" s="33" t="n">
        <v>233.11</v>
      </c>
      <c r="T1405" s="33" t="n">
        <v>112.76</v>
      </c>
      <c r="U1405" s="11" t="n">
        <f aca="false">IFERROR(YEAR(A1405),"")</f>
        <v>2017</v>
      </c>
      <c r="V1405" s="33" t="n">
        <f aca="false">IFERROR(O1405*B1405,0)</f>
        <v>2793044.34</v>
      </c>
      <c r="W1405" s="32" t="n">
        <f aca="false">IFERROR(N1405*B1405,0)</f>
        <v>24768</v>
      </c>
      <c r="X1405" s="11" t="n">
        <f aca="false">IF(OR(ISNUMBER(SEARCH("live nation",L1405)),ISNUMBER(SEARCH("ocesa",L1405))),1,0)</f>
        <v>0</v>
      </c>
      <c r="Y1405" s="11" t="s">
        <v>50</v>
      </c>
    </row>
    <row r="1406" customFormat="false" ht="15" hidden="false" customHeight="false" outlineLevel="0" collapsed="false">
      <c r="A1406" s="25" t="n">
        <v>42935</v>
      </c>
      <c r="B1406" s="13" t="n">
        <v>1</v>
      </c>
      <c r="C1406" s="26" t="s">
        <v>528</v>
      </c>
      <c r="D1406" s="26"/>
      <c r="E1406" s="13" t="s">
        <v>585</v>
      </c>
      <c r="F1406" s="13" t="s">
        <v>586</v>
      </c>
      <c r="G1406" s="13" t="s">
        <v>143</v>
      </c>
      <c r="H1406" s="13" t="s">
        <v>20</v>
      </c>
      <c r="I1406" s="13" t="s">
        <v>586</v>
      </c>
      <c r="J1406" s="13" t="s">
        <v>97</v>
      </c>
      <c r="K1406" s="13" t="s">
        <v>107</v>
      </c>
      <c r="L1406" s="13" t="s">
        <v>1463</v>
      </c>
      <c r="M1406" s="13" t="s">
        <v>100</v>
      </c>
      <c r="N1406" s="27" t="n">
        <v>5598</v>
      </c>
      <c r="O1406" s="28" t="n">
        <v>729083.14</v>
      </c>
      <c r="P1406" s="27" t="n">
        <v>7796</v>
      </c>
      <c r="Q1406" s="29" t="n">
        <v>0.71</v>
      </c>
      <c r="R1406" s="28" t="n">
        <v>65.5</v>
      </c>
      <c r="S1406" s="28" t="n">
        <v>219</v>
      </c>
      <c r="T1406" s="28" t="n">
        <v>130.24</v>
      </c>
      <c r="U1406" s="13" t="n">
        <f aca="false">IFERROR(YEAR(A1406),"")</f>
        <v>2017</v>
      </c>
      <c r="V1406" s="28" t="n">
        <f aca="false">IFERROR(O1406*B1406,0)</f>
        <v>729083.14</v>
      </c>
      <c r="W1406" s="27" t="n">
        <f aca="false">IFERROR(N1406*B1406,0)</f>
        <v>5598</v>
      </c>
      <c r="X1406" s="13" t="n">
        <f aca="false">IF(OR(ISNUMBER(SEARCH("live nation",L1406)),ISNUMBER(SEARCH("ocesa",L1406))),1,0)</f>
        <v>1</v>
      </c>
      <c r="Y1406" s="13" t="s">
        <v>49</v>
      </c>
    </row>
    <row r="1407" customFormat="false" ht="15" hidden="false" customHeight="false" outlineLevel="0" collapsed="false">
      <c r="A1407" s="30" t="n">
        <v>42932</v>
      </c>
      <c r="B1407" s="11" t="n">
        <v>1</v>
      </c>
      <c r="C1407" s="31" t="s">
        <v>528</v>
      </c>
      <c r="D1407" s="31"/>
      <c r="E1407" s="11" t="s">
        <v>1269</v>
      </c>
      <c r="F1407" s="11" t="s">
        <v>201</v>
      </c>
      <c r="G1407" s="11" t="s">
        <v>202</v>
      </c>
      <c r="H1407" s="11" t="s">
        <v>20</v>
      </c>
      <c r="I1407" s="11" t="s">
        <v>203</v>
      </c>
      <c r="J1407" s="11" t="s">
        <v>97</v>
      </c>
      <c r="K1407" s="11" t="s">
        <v>107</v>
      </c>
      <c r="L1407" s="11" t="s">
        <v>177</v>
      </c>
      <c r="M1407" s="11" t="s">
        <v>100</v>
      </c>
      <c r="N1407" s="32" t="n">
        <v>9526</v>
      </c>
      <c r="O1407" s="33" t="n">
        <v>1297161</v>
      </c>
      <c r="P1407" s="32" t="n">
        <v>10957</v>
      </c>
      <c r="Q1407" s="34" t="n">
        <v>0.86</v>
      </c>
      <c r="R1407" s="33" t="n">
        <v>65.5</v>
      </c>
      <c r="S1407" s="33" t="n">
        <v>245</v>
      </c>
      <c r="T1407" s="33" t="n">
        <v>136.17</v>
      </c>
      <c r="U1407" s="11" t="n">
        <f aca="false">IFERROR(YEAR(A1407),"")</f>
        <v>2017</v>
      </c>
      <c r="V1407" s="33" t="n">
        <f aca="false">IFERROR(O1407*B1407,0)</f>
        <v>1297161</v>
      </c>
      <c r="W1407" s="32" t="n">
        <f aca="false">IFERROR(N1407*B1407,0)</f>
        <v>9526</v>
      </c>
      <c r="X1407" s="11" t="n">
        <f aca="false">IF(OR(ISNUMBER(SEARCH("live nation",L1407)),ISNUMBER(SEARCH("ocesa",L1407))),1,0)</f>
        <v>1</v>
      </c>
      <c r="Y1407" s="11" t="s">
        <v>49</v>
      </c>
    </row>
    <row r="1408" customFormat="false" ht="15" hidden="false" customHeight="false" outlineLevel="0" collapsed="false">
      <c r="A1408" s="25" t="n">
        <v>42932</v>
      </c>
      <c r="B1408" s="13" t="n">
        <v>1</v>
      </c>
      <c r="C1408" s="26" t="s">
        <v>1260</v>
      </c>
      <c r="D1408" s="26"/>
      <c r="E1408" s="13" t="s">
        <v>617</v>
      </c>
      <c r="F1408" s="13" t="s">
        <v>346</v>
      </c>
      <c r="G1408" s="13" t="s">
        <v>347</v>
      </c>
      <c r="H1408" s="13" t="s">
        <v>20</v>
      </c>
      <c r="I1408" s="13" t="s">
        <v>346</v>
      </c>
      <c r="J1408" s="13" t="s">
        <v>121</v>
      </c>
      <c r="K1408" s="13" t="s">
        <v>107</v>
      </c>
      <c r="L1408" s="13" t="s">
        <v>1363</v>
      </c>
      <c r="M1408" s="13" t="s">
        <v>251</v>
      </c>
      <c r="N1408" s="27" t="n">
        <v>2591</v>
      </c>
      <c r="O1408" s="28" t="n">
        <v>266980</v>
      </c>
      <c r="P1408" s="27" t="n">
        <v>2669</v>
      </c>
      <c r="Q1408" s="29" t="n">
        <v>0.97</v>
      </c>
      <c r="R1408" s="28" t="n">
        <v>50</v>
      </c>
      <c r="S1408" s="28" t="n">
        <v>195</v>
      </c>
      <c r="T1408" s="28" t="n">
        <v>103.04</v>
      </c>
      <c r="U1408" s="13" t="n">
        <f aca="false">IFERROR(YEAR(A1408),"")</f>
        <v>2017</v>
      </c>
      <c r="V1408" s="28" t="n">
        <f aca="false">IFERROR(O1408*B1408,0)</f>
        <v>266980</v>
      </c>
      <c r="W1408" s="27" t="n">
        <f aca="false">IFERROR(N1408*B1408,0)</f>
        <v>2591</v>
      </c>
      <c r="X1408" s="13" t="n">
        <f aca="false">IF(OR(ISNUMBER(SEARCH("live nation",L1408)),ISNUMBER(SEARCH("ocesa",L1408))),1,0)</f>
        <v>0</v>
      </c>
      <c r="Y1408" s="13" t="s">
        <v>49</v>
      </c>
    </row>
    <row r="1409" customFormat="false" ht="15" hidden="false" customHeight="false" outlineLevel="0" collapsed="false">
      <c r="A1409" s="30" t="n">
        <v>42931</v>
      </c>
      <c r="B1409" s="11" t="n">
        <v>1</v>
      </c>
      <c r="C1409" s="31" t="s">
        <v>1464</v>
      </c>
      <c r="D1409" s="31"/>
      <c r="E1409" s="11" t="s">
        <v>1146</v>
      </c>
      <c r="F1409" s="11" t="s">
        <v>1364</v>
      </c>
      <c r="G1409" s="11"/>
      <c r="H1409" s="11" t="s">
        <v>22</v>
      </c>
      <c r="I1409" s="11"/>
      <c r="J1409" s="11" t="s">
        <v>97</v>
      </c>
      <c r="K1409" s="11" t="s">
        <v>406</v>
      </c>
      <c r="L1409" s="11" t="s">
        <v>1370</v>
      </c>
      <c r="M1409" s="11" t="s">
        <v>100</v>
      </c>
      <c r="N1409" s="32" t="n">
        <v>12774</v>
      </c>
      <c r="O1409" s="33" t="n">
        <v>1328101.97</v>
      </c>
      <c r="P1409" s="32" t="n">
        <v>12774</v>
      </c>
      <c r="Q1409" s="34" t="n">
        <v>1</v>
      </c>
      <c r="R1409" s="33" t="n">
        <v>56.07</v>
      </c>
      <c r="S1409" s="33" t="n">
        <v>188.85</v>
      </c>
      <c r="T1409" s="33" t="n">
        <v>103.97</v>
      </c>
      <c r="U1409" s="11" t="n">
        <f aca="false">IFERROR(YEAR(A1409),"")</f>
        <v>2017</v>
      </c>
      <c r="V1409" s="33" t="n">
        <f aca="false">IFERROR(O1409*B1409,0)</f>
        <v>1328101.97</v>
      </c>
      <c r="W1409" s="32" t="n">
        <f aca="false">IFERROR(N1409*B1409,0)</f>
        <v>12774</v>
      </c>
      <c r="X1409" s="11" t="n">
        <f aca="false">IF(OR(ISNUMBER(SEARCH("live nation",L1409)),ISNUMBER(SEARCH("ocesa",L1409))),1,0)</f>
        <v>0</v>
      </c>
      <c r="Y1409" s="11" t="s">
        <v>50</v>
      </c>
    </row>
    <row r="1410" customFormat="false" ht="15" hidden="false" customHeight="false" outlineLevel="0" collapsed="false">
      <c r="A1410" s="25" t="n">
        <v>42930</v>
      </c>
      <c r="B1410" s="13" t="n">
        <v>1</v>
      </c>
      <c r="C1410" s="26" t="s">
        <v>528</v>
      </c>
      <c r="D1410" s="26"/>
      <c r="E1410" s="13" t="s">
        <v>1218</v>
      </c>
      <c r="F1410" s="13" t="s">
        <v>404</v>
      </c>
      <c r="G1410" s="13" t="s">
        <v>202</v>
      </c>
      <c r="H1410" s="13" t="s">
        <v>20</v>
      </c>
      <c r="I1410" s="13" t="s">
        <v>232</v>
      </c>
      <c r="J1410" s="13" t="s">
        <v>97</v>
      </c>
      <c r="K1410" s="13" t="s">
        <v>107</v>
      </c>
      <c r="L1410" s="13" t="s">
        <v>177</v>
      </c>
      <c r="M1410" s="13" t="s">
        <v>100</v>
      </c>
      <c r="N1410" s="27" t="n">
        <v>9031</v>
      </c>
      <c r="O1410" s="28" t="n">
        <v>1161815</v>
      </c>
      <c r="P1410" s="27" t="n">
        <v>11441</v>
      </c>
      <c r="Q1410" s="29" t="n">
        <v>0.78</v>
      </c>
      <c r="R1410" s="28" t="n">
        <v>65</v>
      </c>
      <c r="S1410" s="28" t="n">
        <v>245</v>
      </c>
      <c r="T1410" s="28" t="n">
        <v>128.65</v>
      </c>
      <c r="U1410" s="13" t="n">
        <f aca="false">IFERROR(YEAR(A1410),"")</f>
        <v>2017</v>
      </c>
      <c r="V1410" s="28" t="n">
        <f aca="false">IFERROR(O1410*B1410,0)</f>
        <v>1161815</v>
      </c>
      <c r="W1410" s="27" t="n">
        <f aca="false">IFERROR(N1410*B1410,0)</f>
        <v>9031</v>
      </c>
      <c r="X1410" s="13" t="n">
        <f aca="false">IF(OR(ISNUMBER(SEARCH("live nation",L1410)),ISNUMBER(SEARCH("ocesa",L1410))),1,0)</f>
        <v>1</v>
      </c>
      <c r="Y1410" s="13" t="s">
        <v>49</v>
      </c>
    </row>
    <row r="1411" customFormat="false" ht="15" hidden="false" customHeight="false" outlineLevel="0" collapsed="false">
      <c r="A1411" s="30" t="n">
        <v>42930</v>
      </c>
      <c r="B1411" s="11" t="n">
        <v>1</v>
      </c>
      <c r="C1411" s="31" t="s">
        <v>1260</v>
      </c>
      <c r="D1411" s="31"/>
      <c r="E1411" s="11" t="s">
        <v>1465</v>
      </c>
      <c r="F1411" s="11" t="s">
        <v>139</v>
      </c>
      <c r="G1411" s="11" t="s">
        <v>139</v>
      </c>
      <c r="H1411" s="11" t="s">
        <v>20</v>
      </c>
      <c r="I1411" s="11" t="s">
        <v>139</v>
      </c>
      <c r="J1411" s="11" t="s">
        <v>106</v>
      </c>
      <c r="K1411" s="11" t="s">
        <v>107</v>
      </c>
      <c r="L1411" s="11" t="s">
        <v>1466</v>
      </c>
      <c r="M1411" s="11" t="s">
        <v>251</v>
      </c>
      <c r="N1411" s="32" t="n">
        <v>2124</v>
      </c>
      <c r="O1411" s="33" t="n">
        <v>226298</v>
      </c>
      <c r="P1411" s="32" t="n">
        <v>2150</v>
      </c>
      <c r="Q1411" s="34" t="n">
        <v>0.98</v>
      </c>
      <c r="R1411" s="33" t="n">
        <v>50</v>
      </c>
      <c r="S1411" s="33" t="n">
        <v>195</v>
      </c>
      <c r="T1411" s="33" t="n">
        <v>106.54</v>
      </c>
      <c r="U1411" s="11" t="n">
        <f aca="false">IFERROR(YEAR(A1411),"")</f>
        <v>2017</v>
      </c>
      <c r="V1411" s="33" t="n">
        <f aca="false">IFERROR(O1411*B1411,0)</f>
        <v>226298</v>
      </c>
      <c r="W1411" s="32" t="n">
        <f aca="false">IFERROR(N1411*B1411,0)</f>
        <v>2124</v>
      </c>
      <c r="X1411" s="11" t="n">
        <f aca="false">IF(OR(ISNUMBER(SEARCH("live nation",L1411)),ISNUMBER(SEARCH("ocesa",L1411))),1,0)</f>
        <v>0</v>
      </c>
      <c r="Y1411" s="11" t="s">
        <v>49</v>
      </c>
    </row>
    <row r="1412" customFormat="false" ht="15" hidden="false" customHeight="false" outlineLevel="0" collapsed="false">
      <c r="A1412" s="25" t="n">
        <v>42928</v>
      </c>
      <c r="B1412" s="13" t="n">
        <v>1</v>
      </c>
      <c r="C1412" s="26" t="s">
        <v>1056</v>
      </c>
      <c r="D1412" s="26"/>
      <c r="E1412" s="13" t="s">
        <v>1146</v>
      </c>
      <c r="F1412" s="13" t="s">
        <v>1364</v>
      </c>
      <c r="G1412" s="13"/>
      <c r="H1412" s="13" t="s">
        <v>22</v>
      </c>
      <c r="I1412" s="13"/>
      <c r="J1412" s="13" t="s">
        <v>97</v>
      </c>
      <c r="K1412" s="13" t="s">
        <v>406</v>
      </c>
      <c r="L1412" s="13" t="s">
        <v>1365</v>
      </c>
      <c r="M1412" s="13" t="s">
        <v>100</v>
      </c>
      <c r="N1412" s="27" t="n">
        <v>7160</v>
      </c>
      <c r="O1412" s="28" t="n">
        <v>922866.54</v>
      </c>
      <c r="P1412" s="27" t="n">
        <v>11000</v>
      </c>
      <c r="Q1412" s="29" t="n">
        <v>0.65</v>
      </c>
      <c r="R1412" s="28" t="n">
        <v>88.38</v>
      </c>
      <c r="S1412" s="28" t="n">
        <v>191.65</v>
      </c>
      <c r="T1412" s="28" t="n">
        <v>128.89</v>
      </c>
      <c r="U1412" s="13" t="n">
        <f aca="false">IFERROR(YEAR(A1412),"")</f>
        <v>2017</v>
      </c>
      <c r="V1412" s="28" t="n">
        <f aca="false">IFERROR(O1412*B1412,0)</f>
        <v>922866.54</v>
      </c>
      <c r="W1412" s="27" t="n">
        <f aca="false">IFERROR(N1412*B1412,0)</f>
        <v>7160</v>
      </c>
      <c r="X1412" s="13" t="n">
        <f aca="false">IF(OR(ISNUMBER(SEARCH("live nation",L1412)),ISNUMBER(SEARCH("ocesa",L1412))),1,0)</f>
        <v>0</v>
      </c>
      <c r="Y1412" s="13" t="s">
        <v>50</v>
      </c>
    </row>
    <row r="1413" customFormat="false" ht="15" hidden="false" customHeight="false" outlineLevel="0" collapsed="false">
      <c r="A1413" s="30" t="n">
        <v>42928</v>
      </c>
      <c r="B1413" s="11" t="n">
        <v>1</v>
      </c>
      <c r="C1413" s="31" t="s">
        <v>1260</v>
      </c>
      <c r="D1413" s="31"/>
      <c r="E1413" s="11" t="s">
        <v>487</v>
      </c>
      <c r="F1413" s="11" t="s">
        <v>207</v>
      </c>
      <c r="G1413" s="11" t="s">
        <v>208</v>
      </c>
      <c r="H1413" s="11" t="s">
        <v>20</v>
      </c>
      <c r="I1413" s="11" t="s">
        <v>209</v>
      </c>
      <c r="J1413" s="11" t="s">
        <v>121</v>
      </c>
      <c r="K1413" s="11" t="s">
        <v>107</v>
      </c>
      <c r="L1413" s="11" t="s">
        <v>1363</v>
      </c>
      <c r="M1413" s="11" t="s">
        <v>251</v>
      </c>
      <c r="N1413" s="32" t="n">
        <v>2774</v>
      </c>
      <c r="O1413" s="33" t="n">
        <v>255560</v>
      </c>
      <c r="P1413" s="32" t="n">
        <v>2932</v>
      </c>
      <c r="Q1413" s="34" t="n">
        <v>0.94</v>
      </c>
      <c r="R1413" s="33" t="n">
        <v>52</v>
      </c>
      <c r="S1413" s="33" t="n">
        <v>197</v>
      </c>
      <c r="T1413" s="33" t="n">
        <v>92.13</v>
      </c>
      <c r="U1413" s="11" t="n">
        <f aca="false">IFERROR(YEAR(A1413),"")</f>
        <v>2017</v>
      </c>
      <c r="V1413" s="33" t="n">
        <f aca="false">IFERROR(O1413*B1413,0)</f>
        <v>255560</v>
      </c>
      <c r="W1413" s="32" t="n">
        <f aca="false">IFERROR(N1413*B1413,0)</f>
        <v>2774</v>
      </c>
      <c r="X1413" s="11" t="n">
        <f aca="false">IF(OR(ISNUMBER(SEARCH("live nation",L1413)),ISNUMBER(SEARCH("ocesa",L1413))),1,0)</f>
        <v>0</v>
      </c>
      <c r="Y1413" s="11" t="s">
        <v>49</v>
      </c>
    </row>
    <row r="1414" customFormat="false" ht="15" hidden="false" customHeight="false" outlineLevel="0" collapsed="false">
      <c r="A1414" s="25" t="n">
        <v>42927</v>
      </c>
      <c r="B1414" s="13" t="n">
        <v>1</v>
      </c>
      <c r="C1414" s="26" t="s">
        <v>528</v>
      </c>
      <c r="D1414" s="26"/>
      <c r="E1414" s="13"/>
      <c r="F1414" s="13"/>
      <c r="G1414" s="13"/>
      <c r="H1414" s="13"/>
      <c r="I1414" s="13"/>
      <c r="J1414" s="13" t="s">
        <v>97</v>
      </c>
      <c r="K1414" s="13" t="s">
        <v>107</v>
      </c>
      <c r="L1414" s="13" t="s">
        <v>177</v>
      </c>
      <c r="M1414" s="13" t="s">
        <v>100</v>
      </c>
      <c r="N1414" s="27" t="n">
        <v>6246</v>
      </c>
      <c r="O1414" s="28" t="n">
        <v>809156</v>
      </c>
      <c r="P1414" s="27" t="n">
        <v>8610</v>
      </c>
      <c r="Q1414" s="29" t="n">
        <v>0.72</v>
      </c>
      <c r="R1414" s="28"/>
      <c r="S1414" s="28"/>
      <c r="T1414" s="28" t="n">
        <v>129.55</v>
      </c>
      <c r="U1414" s="13" t="n">
        <f aca="false">IFERROR(YEAR(A1414),"")</f>
        <v>2017</v>
      </c>
      <c r="V1414" s="28" t="n">
        <f aca="false">IFERROR(O1414*B1414,0)</f>
        <v>809156</v>
      </c>
      <c r="W1414" s="27" t="n">
        <f aca="false">IFERROR(N1414*B1414,0)</f>
        <v>6246</v>
      </c>
      <c r="X1414" s="13" t="n">
        <f aca="false">IF(OR(ISNUMBER(SEARCH("live nation",L1414)),ISNUMBER(SEARCH("ocesa",L1414))),1,0)</f>
        <v>1</v>
      </c>
      <c r="Y1414" s="13" t="s">
        <v>50</v>
      </c>
    </row>
    <row r="1415" customFormat="false" ht="15" hidden="false" customHeight="false" outlineLevel="0" collapsed="false">
      <c r="A1415" s="30" t="n">
        <v>42909</v>
      </c>
      <c r="B1415" s="11" t="n">
        <v>2</v>
      </c>
      <c r="C1415" s="31" t="s">
        <v>968</v>
      </c>
      <c r="D1415" s="31" t="s">
        <v>1467</v>
      </c>
      <c r="E1415" s="11" t="s">
        <v>506</v>
      </c>
      <c r="F1415" s="11" t="s">
        <v>507</v>
      </c>
      <c r="G1415" s="11" t="s">
        <v>221</v>
      </c>
      <c r="H1415" s="11" t="s">
        <v>20</v>
      </c>
      <c r="I1415" s="11" t="s">
        <v>139</v>
      </c>
      <c r="J1415" s="11" t="s">
        <v>97</v>
      </c>
      <c r="K1415" s="11" t="s">
        <v>107</v>
      </c>
      <c r="L1415" s="11" t="s">
        <v>1368</v>
      </c>
      <c r="M1415" s="11" t="s">
        <v>100</v>
      </c>
      <c r="N1415" s="32" t="n">
        <v>7266</v>
      </c>
      <c r="O1415" s="33" t="n">
        <v>709370</v>
      </c>
      <c r="P1415" s="32" t="n">
        <v>11232</v>
      </c>
      <c r="Q1415" s="34" t="n">
        <v>0.64</v>
      </c>
      <c r="R1415" s="33" t="n">
        <v>50</v>
      </c>
      <c r="S1415" s="33" t="n">
        <v>250</v>
      </c>
      <c r="T1415" s="33" t="n">
        <v>97.63</v>
      </c>
      <c r="U1415" s="11" t="n">
        <f aca="false">IFERROR(YEAR(A1415),"")</f>
        <v>2017</v>
      </c>
      <c r="V1415" s="33" t="n">
        <f aca="false">IFERROR(O1415*B1415,0)</f>
        <v>1418740</v>
      </c>
      <c r="W1415" s="32" t="n">
        <f aca="false">IFERROR(N1415*B1415,0)</f>
        <v>14532</v>
      </c>
      <c r="X1415" s="11" t="n">
        <f aca="false">IF(OR(ISNUMBER(SEARCH("live nation",L1415)),ISNUMBER(SEARCH("ocesa",L1415))),1,0)</f>
        <v>0</v>
      </c>
      <c r="Y1415" s="11" t="s">
        <v>49</v>
      </c>
    </row>
    <row r="1416" customFormat="false" ht="15" hidden="false" customHeight="false" outlineLevel="0" collapsed="false">
      <c r="A1416" s="25" t="n">
        <v>42903</v>
      </c>
      <c r="B1416" s="13" t="n">
        <v>1</v>
      </c>
      <c r="C1416" s="26" t="s">
        <v>1468</v>
      </c>
      <c r="D1416" s="26"/>
      <c r="E1416" s="13" t="s">
        <v>1146</v>
      </c>
      <c r="F1416" s="13" t="s">
        <v>1364</v>
      </c>
      <c r="G1416" s="13"/>
      <c r="H1416" s="13" t="s">
        <v>22</v>
      </c>
      <c r="I1416" s="13"/>
      <c r="J1416" s="13" t="s">
        <v>97</v>
      </c>
      <c r="K1416" s="13" t="s">
        <v>406</v>
      </c>
      <c r="L1416" s="13" t="s">
        <v>1469</v>
      </c>
      <c r="M1416" s="13" t="s">
        <v>100</v>
      </c>
      <c r="N1416" s="27" t="n">
        <v>5788</v>
      </c>
      <c r="O1416" s="28" t="n">
        <v>698990.34</v>
      </c>
      <c r="P1416" s="27" t="n">
        <v>6499</v>
      </c>
      <c r="Q1416" s="29" t="n">
        <v>0.89</v>
      </c>
      <c r="R1416" s="28" t="n">
        <v>41</v>
      </c>
      <c r="S1416" s="28" t="n">
        <v>187.44</v>
      </c>
      <c r="T1416" s="28" t="n">
        <v>120.77</v>
      </c>
      <c r="U1416" s="13" t="n">
        <f aca="false">IFERROR(YEAR(A1416),"")</f>
        <v>2017</v>
      </c>
      <c r="V1416" s="28" t="n">
        <f aca="false">IFERROR(O1416*B1416,0)</f>
        <v>698990.34</v>
      </c>
      <c r="W1416" s="27" t="n">
        <f aca="false">IFERROR(N1416*B1416,0)</f>
        <v>5788</v>
      </c>
      <c r="X1416" s="13" t="n">
        <f aca="false">IF(OR(ISNUMBER(SEARCH("live nation",L1416)),ISNUMBER(SEARCH("ocesa",L1416))),1,0)</f>
        <v>0</v>
      </c>
      <c r="Y1416" s="13" t="s">
        <v>50</v>
      </c>
    </row>
    <row r="1417" customFormat="false" ht="15" hidden="false" customHeight="false" outlineLevel="0" collapsed="false">
      <c r="A1417" s="30" t="n">
        <v>42903</v>
      </c>
      <c r="B1417" s="11" t="n">
        <v>1</v>
      </c>
      <c r="C1417" s="31" t="s">
        <v>410</v>
      </c>
      <c r="D1417" s="31"/>
      <c r="E1417" s="11" t="s">
        <v>1470</v>
      </c>
      <c r="F1417" s="11" t="s">
        <v>132</v>
      </c>
      <c r="G1417" s="11"/>
      <c r="H1417" s="11" t="s">
        <v>23</v>
      </c>
      <c r="I1417" s="11"/>
      <c r="J1417" s="11" t="s">
        <v>106</v>
      </c>
      <c r="K1417" s="11" t="s">
        <v>134</v>
      </c>
      <c r="L1417" s="11" t="s">
        <v>152</v>
      </c>
      <c r="M1417" s="11" t="s">
        <v>109</v>
      </c>
      <c r="N1417" s="32" t="n">
        <v>1200</v>
      </c>
      <c r="O1417" s="33" t="n">
        <v>56289.26</v>
      </c>
      <c r="P1417" s="32" t="n">
        <v>1200</v>
      </c>
      <c r="Q1417" s="34" t="n">
        <v>1</v>
      </c>
      <c r="R1417" s="33" t="n">
        <v>52.4</v>
      </c>
      <c r="S1417" s="33" t="n">
        <v>53.47</v>
      </c>
      <c r="T1417" s="33" t="n">
        <v>46.91</v>
      </c>
      <c r="U1417" s="11" t="n">
        <f aca="false">IFERROR(YEAR(A1417),"")</f>
        <v>2017</v>
      </c>
      <c r="V1417" s="33" t="n">
        <f aca="false">IFERROR(O1417*B1417,0)</f>
        <v>56289.26</v>
      </c>
      <c r="W1417" s="32" t="n">
        <f aca="false">IFERROR(N1417*B1417,0)</f>
        <v>1200</v>
      </c>
      <c r="X1417" s="11" t="n">
        <f aca="false">IF(OR(ISNUMBER(SEARCH("live nation",L1417)),ISNUMBER(SEARCH("ocesa",L1417))),1,0)</f>
        <v>0</v>
      </c>
      <c r="Y1417" s="11" t="s">
        <v>49</v>
      </c>
    </row>
    <row r="1418" customFormat="false" ht="15" hidden="false" customHeight="false" outlineLevel="0" collapsed="false">
      <c r="A1418" s="25" t="n">
        <v>42902</v>
      </c>
      <c r="B1418" s="13" t="n">
        <v>1</v>
      </c>
      <c r="C1418" s="26" t="s">
        <v>272</v>
      </c>
      <c r="D1418" s="26" t="s">
        <v>1471</v>
      </c>
      <c r="E1418" s="13" t="s">
        <v>1226</v>
      </c>
      <c r="F1418" s="13" t="s">
        <v>896</v>
      </c>
      <c r="G1418" s="13" t="s">
        <v>202</v>
      </c>
      <c r="H1418" s="13" t="s">
        <v>20</v>
      </c>
      <c r="I1418" s="13" t="s">
        <v>203</v>
      </c>
      <c r="J1418" s="13" t="s">
        <v>121</v>
      </c>
      <c r="K1418" s="13" t="s">
        <v>107</v>
      </c>
      <c r="L1418" s="13" t="s">
        <v>177</v>
      </c>
      <c r="M1418" s="13" t="s">
        <v>277</v>
      </c>
      <c r="N1418" s="27" t="n">
        <v>3700</v>
      </c>
      <c r="O1418" s="28" t="n">
        <v>170200</v>
      </c>
      <c r="P1418" s="27" t="n">
        <v>3880</v>
      </c>
      <c r="Q1418" s="29" t="n">
        <v>0.95</v>
      </c>
      <c r="R1418" s="28" t="n">
        <v>46</v>
      </c>
      <c r="S1418" s="28" t="n">
        <v>0</v>
      </c>
      <c r="T1418" s="28" t="n">
        <v>46</v>
      </c>
      <c r="U1418" s="13" t="n">
        <f aca="false">IFERROR(YEAR(A1418),"")</f>
        <v>2017</v>
      </c>
      <c r="V1418" s="28" t="n">
        <f aca="false">IFERROR(O1418*B1418,0)</f>
        <v>170200</v>
      </c>
      <c r="W1418" s="27" t="n">
        <f aca="false">IFERROR(N1418*B1418,0)</f>
        <v>3700</v>
      </c>
      <c r="X1418" s="13" t="n">
        <f aca="false">IF(OR(ISNUMBER(SEARCH("live nation",L1418)),ISNUMBER(SEARCH("ocesa",L1418))),1,0)</f>
        <v>1</v>
      </c>
      <c r="Y1418" s="13" t="s">
        <v>49</v>
      </c>
    </row>
    <row r="1419" customFormat="false" ht="15" hidden="false" customHeight="false" outlineLevel="0" collapsed="false">
      <c r="A1419" s="30" t="n">
        <v>42883</v>
      </c>
      <c r="B1419" s="11" t="n">
        <v>1</v>
      </c>
      <c r="C1419" s="31" t="s">
        <v>1472</v>
      </c>
      <c r="D1419" s="31" t="s">
        <v>1473</v>
      </c>
      <c r="E1419" s="11" t="s">
        <v>1474</v>
      </c>
      <c r="F1419" s="11" t="s">
        <v>1475</v>
      </c>
      <c r="G1419" s="11" t="s">
        <v>498</v>
      </c>
      <c r="H1419" s="11" t="s">
        <v>20</v>
      </c>
      <c r="I1419" s="11" t="s">
        <v>989</v>
      </c>
      <c r="J1419" s="11" t="s">
        <v>275</v>
      </c>
      <c r="K1419" s="11" t="s">
        <v>107</v>
      </c>
      <c r="L1419" s="11" t="s">
        <v>122</v>
      </c>
      <c r="M1419" s="11" t="s">
        <v>100</v>
      </c>
      <c r="N1419" s="32" t="n">
        <v>116</v>
      </c>
      <c r="O1419" s="33" t="n">
        <v>3232</v>
      </c>
      <c r="P1419" s="32" t="n">
        <v>19424</v>
      </c>
      <c r="Q1419" s="34" t="n">
        <v>0</v>
      </c>
      <c r="R1419" s="33" t="n">
        <v>25</v>
      </c>
      <c r="S1419" s="33" t="n">
        <v>45</v>
      </c>
      <c r="T1419" s="33" t="n">
        <v>27.86</v>
      </c>
      <c r="U1419" s="11" t="n">
        <f aca="false">IFERROR(YEAR(A1419),"")</f>
        <v>2017</v>
      </c>
      <c r="V1419" s="33" t="n">
        <f aca="false">IFERROR(O1419*B1419,0)</f>
        <v>3232</v>
      </c>
      <c r="W1419" s="32" t="n">
        <f aca="false">IFERROR(N1419*B1419,0)</f>
        <v>116</v>
      </c>
      <c r="X1419" s="11" t="n">
        <f aca="false">IF(OR(ISNUMBER(SEARCH("live nation",L1419)),ISNUMBER(SEARCH("ocesa",L1419))),1,0)</f>
        <v>0</v>
      </c>
      <c r="Y1419" s="11" t="s">
        <v>49</v>
      </c>
    </row>
    <row r="1420" customFormat="false" ht="15" hidden="false" customHeight="false" outlineLevel="0" collapsed="false">
      <c r="A1420" s="25" t="n">
        <v>42881</v>
      </c>
      <c r="B1420" s="13" t="n">
        <v>1</v>
      </c>
      <c r="C1420" s="26" t="s">
        <v>60</v>
      </c>
      <c r="D1420" s="26"/>
      <c r="E1420" s="13" t="s">
        <v>95</v>
      </c>
      <c r="F1420" s="13" t="s">
        <v>96</v>
      </c>
      <c r="G1420" s="13"/>
      <c r="H1420" s="13" t="s">
        <v>28</v>
      </c>
      <c r="I1420" s="13"/>
      <c r="J1420" s="13" t="s">
        <v>97</v>
      </c>
      <c r="K1420" s="13" t="s">
        <v>98</v>
      </c>
      <c r="L1420" s="13" t="s">
        <v>99</v>
      </c>
      <c r="M1420" s="13" t="s">
        <v>100</v>
      </c>
      <c r="N1420" s="27" t="n">
        <v>11023</v>
      </c>
      <c r="O1420" s="28" t="n">
        <v>2056051.56</v>
      </c>
      <c r="P1420" s="27" t="n">
        <v>11424</v>
      </c>
      <c r="Q1420" s="29" t="n">
        <v>0.96</v>
      </c>
      <c r="R1420" s="28" t="n">
        <v>74.63</v>
      </c>
      <c r="S1420" s="28" t="n">
        <v>256.83</v>
      </c>
      <c r="T1420" s="28" t="n">
        <v>186.52</v>
      </c>
      <c r="U1420" s="13" t="n">
        <f aca="false">IFERROR(YEAR(A1420),"")</f>
        <v>2017</v>
      </c>
      <c r="V1420" s="28" t="n">
        <f aca="false">IFERROR(O1420*B1420,0)</f>
        <v>2056051.56</v>
      </c>
      <c r="W1420" s="27" t="n">
        <f aca="false">IFERROR(N1420*B1420,0)</f>
        <v>11023</v>
      </c>
      <c r="X1420" s="13" t="n">
        <f aca="false">IF(OR(ISNUMBER(SEARCH("live nation",L1420)),ISNUMBER(SEARCH("ocesa",L1420))),1,0)</f>
        <v>0</v>
      </c>
      <c r="Y1420" s="13" t="s">
        <v>49</v>
      </c>
    </row>
    <row r="1421" customFormat="false" ht="15" hidden="false" customHeight="false" outlineLevel="0" collapsed="false">
      <c r="A1421" s="30" t="n">
        <v>42876</v>
      </c>
      <c r="B1421" s="11" t="n">
        <v>1</v>
      </c>
      <c r="C1421" s="31" t="s">
        <v>1476</v>
      </c>
      <c r="D1421" s="31"/>
      <c r="E1421" s="11" t="s">
        <v>1470</v>
      </c>
      <c r="F1421" s="11" t="s">
        <v>132</v>
      </c>
      <c r="G1421" s="11"/>
      <c r="H1421" s="11" t="s">
        <v>23</v>
      </c>
      <c r="I1421" s="11"/>
      <c r="J1421" s="11" t="s">
        <v>106</v>
      </c>
      <c r="K1421" s="11" t="s">
        <v>134</v>
      </c>
      <c r="L1421" s="11" t="s">
        <v>122</v>
      </c>
      <c r="M1421" s="11" t="s">
        <v>100</v>
      </c>
      <c r="N1421" s="32" t="n">
        <v>202</v>
      </c>
      <c r="O1421" s="33" t="n">
        <v>8439.72</v>
      </c>
      <c r="P1421" s="32" t="n">
        <v>1000</v>
      </c>
      <c r="Q1421" s="34" t="n">
        <v>0.2</v>
      </c>
      <c r="R1421" s="33" t="n">
        <v>31.84</v>
      </c>
      <c r="S1421" s="33" t="n">
        <v>79.61</v>
      </c>
      <c r="T1421" s="33" t="n">
        <v>41.78</v>
      </c>
      <c r="U1421" s="11" t="n">
        <f aca="false">IFERROR(YEAR(A1421),"")</f>
        <v>2017</v>
      </c>
      <c r="V1421" s="33" t="n">
        <f aca="false">IFERROR(O1421*B1421,0)</f>
        <v>8439.72</v>
      </c>
      <c r="W1421" s="32" t="n">
        <f aca="false">IFERROR(N1421*B1421,0)</f>
        <v>202</v>
      </c>
      <c r="X1421" s="11" t="n">
        <f aca="false">IF(OR(ISNUMBER(SEARCH("live nation",L1421)),ISNUMBER(SEARCH("ocesa",L1421))),1,0)</f>
        <v>0</v>
      </c>
      <c r="Y1421" s="11" t="s">
        <v>49</v>
      </c>
    </row>
    <row r="1422" customFormat="false" ht="15" hidden="false" customHeight="false" outlineLevel="0" collapsed="false">
      <c r="A1422" s="25" t="n">
        <v>42853</v>
      </c>
      <c r="B1422" s="13" t="n">
        <v>1</v>
      </c>
      <c r="C1422" s="26" t="s">
        <v>1477</v>
      </c>
      <c r="D1422" s="26"/>
      <c r="E1422" s="13" t="s">
        <v>1269</v>
      </c>
      <c r="F1422" s="13" t="s">
        <v>201</v>
      </c>
      <c r="G1422" s="13" t="s">
        <v>202</v>
      </c>
      <c r="H1422" s="13" t="s">
        <v>20</v>
      </c>
      <c r="I1422" s="13" t="s">
        <v>203</v>
      </c>
      <c r="J1422" s="13" t="s">
        <v>97</v>
      </c>
      <c r="K1422" s="13" t="s">
        <v>107</v>
      </c>
      <c r="L1422" s="13" t="s">
        <v>788</v>
      </c>
      <c r="M1422" s="13" t="s">
        <v>251</v>
      </c>
      <c r="N1422" s="27" t="n">
        <v>8668</v>
      </c>
      <c r="O1422" s="28" t="n">
        <v>1436158</v>
      </c>
      <c r="P1422" s="27" t="n">
        <v>9739</v>
      </c>
      <c r="Q1422" s="29" t="n">
        <v>0.89</v>
      </c>
      <c r="R1422" s="28" t="n">
        <v>80</v>
      </c>
      <c r="S1422" s="28" t="n">
        <v>215</v>
      </c>
      <c r="T1422" s="28" t="n">
        <v>165.69</v>
      </c>
      <c r="U1422" s="13" t="n">
        <f aca="false">IFERROR(YEAR(A1422),"")</f>
        <v>2017</v>
      </c>
      <c r="V1422" s="28" t="n">
        <f aca="false">IFERROR(O1422*B1422,0)</f>
        <v>1436158</v>
      </c>
      <c r="W1422" s="27" t="n">
        <f aca="false">IFERROR(N1422*B1422,0)</f>
        <v>8668</v>
      </c>
      <c r="X1422" s="13" t="n">
        <f aca="false">IF(OR(ISNUMBER(SEARCH("live nation",L1422)),ISNUMBER(SEARCH("ocesa",L1422))),1,0)</f>
        <v>0</v>
      </c>
      <c r="Y1422" s="13" t="s">
        <v>49</v>
      </c>
    </row>
    <row r="1423" customFormat="false" ht="15" hidden="false" customHeight="false" outlineLevel="0" collapsed="false">
      <c r="A1423" s="30" t="n">
        <v>42852</v>
      </c>
      <c r="B1423" s="11" t="n">
        <v>1</v>
      </c>
      <c r="C1423" s="31" t="s">
        <v>1477</v>
      </c>
      <c r="D1423" s="31"/>
      <c r="E1423" s="11" t="s">
        <v>1388</v>
      </c>
      <c r="F1423" s="11" t="s">
        <v>132</v>
      </c>
      <c r="G1423" s="11"/>
      <c r="H1423" s="11" t="s">
        <v>23</v>
      </c>
      <c r="I1423" s="11"/>
      <c r="J1423" s="11" t="s">
        <v>97</v>
      </c>
      <c r="K1423" s="11" t="s">
        <v>134</v>
      </c>
      <c r="L1423" s="11" t="s">
        <v>461</v>
      </c>
      <c r="M1423" s="11" t="s">
        <v>251</v>
      </c>
      <c r="N1423" s="32" t="n">
        <v>16619</v>
      </c>
      <c r="O1423" s="33" t="n">
        <v>903381.78</v>
      </c>
      <c r="P1423" s="32" t="n">
        <v>17000</v>
      </c>
      <c r="Q1423" s="34" t="n">
        <v>0.97</v>
      </c>
      <c r="R1423" s="33" t="n">
        <v>16</v>
      </c>
      <c r="S1423" s="33" t="n">
        <v>170.66</v>
      </c>
      <c r="T1423" s="33" t="n">
        <v>54.36</v>
      </c>
      <c r="U1423" s="11" t="n">
        <f aca="false">IFERROR(YEAR(A1423),"")</f>
        <v>2017</v>
      </c>
      <c r="V1423" s="33" t="n">
        <f aca="false">IFERROR(O1423*B1423,0)</f>
        <v>903381.78</v>
      </c>
      <c r="W1423" s="32" t="n">
        <f aca="false">IFERROR(N1423*B1423,0)</f>
        <v>16619</v>
      </c>
      <c r="X1423" s="11" t="n">
        <f aca="false">IF(OR(ISNUMBER(SEARCH("live nation",L1423)),ISNUMBER(SEARCH("ocesa",L1423))),1,0)</f>
        <v>0</v>
      </c>
      <c r="Y1423" s="11" t="s">
        <v>49</v>
      </c>
    </row>
    <row r="1424" customFormat="false" ht="15" hidden="false" customHeight="false" outlineLevel="0" collapsed="false">
      <c r="A1424" s="25" t="n">
        <v>42850</v>
      </c>
      <c r="B1424" s="13" t="n">
        <v>1</v>
      </c>
      <c r="C1424" s="26" t="s">
        <v>1477</v>
      </c>
      <c r="D1424" s="26"/>
      <c r="E1424" s="13" t="s">
        <v>506</v>
      </c>
      <c r="F1424" s="13" t="s">
        <v>507</v>
      </c>
      <c r="G1424" s="13" t="s">
        <v>221</v>
      </c>
      <c r="H1424" s="13" t="s">
        <v>20</v>
      </c>
      <c r="I1424" s="13" t="s">
        <v>139</v>
      </c>
      <c r="J1424" s="13" t="s">
        <v>97</v>
      </c>
      <c r="K1424" s="13" t="s">
        <v>107</v>
      </c>
      <c r="L1424" s="13" t="s">
        <v>788</v>
      </c>
      <c r="M1424" s="13" t="s">
        <v>251</v>
      </c>
      <c r="N1424" s="27" t="n">
        <v>5999</v>
      </c>
      <c r="O1424" s="28" t="n">
        <v>998411</v>
      </c>
      <c r="P1424" s="27" t="n">
        <v>10967</v>
      </c>
      <c r="Q1424" s="29" t="n">
        <v>0.54</v>
      </c>
      <c r="R1424" s="28" t="n">
        <v>75</v>
      </c>
      <c r="S1424" s="28" t="n">
        <v>210</v>
      </c>
      <c r="T1424" s="28" t="n">
        <v>166.43</v>
      </c>
      <c r="U1424" s="13" t="n">
        <f aca="false">IFERROR(YEAR(A1424),"")</f>
        <v>2017</v>
      </c>
      <c r="V1424" s="28" t="n">
        <f aca="false">IFERROR(O1424*B1424,0)</f>
        <v>998411</v>
      </c>
      <c r="W1424" s="27" t="n">
        <f aca="false">IFERROR(N1424*B1424,0)</f>
        <v>5999</v>
      </c>
      <c r="X1424" s="13" t="n">
        <f aca="false">IF(OR(ISNUMBER(SEARCH("live nation",L1424)),ISNUMBER(SEARCH("ocesa",L1424))),1,0)</f>
        <v>0</v>
      </c>
      <c r="Y1424" s="13" t="s">
        <v>49</v>
      </c>
    </row>
    <row r="1425" customFormat="false" ht="15" hidden="false" customHeight="false" outlineLevel="0" collapsed="false">
      <c r="A1425" s="30" t="n">
        <v>42847</v>
      </c>
      <c r="B1425" s="11" t="n">
        <v>1</v>
      </c>
      <c r="C1425" s="31" t="s">
        <v>1478</v>
      </c>
      <c r="D1425" s="31" t="s">
        <v>1479</v>
      </c>
      <c r="E1425" s="11" t="s">
        <v>1480</v>
      </c>
      <c r="F1425" s="11" t="s">
        <v>223</v>
      </c>
      <c r="G1425" s="11" t="s">
        <v>224</v>
      </c>
      <c r="H1425" s="11" t="s">
        <v>20</v>
      </c>
      <c r="I1425" s="11" t="s">
        <v>225</v>
      </c>
      <c r="J1425" s="11" t="s">
        <v>106</v>
      </c>
      <c r="K1425" s="11" t="s">
        <v>107</v>
      </c>
      <c r="L1425" s="11" t="s">
        <v>1311</v>
      </c>
      <c r="M1425" s="11" t="s">
        <v>100</v>
      </c>
      <c r="N1425" s="32" t="n">
        <v>500</v>
      </c>
      <c r="O1425" s="33" t="n">
        <v>7500</v>
      </c>
      <c r="P1425" s="32" t="n">
        <v>500</v>
      </c>
      <c r="Q1425" s="34" t="n">
        <v>1</v>
      </c>
      <c r="R1425" s="33" t="n">
        <v>15</v>
      </c>
      <c r="S1425" s="33" t="n">
        <v>0</v>
      </c>
      <c r="T1425" s="33" t="n">
        <v>15</v>
      </c>
      <c r="U1425" s="11" t="n">
        <f aca="false">IFERROR(YEAR(A1425),"")</f>
        <v>2017</v>
      </c>
      <c r="V1425" s="33" t="n">
        <f aca="false">IFERROR(O1425*B1425,0)</f>
        <v>7500</v>
      </c>
      <c r="W1425" s="32" t="n">
        <f aca="false">IFERROR(N1425*B1425,0)</f>
        <v>500</v>
      </c>
      <c r="X1425" s="11" t="n">
        <f aca="false">IF(OR(ISNUMBER(SEARCH("live nation",L1425)),ISNUMBER(SEARCH("ocesa",L1425))),1,0)</f>
        <v>0</v>
      </c>
      <c r="Y1425" s="11" t="s">
        <v>49</v>
      </c>
    </row>
    <row r="1426" customFormat="false" ht="15" hidden="false" customHeight="false" outlineLevel="0" collapsed="false">
      <c r="A1426" s="25" t="n">
        <v>42837</v>
      </c>
      <c r="B1426" s="13" t="n">
        <v>1</v>
      </c>
      <c r="C1426" s="26" t="s">
        <v>1355</v>
      </c>
      <c r="D1426" s="26"/>
      <c r="E1426" s="13" t="s">
        <v>487</v>
      </c>
      <c r="F1426" s="13" t="s">
        <v>207</v>
      </c>
      <c r="G1426" s="13" t="s">
        <v>208</v>
      </c>
      <c r="H1426" s="13" t="s">
        <v>20</v>
      </c>
      <c r="I1426" s="13" t="s">
        <v>209</v>
      </c>
      <c r="J1426" s="13" t="s">
        <v>121</v>
      </c>
      <c r="K1426" s="13" t="s">
        <v>107</v>
      </c>
      <c r="L1426" s="13" t="s">
        <v>1363</v>
      </c>
      <c r="M1426" s="13" t="s">
        <v>277</v>
      </c>
      <c r="N1426" s="27" t="n">
        <v>1208</v>
      </c>
      <c r="O1426" s="28" t="n">
        <v>146450</v>
      </c>
      <c r="P1426" s="27" t="n">
        <v>2172</v>
      </c>
      <c r="Q1426" s="29" t="n">
        <v>0.55</v>
      </c>
      <c r="R1426" s="28" t="n">
        <v>50</v>
      </c>
      <c r="S1426" s="28" t="n">
        <v>175</v>
      </c>
      <c r="T1426" s="28" t="n">
        <v>121.23</v>
      </c>
      <c r="U1426" s="13" t="n">
        <f aca="false">IFERROR(YEAR(A1426),"")</f>
        <v>2017</v>
      </c>
      <c r="V1426" s="28" t="n">
        <f aca="false">IFERROR(O1426*B1426,0)</f>
        <v>146450</v>
      </c>
      <c r="W1426" s="27" t="n">
        <f aca="false">IFERROR(N1426*B1426,0)</f>
        <v>1208</v>
      </c>
      <c r="X1426" s="13" t="n">
        <f aca="false">IF(OR(ISNUMBER(SEARCH("live nation",L1426)),ISNUMBER(SEARCH("ocesa",L1426))),1,0)</f>
        <v>0</v>
      </c>
      <c r="Y1426" s="13" t="s">
        <v>49</v>
      </c>
    </row>
    <row r="1427" customFormat="false" ht="15" hidden="false" customHeight="false" outlineLevel="0" collapsed="false">
      <c r="A1427" s="30" t="n">
        <v>42832</v>
      </c>
      <c r="B1427" s="11" t="n">
        <v>1</v>
      </c>
      <c r="C1427" s="31" t="s">
        <v>1481</v>
      </c>
      <c r="D1427" s="31"/>
      <c r="E1427" s="11" t="s">
        <v>1376</v>
      </c>
      <c r="F1427" s="11" t="s">
        <v>1364</v>
      </c>
      <c r="G1427" s="11"/>
      <c r="H1427" s="11" t="s">
        <v>22</v>
      </c>
      <c r="I1427" s="11"/>
      <c r="J1427" s="11" t="s">
        <v>106</v>
      </c>
      <c r="K1427" s="11" t="s">
        <v>406</v>
      </c>
      <c r="L1427" s="11" t="s">
        <v>1482</v>
      </c>
      <c r="M1427" s="11" t="s">
        <v>100</v>
      </c>
      <c r="N1427" s="32" t="n">
        <v>625</v>
      </c>
      <c r="O1427" s="33" t="n">
        <v>15235.5</v>
      </c>
      <c r="P1427" s="32" t="n">
        <v>625</v>
      </c>
      <c r="Q1427" s="34" t="n">
        <v>1</v>
      </c>
      <c r="R1427" s="33" t="n">
        <v>24.38</v>
      </c>
      <c r="S1427" s="33" t="n">
        <v>0</v>
      </c>
      <c r="T1427" s="33" t="n">
        <v>24.38</v>
      </c>
      <c r="U1427" s="11" t="n">
        <f aca="false">IFERROR(YEAR(A1427),"")</f>
        <v>2017</v>
      </c>
      <c r="V1427" s="33" t="n">
        <f aca="false">IFERROR(O1427*B1427,0)</f>
        <v>15235.5</v>
      </c>
      <c r="W1427" s="32" t="n">
        <f aca="false">IFERROR(N1427*B1427,0)</f>
        <v>625</v>
      </c>
      <c r="X1427" s="11" t="n">
        <f aca="false">IF(OR(ISNUMBER(SEARCH("live nation",L1427)),ISNUMBER(SEARCH("ocesa",L1427))),1,0)</f>
        <v>0</v>
      </c>
      <c r="Y1427" s="11" t="s">
        <v>50</v>
      </c>
    </row>
    <row r="1428" customFormat="false" ht="15" hidden="false" customHeight="false" outlineLevel="0" collapsed="false">
      <c r="A1428" s="25" t="n">
        <v>42831</v>
      </c>
      <c r="B1428" s="13" t="n">
        <v>1</v>
      </c>
      <c r="C1428" s="26" t="s">
        <v>1478</v>
      </c>
      <c r="D1428" s="26" t="s">
        <v>1479</v>
      </c>
      <c r="E1428" s="13" t="s">
        <v>1483</v>
      </c>
      <c r="F1428" s="13" t="s">
        <v>535</v>
      </c>
      <c r="G1428" s="13" t="s">
        <v>202</v>
      </c>
      <c r="H1428" s="13" t="s">
        <v>20</v>
      </c>
      <c r="I1428" s="13" t="s">
        <v>232</v>
      </c>
      <c r="J1428" s="13" t="s">
        <v>121</v>
      </c>
      <c r="K1428" s="13" t="s">
        <v>107</v>
      </c>
      <c r="L1428" s="13" t="s">
        <v>177</v>
      </c>
      <c r="M1428" s="13" t="s">
        <v>100</v>
      </c>
      <c r="N1428" s="27" t="n">
        <v>452</v>
      </c>
      <c r="O1428" s="28" t="n">
        <v>11300</v>
      </c>
      <c r="P1428" s="27" t="n">
        <v>1400</v>
      </c>
      <c r="Q1428" s="29" t="n">
        <v>0.32</v>
      </c>
      <c r="R1428" s="28" t="n">
        <v>28</v>
      </c>
      <c r="S1428" s="28" t="n">
        <v>28</v>
      </c>
      <c r="T1428" s="28" t="n">
        <v>25</v>
      </c>
      <c r="U1428" s="13" t="n">
        <f aca="false">IFERROR(YEAR(A1428),"")</f>
        <v>2017</v>
      </c>
      <c r="V1428" s="28" t="n">
        <f aca="false">IFERROR(O1428*B1428,0)</f>
        <v>11300</v>
      </c>
      <c r="W1428" s="27" t="n">
        <f aca="false">IFERROR(N1428*B1428,0)</f>
        <v>452</v>
      </c>
      <c r="X1428" s="13" t="n">
        <f aca="false">IF(OR(ISNUMBER(SEARCH("live nation",L1428)),ISNUMBER(SEARCH("ocesa",L1428))),1,0)</f>
        <v>1</v>
      </c>
      <c r="Y1428" s="13" t="s">
        <v>49</v>
      </c>
    </row>
    <row r="1429" customFormat="false" ht="15" hidden="false" customHeight="false" outlineLevel="0" collapsed="false">
      <c r="A1429" s="30" t="n">
        <v>42830</v>
      </c>
      <c r="B1429" s="11" t="n">
        <v>1</v>
      </c>
      <c r="C1429" s="31" t="s">
        <v>1355</v>
      </c>
      <c r="D1429" s="31"/>
      <c r="E1429" s="11" t="s">
        <v>617</v>
      </c>
      <c r="F1429" s="11" t="s">
        <v>346</v>
      </c>
      <c r="G1429" s="11" t="s">
        <v>347</v>
      </c>
      <c r="H1429" s="11" t="s">
        <v>20</v>
      </c>
      <c r="I1429" s="11" t="s">
        <v>346</v>
      </c>
      <c r="J1429" s="11" t="s">
        <v>121</v>
      </c>
      <c r="K1429" s="11" t="s">
        <v>107</v>
      </c>
      <c r="L1429" s="11" t="s">
        <v>791</v>
      </c>
      <c r="M1429" s="11" t="s">
        <v>277</v>
      </c>
      <c r="N1429" s="32" t="n">
        <v>1215</v>
      </c>
      <c r="O1429" s="33" t="n">
        <v>150300</v>
      </c>
      <c r="P1429" s="32" t="n">
        <v>2551</v>
      </c>
      <c r="Q1429" s="34" t="n">
        <v>0.47</v>
      </c>
      <c r="R1429" s="33" t="n">
        <v>50</v>
      </c>
      <c r="S1429" s="33" t="n">
        <v>175</v>
      </c>
      <c r="T1429" s="33" t="n">
        <v>123.7</v>
      </c>
      <c r="U1429" s="11" t="n">
        <f aca="false">IFERROR(YEAR(A1429),"")</f>
        <v>2017</v>
      </c>
      <c r="V1429" s="33" t="n">
        <f aca="false">IFERROR(O1429*B1429,0)</f>
        <v>150300</v>
      </c>
      <c r="W1429" s="32" t="n">
        <f aca="false">IFERROR(N1429*B1429,0)</f>
        <v>1215</v>
      </c>
      <c r="X1429" s="11" t="n">
        <f aca="false">IF(OR(ISNUMBER(SEARCH("live nation",L1429)),ISNUMBER(SEARCH("ocesa",L1429))),1,0)</f>
        <v>0</v>
      </c>
      <c r="Y1429" s="11" t="s">
        <v>49</v>
      </c>
    </row>
    <row r="1430" customFormat="false" ht="15" hidden="false" customHeight="false" outlineLevel="0" collapsed="false">
      <c r="A1430" s="25" t="n">
        <v>42829</v>
      </c>
      <c r="B1430" s="13" t="n">
        <v>1</v>
      </c>
      <c r="C1430" s="26" t="s">
        <v>1478</v>
      </c>
      <c r="D1430" s="26" t="s">
        <v>1479</v>
      </c>
      <c r="E1430" s="13" t="s">
        <v>844</v>
      </c>
      <c r="F1430" s="13" t="s">
        <v>306</v>
      </c>
      <c r="G1430" s="13" t="s">
        <v>188</v>
      </c>
      <c r="H1430" s="13" t="s">
        <v>20</v>
      </c>
      <c r="I1430" s="13" t="s">
        <v>307</v>
      </c>
      <c r="J1430" s="13" t="s">
        <v>106</v>
      </c>
      <c r="K1430" s="13" t="s">
        <v>107</v>
      </c>
      <c r="L1430" s="13" t="s">
        <v>657</v>
      </c>
      <c r="M1430" s="13" t="s">
        <v>100</v>
      </c>
      <c r="N1430" s="27" t="n">
        <v>406</v>
      </c>
      <c r="O1430" s="28" t="n">
        <v>9541</v>
      </c>
      <c r="P1430" s="27" t="n">
        <v>1000</v>
      </c>
      <c r="Q1430" s="29" t="n">
        <v>0.4</v>
      </c>
      <c r="R1430" s="28" t="n">
        <v>23.5</v>
      </c>
      <c r="S1430" s="28" t="n">
        <v>0</v>
      </c>
      <c r="T1430" s="28" t="n">
        <v>23.5</v>
      </c>
      <c r="U1430" s="13" t="n">
        <f aca="false">IFERROR(YEAR(A1430),"")</f>
        <v>2017</v>
      </c>
      <c r="V1430" s="28" t="n">
        <f aca="false">IFERROR(O1430*B1430,0)</f>
        <v>9541</v>
      </c>
      <c r="W1430" s="27" t="n">
        <f aca="false">IFERROR(N1430*B1430,0)</f>
        <v>406</v>
      </c>
      <c r="X1430" s="13" t="n">
        <f aca="false">IF(OR(ISNUMBER(SEARCH("live nation",L1430)),ISNUMBER(SEARCH("ocesa",L1430))),1,0)</f>
        <v>1</v>
      </c>
      <c r="Y1430" s="13" t="s">
        <v>49</v>
      </c>
    </row>
    <row r="1431" customFormat="false" ht="15" hidden="false" customHeight="false" outlineLevel="0" collapsed="false">
      <c r="A1431" s="30" t="n">
        <v>42826</v>
      </c>
      <c r="B1431" s="11" t="n">
        <v>1</v>
      </c>
      <c r="C1431" s="31" t="s">
        <v>1484</v>
      </c>
      <c r="D1431" s="31"/>
      <c r="E1431" s="11" t="s">
        <v>1376</v>
      </c>
      <c r="F1431" s="11" t="s">
        <v>1364</v>
      </c>
      <c r="G1431" s="11"/>
      <c r="H1431" s="11" t="s">
        <v>22</v>
      </c>
      <c r="I1431" s="11"/>
      <c r="J1431" s="11" t="s">
        <v>106</v>
      </c>
      <c r="K1431" s="11" t="s">
        <v>406</v>
      </c>
      <c r="L1431" s="11" t="s">
        <v>1485</v>
      </c>
      <c r="M1431" s="11" t="s">
        <v>100</v>
      </c>
      <c r="N1431" s="32" t="n">
        <v>442</v>
      </c>
      <c r="O1431" s="33" t="n">
        <v>64.13</v>
      </c>
      <c r="P1431" s="32" t="n">
        <v>687</v>
      </c>
      <c r="Q1431" s="34" t="n">
        <v>0.64</v>
      </c>
      <c r="R1431" s="33" t="n">
        <v>0.15</v>
      </c>
      <c r="S1431" s="33" t="n">
        <v>0</v>
      </c>
      <c r="T1431" s="33" t="n">
        <v>0.15</v>
      </c>
      <c r="U1431" s="11" t="n">
        <f aca="false">IFERROR(YEAR(A1431),"")</f>
        <v>2017</v>
      </c>
      <c r="V1431" s="33" t="n">
        <f aca="false">IFERROR(O1431*B1431,0)</f>
        <v>64.13</v>
      </c>
      <c r="W1431" s="32" t="n">
        <f aca="false">IFERROR(N1431*B1431,0)</f>
        <v>442</v>
      </c>
      <c r="X1431" s="11" t="n">
        <f aca="false">IF(OR(ISNUMBER(SEARCH("live nation",L1431)),ISNUMBER(SEARCH("ocesa",L1431))),1,0)</f>
        <v>0</v>
      </c>
      <c r="Y1431" s="11" t="s">
        <v>50</v>
      </c>
    </row>
    <row r="1432" customFormat="false" ht="15" hidden="false" customHeight="false" outlineLevel="0" collapsed="false">
      <c r="A1432" s="25" t="n">
        <v>42821</v>
      </c>
      <c r="B1432" s="13" t="n">
        <v>1</v>
      </c>
      <c r="C1432" s="26" t="s">
        <v>1398</v>
      </c>
      <c r="D1432" s="26" t="s">
        <v>1486</v>
      </c>
      <c r="E1432" s="13" t="s">
        <v>1146</v>
      </c>
      <c r="F1432" s="13" t="s">
        <v>1364</v>
      </c>
      <c r="G1432" s="13"/>
      <c r="H1432" s="13" t="s">
        <v>22</v>
      </c>
      <c r="I1432" s="13"/>
      <c r="J1432" s="13" t="s">
        <v>97</v>
      </c>
      <c r="K1432" s="13" t="s">
        <v>406</v>
      </c>
      <c r="L1432" s="13" t="s">
        <v>1400</v>
      </c>
      <c r="M1432" s="13" t="s">
        <v>100</v>
      </c>
      <c r="N1432" s="27" t="n">
        <v>8353</v>
      </c>
      <c r="O1432" s="28" t="n">
        <v>1099350.46</v>
      </c>
      <c r="P1432" s="27" t="n">
        <v>9396</v>
      </c>
      <c r="Q1432" s="29" t="n">
        <v>0.88</v>
      </c>
      <c r="R1432" s="28" t="n">
        <v>55.32</v>
      </c>
      <c r="S1432" s="28" t="n">
        <v>302.79</v>
      </c>
      <c r="T1432" s="28" t="n">
        <v>131.61</v>
      </c>
      <c r="U1432" s="13" t="n">
        <f aca="false">IFERROR(YEAR(A1432),"")</f>
        <v>2017</v>
      </c>
      <c r="V1432" s="28" t="n">
        <f aca="false">IFERROR(O1432*B1432,0)</f>
        <v>1099350.46</v>
      </c>
      <c r="W1432" s="27" t="n">
        <f aca="false">IFERROR(N1432*B1432,0)</f>
        <v>8353</v>
      </c>
      <c r="X1432" s="13" t="n">
        <f aca="false">IF(OR(ISNUMBER(SEARCH("live nation",L1432)),ISNUMBER(SEARCH("ocesa",L1432))),1,0)</f>
        <v>0</v>
      </c>
      <c r="Y1432" s="13" t="s">
        <v>50</v>
      </c>
    </row>
    <row r="1433" customFormat="false" ht="15" hidden="false" customHeight="false" outlineLevel="0" collapsed="false">
      <c r="A1433" s="30" t="n">
        <v>42817</v>
      </c>
      <c r="B1433" s="11" t="n">
        <v>2</v>
      </c>
      <c r="C1433" s="31" t="s">
        <v>60</v>
      </c>
      <c r="D1433" s="31"/>
      <c r="E1433" s="11" t="s">
        <v>506</v>
      </c>
      <c r="F1433" s="11" t="s">
        <v>507</v>
      </c>
      <c r="G1433" s="11" t="s">
        <v>221</v>
      </c>
      <c r="H1433" s="11" t="s">
        <v>20</v>
      </c>
      <c r="I1433" s="11" t="s">
        <v>139</v>
      </c>
      <c r="J1433" s="11" t="s">
        <v>97</v>
      </c>
      <c r="K1433" s="11" t="s">
        <v>107</v>
      </c>
      <c r="L1433" s="11" t="s">
        <v>531</v>
      </c>
      <c r="M1433" s="11" t="s">
        <v>100</v>
      </c>
      <c r="N1433" s="32" t="n">
        <v>11306</v>
      </c>
      <c r="O1433" s="33" t="n">
        <v>1674250</v>
      </c>
      <c r="P1433" s="32" t="n">
        <v>11306</v>
      </c>
      <c r="Q1433" s="34" t="n">
        <v>1</v>
      </c>
      <c r="R1433" s="33" t="n">
        <v>50</v>
      </c>
      <c r="S1433" s="33" t="n">
        <v>250</v>
      </c>
      <c r="T1433" s="33" t="n">
        <v>148.09</v>
      </c>
      <c r="U1433" s="11" t="n">
        <f aca="false">IFERROR(YEAR(A1433),"")</f>
        <v>2017</v>
      </c>
      <c r="V1433" s="33" t="n">
        <f aca="false">IFERROR(O1433*B1433,0)</f>
        <v>3348500</v>
      </c>
      <c r="W1433" s="32" t="n">
        <f aca="false">IFERROR(N1433*B1433,0)</f>
        <v>22612</v>
      </c>
      <c r="X1433" s="11" t="n">
        <f aca="false">IF(OR(ISNUMBER(SEARCH("live nation",L1433)),ISNUMBER(SEARCH("ocesa",L1433))),1,0)</f>
        <v>0</v>
      </c>
      <c r="Y1433" s="11" t="s">
        <v>49</v>
      </c>
    </row>
    <row r="1434" customFormat="false" ht="15" hidden="false" customHeight="false" outlineLevel="0" collapsed="false">
      <c r="A1434" s="25" t="n">
        <v>42816</v>
      </c>
      <c r="B1434" s="13" t="n">
        <v>1</v>
      </c>
      <c r="C1434" s="26" t="s">
        <v>1409</v>
      </c>
      <c r="D1434" s="26"/>
      <c r="E1434" s="13" t="s">
        <v>1270</v>
      </c>
      <c r="F1434" s="13" t="s">
        <v>313</v>
      </c>
      <c r="G1434" s="13"/>
      <c r="H1434" s="13" t="s">
        <v>27</v>
      </c>
      <c r="I1434" s="13"/>
      <c r="J1434" s="13" t="s">
        <v>121</v>
      </c>
      <c r="K1434" s="13" t="s">
        <v>314</v>
      </c>
      <c r="L1434" s="13" t="s">
        <v>122</v>
      </c>
      <c r="M1434" s="13" t="s">
        <v>100</v>
      </c>
      <c r="N1434" s="27" t="n">
        <v>2285</v>
      </c>
      <c r="O1434" s="28" t="n">
        <v>196973.33</v>
      </c>
      <c r="P1434" s="27" t="n">
        <v>2526</v>
      </c>
      <c r="Q1434" s="29" t="n">
        <v>0.9</v>
      </c>
      <c r="R1434" s="28" t="n">
        <v>48.47</v>
      </c>
      <c r="S1434" s="28" t="n">
        <v>210.06</v>
      </c>
      <c r="T1434" s="28" t="n">
        <v>86.2</v>
      </c>
      <c r="U1434" s="13" t="n">
        <f aca="false">IFERROR(YEAR(A1434),"")</f>
        <v>2017</v>
      </c>
      <c r="V1434" s="28" t="n">
        <f aca="false">IFERROR(O1434*B1434,0)</f>
        <v>196973.33</v>
      </c>
      <c r="W1434" s="27" t="n">
        <f aca="false">IFERROR(N1434*B1434,0)</f>
        <v>2285</v>
      </c>
      <c r="X1434" s="13" t="n">
        <f aca="false">IF(OR(ISNUMBER(SEARCH("live nation",L1434)),ISNUMBER(SEARCH("ocesa",L1434))),1,0)</f>
        <v>0</v>
      </c>
      <c r="Y1434" s="13" t="s">
        <v>49</v>
      </c>
    </row>
    <row r="1435" customFormat="false" ht="15" hidden="false" customHeight="false" outlineLevel="0" collapsed="false">
      <c r="A1435" s="30" t="n">
        <v>42813</v>
      </c>
      <c r="B1435" s="11" t="n">
        <v>2</v>
      </c>
      <c r="C1435" s="31" t="s">
        <v>60</v>
      </c>
      <c r="D1435" s="31"/>
      <c r="E1435" s="11" t="s">
        <v>1487</v>
      </c>
      <c r="F1435" s="11" t="s">
        <v>582</v>
      </c>
      <c r="G1435" s="11"/>
      <c r="H1435" s="11" t="s">
        <v>583</v>
      </c>
      <c r="I1435" s="11"/>
      <c r="J1435" s="11" t="s">
        <v>121</v>
      </c>
      <c r="K1435" s="11" t="s">
        <v>584</v>
      </c>
      <c r="L1435" s="11" t="s">
        <v>1403</v>
      </c>
      <c r="M1435" s="11" t="s">
        <v>100</v>
      </c>
      <c r="N1435" s="32" t="n">
        <v>7663</v>
      </c>
      <c r="O1435" s="33" t="n">
        <v>600615.46</v>
      </c>
      <c r="P1435" s="32" t="n">
        <v>7670</v>
      </c>
      <c r="Q1435" s="34" t="n">
        <v>0.99</v>
      </c>
      <c r="R1435" s="33" t="n">
        <v>19.29</v>
      </c>
      <c r="S1435" s="33" t="n">
        <v>208.96</v>
      </c>
      <c r="T1435" s="33" t="n">
        <v>78.37</v>
      </c>
      <c r="U1435" s="11" t="n">
        <f aca="false">IFERROR(YEAR(A1435),"")</f>
        <v>2017</v>
      </c>
      <c r="V1435" s="33" t="n">
        <f aca="false">IFERROR(O1435*B1435,0)</f>
        <v>1201230.92</v>
      </c>
      <c r="W1435" s="32" t="n">
        <f aca="false">IFERROR(N1435*B1435,0)</f>
        <v>15326</v>
      </c>
      <c r="X1435" s="11" t="n">
        <f aca="false">IF(OR(ISNUMBER(SEARCH("live nation",L1435)),ISNUMBER(SEARCH("ocesa",L1435))),1,0)</f>
        <v>0</v>
      </c>
      <c r="Y1435" s="11" t="s">
        <v>49</v>
      </c>
    </row>
    <row r="1436" customFormat="false" ht="15" hidden="false" customHeight="false" outlineLevel="0" collapsed="false">
      <c r="A1436" s="25" t="n">
        <v>42811</v>
      </c>
      <c r="B1436" s="13" t="n">
        <v>2</v>
      </c>
      <c r="C1436" s="26" t="s">
        <v>643</v>
      </c>
      <c r="D1436" s="26"/>
      <c r="E1436" s="13" t="s">
        <v>1357</v>
      </c>
      <c r="F1436" s="13" t="s">
        <v>313</v>
      </c>
      <c r="G1436" s="13"/>
      <c r="H1436" s="13" t="s">
        <v>27</v>
      </c>
      <c r="I1436" s="13"/>
      <c r="J1436" s="13" t="s">
        <v>97</v>
      </c>
      <c r="K1436" s="13" t="s">
        <v>314</v>
      </c>
      <c r="L1436" s="13" t="s">
        <v>860</v>
      </c>
      <c r="M1436" s="13" t="s">
        <v>100</v>
      </c>
      <c r="N1436" s="27" t="n">
        <v>8331</v>
      </c>
      <c r="O1436" s="28" t="n">
        <v>1103624.89</v>
      </c>
      <c r="P1436" s="27" t="n">
        <v>8335</v>
      </c>
      <c r="Q1436" s="29" t="n">
        <v>0.99</v>
      </c>
      <c r="R1436" s="28" t="n">
        <v>72.09</v>
      </c>
      <c r="S1436" s="28" t="n">
        <v>444.97</v>
      </c>
      <c r="T1436" s="28" t="n">
        <v>132.46</v>
      </c>
      <c r="U1436" s="13" t="n">
        <f aca="false">IFERROR(YEAR(A1436),"")</f>
        <v>2017</v>
      </c>
      <c r="V1436" s="28" t="n">
        <f aca="false">IFERROR(O1436*B1436,0)</f>
        <v>2207249.78</v>
      </c>
      <c r="W1436" s="27" t="n">
        <f aca="false">IFERROR(N1436*B1436,0)</f>
        <v>16662</v>
      </c>
      <c r="X1436" s="13" t="n">
        <f aca="false">IF(OR(ISNUMBER(SEARCH("live nation",L1436)),ISNUMBER(SEARCH("ocesa",L1436))),1,0)</f>
        <v>0</v>
      </c>
      <c r="Y1436" s="13" t="s">
        <v>49</v>
      </c>
    </row>
    <row r="1437" customFormat="false" ht="15" hidden="false" customHeight="false" outlineLevel="0" collapsed="false">
      <c r="A1437" s="30" t="n">
        <v>42811</v>
      </c>
      <c r="B1437" s="11" t="n">
        <v>2</v>
      </c>
      <c r="C1437" s="31" t="s">
        <v>968</v>
      </c>
      <c r="D1437" s="31" t="s">
        <v>1488</v>
      </c>
      <c r="E1437" s="11" t="s">
        <v>1388</v>
      </c>
      <c r="F1437" s="11" t="s">
        <v>132</v>
      </c>
      <c r="G1437" s="11"/>
      <c r="H1437" s="11" t="s">
        <v>23</v>
      </c>
      <c r="I1437" s="11"/>
      <c r="J1437" s="11" t="s">
        <v>97</v>
      </c>
      <c r="K1437" s="11" t="s">
        <v>134</v>
      </c>
      <c r="L1437" s="11" t="s">
        <v>1325</v>
      </c>
      <c r="M1437" s="11" t="s">
        <v>100</v>
      </c>
      <c r="N1437" s="32" t="n">
        <v>10786</v>
      </c>
      <c r="O1437" s="33" t="n">
        <v>729877.21</v>
      </c>
      <c r="P1437" s="32" t="n">
        <v>11500</v>
      </c>
      <c r="Q1437" s="34" t="n">
        <v>0.93</v>
      </c>
      <c r="R1437" s="33" t="n">
        <v>50.11</v>
      </c>
      <c r="S1437" s="33" t="n">
        <v>225.5</v>
      </c>
      <c r="T1437" s="33" t="n">
        <v>67.67</v>
      </c>
      <c r="U1437" s="11" t="n">
        <f aca="false">IFERROR(YEAR(A1437),"")</f>
        <v>2017</v>
      </c>
      <c r="V1437" s="33" t="n">
        <f aca="false">IFERROR(O1437*B1437,0)</f>
        <v>1459754.42</v>
      </c>
      <c r="W1437" s="32" t="n">
        <f aca="false">IFERROR(N1437*B1437,0)</f>
        <v>21572</v>
      </c>
      <c r="X1437" s="11" t="n">
        <f aca="false">IF(OR(ISNUMBER(SEARCH("live nation",L1437)),ISNUMBER(SEARCH("ocesa",L1437))),1,0)</f>
        <v>0</v>
      </c>
      <c r="Y1437" s="11" t="s">
        <v>49</v>
      </c>
    </row>
    <row r="1438" customFormat="false" ht="15" hidden="false" customHeight="false" outlineLevel="0" collapsed="false">
      <c r="A1438" s="25" t="n">
        <v>42804</v>
      </c>
      <c r="B1438" s="13" t="n">
        <v>3</v>
      </c>
      <c r="C1438" s="26" t="s">
        <v>1353</v>
      </c>
      <c r="D1438" s="26"/>
      <c r="E1438" s="13" t="s">
        <v>1146</v>
      </c>
      <c r="F1438" s="13" t="s">
        <v>1364</v>
      </c>
      <c r="G1438" s="13"/>
      <c r="H1438" s="13" t="s">
        <v>22</v>
      </c>
      <c r="I1438" s="13"/>
      <c r="J1438" s="13" t="s">
        <v>97</v>
      </c>
      <c r="K1438" s="13" t="s">
        <v>406</v>
      </c>
      <c r="L1438" s="13" t="s">
        <v>1489</v>
      </c>
      <c r="M1438" s="13" t="s">
        <v>100</v>
      </c>
      <c r="N1438" s="27" t="n">
        <v>18135</v>
      </c>
      <c r="O1438" s="28" t="n">
        <v>3142695.2</v>
      </c>
      <c r="P1438" s="27" t="n">
        <v>18135</v>
      </c>
      <c r="Q1438" s="29" t="n">
        <v>1</v>
      </c>
      <c r="R1438" s="28" t="n">
        <v>98.99</v>
      </c>
      <c r="S1438" s="28" t="n">
        <v>302.79</v>
      </c>
      <c r="T1438" s="28" t="n">
        <v>173.29</v>
      </c>
      <c r="U1438" s="13" t="n">
        <f aca="false">IFERROR(YEAR(A1438),"")</f>
        <v>2017</v>
      </c>
      <c r="V1438" s="28" t="n">
        <f aca="false">IFERROR(O1438*B1438,0)</f>
        <v>9428085.6</v>
      </c>
      <c r="W1438" s="27" t="n">
        <f aca="false">IFERROR(N1438*B1438,0)</f>
        <v>54405</v>
      </c>
      <c r="X1438" s="13" t="n">
        <f aca="false">IF(OR(ISNUMBER(SEARCH("live nation",L1438)),ISNUMBER(SEARCH("ocesa",L1438))),1,0)</f>
        <v>0</v>
      </c>
      <c r="Y1438" s="13" t="s">
        <v>50</v>
      </c>
    </row>
    <row r="1439" customFormat="false" ht="15" hidden="false" customHeight="false" outlineLevel="0" collapsed="false">
      <c r="A1439" s="30" t="n">
        <v>42791</v>
      </c>
      <c r="B1439" s="11" t="n">
        <v>1</v>
      </c>
      <c r="C1439" s="31" t="s">
        <v>1341</v>
      </c>
      <c r="D1439" s="31"/>
      <c r="E1439" s="11" t="s">
        <v>1270</v>
      </c>
      <c r="F1439" s="11" t="s">
        <v>313</v>
      </c>
      <c r="G1439" s="11"/>
      <c r="H1439" s="11" t="s">
        <v>27</v>
      </c>
      <c r="I1439" s="11"/>
      <c r="J1439" s="11" t="s">
        <v>121</v>
      </c>
      <c r="K1439" s="11" t="s">
        <v>314</v>
      </c>
      <c r="L1439" s="11" t="s">
        <v>1406</v>
      </c>
      <c r="M1439" s="11" t="s">
        <v>100</v>
      </c>
      <c r="N1439" s="32" t="n">
        <v>2840</v>
      </c>
      <c r="O1439" s="33" t="n">
        <v>72520.87</v>
      </c>
      <c r="P1439" s="32" t="n">
        <v>4814</v>
      </c>
      <c r="Q1439" s="34" t="n">
        <v>0.58</v>
      </c>
      <c r="R1439" s="33" t="n">
        <v>18.77</v>
      </c>
      <c r="S1439" s="33" t="n">
        <v>36.28</v>
      </c>
      <c r="T1439" s="33" t="n">
        <v>25.54</v>
      </c>
      <c r="U1439" s="11" t="n">
        <f aca="false">IFERROR(YEAR(A1439),"")</f>
        <v>2017</v>
      </c>
      <c r="V1439" s="33" t="n">
        <f aca="false">IFERROR(O1439*B1439,0)</f>
        <v>72520.87</v>
      </c>
      <c r="W1439" s="32" t="n">
        <f aca="false">IFERROR(N1439*B1439,0)</f>
        <v>2840</v>
      </c>
      <c r="X1439" s="11" t="n">
        <f aca="false">IF(OR(ISNUMBER(SEARCH("live nation",L1439)),ISNUMBER(SEARCH("ocesa",L1439))),1,0)</f>
        <v>0</v>
      </c>
      <c r="Y1439" s="11" t="s">
        <v>49</v>
      </c>
    </row>
    <row r="1440" customFormat="false" ht="15" hidden="false" customHeight="false" outlineLevel="0" collapsed="false">
      <c r="A1440" s="25" t="n">
        <v>42785</v>
      </c>
      <c r="B1440" s="13" t="n">
        <v>1</v>
      </c>
      <c r="C1440" s="26" t="s">
        <v>1490</v>
      </c>
      <c r="D1440" s="26"/>
      <c r="E1440" s="13" t="s">
        <v>1097</v>
      </c>
      <c r="F1440" s="13" t="s">
        <v>535</v>
      </c>
      <c r="G1440" s="13" t="s">
        <v>202</v>
      </c>
      <c r="H1440" s="13" t="s">
        <v>20</v>
      </c>
      <c r="I1440" s="13" t="s">
        <v>232</v>
      </c>
      <c r="J1440" s="13" t="s">
        <v>121</v>
      </c>
      <c r="K1440" s="13" t="s">
        <v>107</v>
      </c>
      <c r="L1440" s="13" t="s">
        <v>791</v>
      </c>
      <c r="M1440" s="13" t="s">
        <v>100</v>
      </c>
      <c r="N1440" s="27" t="n">
        <v>1007</v>
      </c>
      <c r="O1440" s="28" t="n">
        <v>106507</v>
      </c>
      <c r="P1440" s="27" t="n">
        <v>2454</v>
      </c>
      <c r="Q1440" s="29" t="n">
        <v>0.41</v>
      </c>
      <c r="R1440" s="28" t="n">
        <v>50</v>
      </c>
      <c r="S1440" s="28" t="n">
        <v>150</v>
      </c>
      <c r="T1440" s="28" t="n">
        <v>105.77</v>
      </c>
      <c r="U1440" s="13" t="n">
        <f aca="false">IFERROR(YEAR(A1440),"")</f>
        <v>2017</v>
      </c>
      <c r="V1440" s="28" t="n">
        <f aca="false">IFERROR(O1440*B1440,0)</f>
        <v>106507</v>
      </c>
      <c r="W1440" s="27" t="n">
        <f aca="false">IFERROR(N1440*B1440,0)</f>
        <v>1007</v>
      </c>
      <c r="X1440" s="13" t="n">
        <f aca="false">IF(OR(ISNUMBER(SEARCH("live nation",L1440)),ISNUMBER(SEARCH("ocesa",L1440))),1,0)</f>
        <v>0</v>
      </c>
      <c r="Y1440" s="13" t="s">
        <v>49</v>
      </c>
    </row>
    <row r="1441" customFormat="false" ht="15" hidden="false" customHeight="false" outlineLevel="0" collapsed="false">
      <c r="A1441" s="30" t="n">
        <v>42767</v>
      </c>
      <c r="B1441" s="11" t="n">
        <v>2</v>
      </c>
      <c r="C1441" s="31" t="s">
        <v>1491</v>
      </c>
      <c r="D1441" s="31"/>
      <c r="E1441" s="11" t="s">
        <v>1376</v>
      </c>
      <c r="F1441" s="11" t="s">
        <v>1364</v>
      </c>
      <c r="G1441" s="11"/>
      <c r="H1441" s="11" t="s">
        <v>22</v>
      </c>
      <c r="I1441" s="11"/>
      <c r="J1441" s="11" t="s">
        <v>106</v>
      </c>
      <c r="K1441" s="11" t="s">
        <v>406</v>
      </c>
      <c r="L1441" s="11" t="s">
        <v>1492</v>
      </c>
      <c r="M1441" s="11" t="s">
        <v>100</v>
      </c>
      <c r="N1441" s="32" t="n">
        <v>467</v>
      </c>
      <c r="O1441" s="33" t="n">
        <v>18909.79</v>
      </c>
      <c r="P1441" s="32" t="n">
        <v>600</v>
      </c>
      <c r="Q1441" s="34" t="n">
        <v>0.77</v>
      </c>
      <c r="R1441" s="33" t="n">
        <v>17.28</v>
      </c>
      <c r="S1441" s="33" t="n">
        <v>86.38</v>
      </c>
      <c r="T1441" s="33" t="n">
        <v>40.45</v>
      </c>
      <c r="U1441" s="11" t="n">
        <f aca="false">IFERROR(YEAR(A1441),"")</f>
        <v>2017</v>
      </c>
      <c r="V1441" s="33" t="n">
        <f aca="false">IFERROR(O1441*B1441,0)</f>
        <v>37819.58</v>
      </c>
      <c r="W1441" s="32" t="n">
        <f aca="false">IFERROR(N1441*B1441,0)</f>
        <v>934</v>
      </c>
      <c r="X1441" s="11" t="n">
        <f aca="false">IF(OR(ISNUMBER(SEARCH("live nation",L1441)),ISNUMBER(SEARCH("ocesa",L1441))),1,0)</f>
        <v>0</v>
      </c>
      <c r="Y1441" s="11" t="s">
        <v>50</v>
      </c>
    </row>
    <row r="1442" customFormat="false" ht="15" hidden="false" customHeight="false" outlineLevel="0" collapsed="false">
      <c r="A1442" s="25" t="n">
        <v>42760</v>
      </c>
      <c r="B1442" s="13" t="n">
        <v>1</v>
      </c>
      <c r="C1442" s="26" t="s">
        <v>1291</v>
      </c>
      <c r="D1442" s="26"/>
      <c r="E1442" s="13" t="s">
        <v>487</v>
      </c>
      <c r="F1442" s="13" t="s">
        <v>207</v>
      </c>
      <c r="G1442" s="13" t="s">
        <v>208</v>
      </c>
      <c r="H1442" s="13" t="s">
        <v>20</v>
      </c>
      <c r="I1442" s="13" t="s">
        <v>209</v>
      </c>
      <c r="J1442" s="13" t="s">
        <v>121</v>
      </c>
      <c r="K1442" s="13" t="s">
        <v>107</v>
      </c>
      <c r="L1442" s="13" t="s">
        <v>1279</v>
      </c>
      <c r="M1442" s="13" t="s">
        <v>251</v>
      </c>
      <c r="N1442" s="27" t="n">
        <v>2843</v>
      </c>
      <c r="O1442" s="28" t="n">
        <v>370410</v>
      </c>
      <c r="P1442" s="27" t="n">
        <v>3741</v>
      </c>
      <c r="Q1442" s="29" t="n">
        <v>0.75</v>
      </c>
      <c r="R1442" s="28" t="n">
        <v>65</v>
      </c>
      <c r="S1442" s="28" t="n">
        <v>205</v>
      </c>
      <c r="T1442" s="28" t="n">
        <v>130.29</v>
      </c>
      <c r="U1442" s="13" t="n">
        <f aca="false">IFERROR(YEAR(A1442),"")</f>
        <v>2017</v>
      </c>
      <c r="V1442" s="28" t="n">
        <f aca="false">IFERROR(O1442*B1442,0)</f>
        <v>370410</v>
      </c>
      <c r="W1442" s="27" t="n">
        <f aca="false">IFERROR(N1442*B1442,0)</f>
        <v>2843</v>
      </c>
      <c r="X1442" s="13" t="n">
        <f aca="false">IF(OR(ISNUMBER(SEARCH("live nation",L1442)),ISNUMBER(SEARCH("ocesa",L1442))),1,0)</f>
        <v>0</v>
      </c>
      <c r="Y1442" s="13" t="s">
        <v>49</v>
      </c>
    </row>
    <row r="1443" customFormat="false" ht="15" hidden="false" customHeight="false" outlineLevel="0" collapsed="false">
      <c r="A1443" s="30" t="n">
        <v>42726</v>
      </c>
      <c r="B1443" s="11" t="n">
        <v>1</v>
      </c>
      <c r="C1443" s="31" t="s">
        <v>1493</v>
      </c>
      <c r="D1443" s="31"/>
      <c r="E1443" s="11" t="s">
        <v>1376</v>
      </c>
      <c r="F1443" s="11" t="s">
        <v>1364</v>
      </c>
      <c r="G1443" s="11"/>
      <c r="H1443" s="11" t="s">
        <v>22</v>
      </c>
      <c r="I1443" s="11"/>
      <c r="J1443" s="11" t="s">
        <v>106</v>
      </c>
      <c r="K1443" s="11" t="s">
        <v>406</v>
      </c>
      <c r="L1443" s="11" t="s">
        <v>1365</v>
      </c>
      <c r="M1443" s="11" t="s">
        <v>100</v>
      </c>
      <c r="N1443" s="32" t="n">
        <v>500</v>
      </c>
      <c r="O1443" s="33" t="n">
        <v>24024.53</v>
      </c>
      <c r="P1443" s="32" t="n">
        <v>500</v>
      </c>
      <c r="Q1443" s="34" t="n">
        <v>1</v>
      </c>
      <c r="R1443" s="33" t="n">
        <v>26.13</v>
      </c>
      <c r="S1443" s="33" t="n">
        <v>98.72</v>
      </c>
      <c r="T1443" s="33" t="n">
        <v>48.05</v>
      </c>
      <c r="U1443" s="11" t="n">
        <f aca="false">IFERROR(YEAR(A1443),"")</f>
        <v>2016</v>
      </c>
      <c r="V1443" s="33" t="n">
        <f aca="false">IFERROR(O1443*B1443,0)</f>
        <v>24024.53</v>
      </c>
      <c r="W1443" s="32" t="n">
        <f aca="false">IFERROR(N1443*B1443,0)</f>
        <v>500</v>
      </c>
      <c r="X1443" s="11" t="n">
        <f aca="false">IF(OR(ISNUMBER(SEARCH("live nation",L1443)),ISNUMBER(SEARCH("ocesa",L1443))),1,0)</f>
        <v>0</v>
      </c>
      <c r="Y1443" s="11" t="s">
        <v>50</v>
      </c>
    </row>
    <row r="1444" customFormat="false" ht="15" hidden="false" customHeight="false" outlineLevel="0" collapsed="false">
      <c r="A1444" s="25" t="n">
        <v>42720</v>
      </c>
      <c r="B1444" s="13" t="n">
        <v>2</v>
      </c>
      <c r="C1444" s="26" t="s">
        <v>1409</v>
      </c>
      <c r="D1444" s="26"/>
      <c r="E1444" s="13" t="s">
        <v>1146</v>
      </c>
      <c r="F1444" s="13" t="s">
        <v>1364</v>
      </c>
      <c r="G1444" s="13"/>
      <c r="H1444" s="13" t="s">
        <v>22</v>
      </c>
      <c r="I1444" s="13"/>
      <c r="J1444" s="13" t="s">
        <v>97</v>
      </c>
      <c r="K1444" s="13" t="s">
        <v>406</v>
      </c>
      <c r="L1444" s="13" t="s">
        <v>1494</v>
      </c>
      <c r="M1444" s="13" t="s">
        <v>100</v>
      </c>
      <c r="N1444" s="27" t="n">
        <v>9409</v>
      </c>
      <c r="O1444" s="28" t="n">
        <v>1094902.56</v>
      </c>
      <c r="P1444" s="27" t="n">
        <v>10578</v>
      </c>
      <c r="Q1444" s="29" t="n">
        <v>0.88</v>
      </c>
      <c r="R1444" s="28" t="n">
        <v>55.17</v>
      </c>
      <c r="S1444" s="28" t="n">
        <v>229.38</v>
      </c>
      <c r="T1444" s="28" t="n">
        <v>116.36</v>
      </c>
      <c r="U1444" s="13" t="n">
        <f aca="false">IFERROR(YEAR(A1444),"")</f>
        <v>2016</v>
      </c>
      <c r="V1444" s="28" t="n">
        <f aca="false">IFERROR(O1444*B1444,0)</f>
        <v>2189805.12</v>
      </c>
      <c r="W1444" s="27" t="n">
        <f aca="false">IFERROR(N1444*B1444,0)</f>
        <v>18818</v>
      </c>
      <c r="X1444" s="13" t="n">
        <f aca="false">IF(OR(ISNUMBER(SEARCH("live nation",L1444)),ISNUMBER(SEARCH("ocesa",L1444))),1,0)</f>
        <v>0</v>
      </c>
      <c r="Y1444" s="13" t="s">
        <v>50</v>
      </c>
    </row>
    <row r="1445" customFormat="false" ht="15" hidden="false" customHeight="false" outlineLevel="0" collapsed="false">
      <c r="A1445" s="30" t="n">
        <v>42693</v>
      </c>
      <c r="B1445" s="11" t="n">
        <v>1</v>
      </c>
      <c r="C1445" s="31" t="s">
        <v>1495</v>
      </c>
      <c r="D1445" s="31"/>
      <c r="E1445" s="11" t="s">
        <v>1465</v>
      </c>
      <c r="F1445" s="11" t="s">
        <v>139</v>
      </c>
      <c r="G1445" s="11" t="s">
        <v>139</v>
      </c>
      <c r="H1445" s="11" t="s">
        <v>20</v>
      </c>
      <c r="I1445" s="11" t="s">
        <v>139</v>
      </c>
      <c r="J1445" s="11" t="s">
        <v>106</v>
      </c>
      <c r="K1445" s="11" t="s">
        <v>107</v>
      </c>
      <c r="L1445" s="11" t="s">
        <v>531</v>
      </c>
      <c r="M1445" s="11" t="s">
        <v>100</v>
      </c>
      <c r="N1445" s="32" t="n">
        <v>1197</v>
      </c>
      <c r="O1445" s="33" t="n">
        <v>75053</v>
      </c>
      <c r="P1445" s="32" t="n">
        <v>2150</v>
      </c>
      <c r="Q1445" s="34" t="n">
        <v>0.55</v>
      </c>
      <c r="R1445" s="33" t="n">
        <v>32.5</v>
      </c>
      <c r="S1445" s="33" t="n">
        <v>150</v>
      </c>
      <c r="T1445" s="33" t="n">
        <v>62.7</v>
      </c>
      <c r="U1445" s="11" t="n">
        <f aca="false">IFERROR(YEAR(A1445),"")</f>
        <v>2016</v>
      </c>
      <c r="V1445" s="33" t="n">
        <f aca="false">IFERROR(O1445*B1445,0)</f>
        <v>75053</v>
      </c>
      <c r="W1445" s="32" t="n">
        <f aca="false">IFERROR(N1445*B1445,0)</f>
        <v>1197</v>
      </c>
      <c r="X1445" s="11" t="n">
        <f aca="false">IF(OR(ISNUMBER(SEARCH("live nation",L1445)),ISNUMBER(SEARCH("ocesa",L1445))),1,0)</f>
        <v>0</v>
      </c>
      <c r="Y1445" s="11" t="s">
        <v>49</v>
      </c>
    </row>
    <row r="1446" customFormat="false" ht="15" hidden="false" customHeight="false" outlineLevel="0" collapsed="false">
      <c r="A1446" s="25" t="n">
        <v>42692</v>
      </c>
      <c r="B1446" s="13" t="n">
        <v>3</v>
      </c>
      <c r="C1446" s="26" t="s">
        <v>1353</v>
      </c>
      <c r="D1446" s="26"/>
      <c r="E1446" s="13" t="s">
        <v>1146</v>
      </c>
      <c r="F1446" s="13" t="s">
        <v>1364</v>
      </c>
      <c r="G1446" s="13"/>
      <c r="H1446" s="13" t="s">
        <v>22</v>
      </c>
      <c r="I1446" s="13"/>
      <c r="J1446" s="13" t="s">
        <v>97</v>
      </c>
      <c r="K1446" s="13" t="s">
        <v>406</v>
      </c>
      <c r="L1446" s="13" t="s">
        <v>1489</v>
      </c>
      <c r="M1446" s="13" t="s">
        <v>100</v>
      </c>
      <c r="N1446" s="27" t="n">
        <v>18253</v>
      </c>
      <c r="O1446" s="28" t="n">
        <v>2814674</v>
      </c>
      <c r="P1446" s="27" t="n">
        <v>18300</v>
      </c>
      <c r="Q1446" s="29" t="n">
        <v>0.99</v>
      </c>
      <c r="R1446" s="28" t="n">
        <v>99</v>
      </c>
      <c r="S1446" s="28" t="n">
        <v>302.83</v>
      </c>
      <c r="T1446" s="28" t="n">
        <v>154.2</v>
      </c>
      <c r="U1446" s="13" t="n">
        <f aca="false">IFERROR(YEAR(A1446),"")</f>
        <v>2016</v>
      </c>
      <c r="V1446" s="28" t="n">
        <f aca="false">IFERROR(O1446*B1446,0)</f>
        <v>8444022</v>
      </c>
      <c r="W1446" s="27" t="n">
        <f aca="false">IFERROR(N1446*B1446,0)</f>
        <v>54759</v>
      </c>
      <c r="X1446" s="13" t="n">
        <f aca="false">IF(OR(ISNUMBER(SEARCH("live nation",L1446)),ISNUMBER(SEARCH("ocesa",L1446))),1,0)</f>
        <v>0</v>
      </c>
      <c r="Y1446" s="13" t="s">
        <v>50</v>
      </c>
    </row>
    <row r="1447" customFormat="false" ht="15" hidden="false" customHeight="false" outlineLevel="0" collapsed="false">
      <c r="A1447" s="30" t="n">
        <v>42688</v>
      </c>
      <c r="B1447" s="11" t="n">
        <v>1</v>
      </c>
      <c r="C1447" s="31" t="s">
        <v>1496</v>
      </c>
      <c r="D1447" s="31"/>
      <c r="E1447" s="11" t="s">
        <v>1497</v>
      </c>
      <c r="F1447" s="11" t="s">
        <v>550</v>
      </c>
      <c r="G1447" s="11" t="s">
        <v>328</v>
      </c>
      <c r="H1447" s="11" t="s">
        <v>128</v>
      </c>
      <c r="I1447" s="11"/>
      <c r="J1447" s="11" t="s">
        <v>239</v>
      </c>
      <c r="K1447" s="11" t="s">
        <v>129</v>
      </c>
      <c r="L1447" s="11" t="s">
        <v>791</v>
      </c>
      <c r="M1447" s="11" t="s">
        <v>100</v>
      </c>
      <c r="N1447" s="32" t="n">
        <v>1510</v>
      </c>
      <c r="O1447" s="33" t="n">
        <v>157626.69</v>
      </c>
      <c r="P1447" s="32" t="n">
        <v>2522</v>
      </c>
      <c r="Q1447" s="34" t="n">
        <v>0.59</v>
      </c>
      <c r="R1447" s="33" t="n">
        <v>70.87</v>
      </c>
      <c r="S1447" s="33" t="n">
        <v>261.08</v>
      </c>
      <c r="T1447" s="33" t="n">
        <v>104.39</v>
      </c>
      <c r="U1447" s="11" t="n">
        <f aca="false">IFERROR(YEAR(A1447),"")</f>
        <v>2016</v>
      </c>
      <c r="V1447" s="33" t="n">
        <f aca="false">IFERROR(O1447*B1447,0)</f>
        <v>157626.69</v>
      </c>
      <c r="W1447" s="32" t="n">
        <f aca="false">IFERROR(N1447*B1447,0)</f>
        <v>1510</v>
      </c>
      <c r="X1447" s="11" t="n">
        <f aca="false">IF(OR(ISNUMBER(SEARCH("live nation",L1447)),ISNUMBER(SEARCH("ocesa",L1447))),1,0)</f>
        <v>0</v>
      </c>
      <c r="Y1447" s="11" t="s">
        <v>49</v>
      </c>
    </row>
    <row r="1448" customFormat="false" ht="15" hidden="false" customHeight="false" outlineLevel="0" collapsed="false">
      <c r="A1448" s="25" t="n">
        <v>42684</v>
      </c>
      <c r="B1448" s="13" t="n">
        <v>1</v>
      </c>
      <c r="C1448" s="26" t="s">
        <v>1496</v>
      </c>
      <c r="D1448" s="26"/>
      <c r="E1448" s="13" t="s">
        <v>540</v>
      </c>
      <c r="F1448" s="13" t="s">
        <v>209</v>
      </c>
      <c r="G1448" s="13" t="s">
        <v>208</v>
      </c>
      <c r="H1448" s="13" t="s">
        <v>20</v>
      </c>
      <c r="I1448" s="13" t="s">
        <v>209</v>
      </c>
      <c r="J1448" s="13" t="s">
        <v>121</v>
      </c>
      <c r="K1448" s="13" t="s">
        <v>107</v>
      </c>
      <c r="L1448" s="13" t="s">
        <v>1498</v>
      </c>
      <c r="M1448" s="13" t="s">
        <v>100</v>
      </c>
      <c r="N1448" s="27" t="n">
        <v>1506</v>
      </c>
      <c r="O1448" s="28" t="n">
        <v>197586</v>
      </c>
      <c r="P1448" s="27" t="n">
        <v>2461</v>
      </c>
      <c r="Q1448" s="29" t="n">
        <v>0.61</v>
      </c>
      <c r="R1448" s="28" t="n">
        <v>78.5</v>
      </c>
      <c r="S1448" s="28" t="n">
        <v>303.5</v>
      </c>
      <c r="T1448" s="28" t="n">
        <v>131.2</v>
      </c>
      <c r="U1448" s="13" t="n">
        <f aca="false">IFERROR(YEAR(A1448),"")</f>
        <v>2016</v>
      </c>
      <c r="V1448" s="28" t="n">
        <f aca="false">IFERROR(O1448*B1448,0)</f>
        <v>197586</v>
      </c>
      <c r="W1448" s="27" t="n">
        <f aca="false">IFERROR(N1448*B1448,0)</f>
        <v>1506</v>
      </c>
      <c r="X1448" s="13" t="n">
        <f aca="false">IF(OR(ISNUMBER(SEARCH("live nation",L1448)),ISNUMBER(SEARCH("ocesa",L1448))),1,0)</f>
        <v>0</v>
      </c>
      <c r="Y1448" s="13" t="s">
        <v>49</v>
      </c>
    </row>
    <row r="1449" customFormat="false" ht="15" hidden="false" customHeight="false" outlineLevel="0" collapsed="false">
      <c r="A1449" s="30" t="n">
        <v>42678</v>
      </c>
      <c r="B1449" s="11" t="n">
        <v>1</v>
      </c>
      <c r="C1449" s="31" t="s">
        <v>1496</v>
      </c>
      <c r="D1449" s="31"/>
      <c r="E1449" s="11" t="s">
        <v>1256</v>
      </c>
      <c r="F1449" s="11" t="s">
        <v>203</v>
      </c>
      <c r="G1449" s="11" t="s">
        <v>202</v>
      </c>
      <c r="H1449" s="11" t="s">
        <v>20</v>
      </c>
      <c r="I1449" s="11" t="s">
        <v>203</v>
      </c>
      <c r="J1449" s="11" t="s">
        <v>121</v>
      </c>
      <c r="K1449" s="11" t="s">
        <v>107</v>
      </c>
      <c r="L1449" s="11" t="s">
        <v>531</v>
      </c>
      <c r="M1449" s="11" t="s">
        <v>100</v>
      </c>
      <c r="N1449" s="32" t="n">
        <v>3264</v>
      </c>
      <c r="O1449" s="33" t="n">
        <v>274910</v>
      </c>
      <c r="P1449" s="32" t="n">
        <v>4002</v>
      </c>
      <c r="Q1449" s="34" t="n">
        <v>0.81</v>
      </c>
      <c r="R1449" s="33" t="n">
        <v>50</v>
      </c>
      <c r="S1449" s="33" t="n">
        <v>125</v>
      </c>
      <c r="T1449" s="33" t="n">
        <v>84.22</v>
      </c>
      <c r="U1449" s="11" t="n">
        <f aca="false">IFERROR(YEAR(A1449),"")</f>
        <v>2016</v>
      </c>
      <c r="V1449" s="33" t="n">
        <f aca="false">IFERROR(O1449*B1449,0)</f>
        <v>274910</v>
      </c>
      <c r="W1449" s="32" t="n">
        <f aca="false">IFERROR(N1449*B1449,0)</f>
        <v>3264</v>
      </c>
      <c r="X1449" s="11" t="n">
        <f aca="false">IF(OR(ISNUMBER(SEARCH("live nation",L1449)),ISNUMBER(SEARCH("ocesa",L1449))),1,0)</f>
        <v>0</v>
      </c>
      <c r="Y1449" s="11" t="s">
        <v>49</v>
      </c>
    </row>
    <row r="1450" customFormat="false" ht="15" hidden="false" customHeight="false" outlineLevel="0" collapsed="false">
      <c r="A1450" s="25" t="n">
        <v>42674</v>
      </c>
      <c r="B1450" s="13" t="n">
        <v>1</v>
      </c>
      <c r="C1450" s="26" t="s">
        <v>1496</v>
      </c>
      <c r="D1450" s="26"/>
      <c r="E1450" s="13" t="s">
        <v>1499</v>
      </c>
      <c r="F1450" s="13" t="s">
        <v>306</v>
      </c>
      <c r="G1450" s="13" t="s">
        <v>188</v>
      </c>
      <c r="H1450" s="13" t="s">
        <v>20</v>
      </c>
      <c r="I1450" s="13" t="s">
        <v>307</v>
      </c>
      <c r="J1450" s="13" t="s">
        <v>106</v>
      </c>
      <c r="K1450" s="13" t="s">
        <v>107</v>
      </c>
      <c r="L1450" s="13" t="s">
        <v>531</v>
      </c>
      <c r="M1450" s="13" t="s">
        <v>100</v>
      </c>
      <c r="N1450" s="27" t="n">
        <v>1350</v>
      </c>
      <c r="O1450" s="28" t="n">
        <v>142230</v>
      </c>
      <c r="P1450" s="27" t="n">
        <v>1850</v>
      </c>
      <c r="Q1450" s="29" t="n">
        <v>0.72</v>
      </c>
      <c r="R1450" s="28" t="n">
        <v>75</v>
      </c>
      <c r="S1450" s="28" t="n">
        <v>300</v>
      </c>
      <c r="T1450" s="28" t="n">
        <v>105.36</v>
      </c>
      <c r="U1450" s="13" t="n">
        <f aca="false">IFERROR(YEAR(A1450),"")</f>
        <v>2016</v>
      </c>
      <c r="V1450" s="28" t="n">
        <f aca="false">IFERROR(O1450*B1450,0)</f>
        <v>142230</v>
      </c>
      <c r="W1450" s="27" t="n">
        <f aca="false">IFERROR(N1450*B1450,0)</f>
        <v>1350</v>
      </c>
      <c r="X1450" s="13" t="n">
        <f aca="false">IF(OR(ISNUMBER(SEARCH("live nation",L1450)),ISNUMBER(SEARCH("ocesa",L1450))),1,0)</f>
        <v>0</v>
      </c>
      <c r="Y1450" s="13" t="s">
        <v>49</v>
      </c>
    </row>
    <row r="1451" customFormat="false" ht="15" hidden="false" customHeight="false" outlineLevel="0" collapsed="false">
      <c r="A1451" s="30" t="n">
        <v>42673</v>
      </c>
      <c r="B1451" s="11" t="n">
        <v>1</v>
      </c>
      <c r="C1451" s="31" t="s">
        <v>1500</v>
      </c>
      <c r="D1451" s="31"/>
      <c r="E1451" s="11" t="s">
        <v>1501</v>
      </c>
      <c r="F1451" s="11" t="s">
        <v>1502</v>
      </c>
      <c r="G1451" s="11"/>
      <c r="H1451" s="11" t="s">
        <v>28</v>
      </c>
      <c r="I1451" s="11"/>
      <c r="J1451" s="11" t="s">
        <v>121</v>
      </c>
      <c r="K1451" s="11" t="s">
        <v>98</v>
      </c>
      <c r="L1451" s="11" t="s">
        <v>1503</v>
      </c>
      <c r="M1451" s="11" t="s">
        <v>100</v>
      </c>
      <c r="N1451" s="32" t="n">
        <v>2896</v>
      </c>
      <c r="O1451" s="33" t="n">
        <v>132653.6</v>
      </c>
      <c r="P1451" s="32" t="n">
        <v>2896</v>
      </c>
      <c r="Q1451" s="34" t="n">
        <v>1</v>
      </c>
      <c r="R1451" s="33" t="n">
        <v>45.81</v>
      </c>
      <c r="S1451" s="33" t="n">
        <v>0</v>
      </c>
      <c r="T1451" s="33" t="n">
        <v>45.81</v>
      </c>
      <c r="U1451" s="11" t="n">
        <f aca="false">IFERROR(YEAR(A1451),"")</f>
        <v>2016</v>
      </c>
      <c r="V1451" s="33" t="n">
        <f aca="false">IFERROR(O1451*B1451,0)</f>
        <v>132653.6</v>
      </c>
      <c r="W1451" s="32" t="n">
        <f aca="false">IFERROR(N1451*B1451,0)</f>
        <v>2896</v>
      </c>
      <c r="X1451" s="11" t="n">
        <f aca="false">IF(OR(ISNUMBER(SEARCH("live nation",L1451)),ISNUMBER(SEARCH("ocesa",L1451))),1,0)</f>
        <v>0</v>
      </c>
      <c r="Y1451" s="11" t="s">
        <v>49</v>
      </c>
    </row>
    <row r="1452" customFormat="false" ht="15" hidden="false" customHeight="false" outlineLevel="0" collapsed="false">
      <c r="A1452" s="25" t="n">
        <v>42672</v>
      </c>
      <c r="B1452" s="13" t="n">
        <v>1</v>
      </c>
      <c r="C1452" s="26" t="s">
        <v>1496</v>
      </c>
      <c r="D1452" s="26"/>
      <c r="E1452" s="13" t="s">
        <v>1504</v>
      </c>
      <c r="F1452" s="13" t="s">
        <v>139</v>
      </c>
      <c r="G1452" s="13" t="s">
        <v>139</v>
      </c>
      <c r="H1452" s="13" t="s">
        <v>20</v>
      </c>
      <c r="I1452" s="13" t="s">
        <v>139</v>
      </c>
      <c r="J1452" s="13" t="s">
        <v>121</v>
      </c>
      <c r="K1452" s="13" t="s">
        <v>107</v>
      </c>
      <c r="L1452" s="13" t="s">
        <v>177</v>
      </c>
      <c r="M1452" s="13" t="s">
        <v>100</v>
      </c>
      <c r="N1452" s="27" t="n">
        <v>2583</v>
      </c>
      <c r="O1452" s="28" t="n">
        <v>291708</v>
      </c>
      <c r="P1452" s="27" t="n">
        <v>3498</v>
      </c>
      <c r="Q1452" s="29" t="n">
        <v>0.73</v>
      </c>
      <c r="R1452" s="28" t="n">
        <v>95</v>
      </c>
      <c r="S1452" s="28" t="n">
        <v>150</v>
      </c>
      <c r="T1452" s="28" t="n">
        <v>112.93</v>
      </c>
      <c r="U1452" s="13" t="n">
        <f aca="false">IFERROR(YEAR(A1452),"")</f>
        <v>2016</v>
      </c>
      <c r="V1452" s="28" t="n">
        <f aca="false">IFERROR(O1452*B1452,0)</f>
        <v>291708</v>
      </c>
      <c r="W1452" s="27" t="n">
        <f aca="false">IFERROR(N1452*B1452,0)</f>
        <v>2583</v>
      </c>
      <c r="X1452" s="13" t="n">
        <f aca="false">IF(OR(ISNUMBER(SEARCH("live nation",L1452)),ISNUMBER(SEARCH("ocesa",L1452))),1,0)</f>
        <v>1</v>
      </c>
      <c r="Y1452" s="13" t="s">
        <v>49</v>
      </c>
    </row>
    <row r="1453" customFormat="false" ht="15" hidden="false" customHeight="false" outlineLevel="0" collapsed="false">
      <c r="A1453" s="30" t="n">
        <v>42665</v>
      </c>
      <c r="B1453" s="11" t="n">
        <v>1</v>
      </c>
      <c r="C1453" s="31" t="s">
        <v>1505</v>
      </c>
      <c r="D1453" s="31"/>
      <c r="E1453" s="11" t="s">
        <v>1146</v>
      </c>
      <c r="F1453" s="11" t="s">
        <v>1364</v>
      </c>
      <c r="G1453" s="11"/>
      <c r="H1453" s="11" t="s">
        <v>22</v>
      </c>
      <c r="I1453" s="11"/>
      <c r="J1453" s="11" t="s">
        <v>97</v>
      </c>
      <c r="K1453" s="11" t="s">
        <v>406</v>
      </c>
      <c r="L1453" s="11" t="s">
        <v>1370</v>
      </c>
      <c r="M1453" s="11" t="s">
        <v>100</v>
      </c>
      <c r="N1453" s="32" t="n">
        <v>11032</v>
      </c>
      <c r="O1453" s="33" t="n">
        <v>988179.77</v>
      </c>
      <c r="P1453" s="32" t="n">
        <v>11392</v>
      </c>
      <c r="Q1453" s="34" t="n">
        <v>0.96</v>
      </c>
      <c r="R1453" s="33" t="n">
        <v>41.97</v>
      </c>
      <c r="S1453" s="33" t="n">
        <v>191.87</v>
      </c>
      <c r="T1453" s="33" t="n">
        <v>89.57</v>
      </c>
      <c r="U1453" s="11" t="n">
        <f aca="false">IFERROR(YEAR(A1453),"")</f>
        <v>2016</v>
      </c>
      <c r="V1453" s="33" t="n">
        <f aca="false">IFERROR(O1453*B1453,0)</f>
        <v>988179.77</v>
      </c>
      <c r="W1453" s="32" t="n">
        <f aca="false">IFERROR(N1453*B1453,0)</f>
        <v>11032</v>
      </c>
      <c r="X1453" s="11" t="n">
        <f aca="false">IF(OR(ISNUMBER(SEARCH("live nation",L1453)),ISNUMBER(SEARCH("ocesa",L1453))),1,0)</f>
        <v>0</v>
      </c>
      <c r="Y1453" s="11" t="s">
        <v>50</v>
      </c>
    </row>
    <row r="1454" customFormat="false" ht="15" hidden="false" customHeight="false" outlineLevel="0" collapsed="false">
      <c r="A1454" s="25" t="n">
        <v>42665</v>
      </c>
      <c r="B1454" s="13" t="n">
        <v>1</v>
      </c>
      <c r="C1454" s="26" t="s">
        <v>1506</v>
      </c>
      <c r="D1454" s="26"/>
      <c r="E1454" s="13" t="s">
        <v>1376</v>
      </c>
      <c r="F1454" s="13" t="s">
        <v>1364</v>
      </c>
      <c r="G1454" s="13"/>
      <c r="H1454" s="13" t="s">
        <v>22</v>
      </c>
      <c r="I1454" s="13"/>
      <c r="J1454" s="13" t="s">
        <v>106</v>
      </c>
      <c r="K1454" s="13" t="s">
        <v>406</v>
      </c>
      <c r="L1454" s="13" t="s">
        <v>1395</v>
      </c>
      <c r="M1454" s="13" t="s">
        <v>100</v>
      </c>
      <c r="N1454" s="27" t="n">
        <v>76</v>
      </c>
      <c r="O1454" s="28" t="n">
        <v>7378.68</v>
      </c>
      <c r="P1454" s="27" t="n">
        <v>594</v>
      </c>
      <c r="Q1454" s="29" t="n">
        <v>0.12</v>
      </c>
      <c r="R1454" s="28" t="n">
        <v>26.98</v>
      </c>
      <c r="S1454" s="28" t="n">
        <v>29.83</v>
      </c>
      <c r="T1454" s="28" t="n">
        <v>97.09</v>
      </c>
      <c r="U1454" s="13" t="n">
        <f aca="false">IFERROR(YEAR(A1454),"")</f>
        <v>2016</v>
      </c>
      <c r="V1454" s="28" t="n">
        <f aca="false">IFERROR(O1454*B1454,0)</f>
        <v>7378.68</v>
      </c>
      <c r="W1454" s="27" t="n">
        <f aca="false">IFERROR(N1454*B1454,0)</f>
        <v>76</v>
      </c>
      <c r="X1454" s="13" t="n">
        <f aca="false">IF(OR(ISNUMBER(SEARCH("live nation",L1454)),ISNUMBER(SEARCH("ocesa",L1454))),1,0)</f>
        <v>0</v>
      </c>
      <c r="Y1454" s="13" t="s">
        <v>50</v>
      </c>
    </row>
    <row r="1455" customFormat="false" ht="15" hidden="false" customHeight="false" outlineLevel="0" collapsed="false">
      <c r="A1455" s="30" t="n">
        <v>42637</v>
      </c>
      <c r="B1455" s="11" t="n">
        <v>1</v>
      </c>
      <c r="C1455" s="31" t="s">
        <v>1507</v>
      </c>
      <c r="D1455" s="31"/>
      <c r="E1455" s="11" t="s">
        <v>1146</v>
      </c>
      <c r="F1455" s="11" t="s">
        <v>1364</v>
      </c>
      <c r="G1455" s="11"/>
      <c r="H1455" s="11" t="s">
        <v>22</v>
      </c>
      <c r="I1455" s="11"/>
      <c r="J1455" s="11" t="s">
        <v>97</v>
      </c>
      <c r="K1455" s="11" t="s">
        <v>406</v>
      </c>
      <c r="L1455" s="11" t="s">
        <v>1370</v>
      </c>
      <c r="M1455" s="11" t="s">
        <v>100</v>
      </c>
      <c r="N1455" s="32" t="n">
        <v>8169</v>
      </c>
      <c r="O1455" s="33" t="n">
        <v>835994.65</v>
      </c>
      <c r="P1455" s="32" t="n">
        <v>9394</v>
      </c>
      <c r="Q1455" s="34" t="n">
        <v>0.86</v>
      </c>
      <c r="R1455" s="33" t="n">
        <v>57.18</v>
      </c>
      <c r="S1455" s="33" t="n">
        <v>192.61</v>
      </c>
      <c r="T1455" s="33" t="n">
        <v>102.34</v>
      </c>
      <c r="U1455" s="11" t="n">
        <f aca="false">IFERROR(YEAR(A1455),"")</f>
        <v>2016</v>
      </c>
      <c r="V1455" s="33" t="n">
        <f aca="false">IFERROR(O1455*B1455,0)</f>
        <v>835994.65</v>
      </c>
      <c r="W1455" s="32" t="n">
        <f aca="false">IFERROR(N1455*B1455,0)</f>
        <v>8169</v>
      </c>
      <c r="X1455" s="11" t="n">
        <f aca="false">IF(OR(ISNUMBER(SEARCH("live nation",L1455)),ISNUMBER(SEARCH("ocesa",L1455))),1,0)</f>
        <v>0</v>
      </c>
      <c r="Y1455" s="11" t="s">
        <v>50</v>
      </c>
    </row>
    <row r="1456" customFormat="false" ht="15" hidden="false" customHeight="false" outlineLevel="0" collapsed="false">
      <c r="A1456" s="25" t="n">
        <v>42631</v>
      </c>
      <c r="B1456" s="13" t="n">
        <v>1</v>
      </c>
      <c r="C1456" s="26" t="s">
        <v>1508</v>
      </c>
      <c r="D1456" s="26"/>
      <c r="E1456" s="13" t="s">
        <v>1376</v>
      </c>
      <c r="F1456" s="13" t="s">
        <v>1364</v>
      </c>
      <c r="G1456" s="13"/>
      <c r="H1456" s="13" t="s">
        <v>22</v>
      </c>
      <c r="I1456" s="13"/>
      <c r="J1456" s="13" t="s">
        <v>106</v>
      </c>
      <c r="K1456" s="13" t="s">
        <v>406</v>
      </c>
      <c r="L1456" s="13" t="s">
        <v>1509</v>
      </c>
      <c r="M1456" s="13" t="s">
        <v>100</v>
      </c>
      <c r="N1456" s="27" t="n">
        <v>217</v>
      </c>
      <c r="O1456" s="28" t="n">
        <v>15592.44</v>
      </c>
      <c r="P1456" s="27" t="n">
        <v>690</v>
      </c>
      <c r="Q1456" s="29" t="n">
        <v>0.31</v>
      </c>
      <c r="R1456" s="28" t="n">
        <v>27.09</v>
      </c>
      <c r="S1456" s="28" t="n">
        <v>132.42</v>
      </c>
      <c r="T1456" s="28" t="n">
        <v>71.85</v>
      </c>
      <c r="U1456" s="13" t="n">
        <f aca="false">IFERROR(YEAR(A1456),"")</f>
        <v>2016</v>
      </c>
      <c r="V1456" s="28" t="n">
        <f aca="false">IFERROR(O1456*B1456,0)</f>
        <v>15592.44</v>
      </c>
      <c r="W1456" s="27" t="n">
        <f aca="false">IFERROR(N1456*B1456,0)</f>
        <v>217</v>
      </c>
      <c r="X1456" s="13" t="n">
        <f aca="false">IF(OR(ISNUMBER(SEARCH("live nation",L1456)),ISNUMBER(SEARCH("ocesa",L1456))),1,0)</f>
        <v>0</v>
      </c>
      <c r="Y1456" s="13" t="s">
        <v>50</v>
      </c>
    </row>
    <row r="1457" customFormat="false" ht="15" hidden="false" customHeight="false" outlineLevel="0" collapsed="false">
      <c r="A1457" s="30" t="n">
        <v>42630</v>
      </c>
      <c r="B1457" s="11" t="n">
        <v>1</v>
      </c>
      <c r="C1457" s="31" t="s">
        <v>1510</v>
      </c>
      <c r="D1457" s="31"/>
      <c r="E1457" s="11" t="s">
        <v>1146</v>
      </c>
      <c r="F1457" s="11" t="s">
        <v>1364</v>
      </c>
      <c r="G1457" s="11"/>
      <c r="H1457" s="11" t="s">
        <v>22</v>
      </c>
      <c r="I1457" s="11"/>
      <c r="J1457" s="11" t="s">
        <v>97</v>
      </c>
      <c r="K1457" s="11" t="s">
        <v>406</v>
      </c>
      <c r="L1457" s="11" t="s">
        <v>1511</v>
      </c>
      <c r="M1457" s="11" t="s">
        <v>100</v>
      </c>
      <c r="N1457" s="32" t="n">
        <v>6195</v>
      </c>
      <c r="O1457" s="33" t="n">
        <v>643979.16</v>
      </c>
      <c r="P1457" s="32" t="n">
        <v>10082</v>
      </c>
      <c r="Q1457" s="34" t="n">
        <v>0.61</v>
      </c>
      <c r="R1457" s="33" t="n">
        <v>27.09</v>
      </c>
      <c r="S1457" s="33" t="n">
        <v>207.66</v>
      </c>
      <c r="T1457" s="33" t="n">
        <v>103.95</v>
      </c>
      <c r="U1457" s="11" t="n">
        <f aca="false">IFERROR(YEAR(A1457),"")</f>
        <v>2016</v>
      </c>
      <c r="V1457" s="33" t="n">
        <f aca="false">IFERROR(O1457*B1457,0)</f>
        <v>643979.16</v>
      </c>
      <c r="W1457" s="32" t="n">
        <f aca="false">IFERROR(N1457*B1457,0)</f>
        <v>6195</v>
      </c>
      <c r="X1457" s="11" t="n">
        <f aca="false">IF(OR(ISNUMBER(SEARCH("live nation",L1457)),ISNUMBER(SEARCH("ocesa",L1457))),1,0)</f>
        <v>0</v>
      </c>
      <c r="Y1457" s="11" t="s">
        <v>50</v>
      </c>
    </row>
    <row r="1458" customFormat="false" ht="15" hidden="false" customHeight="false" outlineLevel="0" collapsed="false">
      <c r="A1458" s="25" t="n">
        <v>42626</v>
      </c>
      <c r="B1458" s="13" t="n">
        <v>1</v>
      </c>
      <c r="C1458" s="26" t="s">
        <v>1512</v>
      </c>
      <c r="D1458" s="26" t="s">
        <v>1513</v>
      </c>
      <c r="E1458" s="13" t="s">
        <v>1146</v>
      </c>
      <c r="F1458" s="13" t="s">
        <v>1364</v>
      </c>
      <c r="G1458" s="13"/>
      <c r="H1458" s="13" t="s">
        <v>22</v>
      </c>
      <c r="I1458" s="13"/>
      <c r="J1458" s="13" t="s">
        <v>97</v>
      </c>
      <c r="K1458" s="13" t="s">
        <v>406</v>
      </c>
      <c r="L1458" s="13" t="s">
        <v>1514</v>
      </c>
      <c r="M1458" s="13" t="s">
        <v>100</v>
      </c>
      <c r="N1458" s="27" t="n">
        <v>8034</v>
      </c>
      <c r="O1458" s="28" t="n">
        <v>356078.87</v>
      </c>
      <c r="P1458" s="27" t="n">
        <v>10382</v>
      </c>
      <c r="Q1458" s="29" t="n">
        <v>0.77</v>
      </c>
      <c r="R1458" s="28" t="n">
        <v>18.06</v>
      </c>
      <c r="S1458" s="28" t="n">
        <v>102.33</v>
      </c>
      <c r="T1458" s="28" t="n">
        <v>44.32</v>
      </c>
      <c r="U1458" s="13" t="n">
        <f aca="false">IFERROR(YEAR(A1458),"")</f>
        <v>2016</v>
      </c>
      <c r="V1458" s="28" t="n">
        <f aca="false">IFERROR(O1458*B1458,0)</f>
        <v>356078.87</v>
      </c>
      <c r="W1458" s="27" t="n">
        <f aca="false">IFERROR(N1458*B1458,0)</f>
        <v>8034</v>
      </c>
      <c r="X1458" s="13" t="n">
        <f aca="false">IF(OR(ISNUMBER(SEARCH("live nation",L1458)),ISNUMBER(SEARCH("ocesa",L1458))),1,0)</f>
        <v>0</v>
      </c>
      <c r="Y1458" s="13" t="s">
        <v>50</v>
      </c>
    </row>
    <row r="1459" customFormat="false" ht="15" hidden="false" customHeight="false" outlineLevel="0" collapsed="false">
      <c r="A1459" s="30" t="n">
        <v>42625</v>
      </c>
      <c r="B1459" s="11" t="n">
        <v>1</v>
      </c>
      <c r="C1459" s="31" t="s">
        <v>1393</v>
      </c>
      <c r="D1459" s="31"/>
      <c r="E1459" s="11" t="s">
        <v>1376</v>
      </c>
      <c r="F1459" s="11" t="s">
        <v>1364</v>
      </c>
      <c r="G1459" s="11"/>
      <c r="H1459" s="11" t="s">
        <v>22</v>
      </c>
      <c r="I1459" s="11"/>
      <c r="J1459" s="11" t="s">
        <v>106</v>
      </c>
      <c r="K1459" s="11" t="s">
        <v>406</v>
      </c>
      <c r="L1459" s="11" t="s">
        <v>1395</v>
      </c>
      <c r="M1459" s="11" t="s">
        <v>100</v>
      </c>
      <c r="N1459" s="32" t="n">
        <v>405</v>
      </c>
      <c r="O1459" s="33" t="n">
        <v>15327.59</v>
      </c>
      <c r="P1459" s="32" t="n">
        <v>690</v>
      </c>
      <c r="Q1459" s="34" t="n">
        <v>0.58</v>
      </c>
      <c r="R1459" s="33" t="n">
        <v>29.95</v>
      </c>
      <c r="S1459" s="33" t="n">
        <v>60.04</v>
      </c>
      <c r="T1459" s="33" t="n">
        <v>37.85</v>
      </c>
      <c r="U1459" s="11" t="n">
        <f aca="false">IFERROR(YEAR(A1459),"")</f>
        <v>2016</v>
      </c>
      <c r="V1459" s="33" t="n">
        <f aca="false">IFERROR(O1459*B1459,0)</f>
        <v>15327.59</v>
      </c>
      <c r="W1459" s="32" t="n">
        <f aca="false">IFERROR(N1459*B1459,0)</f>
        <v>405</v>
      </c>
      <c r="X1459" s="11" t="n">
        <f aca="false">IF(OR(ISNUMBER(SEARCH("live nation",L1459)),ISNUMBER(SEARCH("ocesa",L1459))),1,0)</f>
        <v>0</v>
      </c>
      <c r="Y1459" s="11" t="s">
        <v>50</v>
      </c>
    </row>
    <row r="1460" customFormat="false" ht="15" hidden="false" customHeight="false" outlineLevel="0" collapsed="false">
      <c r="A1460" s="25" t="n">
        <v>42603</v>
      </c>
      <c r="B1460" s="13" t="n">
        <v>1</v>
      </c>
      <c r="C1460" s="26" t="s">
        <v>1515</v>
      </c>
      <c r="D1460" s="26" t="s">
        <v>1516</v>
      </c>
      <c r="E1460" s="13" t="s">
        <v>1146</v>
      </c>
      <c r="F1460" s="13" t="s">
        <v>1364</v>
      </c>
      <c r="G1460" s="13"/>
      <c r="H1460" s="13" t="s">
        <v>22</v>
      </c>
      <c r="I1460" s="13"/>
      <c r="J1460" s="13" t="s">
        <v>97</v>
      </c>
      <c r="K1460" s="13" t="s">
        <v>406</v>
      </c>
      <c r="L1460" s="13" t="s">
        <v>1370</v>
      </c>
      <c r="M1460" s="13" t="s">
        <v>100</v>
      </c>
      <c r="N1460" s="27" t="n">
        <v>6489</v>
      </c>
      <c r="O1460" s="28" t="n">
        <v>749827.42</v>
      </c>
      <c r="P1460" s="27" t="n">
        <v>10264</v>
      </c>
      <c r="Q1460" s="29" t="n">
        <v>0.63</v>
      </c>
      <c r="R1460" s="28" t="n">
        <v>27.09</v>
      </c>
      <c r="S1460" s="28" t="n">
        <v>192.67</v>
      </c>
      <c r="T1460" s="28" t="n">
        <v>115.55</v>
      </c>
      <c r="U1460" s="13" t="n">
        <f aca="false">IFERROR(YEAR(A1460),"")</f>
        <v>2016</v>
      </c>
      <c r="V1460" s="28" t="n">
        <f aca="false">IFERROR(O1460*B1460,0)</f>
        <v>749827.42</v>
      </c>
      <c r="W1460" s="27" t="n">
        <f aca="false">IFERROR(N1460*B1460,0)</f>
        <v>6489</v>
      </c>
      <c r="X1460" s="13" t="n">
        <f aca="false">IF(OR(ISNUMBER(SEARCH("live nation",L1460)),ISNUMBER(SEARCH("ocesa",L1460))),1,0)</f>
        <v>0</v>
      </c>
      <c r="Y1460" s="13" t="s">
        <v>50</v>
      </c>
    </row>
    <row r="1461" customFormat="false" ht="15" hidden="false" customHeight="false" outlineLevel="0" collapsed="false">
      <c r="A1461" s="30" t="n">
        <v>42602</v>
      </c>
      <c r="B1461" s="11" t="n">
        <v>1</v>
      </c>
      <c r="C1461" s="31" t="s">
        <v>1464</v>
      </c>
      <c r="D1461" s="31"/>
      <c r="E1461" s="11" t="s">
        <v>1146</v>
      </c>
      <c r="F1461" s="11" t="s">
        <v>1364</v>
      </c>
      <c r="G1461" s="11"/>
      <c r="H1461" s="11" t="s">
        <v>22</v>
      </c>
      <c r="I1461" s="11"/>
      <c r="J1461" s="11" t="s">
        <v>97</v>
      </c>
      <c r="K1461" s="11" t="s">
        <v>406</v>
      </c>
      <c r="L1461" s="11" t="s">
        <v>1370</v>
      </c>
      <c r="M1461" s="11" t="s">
        <v>100</v>
      </c>
      <c r="N1461" s="32" t="n">
        <v>11765</v>
      </c>
      <c r="O1461" s="33" t="n">
        <v>1090210.34</v>
      </c>
      <c r="P1461" s="32" t="n">
        <v>12000</v>
      </c>
      <c r="Q1461" s="34" t="n">
        <v>0.98</v>
      </c>
      <c r="R1461" s="33" t="n">
        <v>42.15</v>
      </c>
      <c r="S1461" s="33" t="n">
        <v>192.67</v>
      </c>
      <c r="T1461" s="33" t="n">
        <v>92.67</v>
      </c>
      <c r="U1461" s="11" t="n">
        <f aca="false">IFERROR(YEAR(A1461),"")</f>
        <v>2016</v>
      </c>
      <c r="V1461" s="33" t="n">
        <f aca="false">IFERROR(O1461*B1461,0)</f>
        <v>1090210.34</v>
      </c>
      <c r="W1461" s="32" t="n">
        <f aca="false">IFERROR(N1461*B1461,0)</f>
        <v>11765</v>
      </c>
      <c r="X1461" s="11" t="n">
        <f aca="false">IF(OR(ISNUMBER(SEARCH("live nation",L1461)),ISNUMBER(SEARCH("ocesa",L1461))),1,0)</f>
        <v>0</v>
      </c>
      <c r="Y1461" s="11" t="s">
        <v>50</v>
      </c>
    </row>
    <row r="1462" customFormat="false" ht="15" hidden="false" customHeight="false" outlineLevel="0" collapsed="false">
      <c r="A1462" s="25" t="n">
        <v>42600</v>
      </c>
      <c r="B1462" s="13" t="n">
        <v>2</v>
      </c>
      <c r="C1462" s="26" t="s">
        <v>1517</v>
      </c>
      <c r="D1462" s="26"/>
      <c r="E1462" s="13" t="s">
        <v>1376</v>
      </c>
      <c r="F1462" s="13" t="s">
        <v>1364</v>
      </c>
      <c r="G1462" s="13"/>
      <c r="H1462" s="13" t="s">
        <v>22</v>
      </c>
      <c r="I1462" s="13"/>
      <c r="J1462" s="13" t="s">
        <v>106</v>
      </c>
      <c r="K1462" s="13" t="s">
        <v>406</v>
      </c>
      <c r="L1462" s="13" t="s">
        <v>1518</v>
      </c>
      <c r="M1462" s="13" t="s">
        <v>100</v>
      </c>
      <c r="N1462" s="27" t="n">
        <v>302</v>
      </c>
      <c r="O1462" s="28" t="n">
        <v>5142.37</v>
      </c>
      <c r="P1462" s="27" t="n">
        <v>690</v>
      </c>
      <c r="Q1462" s="29" t="n">
        <v>0.43</v>
      </c>
      <c r="R1462" s="28" t="n">
        <v>12.04</v>
      </c>
      <c r="S1462" s="28" t="n">
        <v>30.1</v>
      </c>
      <c r="T1462" s="28" t="n">
        <v>17.03</v>
      </c>
      <c r="U1462" s="13" t="n">
        <f aca="false">IFERROR(YEAR(A1462),"")</f>
        <v>2016</v>
      </c>
      <c r="V1462" s="28" t="n">
        <f aca="false">IFERROR(O1462*B1462,0)</f>
        <v>10284.74</v>
      </c>
      <c r="W1462" s="27" t="n">
        <f aca="false">IFERROR(N1462*B1462,0)</f>
        <v>604</v>
      </c>
      <c r="X1462" s="13" t="n">
        <f aca="false">IF(OR(ISNUMBER(SEARCH("live nation",L1462)),ISNUMBER(SEARCH("ocesa",L1462))),1,0)</f>
        <v>0</v>
      </c>
      <c r="Y1462" s="13" t="s">
        <v>50</v>
      </c>
    </row>
    <row r="1463" customFormat="false" ht="15" hidden="false" customHeight="false" outlineLevel="0" collapsed="false">
      <c r="A1463" s="30" t="n">
        <v>42581</v>
      </c>
      <c r="B1463" s="11" t="n">
        <v>2</v>
      </c>
      <c r="C1463" s="31" t="s">
        <v>968</v>
      </c>
      <c r="D1463" s="31" t="s">
        <v>1519</v>
      </c>
      <c r="E1463" s="11" t="s">
        <v>1316</v>
      </c>
      <c r="F1463" s="11" t="s">
        <v>203</v>
      </c>
      <c r="G1463" s="11" t="s">
        <v>202</v>
      </c>
      <c r="H1463" s="11" t="s">
        <v>20</v>
      </c>
      <c r="I1463" s="11" t="s">
        <v>203</v>
      </c>
      <c r="J1463" s="11" t="s">
        <v>97</v>
      </c>
      <c r="K1463" s="11" t="s">
        <v>107</v>
      </c>
      <c r="L1463" s="11" t="s">
        <v>1520</v>
      </c>
      <c r="M1463" s="11" t="s">
        <v>100</v>
      </c>
      <c r="N1463" s="32" t="n">
        <v>13114</v>
      </c>
      <c r="O1463" s="33" t="n">
        <v>1112410</v>
      </c>
      <c r="P1463" s="32" t="n">
        <v>13114</v>
      </c>
      <c r="Q1463" s="34" t="n">
        <v>1</v>
      </c>
      <c r="R1463" s="33" t="n">
        <v>50</v>
      </c>
      <c r="S1463" s="33" t="n">
        <v>250</v>
      </c>
      <c r="T1463" s="33" t="n">
        <v>84.82</v>
      </c>
      <c r="U1463" s="11" t="n">
        <f aca="false">IFERROR(YEAR(A1463),"")</f>
        <v>2016</v>
      </c>
      <c r="V1463" s="33" t="n">
        <f aca="false">IFERROR(O1463*B1463,0)</f>
        <v>2224820</v>
      </c>
      <c r="W1463" s="32" t="n">
        <f aca="false">IFERROR(N1463*B1463,0)</f>
        <v>26228</v>
      </c>
      <c r="X1463" s="11" t="n">
        <f aca="false">IF(OR(ISNUMBER(SEARCH("live nation",L1463)),ISNUMBER(SEARCH("ocesa",L1463))),1,0)</f>
        <v>0</v>
      </c>
      <c r="Y1463" s="11" t="s">
        <v>49</v>
      </c>
    </row>
    <row r="1464" customFormat="false" ht="15" hidden="false" customHeight="false" outlineLevel="0" collapsed="false">
      <c r="A1464" s="25" t="n">
        <v>42574</v>
      </c>
      <c r="B1464" s="13" t="n">
        <v>2</v>
      </c>
      <c r="C1464" s="26" t="s">
        <v>1460</v>
      </c>
      <c r="D1464" s="26" t="s">
        <v>1521</v>
      </c>
      <c r="E1464" s="13" t="s">
        <v>1146</v>
      </c>
      <c r="F1464" s="13" t="s">
        <v>1364</v>
      </c>
      <c r="G1464" s="13"/>
      <c r="H1464" s="13" t="s">
        <v>22</v>
      </c>
      <c r="I1464" s="13"/>
      <c r="J1464" s="13" t="s">
        <v>97</v>
      </c>
      <c r="K1464" s="13" t="s">
        <v>406</v>
      </c>
      <c r="L1464" s="13" t="s">
        <v>1462</v>
      </c>
      <c r="M1464" s="13" t="s">
        <v>100</v>
      </c>
      <c r="N1464" s="27" t="n">
        <v>8729</v>
      </c>
      <c r="O1464" s="28" t="n">
        <v>1022994.64</v>
      </c>
      <c r="P1464" s="27" t="n">
        <v>9050</v>
      </c>
      <c r="Q1464" s="29" t="n">
        <v>0.96</v>
      </c>
      <c r="R1464" s="28" t="n">
        <v>27.09</v>
      </c>
      <c r="S1464" s="28" t="n">
        <v>192.61</v>
      </c>
      <c r="T1464" s="28" t="n">
        <v>117.19</v>
      </c>
      <c r="U1464" s="13" t="n">
        <f aca="false">IFERROR(YEAR(A1464),"")</f>
        <v>2016</v>
      </c>
      <c r="V1464" s="28" t="n">
        <f aca="false">IFERROR(O1464*B1464,0)</f>
        <v>2045989.28</v>
      </c>
      <c r="W1464" s="27" t="n">
        <f aca="false">IFERROR(N1464*B1464,0)</f>
        <v>17458</v>
      </c>
      <c r="X1464" s="13" t="n">
        <f aca="false">IF(OR(ISNUMBER(SEARCH("live nation",L1464)),ISNUMBER(SEARCH("ocesa",L1464))),1,0)</f>
        <v>0</v>
      </c>
      <c r="Y1464" s="13" t="s">
        <v>50</v>
      </c>
    </row>
    <row r="1465" customFormat="false" ht="15" hidden="false" customHeight="false" outlineLevel="0" collapsed="false">
      <c r="A1465" s="30" t="n">
        <v>42567</v>
      </c>
      <c r="B1465" s="11" t="n">
        <v>1</v>
      </c>
      <c r="C1465" s="31" t="s">
        <v>1429</v>
      </c>
      <c r="D1465" s="31"/>
      <c r="E1465" s="11" t="s">
        <v>1146</v>
      </c>
      <c r="F1465" s="11" t="s">
        <v>1364</v>
      </c>
      <c r="G1465" s="11"/>
      <c r="H1465" s="11" t="s">
        <v>22</v>
      </c>
      <c r="I1465" s="11"/>
      <c r="J1465" s="11" t="s">
        <v>97</v>
      </c>
      <c r="K1465" s="11" t="s">
        <v>406</v>
      </c>
      <c r="L1465" s="11" t="s">
        <v>1489</v>
      </c>
      <c r="M1465" s="11" t="s">
        <v>100</v>
      </c>
      <c r="N1465" s="32" t="n">
        <v>10807</v>
      </c>
      <c r="O1465" s="33" t="n">
        <v>743684.2</v>
      </c>
      <c r="P1465" s="32" t="n">
        <v>11410</v>
      </c>
      <c r="Q1465" s="34" t="n">
        <v>0.94</v>
      </c>
      <c r="R1465" s="33" t="n">
        <v>42.13</v>
      </c>
      <c r="S1465" s="33" t="n">
        <v>132.42</v>
      </c>
      <c r="T1465" s="33" t="n">
        <v>68.82</v>
      </c>
      <c r="U1465" s="11" t="n">
        <f aca="false">IFERROR(YEAR(A1465),"")</f>
        <v>2016</v>
      </c>
      <c r="V1465" s="33" t="n">
        <f aca="false">IFERROR(O1465*B1465,0)</f>
        <v>743684.2</v>
      </c>
      <c r="W1465" s="32" t="n">
        <f aca="false">IFERROR(N1465*B1465,0)</f>
        <v>10807</v>
      </c>
      <c r="X1465" s="11" t="n">
        <f aca="false">IF(OR(ISNUMBER(SEARCH("live nation",L1465)),ISNUMBER(SEARCH("ocesa",L1465))),1,0)</f>
        <v>0</v>
      </c>
      <c r="Y1465" s="11" t="s">
        <v>50</v>
      </c>
    </row>
    <row r="1466" customFormat="false" ht="15" hidden="false" customHeight="false" outlineLevel="0" collapsed="false">
      <c r="A1466" s="25" t="n">
        <v>42565</v>
      </c>
      <c r="B1466" s="13" t="n">
        <v>1</v>
      </c>
      <c r="C1466" s="26" t="s">
        <v>272</v>
      </c>
      <c r="D1466" s="26"/>
      <c r="E1466" s="13" t="s">
        <v>1522</v>
      </c>
      <c r="F1466" s="13" t="s">
        <v>535</v>
      </c>
      <c r="G1466" s="13" t="s">
        <v>202</v>
      </c>
      <c r="H1466" s="13" t="s">
        <v>20</v>
      </c>
      <c r="I1466" s="13" t="s">
        <v>232</v>
      </c>
      <c r="J1466" s="13" t="s">
        <v>106</v>
      </c>
      <c r="K1466" s="13" t="s">
        <v>107</v>
      </c>
      <c r="L1466" s="13" t="s">
        <v>791</v>
      </c>
      <c r="M1466" s="13" t="s">
        <v>277</v>
      </c>
      <c r="N1466" s="27" t="n">
        <v>1424</v>
      </c>
      <c r="O1466" s="28" t="n">
        <v>56248</v>
      </c>
      <c r="P1466" s="27" t="n">
        <v>1424</v>
      </c>
      <c r="Q1466" s="29" t="n">
        <v>1</v>
      </c>
      <c r="R1466" s="28" t="n">
        <v>39</v>
      </c>
      <c r="S1466" s="28" t="n">
        <v>42.5</v>
      </c>
      <c r="T1466" s="28" t="n">
        <v>39.5</v>
      </c>
      <c r="U1466" s="13" t="n">
        <f aca="false">IFERROR(YEAR(A1466),"")</f>
        <v>2016</v>
      </c>
      <c r="V1466" s="28" t="n">
        <f aca="false">IFERROR(O1466*B1466,0)</f>
        <v>56248</v>
      </c>
      <c r="W1466" s="27" t="n">
        <f aca="false">IFERROR(N1466*B1466,0)</f>
        <v>1424</v>
      </c>
      <c r="X1466" s="13" t="n">
        <f aca="false">IF(OR(ISNUMBER(SEARCH("live nation",L1466)),ISNUMBER(SEARCH("ocesa",L1466))),1,0)</f>
        <v>0</v>
      </c>
      <c r="Y1466" s="13" t="s">
        <v>49</v>
      </c>
    </row>
    <row r="1467" customFormat="false" ht="15" hidden="false" customHeight="false" outlineLevel="0" collapsed="false">
      <c r="A1467" s="30" t="n">
        <v>42563</v>
      </c>
      <c r="B1467" s="11" t="n">
        <v>1</v>
      </c>
      <c r="C1467" s="31" t="s">
        <v>272</v>
      </c>
      <c r="D1467" s="31"/>
      <c r="E1467" s="11" t="s">
        <v>1499</v>
      </c>
      <c r="F1467" s="11" t="s">
        <v>306</v>
      </c>
      <c r="G1467" s="11" t="s">
        <v>188</v>
      </c>
      <c r="H1467" s="11" t="s">
        <v>20</v>
      </c>
      <c r="I1467" s="11" t="s">
        <v>307</v>
      </c>
      <c r="J1467" s="11" t="s">
        <v>106</v>
      </c>
      <c r="K1467" s="11" t="s">
        <v>107</v>
      </c>
      <c r="L1467" s="11" t="s">
        <v>531</v>
      </c>
      <c r="M1467" s="11" t="s">
        <v>277</v>
      </c>
      <c r="N1467" s="32" t="n">
        <v>1800</v>
      </c>
      <c r="O1467" s="33" t="n">
        <v>72000</v>
      </c>
      <c r="P1467" s="32" t="n">
        <v>1800</v>
      </c>
      <c r="Q1467" s="34" t="n">
        <v>1</v>
      </c>
      <c r="R1467" s="33" t="n">
        <v>40</v>
      </c>
      <c r="S1467" s="33" t="n">
        <v>0</v>
      </c>
      <c r="T1467" s="33" t="n">
        <v>40</v>
      </c>
      <c r="U1467" s="11" t="n">
        <f aca="false">IFERROR(YEAR(A1467),"")</f>
        <v>2016</v>
      </c>
      <c r="V1467" s="33" t="n">
        <f aca="false">IFERROR(O1467*B1467,0)</f>
        <v>72000</v>
      </c>
      <c r="W1467" s="32" t="n">
        <f aca="false">IFERROR(N1467*B1467,0)</f>
        <v>1800</v>
      </c>
      <c r="X1467" s="11" t="n">
        <f aca="false">IF(OR(ISNUMBER(SEARCH("live nation",L1467)),ISNUMBER(SEARCH("ocesa",L1467))),1,0)</f>
        <v>0</v>
      </c>
      <c r="Y1467" s="11" t="s">
        <v>49</v>
      </c>
    </row>
    <row r="1468" customFormat="false" ht="15" hidden="false" customHeight="false" outlineLevel="0" collapsed="false">
      <c r="A1468" s="25" t="n">
        <v>42560</v>
      </c>
      <c r="B1468" s="13" t="n">
        <v>1</v>
      </c>
      <c r="C1468" s="26" t="s">
        <v>1442</v>
      </c>
      <c r="D1468" s="26"/>
      <c r="E1468" s="13" t="s">
        <v>1146</v>
      </c>
      <c r="F1468" s="13" t="s">
        <v>1364</v>
      </c>
      <c r="G1468" s="13"/>
      <c r="H1468" s="13" t="s">
        <v>22</v>
      </c>
      <c r="I1468" s="13"/>
      <c r="J1468" s="13" t="s">
        <v>97</v>
      </c>
      <c r="K1468" s="13" t="s">
        <v>406</v>
      </c>
      <c r="L1468" s="13" t="s">
        <v>1523</v>
      </c>
      <c r="M1468" s="13" t="s">
        <v>100</v>
      </c>
      <c r="N1468" s="27" t="n">
        <v>10628</v>
      </c>
      <c r="O1468" s="28" t="n">
        <v>939374.41</v>
      </c>
      <c r="P1468" s="27" t="n">
        <v>11000</v>
      </c>
      <c r="Q1468" s="29" t="n">
        <v>0.96</v>
      </c>
      <c r="R1468" s="28" t="n">
        <v>42.13</v>
      </c>
      <c r="S1468" s="28" t="n">
        <v>147.47</v>
      </c>
      <c r="T1468" s="28" t="n">
        <v>88.39</v>
      </c>
      <c r="U1468" s="13" t="n">
        <f aca="false">IFERROR(YEAR(A1468),"")</f>
        <v>2016</v>
      </c>
      <c r="V1468" s="28" t="n">
        <f aca="false">IFERROR(O1468*B1468,0)</f>
        <v>939374.41</v>
      </c>
      <c r="W1468" s="27" t="n">
        <f aca="false">IFERROR(N1468*B1468,0)</f>
        <v>10628</v>
      </c>
      <c r="X1468" s="13" t="n">
        <f aca="false">IF(OR(ISNUMBER(SEARCH("live nation",L1468)),ISNUMBER(SEARCH("ocesa",L1468))),1,0)</f>
        <v>0</v>
      </c>
      <c r="Y1468" s="13" t="s">
        <v>50</v>
      </c>
    </row>
    <row r="1469" customFormat="false" ht="15" hidden="false" customHeight="false" outlineLevel="0" collapsed="false">
      <c r="A1469" s="30" t="n">
        <v>42559</v>
      </c>
      <c r="B1469" s="11" t="n">
        <v>1</v>
      </c>
      <c r="C1469" s="31" t="s">
        <v>1291</v>
      </c>
      <c r="D1469" s="31"/>
      <c r="E1469" s="11" t="s">
        <v>617</v>
      </c>
      <c r="F1469" s="11" t="s">
        <v>346</v>
      </c>
      <c r="G1469" s="11" t="s">
        <v>347</v>
      </c>
      <c r="H1469" s="11" t="s">
        <v>20</v>
      </c>
      <c r="I1469" s="11" t="s">
        <v>346</v>
      </c>
      <c r="J1469" s="11" t="s">
        <v>121</v>
      </c>
      <c r="K1469" s="11" t="s">
        <v>107</v>
      </c>
      <c r="L1469" s="11" t="s">
        <v>1279</v>
      </c>
      <c r="M1469" s="11" t="s">
        <v>251</v>
      </c>
      <c r="N1469" s="32" t="n">
        <v>2600</v>
      </c>
      <c r="O1469" s="33" t="n">
        <v>354495</v>
      </c>
      <c r="P1469" s="32" t="n">
        <v>2600</v>
      </c>
      <c r="Q1469" s="34" t="n">
        <v>1</v>
      </c>
      <c r="R1469" s="33" t="n">
        <v>65</v>
      </c>
      <c r="S1469" s="33" t="n">
        <v>235</v>
      </c>
      <c r="T1469" s="33" t="n">
        <v>136.34</v>
      </c>
      <c r="U1469" s="11" t="n">
        <f aca="false">IFERROR(YEAR(A1469),"")</f>
        <v>2016</v>
      </c>
      <c r="V1469" s="33" t="n">
        <f aca="false">IFERROR(O1469*B1469,0)</f>
        <v>354495</v>
      </c>
      <c r="W1469" s="32" t="n">
        <f aca="false">IFERROR(N1469*B1469,0)</f>
        <v>2600</v>
      </c>
      <c r="X1469" s="11" t="n">
        <f aca="false">IF(OR(ISNUMBER(SEARCH("live nation",L1469)),ISNUMBER(SEARCH("ocesa",L1469))),1,0)</f>
        <v>0</v>
      </c>
      <c r="Y1469" s="11" t="s">
        <v>49</v>
      </c>
    </row>
    <row r="1470" customFormat="false" ht="15" hidden="false" customHeight="false" outlineLevel="0" collapsed="false">
      <c r="A1470" s="25" t="n">
        <v>42556</v>
      </c>
      <c r="B1470" s="13" t="n">
        <v>1</v>
      </c>
      <c r="C1470" s="26" t="s">
        <v>484</v>
      </c>
      <c r="D1470" s="26"/>
      <c r="E1470" s="13" t="s">
        <v>1388</v>
      </c>
      <c r="F1470" s="13" t="s">
        <v>132</v>
      </c>
      <c r="G1470" s="13"/>
      <c r="H1470" s="13" t="s">
        <v>23</v>
      </c>
      <c r="I1470" s="13"/>
      <c r="J1470" s="13" t="s">
        <v>97</v>
      </c>
      <c r="K1470" s="13" t="s">
        <v>134</v>
      </c>
      <c r="L1470" s="13" t="s">
        <v>1524</v>
      </c>
      <c r="M1470" s="13" t="s">
        <v>251</v>
      </c>
      <c r="N1470" s="27" t="n">
        <v>17587</v>
      </c>
      <c r="O1470" s="28" t="n">
        <v>563015.87</v>
      </c>
      <c r="P1470" s="27" t="n">
        <v>17587</v>
      </c>
      <c r="Q1470" s="29" t="n">
        <v>1</v>
      </c>
      <c r="R1470" s="28" t="n">
        <v>32.44</v>
      </c>
      <c r="S1470" s="28" t="n">
        <v>140.56</v>
      </c>
      <c r="T1470" s="28" t="n">
        <v>32.01</v>
      </c>
      <c r="U1470" s="13" t="n">
        <f aca="false">IFERROR(YEAR(A1470),"")</f>
        <v>2016</v>
      </c>
      <c r="V1470" s="28" t="n">
        <f aca="false">IFERROR(O1470*B1470,0)</f>
        <v>563015.87</v>
      </c>
      <c r="W1470" s="27" t="n">
        <f aca="false">IFERROR(N1470*B1470,0)</f>
        <v>17587</v>
      </c>
      <c r="X1470" s="13" t="n">
        <f aca="false">IF(OR(ISNUMBER(SEARCH("live nation",L1470)),ISNUMBER(SEARCH("ocesa",L1470))),1,0)</f>
        <v>0</v>
      </c>
      <c r="Y1470" s="13" t="s">
        <v>49</v>
      </c>
    </row>
    <row r="1471" customFormat="false" ht="15" hidden="false" customHeight="false" outlineLevel="0" collapsed="false">
      <c r="A1471" s="30" t="n">
        <v>42554</v>
      </c>
      <c r="B1471" s="11" t="n">
        <v>1</v>
      </c>
      <c r="C1471" s="31" t="s">
        <v>1291</v>
      </c>
      <c r="D1471" s="31"/>
      <c r="E1471" s="11" t="s">
        <v>487</v>
      </c>
      <c r="F1471" s="11" t="s">
        <v>207</v>
      </c>
      <c r="G1471" s="11" t="s">
        <v>208</v>
      </c>
      <c r="H1471" s="11" t="s">
        <v>20</v>
      </c>
      <c r="I1471" s="11" t="s">
        <v>209</v>
      </c>
      <c r="J1471" s="11" t="s">
        <v>121</v>
      </c>
      <c r="K1471" s="11" t="s">
        <v>107</v>
      </c>
      <c r="L1471" s="11" t="s">
        <v>1279</v>
      </c>
      <c r="M1471" s="11" t="s">
        <v>251</v>
      </c>
      <c r="N1471" s="32" t="n">
        <v>4219</v>
      </c>
      <c r="O1471" s="33" t="n">
        <v>502740</v>
      </c>
      <c r="P1471" s="32" t="n">
        <v>4219</v>
      </c>
      <c r="Q1471" s="34" t="n">
        <v>1</v>
      </c>
      <c r="R1471" s="33" t="n">
        <v>65</v>
      </c>
      <c r="S1471" s="33" t="n">
        <v>215</v>
      </c>
      <c r="T1471" s="33" t="n">
        <v>119.16</v>
      </c>
      <c r="U1471" s="11" t="n">
        <f aca="false">IFERROR(YEAR(A1471),"")</f>
        <v>2016</v>
      </c>
      <c r="V1471" s="33" t="n">
        <f aca="false">IFERROR(O1471*B1471,0)</f>
        <v>502740</v>
      </c>
      <c r="W1471" s="32" t="n">
        <f aca="false">IFERROR(N1471*B1471,0)</f>
        <v>4219</v>
      </c>
      <c r="X1471" s="11" t="n">
        <f aca="false">IF(OR(ISNUMBER(SEARCH("live nation",L1471)),ISNUMBER(SEARCH("ocesa",L1471))),1,0)</f>
        <v>0</v>
      </c>
      <c r="Y1471" s="11" t="s">
        <v>49</v>
      </c>
    </row>
    <row r="1472" customFormat="false" ht="15" hidden="false" customHeight="false" outlineLevel="0" collapsed="false">
      <c r="A1472" s="25" t="n">
        <v>42554</v>
      </c>
      <c r="B1472" s="13" t="n">
        <v>1</v>
      </c>
      <c r="C1472" s="26" t="s">
        <v>484</v>
      </c>
      <c r="D1472" s="26"/>
      <c r="E1472" s="13" t="s">
        <v>536</v>
      </c>
      <c r="F1472" s="13" t="s">
        <v>463</v>
      </c>
      <c r="G1472" s="13"/>
      <c r="H1472" s="13" t="s">
        <v>23</v>
      </c>
      <c r="I1472" s="13"/>
      <c r="J1472" s="13" t="s">
        <v>97</v>
      </c>
      <c r="K1472" s="13" t="s">
        <v>134</v>
      </c>
      <c r="L1472" s="13" t="s">
        <v>1525</v>
      </c>
      <c r="M1472" s="13" t="s">
        <v>251</v>
      </c>
      <c r="N1472" s="27" t="n">
        <v>8815</v>
      </c>
      <c r="O1472" s="28" t="n">
        <v>231257.87</v>
      </c>
      <c r="P1472" s="27" t="n">
        <v>9700</v>
      </c>
      <c r="Q1472" s="29" t="n">
        <v>0.9</v>
      </c>
      <c r="R1472" s="28" t="n">
        <v>32.44</v>
      </c>
      <c r="S1472" s="28" t="n">
        <v>140.56</v>
      </c>
      <c r="T1472" s="28" t="n">
        <v>26.23</v>
      </c>
      <c r="U1472" s="13" t="n">
        <f aca="false">IFERROR(YEAR(A1472),"")</f>
        <v>2016</v>
      </c>
      <c r="V1472" s="28" t="n">
        <f aca="false">IFERROR(O1472*B1472,0)</f>
        <v>231257.87</v>
      </c>
      <c r="W1472" s="27" t="n">
        <f aca="false">IFERROR(N1472*B1472,0)</f>
        <v>8815</v>
      </c>
      <c r="X1472" s="13" t="n">
        <f aca="false">IF(OR(ISNUMBER(SEARCH("live nation",L1472)),ISNUMBER(SEARCH("ocesa",L1472))),1,0)</f>
        <v>0</v>
      </c>
      <c r="Y1472" s="13" t="s">
        <v>49</v>
      </c>
    </row>
    <row r="1473" customFormat="false" ht="15" hidden="false" customHeight="false" outlineLevel="0" collapsed="false">
      <c r="A1473" s="30" t="n">
        <v>42552</v>
      </c>
      <c r="B1473" s="11" t="n">
        <v>1</v>
      </c>
      <c r="C1473" s="31" t="s">
        <v>1291</v>
      </c>
      <c r="D1473" s="31"/>
      <c r="E1473" s="11" t="s">
        <v>1526</v>
      </c>
      <c r="F1473" s="11" t="s">
        <v>1259</v>
      </c>
      <c r="G1473" s="11" t="s">
        <v>143</v>
      </c>
      <c r="H1473" s="11" t="s">
        <v>20</v>
      </c>
      <c r="I1473" s="11" t="s">
        <v>375</v>
      </c>
      <c r="J1473" s="11" t="s">
        <v>121</v>
      </c>
      <c r="K1473" s="11" t="s">
        <v>107</v>
      </c>
      <c r="L1473" s="11" t="s">
        <v>531</v>
      </c>
      <c r="M1473" s="11" t="s">
        <v>251</v>
      </c>
      <c r="N1473" s="32" t="n">
        <v>4356</v>
      </c>
      <c r="O1473" s="33" t="n">
        <v>489695</v>
      </c>
      <c r="P1473" s="32" t="n">
        <v>4356</v>
      </c>
      <c r="Q1473" s="34" t="n">
        <v>1</v>
      </c>
      <c r="R1473" s="33" t="n">
        <v>65</v>
      </c>
      <c r="S1473" s="33" t="n">
        <v>215</v>
      </c>
      <c r="T1473" s="33" t="n">
        <v>112.42</v>
      </c>
      <c r="U1473" s="11" t="n">
        <f aca="false">IFERROR(YEAR(A1473),"")</f>
        <v>2016</v>
      </c>
      <c r="V1473" s="33" t="n">
        <f aca="false">IFERROR(O1473*B1473,0)</f>
        <v>489695</v>
      </c>
      <c r="W1473" s="32" t="n">
        <f aca="false">IFERROR(N1473*B1473,0)</f>
        <v>4356</v>
      </c>
      <c r="X1473" s="11" t="n">
        <f aca="false">IF(OR(ISNUMBER(SEARCH("live nation",L1473)),ISNUMBER(SEARCH("ocesa",L1473))),1,0)</f>
        <v>0</v>
      </c>
      <c r="Y1473" s="11" t="s">
        <v>49</v>
      </c>
    </row>
    <row r="1474" customFormat="false" ht="15" hidden="false" customHeight="false" outlineLevel="0" collapsed="false">
      <c r="A1474" s="25" t="n">
        <v>42551</v>
      </c>
      <c r="B1474" s="13" t="n">
        <v>4</v>
      </c>
      <c r="C1474" s="26" t="s">
        <v>643</v>
      </c>
      <c r="D1474" s="26"/>
      <c r="E1474" s="13" t="s">
        <v>1146</v>
      </c>
      <c r="F1474" s="13" t="s">
        <v>1364</v>
      </c>
      <c r="G1474" s="13"/>
      <c r="H1474" s="13" t="s">
        <v>22</v>
      </c>
      <c r="I1474" s="13"/>
      <c r="J1474" s="13" t="s">
        <v>97</v>
      </c>
      <c r="K1474" s="13" t="s">
        <v>406</v>
      </c>
      <c r="L1474" s="13" t="s">
        <v>1370</v>
      </c>
      <c r="M1474" s="13" t="s">
        <v>100</v>
      </c>
      <c r="N1474" s="27" t="n">
        <v>11828</v>
      </c>
      <c r="O1474" s="28" t="n">
        <v>1894211.65</v>
      </c>
      <c r="P1474" s="27" t="n">
        <v>12000</v>
      </c>
      <c r="Q1474" s="29" t="n">
        <v>0.98</v>
      </c>
      <c r="R1474" s="28" t="n">
        <v>88.1</v>
      </c>
      <c r="S1474" s="28" t="n">
        <v>315.95</v>
      </c>
      <c r="T1474" s="28" t="n">
        <v>160.14</v>
      </c>
      <c r="U1474" s="13" t="n">
        <f aca="false">IFERROR(YEAR(A1474),"")</f>
        <v>2016</v>
      </c>
      <c r="V1474" s="28" t="n">
        <f aca="false">IFERROR(O1474*B1474,0)</f>
        <v>7576846.6</v>
      </c>
      <c r="W1474" s="27" t="n">
        <f aca="false">IFERROR(N1474*B1474,0)</f>
        <v>47312</v>
      </c>
      <c r="X1474" s="13" t="n">
        <f aca="false">IF(OR(ISNUMBER(SEARCH("live nation",L1474)),ISNUMBER(SEARCH("ocesa",L1474))),1,0)</f>
        <v>0</v>
      </c>
      <c r="Y1474" s="13" t="s">
        <v>50</v>
      </c>
    </row>
    <row r="1475" customFormat="false" ht="15" hidden="false" customHeight="false" outlineLevel="0" collapsed="false">
      <c r="A1475" s="30" t="n">
        <v>42545</v>
      </c>
      <c r="B1475" s="11" t="n">
        <v>2</v>
      </c>
      <c r="C1475" s="31" t="s">
        <v>968</v>
      </c>
      <c r="D1475" s="31" t="s">
        <v>1527</v>
      </c>
      <c r="E1475" s="11" t="s">
        <v>506</v>
      </c>
      <c r="F1475" s="11" t="s">
        <v>507</v>
      </c>
      <c r="G1475" s="11" t="s">
        <v>221</v>
      </c>
      <c r="H1475" s="11" t="s">
        <v>20</v>
      </c>
      <c r="I1475" s="11" t="s">
        <v>139</v>
      </c>
      <c r="J1475" s="11" t="s">
        <v>97</v>
      </c>
      <c r="K1475" s="11" t="s">
        <v>107</v>
      </c>
      <c r="L1475" s="11" t="s">
        <v>1325</v>
      </c>
      <c r="M1475" s="11" t="s">
        <v>100</v>
      </c>
      <c r="N1475" s="32" t="n">
        <v>9150</v>
      </c>
      <c r="O1475" s="33" t="n">
        <v>1139912.5</v>
      </c>
      <c r="P1475" s="32" t="n">
        <v>9150</v>
      </c>
      <c r="Q1475" s="34" t="n">
        <v>1</v>
      </c>
      <c r="R1475" s="33" t="n">
        <v>55</v>
      </c>
      <c r="S1475" s="33" t="n">
        <v>255</v>
      </c>
      <c r="T1475" s="33" t="n">
        <v>124.58</v>
      </c>
      <c r="U1475" s="11" t="n">
        <f aca="false">IFERROR(YEAR(A1475),"")</f>
        <v>2016</v>
      </c>
      <c r="V1475" s="33" t="n">
        <f aca="false">IFERROR(O1475*B1475,0)</f>
        <v>2279825</v>
      </c>
      <c r="W1475" s="32" t="n">
        <f aca="false">IFERROR(N1475*B1475,0)</f>
        <v>18300</v>
      </c>
      <c r="X1475" s="11" t="n">
        <f aca="false">IF(OR(ISNUMBER(SEARCH("live nation",L1475)),ISNUMBER(SEARCH("ocesa",L1475))),1,0)</f>
        <v>0</v>
      </c>
      <c r="Y1475" s="11" t="s">
        <v>49</v>
      </c>
    </row>
    <row r="1476" customFormat="false" ht="15" hidden="false" customHeight="false" outlineLevel="0" collapsed="false">
      <c r="A1476" s="25" t="n">
        <v>42523</v>
      </c>
      <c r="B1476" s="13" t="n">
        <v>1</v>
      </c>
      <c r="C1476" s="26" t="s">
        <v>968</v>
      </c>
      <c r="D1476" s="26" t="s">
        <v>1528</v>
      </c>
      <c r="E1476" s="13" t="s">
        <v>551</v>
      </c>
      <c r="F1476" s="13" t="s">
        <v>552</v>
      </c>
      <c r="G1476" s="13"/>
      <c r="H1476" s="13" t="s">
        <v>26</v>
      </c>
      <c r="I1476" s="13"/>
      <c r="J1476" s="13" t="s">
        <v>97</v>
      </c>
      <c r="K1476" s="13" t="s">
        <v>173</v>
      </c>
      <c r="L1476" s="13" t="s">
        <v>177</v>
      </c>
      <c r="M1476" s="13" t="s">
        <v>100</v>
      </c>
      <c r="N1476" s="27" t="n">
        <v>10082</v>
      </c>
      <c r="O1476" s="28" t="n">
        <v>945787.61</v>
      </c>
      <c r="P1476" s="27" t="n">
        <v>11341</v>
      </c>
      <c r="Q1476" s="29" t="n">
        <v>0.88</v>
      </c>
      <c r="R1476" s="28" t="n">
        <v>75.2</v>
      </c>
      <c r="S1476" s="28" t="n">
        <v>160.99</v>
      </c>
      <c r="T1476" s="28" t="n">
        <v>93.81</v>
      </c>
      <c r="U1476" s="13" t="n">
        <f aca="false">IFERROR(YEAR(A1476),"")</f>
        <v>2016</v>
      </c>
      <c r="V1476" s="28" t="n">
        <f aca="false">IFERROR(O1476*B1476,0)</f>
        <v>945787.61</v>
      </c>
      <c r="W1476" s="27" t="n">
        <f aca="false">IFERROR(N1476*B1476,0)</f>
        <v>10082</v>
      </c>
      <c r="X1476" s="13" t="n">
        <f aca="false">IF(OR(ISNUMBER(SEARCH("live nation",L1476)),ISNUMBER(SEARCH("ocesa",L1476))),1,0)</f>
        <v>1</v>
      </c>
      <c r="Y1476" s="13" t="s">
        <v>49</v>
      </c>
    </row>
    <row r="1477" customFormat="false" ht="15" hidden="false" customHeight="false" outlineLevel="0" collapsed="false">
      <c r="A1477" s="30" t="n">
        <v>42521</v>
      </c>
      <c r="B1477" s="11" t="n">
        <v>1</v>
      </c>
      <c r="C1477" s="31" t="s">
        <v>1529</v>
      </c>
      <c r="D1477" s="31"/>
      <c r="E1477" s="11" t="s">
        <v>1357</v>
      </c>
      <c r="F1477" s="11" t="s">
        <v>313</v>
      </c>
      <c r="G1477" s="11"/>
      <c r="H1477" s="11" t="s">
        <v>27</v>
      </c>
      <c r="I1477" s="11"/>
      <c r="J1477" s="11" t="s">
        <v>97</v>
      </c>
      <c r="K1477" s="11" t="s">
        <v>314</v>
      </c>
      <c r="L1477" s="11" t="s">
        <v>1530</v>
      </c>
      <c r="M1477" s="11" t="s">
        <v>251</v>
      </c>
      <c r="N1477" s="32" t="n">
        <v>2251</v>
      </c>
      <c r="O1477" s="33" t="n">
        <v>303363.56</v>
      </c>
      <c r="P1477" s="32" t="n">
        <v>4132</v>
      </c>
      <c r="Q1477" s="34" t="n">
        <v>0.54</v>
      </c>
      <c r="R1477" s="33" t="n">
        <v>70.12</v>
      </c>
      <c r="S1477" s="33" t="n">
        <v>230.8</v>
      </c>
      <c r="T1477" s="33" t="n">
        <v>134.77</v>
      </c>
      <c r="U1477" s="11" t="n">
        <f aca="false">IFERROR(YEAR(A1477),"")</f>
        <v>2016</v>
      </c>
      <c r="V1477" s="33" t="n">
        <f aca="false">IFERROR(O1477*B1477,0)</f>
        <v>303363.56</v>
      </c>
      <c r="W1477" s="32" t="n">
        <f aca="false">IFERROR(N1477*B1477,0)</f>
        <v>2251</v>
      </c>
      <c r="X1477" s="11" t="n">
        <f aca="false">IF(OR(ISNUMBER(SEARCH("live nation",L1477)),ISNUMBER(SEARCH("ocesa",L1477))),1,0)</f>
        <v>0</v>
      </c>
      <c r="Y1477" s="11" t="s">
        <v>49</v>
      </c>
    </row>
    <row r="1478" customFormat="false" ht="15" hidden="false" customHeight="false" outlineLevel="0" collapsed="false">
      <c r="A1478" s="25" t="n">
        <v>42518</v>
      </c>
      <c r="B1478" s="13" t="n">
        <v>1</v>
      </c>
      <c r="C1478" s="26" t="s">
        <v>1531</v>
      </c>
      <c r="D1478" s="26" t="s">
        <v>1532</v>
      </c>
      <c r="E1478" s="13" t="s">
        <v>1146</v>
      </c>
      <c r="F1478" s="13" t="s">
        <v>1364</v>
      </c>
      <c r="G1478" s="13"/>
      <c r="H1478" s="13" t="s">
        <v>22</v>
      </c>
      <c r="I1478" s="13"/>
      <c r="J1478" s="13" t="s">
        <v>97</v>
      </c>
      <c r="K1478" s="13" t="s">
        <v>406</v>
      </c>
      <c r="L1478" s="13" t="s">
        <v>1370</v>
      </c>
      <c r="M1478" s="13" t="s">
        <v>100</v>
      </c>
      <c r="N1478" s="27" t="n">
        <v>9454</v>
      </c>
      <c r="O1478" s="28" t="n">
        <v>1034405.45</v>
      </c>
      <c r="P1478" s="27" t="n">
        <v>15646</v>
      </c>
      <c r="Q1478" s="29" t="n">
        <v>0.6</v>
      </c>
      <c r="R1478" s="28" t="n">
        <v>46.18</v>
      </c>
      <c r="S1478" s="28" t="n">
        <v>246.95</v>
      </c>
      <c r="T1478" s="28" t="n">
        <v>109.41</v>
      </c>
      <c r="U1478" s="13" t="n">
        <f aca="false">IFERROR(YEAR(A1478),"")</f>
        <v>2016</v>
      </c>
      <c r="V1478" s="28" t="n">
        <f aca="false">IFERROR(O1478*B1478,0)</f>
        <v>1034405.45</v>
      </c>
      <c r="W1478" s="27" t="n">
        <f aca="false">IFERROR(N1478*B1478,0)</f>
        <v>9454</v>
      </c>
      <c r="X1478" s="13" t="n">
        <f aca="false">IF(OR(ISNUMBER(SEARCH("live nation",L1478)),ISNUMBER(SEARCH("ocesa",L1478))),1,0)</f>
        <v>0</v>
      </c>
      <c r="Y1478" s="13" t="s">
        <v>50</v>
      </c>
    </row>
    <row r="1479" customFormat="false" ht="15" hidden="false" customHeight="false" outlineLevel="0" collapsed="false">
      <c r="A1479" s="30" t="n">
        <v>42514</v>
      </c>
      <c r="B1479" s="11" t="n">
        <v>1</v>
      </c>
      <c r="C1479" s="31" t="s">
        <v>1533</v>
      </c>
      <c r="D1479" s="31" t="s">
        <v>1534</v>
      </c>
      <c r="E1479" s="11" t="s">
        <v>1146</v>
      </c>
      <c r="F1479" s="11" t="s">
        <v>1364</v>
      </c>
      <c r="G1479" s="11"/>
      <c r="H1479" s="11" t="s">
        <v>22</v>
      </c>
      <c r="I1479" s="11"/>
      <c r="J1479" s="11" t="s">
        <v>97</v>
      </c>
      <c r="K1479" s="11" t="s">
        <v>406</v>
      </c>
      <c r="L1479" s="11" t="s">
        <v>1535</v>
      </c>
      <c r="M1479" s="11" t="s">
        <v>100</v>
      </c>
      <c r="N1479" s="32" t="n">
        <v>5321</v>
      </c>
      <c r="O1479" s="33" t="n">
        <v>642068.86</v>
      </c>
      <c r="P1479" s="32" t="n">
        <v>10382</v>
      </c>
      <c r="Q1479" s="34" t="n">
        <v>0.51</v>
      </c>
      <c r="R1479" s="33" t="n">
        <v>74.13</v>
      </c>
      <c r="S1479" s="33" t="n">
        <v>244.02</v>
      </c>
      <c r="T1479" s="33" t="n">
        <v>120.67</v>
      </c>
      <c r="U1479" s="11" t="n">
        <f aca="false">IFERROR(YEAR(A1479),"")</f>
        <v>2016</v>
      </c>
      <c r="V1479" s="33" t="n">
        <f aca="false">IFERROR(O1479*B1479,0)</f>
        <v>642068.86</v>
      </c>
      <c r="W1479" s="32" t="n">
        <f aca="false">IFERROR(N1479*B1479,0)</f>
        <v>5321</v>
      </c>
      <c r="X1479" s="11" t="n">
        <f aca="false">IF(OR(ISNUMBER(SEARCH("live nation",L1479)),ISNUMBER(SEARCH("ocesa",L1479))),1,0)</f>
        <v>0</v>
      </c>
      <c r="Y1479" s="11" t="s">
        <v>50</v>
      </c>
    </row>
    <row r="1480" customFormat="false" ht="15" hidden="false" customHeight="false" outlineLevel="0" collapsed="false">
      <c r="A1480" s="25" t="n">
        <v>42512</v>
      </c>
      <c r="B1480" s="13" t="n">
        <v>1</v>
      </c>
      <c r="C1480" s="26" t="s">
        <v>1536</v>
      </c>
      <c r="D1480" s="26"/>
      <c r="E1480" s="13" t="s">
        <v>1537</v>
      </c>
      <c r="F1480" s="13" t="s">
        <v>1538</v>
      </c>
      <c r="G1480" s="13" t="s">
        <v>1539</v>
      </c>
      <c r="H1480" s="13" t="s">
        <v>20</v>
      </c>
      <c r="I1480" s="13" t="s">
        <v>375</v>
      </c>
      <c r="J1480" s="13" t="s">
        <v>121</v>
      </c>
      <c r="K1480" s="13" t="s">
        <v>107</v>
      </c>
      <c r="L1480" s="13" t="s">
        <v>122</v>
      </c>
      <c r="M1480" s="13" t="s">
        <v>100</v>
      </c>
      <c r="N1480" s="27" t="n">
        <v>1881</v>
      </c>
      <c r="O1480" s="28" t="n">
        <v>18810</v>
      </c>
      <c r="P1480" s="27" t="n">
        <v>3441</v>
      </c>
      <c r="Q1480" s="29" t="n">
        <v>0.54</v>
      </c>
      <c r="R1480" s="28" t="n">
        <v>10</v>
      </c>
      <c r="S1480" s="28" t="n">
        <v>0</v>
      </c>
      <c r="T1480" s="28" t="n">
        <v>10</v>
      </c>
      <c r="U1480" s="13" t="n">
        <f aca="false">IFERROR(YEAR(A1480),"")</f>
        <v>2016</v>
      </c>
      <c r="V1480" s="28" t="n">
        <f aca="false">IFERROR(O1480*B1480,0)</f>
        <v>18810</v>
      </c>
      <c r="W1480" s="27" t="n">
        <f aca="false">IFERROR(N1480*B1480,0)</f>
        <v>1881</v>
      </c>
      <c r="X1480" s="13" t="n">
        <f aca="false">IF(OR(ISNUMBER(SEARCH("live nation",L1480)),ISNUMBER(SEARCH("ocesa",L1480))),1,0)</f>
        <v>0</v>
      </c>
      <c r="Y1480" s="13" t="s">
        <v>49</v>
      </c>
    </row>
    <row r="1481" customFormat="false" ht="15" hidden="false" customHeight="false" outlineLevel="0" collapsed="false">
      <c r="A1481" s="30" t="n">
        <v>42495</v>
      </c>
      <c r="B1481" s="11" t="n">
        <v>1</v>
      </c>
      <c r="C1481" s="31" t="s">
        <v>272</v>
      </c>
      <c r="D1481" s="31"/>
      <c r="E1481" s="11" t="s">
        <v>1310</v>
      </c>
      <c r="F1481" s="11" t="s">
        <v>223</v>
      </c>
      <c r="G1481" s="11" t="s">
        <v>224</v>
      </c>
      <c r="H1481" s="11" t="s">
        <v>20</v>
      </c>
      <c r="I1481" s="11" t="s">
        <v>225</v>
      </c>
      <c r="J1481" s="11" t="s">
        <v>106</v>
      </c>
      <c r="K1481" s="11" t="s">
        <v>107</v>
      </c>
      <c r="L1481" s="11" t="s">
        <v>1311</v>
      </c>
      <c r="M1481" s="11" t="s">
        <v>277</v>
      </c>
      <c r="N1481" s="32" t="n">
        <v>2425</v>
      </c>
      <c r="O1481" s="33" t="n">
        <v>92050</v>
      </c>
      <c r="P1481" s="32" t="n">
        <v>2425</v>
      </c>
      <c r="Q1481" s="34" t="n">
        <v>1</v>
      </c>
      <c r="R1481" s="33" t="n">
        <v>37.5</v>
      </c>
      <c r="S1481" s="33" t="n">
        <v>50</v>
      </c>
      <c r="T1481" s="33" t="n">
        <v>37.96</v>
      </c>
      <c r="U1481" s="11" t="n">
        <f aca="false">IFERROR(YEAR(A1481),"")</f>
        <v>2016</v>
      </c>
      <c r="V1481" s="33" t="n">
        <f aca="false">IFERROR(O1481*B1481,0)</f>
        <v>92050</v>
      </c>
      <c r="W1481" s="32" t="n">
        <f aca="false">IFERROR(N1481*B1481,0)</f>
        <v>2425</v>
      </c>
      <c r="X1481" s="11" t="n">
        <f aca="false">IF(OR(ISNUMBER(SEARCH("live nation",L1481)),ISNUMBER(SEARCH("ocesa",L1481))),1,0)</f>
        <v>0</v>
      </c>
      <c r="Y1481" s="11" t="s">
        <v>49</v>
      </c>
    </row>
    <row r="1482" customFormat="false" ht="15" hidden="false" customHeight="false" outlineLevel="0" collapsed="false">
      <c r="A1482" s="25" t="n">
        <v>42494</v>
      </c>
      <c r="B1482" s="13" t="n">
        <v>1</v>
      </c>
      <c r="C1482" s="26" t="s">
        <v>272</v>
      </c>
      <c r="D1482" s="26"/>
      <c r="E1482" s="13" t="s">
        <v>1465</v>
      </c>
      <c r="F1482" s="13" t="s">
        <v>139</v>
      </c>
      <c r="G1482" s="13" t="s">
        <v>139</v>
      </c>
      <c r="H1482" s="13" t="s">
        <v>20</v>
      </c>
      <c r="I1482" s="13" t="s">
        <v>139</v>
      </c>
      <c r="J1482" s="13" t="s">
        <v>106</v>
      </c>
      <c r="K1482" s="13" t="s">
        <v>107</v>
      </c>
      <c r="L1482" s="13" t="s">
        <v>531</v>
      </c>
      <c r="M1482" s="13" t="s">
        <v>277</v>
      </c>
      <c r="N1482" s="27" t="n">
        <v>2150</v>
      </c>
      <c r="O1482" s="28" t="n">
        <v>103010</v>
      </c>
      <c r="P1482" s="27" t="n">
        <v>2150</v>
      </c>
      <c r="Q1482" s="29" t="n">
        <v>1</v>
      </c>
      <c r="R1482" s="28" t="n">
        <v>49.5</v>
      </c>
      <c r="S1482" s="28" t="n">
        <v>0</v>
      </c>
      <c r="T1482" s="28" t="n">
        <v>47.91</v>
      </c>
      <c r="U1482" s="13" t="n">
        <f aca="false">IFERROR(YEAR(A1482),"")</f>
        <v>2016</v>
      </c>
      <c r="V1482" s="28" t="n">
        <f aca="false">IFERROR(O1482*B1482,0)</f>
        <v>103010</v>
      </c>
      <c r="W1482" s="27" t="n">
        <f aca="false">IFERROR(N1482*B1482,0)</f>
        <v>2150</v>
      </c>
      <c r="X1482" s="13" t="n">
        <f aca="false">IF(OR(ISNUMBER(SEARCH("live nation",L1482)),ISNUMBER(SEARCH("ocesa",L1482))),1,0)</f>
        <v>0</v>
      </c>
      <c r="Y1482" s="13" t="s">
        <v>49</v>
      </c>
    </row>
    <row r="1483" customFormat="false" ht="15" hidden="false" customHeight="false" outlineLevel="0" collapsed="false">
      <c r="A1483" s="30" t="n">
        <v>42491</v>
      </c>
      <c r="B1483" s="11" t="n">
        <v>1</v>
      </c>
      <c r="C1483" s="31" t="s">
        <v>1355</v>
      </c>
      <c r="D1483" s="31"/>
      <c r="E1483" s="11" t="s">
        <v>1059</v>
      </c>
      <c r="F1483" s="11" t="s">
        <v>132</v>
      </c>
      <c r="G1483" s="11"/>
      <c r="H1483" s="11" t="s">
        <v>23</v>
      </c>
      <c r="I1483" s="11"/>
      <c r="J1483" s="11" t="s">
        <v>151</v>
      </c>
      <c r="K1483" s="11" t="s">
        <v>134</v>
      </c>
      <c r="L1483" s="11" t="s">
        <v>122</v>
      </c>
      <c r="M1483" s="11" t="s">
        <v>277</v>
      </c>
      <c r="N1483" s="32" t="n">
        <v>3467</v>
      </c>
      <c r="O1483" s="33" t="n">
        <v>72623.75</v>
      </c>
      <c r="P1483" s="32" t="n">
        <v>6486</v>
      </c>
      <c r="Q1483" s="34" t="n">
        <v>0.53</v>
      </c>
      <c r="R1483" s="33" t="n">
        <v>20.92</v>
      </c>
      <c r="S1483" s="33" t="n">
        <v>39.41</v>
      </c>
      <c r="T1483" s="33" t="n">
        <v>20.95</v>
      </c>
      <c r="U1483" s="11" t="n">
        <f aca="false">IFERROR(YEAR(A1483),"")</f>
        <v>2016</v>
      </c>
      <c r="V1483" s="33" t="n">
        <f aca="false">IFERROR(O1483*B1483,0)</f>
        <v>72623.75</v>
      </c>
      <c r="W1483" s="32" t="n">
        <f aca="false">IFERROR(N1483*B1483,0)</f>
        <v>3467</v>
      </c>
      <c r="X1483" s="11" t="n">
        <f aca="false">IF(OR(ISNUMBER(SEARCH("live nation",L1483)),ISNUMBER(SEARCH("ocesa",L1483))),1,0)</f>
        <v>0</v>
      </c>
      <c r="Y1483" s="11" t="s">
        <v>49</v>
      </c>
    </row>
    <row r="1484" customFormat="false" ht="15" hidden="false" customHeight="false" outlineLevel="0" collapsed="false">
      <c r="A1484" s="25" t="n">
        <v>42490</v>
      </c>
      <c r="B1484" s="13" t="n">
        <v>1</v>
      </c>
      <c r="C1484" s="26" t="s">
        <v>1341</v>
      </c>
      <c r="D1484" s="26"/>
      <c r="E1484" s="13" t="s">
        <v>1270</v>
      </c>
      <c r="F1484" s="13" t="s">
        <v>313</v>
      </c>
      <c r="G1484" s="13"/>
      <c r="H1484" s="13" t="s">
        <v>27</v>
      </c>
      <c r="I1484" s="13"/>
      <c r="J1484" s="13" t="s">
        <v>121</v>
      </c>
      <c r="K1484" s="13" t="s">
        <v>314</v>
      </c>
      <c r="L1484" s="13" t="s">
        <v>1406</v>
      </c>
      <c r="M1484" s="13" t="s">
        <v>100</v>
      </c>
      <c r="N1484" s="27" t="n">
        <v>2840</v>
      </c>
      <c r="O1484" s="28" t="n">
        <v>81586.98</v>
      </c>
      <c r="P1484" s="27" t="n">
        <v>4213</v>
      </c>
      <c r="Q1484" s="29" t="n">
        <v>0.67</v>
      </c>
      <c r="R1484" s="28" t="n">
        <v>28.74</v>
      </c>
      <c r="S1484" s="28" t="n">
        <v>0</v>
      </c>
      <c r="T1484" s="28" t="n">
        <v>28.73</v>
      </c>
      <c r="U1484" s="13" t="n">
        <f aca="false">IFERROR(YEAR(A1484),"")</f>
        <v>2016</v>
      </c>
      <c r="V1484" s="28" t="n">
        <f aca="false">IFERROR(O1484*B1484,0)</f>
        <v>81586.98</v>
      </c>
      <c r="W1484" s="27" t="n">
        <f aca="false">IFERROR(N1484*B1484,0)</f>
        <v>2840</v>
      </c>
      <c r="X1484" s="13" t="n">
        <f aca="false">IF(OR(ISNUMBER(SEARCH("live nation",L1484)),ISNUMBER(SEARCH("ocesa",L1484))),1,0)</f>
        <v>0</v>
      </c>
      <c r="Y1484" s="13" t="s">
        <v>49</v>
      </c>
    </row>
    <row r="1485" customFormat="false" ht="15" hidden="false" customHeight="false" outlineLevel="0" collapsed="false">
      <c r="A1485" s="30" t="n">
        <v>42490</v>
      </c>
      <c r="B1485" s="11" t="n">
        <v>1</v>
      </c>
      <c r="C1485" s="31" t="s">
        <v>1158</v>
      </c>
      <c r="D1485" s="31"/>
      <c r="E1485" s="11" t="s">
        <v>1540</v>
      </c>
      <c r="F1485" s="11" t="s">
        <v>1541</v>
      </c>
      <c r="G1485" s="11" t="s">
        <v>180</v>
      </c>
      <c r="H1485" s="11" t="s">
        <v>20</v>
      </c>
      <c r="I1485" s="11" t="s">
        <v>179</v>
      </c>
      <c r="J1485" s="11" t="s">
        <v>121</v>
      </c>
      <c r="K1485" s="11" t="s">
        <v>107</v>
      </c>
      <c r="L1485" s="11" t="s">
        <v>122</v>
      </c>
      <c r="M1485" s="11" t="s">
        <v>100</v>
      </c>
      <c r="N1485" s="32" t="n">
        <v>1427</v>
      </c>
      <c r="O1485" s="33" t="n">
        <v>48279.52</v>
      </c>
      <c r="P1485" s="32" t="n">
        <v>1448</v>
      </c>
      <c r="Q1485" s="34" t="n">
        <v>0.98</v>
      </c>
      <c r="R1485" s="33" t="n">
        <v>24</v>
      </c>
      <c r="S1485" s="33" t="n">
        <v>54</v>
      </c>
      <c r="T1485" s="33" t="n">
        <v>33.83</v>
      </c>
      <c r="U1485" s="11" t="n">
        <f aca="false">IFERROR(YEAR(A1485),"")</f>
        <v>2016</v>
      </c>
      <c r="V1485" s="33" t="n">
        <f aca="false">IFERROR(O1485*B1485,0)</f>
        <v>48279.52</v>
      </c>
      <c r="W1485" s="32" t="n">
        <f aca="false">IFERROR(N1485*B1485,0)</f>
        <v>1427</v>
      </c>
      <c r="X1485" s="11" t="n">
        <f aca="false">IF(OR(ISNUMBER(SEARCH("live nation",L1485)),ISNUMBER(SEARCH("ocesa",L1485))),1,0)</f>
        <v>0</v>
      </c>
      <c r="Y1485" s="11" t="s">
        <v>49</v>
      </c>
    </row>
    <row r="1486" customFormat="false" ht="15" hidden="false" customHeight="false" outlineLevel="0" collapsed="false">
      <c r="A1486" s="25" t="n">
        <v>42487</v>
      </c>
      <c r="B1486" s="13" t="n">
        <v>1</v>
      </c>
      <c r="C1486" s="26" t="s">
        <v>1355</v>
      </c>
      <c r="D1486" s="26"/>
      <c r="E1486" s="13" t="s">
        <v>617</v>
      </c>
      <c r="F1486" s="13" t="s">
        <v>346</v>
      </c>
      <c r="G1486" s="13" t="s">
        <v>347</v>
      </c>
      <c r="H1486" s="13" t="s">
        <v>20</v>
      </c>
      <c r="I1486" s="13" t="s">
        <v>346</v>
      </c>
      <c r="J1486" s="13" t="s">
        <v>121</v>
      </c>
      <c r="K1486" s="13" t="s">
        <v>107</v>
      </c>
      <c r="L1486" s="13" t="s">
        <v>791</v>
      </c>
      <c r="M1486" s="13" t="s">
        <v>277</v>
      </c>
      <c r="N1486" s="27" t="n">
        <v>1320</v>
      </c>
      <c r="O1486" s="28" t="n">
        <v>157255</v>
      </c>
      <c r="P1486" s="27" t="n">
        <v>2501</v>
      </c>
      <c r="Q1486" s="29" t="n">
        <v>0.52</v>
      </c>
      <c r="R1486" s="28" t="n">
        <v>50</v>
      </c>
      <c r="S1486" s="28" t="n">
        <v>180</v>
      </c>
      <c r="T1486" s="28" t="n">
        <v>119.13</v>
      </c>
      <c r="U1486" s="13" t="n">
        <f aca="false">IFERROR(YEAR(A1486),"")</f>
        <v>2016</v>
      </c>
      <c r="V1486" s="28" t="n">
        <f aca="false">IFERROR(O1486*B1486,0)</f>
        <v>157255</v>
      </c>
      <c r="W1486" s="27" t="n">
        <f aca="false">IFERROR(N1486*B1486,0)</f>
        <v>1320</v>
      </c>
      <c r="X1486" s="13" t="n">
        <f aca="false">IF(OR(ISNUMBER(SEARCH("live nation",L1486)),ISNUMBER(SEARCH("ocesa",L1486))),1,0)</f>
        <v>0</v>
      </c>
      <c r="Y1486" s="13" t="s">
        <v>49</v>
      </c>
    </row>
    <row r="1487" customFormat="false" ht="15" hidden="false" customHeight="false" outlineLevel="0" collapsed="false">
      <c r="A1487" s="30" t="n">
        <v>42485</v>
      </c>
      <c r="B1487" s="11" t="n">
        <v>1</v>
      </c>
      <c r="C1487" s="31" t="s">
        <v>1355</v>
      </c>
      <c r="D1487" s="31"/>
      <c r="E1487" s="11" t="s">
        <v>1465</v>
      </c>
      <c r="F1487" s="11" t="s">
        <v>139</v>
      </c>
      <c r="G1487" s="11" t="s">
        <v>139</v>
      </c>
      <c r="H1487" s="11" t="s">
        <v>20</v>
      </c>
      <c r="I1487" s="11" t="s">
        <v>139</v>
      </c>
      <c r="J1487" s="11" t="s">
        <v>106</v>
      </c>
      <c r="K1487" s="11" t="s">
        <v>107</v>
      </c>
      <c r="L1487" s="11" t="s">
        <v>791</v>
      </c>
      <c r="M1487" s="11" t="s">
        <v>277</v>
      </c>
      <c r="N1487" s="32" t="n">
        <v>1433</v>
      </c>
      <c r="O1487" s="33" t="n">
        <v>151725</v>
      </c>
      <c r="P1487" s="32" t="n">
        <v>2050</v>
      </c>
      <c r="Q1487" s="34" t="n">
        <v>0.69</v>
      </c>
      <c r="R1487" s="33" t="n">
        <v>50</v>
      </c>
      <c r="S1487" s="33" t="n">
        <v>180</v>
      </c>
      <c r="T1487" s="33" t="n">
        <v>105.88</v>
      </c>
      <c r="U1487" s="11" t="n">
        <f aca="false">IFERROR(YEAR(A1487),"")</f>
        <v>2016</v>
      </c>
      <c r="V1487" s="33" t="n">
        <f aca="false">IFERROR(O1487*B1487,0)</f>
        <v>151725</v>
      </c>
      <c r="W1487" s="32" t="n">
        <f aca="false">IFERROR(N1487*B1487,0)</f>
        <v>1433</v>
      </c>
      <c r="X1487" s="11" t="n">
        <f aca="false">IF(OR(ISNUMBER(SEARCH("live nation",L1487)),ISNUMBER(SEARCH("ocesa",L1487))),1,0)</f>
        <v>0</v>
      </c>
      <c r="Y1487" s="11" t="s">
        <v>49</v>
      </c>
    </row>
    <row r="1488" customFormat="false" ht="15" hidden="false" customHeight="false" outlineLevel="0" collapsed="false">
      <c r="A1488" s="25" t="n">
        <v>42483</v>
      </c>
      <c r="B1488" s="13" t="n">
        <v>1</v>
      </c>
      <c r="C1488" s="26" t="s">
        <v>1355</v>
      </c>
      <c r="D1488" s="26"/>
      <c r="E1488" s="13" t="s">
        <v>487</v>
      </c>
      <c r="F1488" s="13" t="s">
        <v>207</v>
      </c>
      <c r="G1488" s="13" t="s">
        <v>208</v>
      </c>
      <c r="H1488" s="13" t="s">
        <v>20</v>
      </c>
      <c r="I1488" s="13" t="s">
        <v>209</v>
      </c>
      <c r="J1488" s="13" t="s">
        <v>121</v>
      </c>
      <c r="K1488" s="13" t="s">
        <v>107</v>
      </c>
      <c r="L1488" s="13" t="s">
        <v>791</v>
      </c>
      <c r="M1488" s="13" t="s">
        <v>277</v>
      </c>
      <c r="N1488" s="27" t="n">
        <v>2734</v>
      </c>
      <c r="O1488" s="28" t="n">
        <v>281815</v>
      </c>
      <c r="P1488" s="27" t="n">
        <v>4212</v>
      </c>
      <c r="Q1488" s="29" t="n">
        <v>0.64</v>
      </c>
      <c r="R1488" s="28" t="n">
        <v>50</v>
      </c>
      <c r="S1488" s="28" t="n">
        <v>180</v>
      </c>
      <c r="T1488" s="28" t="n">
        <v>103.08</v>
      </c>
      <c r="U1488" s="13" t="n">
        <f aca="false">IFERROR(YEAR(A1488),"")</f>
        <v>2016</v>
      </c>
      <c r="V1488" s="28" t="n">
        <f aca="false">IFERROR(O1488*B1488,0)</f>
        <v>281815</v>
      </c>
      <c r="W1488" s="27" t="n">
        <f aca="false">IFERROR(N1488*B1488,0)</f>
        <v>2734</v>
      </c>
      <c r="X1488" s="13" t="n">
        <f aca="false">IF(OR(ISNUMBER(SEARCH("live nation",L1488)),ISNUMBER(SEARCH("ocesa",L1488))),1,0)</f>
        <v>0</v>
      </c>
      <c r="Y1488" s="13" t="s">
        <v>49</v>
      </c>
    </row>
    <row r="1489" customFormat="false" ht="15" hidden="false" customHeight="false" outlineLevel="0" collapsed="false">
      <c r="A1489" s="30" t="n">
        <v>42481</v>
      </c>
      <c r="B1489" s="11" t="n">
        <v>1</v>
      </c>
      <c r="C1489" s="31" t="s">
        <v>1355</v>
      </c>
      <c r="D1489" s="31"/>
      <c r="E1489" s="11" t="s">
        <v>1526</v>
      </c>
      <c r="F1489" s="11" t="s">
        <v>1259</v>
      </c>
      <c r="G1489" s="11" t="s">
        <v>143</v>
      </c>
      <c r="H1489" s="11" t="s">
        <v>20</v>
      </c>
      <c r="I1489" s="11" t="s">
        <v>375</v>
      </c>
      <c r="J1489" s="11" t="s">
        <v>121</v>
      </c>
      <c r="K1489" s="11" t="s">
        <v>107</v>
      </c>
      <c r="L1489" s="11" t="s">
        <v>791</v>
      </c>
      <c r="M1489" s="11" t="s">
        <v>277</v>
      </c>
      <c r="N1489" s="32" t="n">
        <v>1555</v>
      </c>
      <c r="O1489" s="33" t="n">
        <v>189780</v>
      </c>
      <c r="P1489" s="32" t="n">
        <v>3024</v>
      </c>
      <c r="Q1489" s="34" t="n">
        <v>0.51</v>
      </c>
      <c r="R1489" s="33" t="n">
        <v>50</v>
      </c>
      <c r="S1489" s="33" t="n">
        <v>180</v>
      </c>
      <c r="T1489" s="33" t="n">
        <v>122.05</v>
      </c>
      <c r="U1489" s="11" t="n">
        <f aca="false">IFERROR(YEAR(A1489),"")</f>
        <v>2016</v>
      </c>
      <c r="V1489" s="33" t="n">
        <f aca="false">IFERROR(O1489*B1489,0)</f>
        <v>189780</v>
      </c>
      <c r="W1489" s="32" t="n">
        <f aca="false">IFERROR(N1489*B1489,0)</f>
        <v>1555</v>
      </c>
      <c r="X1489" s="11" t="n">
        <f aca="false">IF(OR(ISNUMBER(SEARCH("live nation",L1489)),ISNUMBER(SEARCH("ocesa",L1489))),1,0)</f>
        <v>0</v>
      </c>
      <c r="Y1489" s="11" t="s">
        <v>49</v>
      </c>
    </row>
    <row r="1490" customFormat="false" ht="15" hidden="false" customHeight="false" outlineLevel="0" collapsed="false">
      <c r="A1490" s="25" t="n">
        <v>42480</v>
      </c>
      <c r="B1490" s="13" t="n">
        <v>1</v>
      </c>
      <c r="C1490" s="26" t="s">
        <v>1529</v>
      </c>
      <c r="D1490" s="26"/>
      <c r="E1490" s="13" t="s">
        <v>1317</v>
      </c>
      <c r="F1490" s="13" t="s">
        <v>295</v>
      </c>
      <c r="G1490" s="13"/>
      <c r="H1490" s="13" t="s">
        <v>28</v>
      </c>
      <c r="I1490" s="13"/>
      <c r="J1490" s="13" t="s">
        <v>97</v>
      </c>
      <c r="K1490" s="13" t="s">
        <v>98</v>
      </c>
      <c r="L1490" s="13" t="s">
        <v>1542</v>
      </c>
      <c r="M1490" s="13" t="s">
        <v>251</v>
      </c>
      <c r="N1490" s="27" t="n">
        <v>972</v>
      </c>
      <c r="O1490" s="28" t="n">
        <v>141689.84</v>
      </c>
      <c r="P1490" s="27" t="n">
        <v>3437</v>
      </c>
      <c r="Q1490" s="29" t="n">
        <v>0.28</v>
      </c>
      <c r="R1490" s="28" t="n">
        <v>73.77</v>
      </c>
      <c r="S1490" s="28" t="n">
        <v>311.05</v>
      </c>
      <c r="T1490" s="28" t="n">
        <v>145.77</v>
      </c>
      <c r="U1490" s="13" t="n">
        <f aca="false">IFERROR(YEAR(A1490),"")</f>
        <v>2016</v>
      </c>
      <c r="V1490" s="28" t="n">
        <f aca="false">IFERROR(O1490*B1490,0)</f>
        <v>141689.84</v>
      </c>
      <c r="W1490" s="27" t="n">
        <f aca="false">IFERROR(N1490*B1490,0)</f>
        <v>972</v>
      </c>
      <c r="X1490" s="13" t="n">
        <f aca="false">IF(OR(ISNUMBER(SEARCH("live nation",L1490)),ISNUMBER(SEARCH("ocesa",L1490))),1,0)</f>
        <v>0</v>
      </c>
      <c r="Y1490" s="13" t="s">
        <v>49</v>
      </c>
    </row>
    <row r="1491" customFormat="false" ht="15" hidden="false" customHeight="false" outlineLevel="0" collapsed="false">
      <c r="A1491" s="30" t="n">
        <v>42477</v>
      </c>
      <c r="B1491" s="11" t="n">
        <v>1</v>
      </c>
      <c r="C1491" s="31" t="s">
        <v>1355</v>
      </c>
      <c r="D1491" s="31"/>
      <c r="E1491" s="11" t="s">
        <v>1256</v>
      </c>
      <c r="F1491" s="11" t="s">
        <v>203</v>
      </c>
      <c r="G1491" s="11" t="s">
        <v>202</v>
      </c>
      <c r="H1491" s="11" t="s">
        <v>20</v>
      </c>
      <c r="I1491" s="11" t="s">
        <v>203</v>
      </c>
      <c r="J1491" s="11" t="s">
        <v>121</v>
      </c>
      <c r="K1491" s="11" t="s">
        <v>107</v>
      </c>
      <c r="L1491" s="11" t="s">
        <v>791</v>
      </c>
      <c r="M1491" s="11" t="s">
        <v>277</v>
      </c>
      <c r="N1491" s="32" t="n">
        <v>2201</v>
      </c>
      <c r="O1491" s="33" t="n">
        <v>229130</v>
      </c>
      <c r="P1491" s="32" t="n">
        <v>3015</v>
      </c>
      <c r="Q1491" s="34" t="n">
        <v>0.73</v>
      </c>
      <c r="R1491" s="33" t="n">
        <v>50</v>
      </c>
      <c r="S1491" s="33" t="n">
        <v>180</v>
      </c>
      <c r="T1491" s="33" t="n">
        <v>104.1</v>
      </c>
      <c r="U1491" s="11" t="n">
        <f aca="false">IFERROR(YEAR(A1491),"")</f>
        <v>2016</v>
      </c>
      <c r="V1491" s="33" t="n">
        <f aca="false">IFERROR(O1491*B1491,0)</f>
        <v>229130</v>
      </c>
      <c r="W1491" s="32" t="n">
        <f aca="false">IFERROR(N1491*B1491,0)</f>
        <v>2201</v>
      </c>
      <c r="X1491" s="11" t="n">
        <f aca="false">IF(OR(ISNUMBER(SEARCH("live nation",L1491)),ISNUMBER(SEARCH("ocesa",L1491))),1,0)</f>
        <v>0</v>
      </c>
      <c r="Y1491" s="11" t="s">
        <v>49</v>
      </c>
    </row>
    <row r="1492" customFormat="false" ht="15" hidden="false" customHeight="false" outlineLevel="0" collapsed="false">
      <c r="A1492" s="25" t="n">
        <v>42475</v>
      </c>
      <c r="B1492" s="13" t="n">
        <v>1</v>
      </c>
      <c r="C1492" s="26" t="s">
        <v>1543</v>
      </c>
      <c r="D1492" s="26"/>
      <c r="E1492" s="13" t="s">
        <v>1376</v>
      </c>
      <c r="F1492" s="13" t="s">
        <v>1364</v>
      </c>
      <c r="G1492" s="13"/>
      <c r="H1492" s="13" t="s">
        <v>22</v>
      </c>
      <c r="I1492" s="13"/>
      <c r="J1492" s="13" t="s">
        <v>106</v>
      </c>
      <c r="K1492" s="13" t="s">
        <v>406</v>
      </c>
      <c r="L1492" s="13" t="s">
        <v>1395</v>
      </c>
      <c r="M1492" s="13" t="s">
        <v>100</v>
      </c>
      <c r="N1492" s="27" t="n">
        <v>301</v>
      </c>
      <c r="O1492" s="28" t="n">
        <v>16723.25</v>
      </c>
      <c r="P1492" s="27" t="n">
        <v>690</v>
      </c>
      <c r="Q1492" s="29" t="n">
        <v>0.43</v>
      </c>
      <c r="R1492" s="28" t="n">
        <v>27.9</v>
      </c>
      <c r="S1492" s="28" t="n">
        <v>203.7</v>
      </c>
      <c r="T1492" s="28" t="n">
        <v>55.56</v>
      </c>
      <c r="U1492" s="13" t="n">
        <f aca="false">IFERROR(YEAR(A1492),"")</f>
        <v>2016</v>
      </c>
      <c r="V1492" s="28" t="n">
        <f aca="false">IFERROR(O1492*B1492,0)</f>
        <v>16723.25</v>
      </c>
      <c r="W1492" s="27" t="n">
        <f aca="false">IFERROR(N1492*B1492,0)</f>
        <v>301</v>
      </c>
      <c r="X1492" s="13" t="n">
        <f aca="false">IF(OR(ISNUMBER(SEARCH("live nation",L1492)),ISNUMBER(SEARCH("ocesa",L1492))),1,0)</f>
        <v>0</v>
      </c>
      <c r="Y1492" s="13" t="s">
        <v>50</v>
      </c>
    </row>
    <row r="1493" customFormat="false" ht="15" hidden="false" customHeight="false" outlineLevel="0" collapsed="false">
      <c r="A1493" s="30" t="n">
        <v>42474</v>
      </c>
      <c r="B1493" s="11" t="n">
        <v>1</v>
      </c>
      <c r="C1493" s="31" t="s">
        <v>1355</v>
      </c>
      <c r="D1493" s="31"/>
      <c r="E1493" s="11" t="s">
        <v>1097</v>
      </c>
      <c r="F1493" s="11" t="s">
        <v>535</v>
      </c>
      <c r="G1493" s="11" t="s">
        <v>202</v>
      </c>
      <c r="H1493" s="11" t="s">
        <v>20</v>
      </c>
      <c r="I1493" s="11" t="s">
        <v>232</v>
      </c>
      <c r="J1493" s="11" t="s">
        <v>121</v>
      </c>
      <c r="K1493" s="11" t="s">
        <v>107</v>
      </c>
      <c r="L1493" s="11" t="s">
        <v>791</v>
      </c>
      <c r="M1493" s="11" t="s">
        <v>277</v>
      </c>
      <c r="N1493" s="32" t="n">
        <v>1224</v>
      </c>
      <c r="O1493" s="33" t="n">
        <v>142205</v>
      </c>
      <c r="P1493" s="32" t="n">
        <v>1500</v>
      </c>
      <c r="Q1493" s="34" t="n">
        <v>0.81</v>
      </c>
      <c r="R1493" s="33" t="n">
        <v>50</v>
      </c>
      <c r="S1493" s="33" t="n">
        <v>180</v>
      </c>
      <c r="T1493" s="33" t="n">
        <v>116.18</v>
      </c>
      <c r="U1493" s="11" t="n">
        <f aca="false">IFERROR(YEAR(A1493),"")</f>
        <v>2016</v>
      </c>
      <c r="V1493" s="33" t="n">
        <f aca="false">IFERROR(O1493*B1493,0)</f>
        <v>142205</v>
      </c>
      <c r="W1493" s="32" t="n">
        <f aca="false">IFERROR(N1493*B1493,0)</f>
        <v>1224</v>
      </c>
      <c r="X1493" s="11" t="n">
        <f aca="false">IF(OR(ISNUMBER(SEARCH("live nation",L1493)),ISNUMBER(SEARCH("ocesa",L1493))),1,0)</f>
        <v>0</v>
      </c>
      <c r="Y1493" s="11" t="s">
        <v>49</v>
      </c>
    </row>
    <row r="1494" customFormat="false" ht="15" hidden="false" customHeight="false" outlineLevel="0" collapsed="false">
      <c r="A1494" s="25" t="n">
        <v>42468</v>
      </c>
      <c r="B1494" s="13" t="n">
        <v>1</v>
      </c>
      <c r="C1494" s="26" t="s">
        <v>1409</v>
      </c>
      <c r="D1494" s="26"/>
      <c r="E1494" s="13" t="s">
        <v>95</v>
      </c>
      <c r="F1494" s="13" t="s">
        <v>96</v>
      </c>
      <c r="G1494" s="13"/>
      <c r="H1494" s="13" t="s">
        <v>28</v>
      </c>
      <c r="I1494" s="13"/>
      <c r="J1494" s="13" t="s">
        <v>97</v>
      </c>
      <c r="K1494" s="13" t="s">
        <v>98</v>
      </c>
      <c r="L1494" s="13" t="s">
        <v>1544</v>
      </c>
      <c r="M1494" s="13" t="s">
        <v>100</v>
      </c>
      <c r="N1494" s="27" t="n">
        <v>3984</v>
      </c>
      <c r="O1494" s="28" t="n">
        <v>506034.22</v>
      </c>
      <c r="P1494" s="27" t="n">
        <v>4269</v>
      </c>
      <c r="Q1494" s="29" t="n">
        <v>0.93</v>
      </c>
      <c r="R1494" s="28" t="n">
        <v>49.23</v>
      </c>
      <c r="S1494" s="28" t="n">
        <v>505.54</v>
      </c>
      <c r="T1494" s="28" t="n">
        <v>127.02</v>
      </c>
      <c r="U1494" s="13" t="n">
        <f aca="false">IFERROR(YEAR(A1494),"")</f>
        <v>2016</v>
      </c>
      <c r="V1494" s="28" t="n">
        <f aca="false">IFERROR(O1494*B1494,0)</f>
        <v>506034.22</v>
      </c>
      <c r="W1494" s="27" t="n">
        <f aca="false">IFERROR(N1494*B1494,0)</f>
        <v>3984</v>
      </c>
      <c r="X1494" s="13" t="n">
        <f aca="false">IF(OR(ISNUMBER(SEARCH("live nation",L1494)),ISNUMBER(SEARCH("ocesa",L1494))),1,0)</f>
        <v>0</v>
      </c>
      <c r="Y1494" s="13" t="s">
        <v>49</v>
      </c>
    </row>
    <row r="1495" customFormat="false" ht="15" hidden="false" customHeight="false" outlineLevel="0" collapsed="false">
      <c r="A1495" s="30" t="n">
        <v>42462</v>
      </c>
      <c r="B1495" s="11" t="n">
        <v>1</v>
      </c>
      <c r="C1495" s="31" t="s">
        <v>272</v>
      </c>
      <c r="D1495" s="31"/>
      <c r="E1495" s="11" t="s">
        <v>1357</v>
      </c>
      <c r="F1495" s="11" t="s">
        <v>313</v>
      </c>
      <c r="G1495" s="11"/>
      <c r="H1495" s="11" t="s">
        <v>27</v>
      </c>
      <c r="I1495" s="11"/>
      <c r="J1495" s="11" t="s">
        <v>97</v>
      </c>
      <c r="K1495" s="11" t="s">
        <v>314</v>
      </c>
      <c r="L1495" s="11" t="s">
        <v>1271</v>
      </c>
      <c r="M1495" s="11" t="s">
        <v>277</v>
      </c>
      <c r="N1495" s="32" t="n">
        <v>7420</v>
      </c>
      <c r="O1495" s="33" t="n">
        <v>308761.87</v>
      </c>
      <c r="P1495" s="32" t="n">
        <v>8745</v>
      </c>
      <c r="Q1495" s="34" t="n">
        <v>0.84</v>
      </c>
      <c r="R1495" s="33" t="n">
        <v>32.33</v>
      </c>
      <c r="S1495" s="33" t="n">
        <v>42.38</v>
      </c>
      <c r="T1495" s="33" t="n">
        <v>41.61</v>
      </c>
      <c r="U1495" s="11" t="n">
        <f aca="false">IFERROR(YEAR(A1495),"")</f>
        <v>2016</v>
      </c>
      <c r="V1495" s="33" t="n">
        <f aca="false">IFERROR(O1495*B1495,0)</f>
        <v>308761.87</v>
      </c>
      <c r="W1495" s="32" t="n">
        <f aca="false">IFERROR(N1495*B1495,0)</f>
        <v>7420</v>
      </c>
      <c r="X1495" s="11" t="n">
        <f aca="false">IF(OR(ISNUMBER(SEARCH("live nation",L1495)),ISNUMBER(SEARCH("ocesa",L1495))),1,0)</f>
        <v>0</v>
      </c>
      <c r="Y1495" s="11" t="s">
        <v>49</v>
      </c>
    </row>
    <row r="1496" customFormat="false" ht="15" hidden="false" customHeight="false" outlineLevel="0" collapsed="false">
      <c r="A1496" s="25" t="n">
        <v>42457</v>
      </c>
      <c r="B1496" s="13" t="n">
        <v>1</v>
      </c>
      <c r="C1496" s="26" t="s">
        <v>1398</v>
      </c>
      <c r="D1496" s="26" t="s">
        <v>1545</v>
      </c>
      <c r="E1496" s="13" t="s">
        <v>1146</v>
      </c>
      <c r="F1496" s="13" t="s">
        <v>1364</v>
      </c>
      <c r="G1496" s="13"/>
      <c r="H1496" s="13" t="s">
        <v>22</v>
      </c>
      <c r="I1496" s="13"/>
      <c r="J1496" s="13" t="s">
        <v>97</v>
      </c>
      <c r="K1496" s="13" t="s">
        <v>406</v>
      </c>
      <c r="L1496" s="13" t="s">
        <v>1400</v>
      </c>
      <c r="M1496" s="13" t="s">
        <v>100</v>
      </c>
      <c r="N1496" s="27" t="n">
        <v>7693</v>
      </c>
      <c r="O1496" s="28" t="n">
        <v>345655.57</v>
      </c>
      <c r="P1496" s="27" t="n">
        <v>9100</v>
      </c>
      <c r="Q1496" s="29" t="n">
        <v>0.84</v>
      </c>
      <c r="R1496" s="28" t="n">
        <v>18.31</v>
      </c>
      <c r="S1496" s="28" t="n">
        <v>103.73</v>
      </c>
      <c r="T1496" s="28" t="n">
        <v>44.93</v>
      </c>
      <c r="U1496" s="13" t="n">
        <f aca="false">IFERROR(YEAR(A1496),"")</f>
        <v>2016</v>
      </c>
      <c r="V1496" s="28" t="n">
        <f aca="false">IFERROR(O1496*B1496,0)</f>
        <v>345655.57</v>
      </c>
      <c r="W1496" s="27" t="n">
        <f aca="false">IFERROR(N1496*B1496,0)</f>
        <v>7693</v>
      </c>
      <c r="X1496" s="13" t="n">
        <f aca="false">IF(OR(ISNUMBER(SEARCH("live nation",L1496)),ISNUMBER(SEARCH("ocesa",L1496))),1,0)</f>
        <v>0</v>
      </c>
      <c r="Y1496" s="13" t="s">
        <v>50</v>
      </c>
    </row>
    <row r="1497" customFormat="false" ht="15" hidden="false" customHeight="false" outlineLevel="0" collapsed="false">
      <c r="A1497" s="30" t="n">
        <v>42440</v>
      </c>
      <c r="B1497" s="11" t="n">
        <v>3</v>
      </c>
      <c r="C1497" s="31" t="s">
        <v>1546</v>
      </c>
      <c r="D1497" s="31"/>
      <c r="E1497" s="11" t="s">
        <v>1146</v>
      </c>
      <c r="F1497" s="11" t="s">
        <v>1364</v>
      </c>
      <c r="G1497" s="11"/>
      <c r="H1497" s="11" t="s">
        <v>22</v>
      </c>
      <c r="I1497" s="11"/>
      <c r="J1497" s="11" t="s">
        <v>97</v>
      </c>
      <c r="K1497" s="11" t="s">
        <v>406</v>
      </c>
      <c r="L1497" s="11" t="s">
        <v>1365</v>
      </c>
      <c r="M1497" s="11" t="s">
        <v>100</v>
      </c>
      <c r="N1497" s="32" t="n">
        <v>13145</v>
      </c>
      <c r="O1497" s="33" t="n">
        <v>2114052.14</v>
      </c>
      <c r="P1497" s="32" t="n">
        <v>15000</v>
      </c>
      <c r="Q1497" s="34" t="n">
        <v>0.87</v>
      </c>
      <c r="R1497" s="33" t="n">
        <v>103.73</v>
      </c>
      <c r="S1497" s="33" t="n">
        <v>225.77</v>
      </c>
      <c r="T1497" s="33" t="n">
        <v>160.82</v>
      </c>
      <c r="U1497" s="11" t="n">
        <f aca="false">IFERROR(YEAR(A1497),"")</f>
        <v>2016</v>
      </c>
      <c r="V1497" s="33" t="n">
        <f aca="false">IFERROR(O1497*B1497,0)</f>
        <v>6342156.42</v>
      </c>
      <c r="W1497" s="32" t="n">
        <f aca="false">IFERROR(N1497*B1497,0)</f>
        <v>39435</v>
      </c>
      <c r="X1497" s="11" t="n">
        <f aca="false">IF(OR(ISNUMBER(SEARCH("live nation",L1497)),ISNUMBER(SEARCH("ocesa",L1497))),1,0)</f>
        <v>0</v>
      </c>
      <c r="Y1497" s="11" t="s">
        <v>50</v>
      </c>
    </row>
    <row r="1498" customFormat="false" ht="15" hidden="false" customHeight="false" outlineLevel="0" collapsed="false">
      <c r="A1498" s="25" t="n">
        <v>42435</v>
      </c>
      <c r="B1498" s="13" t="n">
        <v>2</v>
      </c>
      <c r="C1498" s="26" t="s">
        <v>1517</v>
      </c>
      <c r="D1498" s="26"/>
      <c r="E1498" s="13" t="s">
        <v>1376</v>
      </c>
      <c r="F1498" s="13" t="s">
        <v>1364</v>
      </c>
      <c r="G1498" s="13"/>
      <c r="H1498" s="13" t="s">
        <v>22</v>
      </c>
      <c r="I1498" s="13"/>
      <c r="J1498" s="13" t="s">
        <v>106</v>
      </c>
      <c r="K1498" s="13" t="s">
        <v>406</v>
      </c>
      <c r="L1498" s="13" t="s">
        <v>1518</v>
      </c>
      <c r="M1498" s="13" t="s">
        <v>100</v>
      </c>
      <c r="N1498" s="27" t="n">
        <v>415</v>
      </c>
      <c r="O1498" s="28" t="n">
        <v>8677.35</v>
      </c>
      <c r="P1498" s="27" t="n">
        <v>600</v>
      </c>
      <c r="Q1498" s="29" t="n">
        <v>0.69</v>
      </c>
      <c r="R1498" s="28" t="n">
        <v>12.2</v>
      </c>
      <c r="S1498" s="28" t="n">
        <v>49.43</v>
      </c>
      <c r="T1498" s="28" t="n">
        <v>20.88</v>
      </c>
      <c r="U1498" s="13" t="n">
        <f aca="false">IFERROR(YEAR(A1498),"")</f>
        <v>2016</v>
      </c>
      <c r="V1498" s="28" t="n">
        <f aca="false">IFERROR(O1498*B1498,0)</f>
        <v>17354.7</v>
      </c>
      <c r="W1498" s="27" t="n">
        <f aca="false">IFERROR(N1498*B1498,0)</f>
        <v>830</v>
      </c>
      <c r="X1498" s="13" t="n">
        <f aca="false">IF(OR(ISNUMBER(SEARCH("live nation",L1498)),ISNUMBER(SEARCH("ocesa",L1498))),1,0)</f>
        <v>0</v>
      </c>
      <c r="Y1498" s="13" t="s">
        <v>50</v>
      </c>
    </row>
    <row r="1499" customFormat="false" ht="15" hidden="false" customHeight="false" outlineLevel="0" collapsed="false">
      <c r="A1499" s="30" t="n">
        <v>42421</v>
      </c>
      <c r="B1499" s="11" t="n">
        <v>1</v>
      </c>
      <c r="C1499" s="31" t="s">
        <v>1477</v>
      </c>
      <c r="D1499" s="31"/>
      <c r="E1499" s="11" t="s">
        <v>506</v>
      </c>
      <c r="F1499" s="11" t="s">
        <v>507</v>
      </c>
      <c r="G1499" s="11" t="s">
        <v>221</v>
      </c>
      <c r="H1499" s="11" t="s">
        <v>20</v>
      </c>
      <c r="I1499" s="11" t="s">
        <v>139</v>
      </c>
      <c r="J1499" s="11" t="s">
        <v>97</v>
      </c>
      <c r="K1499" s="11" t="s">
        <v>107</v>
      </c>
      <c r="L1499" s="11" t="s">
        <v>788</v>
      </c>
      <c r="M1499" s="11" t="s">
        <v>251</v>
      </c>
      <c r="N1499" s="32" t="n">
        <v>9919</v>
      </c>
      <c r="O1499" s="33" t="n">
        <v>1418705</v>
      </c>
      <c r="P1499" s="32" t="n">
        <v>12031</v>
      </c>
      <c r="Q1499" s="34" t="n">
        <v>0.82</v>
      </c>
      <c r="R1499" s="33" t="n">
        <v>65</v>
      </c>
      <c r="S1499" s="33" t="n">
        <v>200</v>
      </c>
      <c r="T1499" s="33" t="n">
        <v>143.03</v>
      </c>
      <c r="U1499" s="11" t="n">
        <f aca="false">IFERROR(YEAR(A1499),"")</f>
        <v>2016</v>
      </c>
      <c r="V1499" s="33" t="n">
        <f aca="false">IFERROR(O1499*B1499,0)</f>
        <v>1418705</v>
      </c>
      <c r="W1499" s="32" t="n">
        <f aca="false">IFERROR(N1499*B1499,0)</f>
        <v>9919</v>
      </c>
      <c r="X1499" s="11" t="n">
        <f aca="false">IF(OR(ISNUMBER(SEARCH("live nation",L1499)),ISNUMBER(SEARCH("ocesa",L1499))),1,0)</f>
        <v>0</v>
      </c>
      <c r="Y1499" s="11" t="s">
        <v>49</v>
      </c>
    </row>
    <row r="1500" customFormat="false" ht="15" hidden="false" customHeight="false" outlineLevel="0" collapsed="false">
      <c r="A1500" s="25" t="n">
        <v>42419</v>
      </c>
      <c r="B1500" s="13" t="n">
        <v>1</v>
      </c>
      <c r="C1500" s="26" t="s">
        <v>1477</v>
      </c>
      <c r="D1500" s="26"/>
      <c r="E1500" s="13" t="s">
        <v>487</v>
      </c>
      <c r="F1500" s="13" t="s">
        <v>207</v>
      </c>
      <c r="G1500" s="13" t="s">
        <v>208</v>
      </c>
      <c r="H1500" s="13" t="s">
        <v>20</v>
      </c>
      <c r="I1500" s="13" t="s">
        <v>209</v>
      </c>
      <c r="J1500" s="13" t="s">
        <v>121</v>
      </c>
      <c r="K1500" s="13" t="s">
        <v>107</v>
      </c>
      <c r="L1500" s="13" t="s">
        <v>788</v>
      </c>
      <c r="M1500" s="13" t="s">
        <v>251</v>
      </c>
      <c r="N1500" s="27" t="n">
        <v>4359</v>
      </c>
      <c r="O1500" s="28" t="n">
        <v>586320</v>
      </c>
      <c r="P1500" s="27" t="n">
        <v>4359</v>
      </c>
      <c r="Q1500" s="29" t="n">
        <v>1</v>
      </c>
      <c r="R1500" s="28" t="n">
        <v>75</v>
      </c>
      <c r="S1500" s="28" t="n">
        <v>195</v>
      </c>
      <c r="T1500" s="28" t="n">
        <v>134.51</v>
      </c>
      <c r="U1500" s="13" t="n">
        <f aca="false">IFERROR(YEAR(A1500),"")</f>
        <v>2016</v>
      </c>
      <c r="V1500" s="28" t="n">
        <f aca="false">IFERROR(O1500*B1500,0)</f>
        <v>586320</v>
      </c>
      <c r="W1500" s="27" t="n">
        <f aca="false">IFERROR(N1500*B1500,0)</f>
        <v>4359</v>
      </c>
      <c r="X1500" s="13" t="n">
        <f aca="false">IF(OR(ISNUMBER(SEARCH("live nation",L1500)),ISNUMBER(SEARCH("ocesa",L1500))),1,0)</f>
        <v>0</v>
      </c>
      <c r="Y1500" s="13" t="s">
        <v>49</v>
      </c>
    </row>
    <row r="1501" customFormat="false" ht="15" hidden="false" customHeight="false" outlineLevel="0" collapsed="false">
      <c r="A1501" s="30" t="n">
        <v>42413</v>
      </c>
      <c r="B1501" s="11" t="n">
        <v>1</v>
      </c>
      <c r="C1501" s="31" t="s">
        <v>1547</v>
      </c>
      <c r="D1501" s="31"/>
      <c r="E1501" s="11" t="s">
        <v>1376</v>
      </c>
      <c r="F1501" s="11" t="s">
        <v>1364</v>
      </c>
      <c r="G1501" s="11"/>
      <c r="H1501" s="11" t="s">
        <v>22</v>
      </c>
      <c r="I1501" s="11"/>
      <c r="J1501" s="11" t="s">
        <v>106</v>
      </c>
      <c r="K1501" s="11" t="s">
        <v>406</v>
      </c>
      <c r="L1501" s="11" t="s">
        <v>1395</v>
      </c>
      <c r="M1501" s="11" t="s">
        <v>123</v>
      </c>
      <c r="N1501" s="32" t="n">
        <v>395</v>
      </c>
      <c r="O1501" s="33" t="n">
        <v>21427.73</v>
      </c>
      <c r="P1501" s="32" t="n">
        <v>690</v>
      </c>
      <c r="Q1501" s="34" t="n">
        <v>0.57</v>
      </c>
      <c r="R1501" s="33" t="n">
        <v>27.24</v>
      </c>
      <c r="S1501" s="33" t="n">
        <v>198.89</v>
      </c>
      <c r="T1501" s="33" t="n">
        <v>54.25</v>
      </c>
      <c r="U1501" s="11" t="n">
        <f aca="false">IFERROR(YEAR(A1501),"")</f>
        <v>2016</v>
      </c>
      <c r="V1501" s="33" t="n">
        <f aca="false">IFERROR(O1501*B1501,0)</f>
        <v>21427.73</v>
      </c>
      <c r="W1501" s="32" t="n">
        <f aca="false">IFERROR(N1501*B1501,0)</f>
        <v>395</v>
      </c>
      <c r="X1501" s="11" t="n">
        <f aca="false">IF(OR(ISNUMBER(SEARCH("live nation",L1501)),ISNUMBER(SEARCH("ocesa",L1501))),1,0)</f>
        <v>0</v>
      </c>
      <c r="Y1501" s="11" t="s">
        <v>50</v>
      </c>
    </row>
    <row r="1502" customFormat="false" ht="15" hidden="false" customHeight="false" outlineLevel="0" collapsed="false">
      <c r="A1502" s="25" t="n">
        <v>42412</v>
      </c>
      <c r="B1502" s="13" t="n">
        <v>2</v>
      </c>
      <c r="C1502" s="26" t="s">
        <v>1548</v>
      </c>
      <c r="D1502" s="26"/>
      <c r="E1502" s="13" t="s">
        <v>1376</v>
      </c>
      <c r="F1502" s="13" t="s">
        <v>1364</v>
      </c>
      <c r="G1502" s="13"/>
      <c r="H1502" s="13" t="s">
        <v>22</v>
      </c>
      <c r="I1502" s="13"/>
      <c r="J1502" s="13" t="s">
        <v>106</v>
      </c>
      <c r="K1502" s="13" t="s">
        <v>406</v>
      </c>
      <c r="L1502" s="13" t="s">
        <v>1549</v>
      </c>
      <c r="M1502" s="13" t="s">
        <v>100</v>
      </c>
      <c r="N1502" s="27" t="n">
        <v>411</v>
      </c>
      <c r="O1502" s="28" t="n">
        <v>9673.5</v>
      </c>
      <c r="P1502" s="27" t="n">
        <v>660</v>
      </c>
      <c r="Q1502" s="29" t="n">
        <v>0.62</v>
      </c>
      <c r="R1502" s="28" t="n">
        <v>18.16</v>
      </c>
      <c r="S1502" s="28" t="n">
        <v>42.38</v>
      </c>
      <c r="T1502" s="28" t="n">
        <v>23.54</v>
      </c>
      <c r="U1502" s="13" t="n">
        <f aca="false">IFERROR(YEAR(A1502),"")</f>
        <v>2016</v>
      </c>
      <c r="V1502" s="28" t="n">
        <f aca="false">IFERROR(O1502*B1502,0)</f>
        <v>19347</v>
      </c>
      <c r="W1502" s="27" t="n">
        <f aca="false">IFERROR(N1502*B1502,0)</f>
        <v>822</v>
      </c>
      <c r="X1502" s="13" t="n">
        <f aca="false">IF(OR(ISNUMBER(SEARCH("live nation",L1502)),ISNUMBER(SEARCH("ocesa",L1502))),1,0)</f>
        <v>0</v>
      </c>
      <c r="Y1502" s="13" t="s">
        <v>50</v>
      </c>
    </row>
    <row r="1503" customFormat="false" ht="15" hidden="false" customHeight="false" outlineLevel="0" collapsed="false">
      <c r="A1503" s="30" t="n">
        <v>42410</v>
      </c>
      <c r="B1503" s="11" t="n">
        <v>1</v>
      </c>
      <c r="C1503" s="31" t="s">
        <v>1477</v>
      </c>
      <c r="D1503" s="31"/>
      <c r="E1503" s="11" t="s">
        <v>1526</v>
      </c>
      <c r="F1503" s="11" t="s">
        <v>1259</v>
      </c>
      <c r="G1503" s="11" t="s">
        <v>143</v>
      </c>
      <c r="H1503" s="11" t="s">
        <v>20</v>
      </c>
      <c r="I1503" s="11" t="s">
        <v>375</v>
      </c>
      <c r="J1503" s="11" t="s">
        <v>121</v>
      </c>
      <c r="K1503" s="11" t="s">
        <v>107</v>
      </c>
      <c r="L1503" s="11" t="s">
        <v>788</v>
      </c>
      <c r="M1503" s="11" t="s">
        <v>251</v>
      </c>
      <c r="N1503" s="32" t="n">
        <v>5539</v>
      </c>
      <c r="O1503" s="33" t="n">
        <v>792275</v>
      </c>
      <c r="P1503" s="32" t="n">
        <v>6693</v>
      </c>
      <c r="Q1503" s="34" t="n">
        <v>0.82</v>
      </c>
      <c r="R1503" s="33" t="n">
        <v>75</v>
      </c>
      <c r="S1503" s="33" t="n">
        <v>195</v>
      </c>
      <c r="T1503" s="33" t="n">
        <v>143.04</v>
      </c>
      <c r="U1503" s="11" t="n">
        <f aca="false">IFERROR(YEAR(A1503),"")</f>
        <v>2016</v>
      </c>
      <c r="V1503" s="33" t="n">
        <f aca="false">IFERROR(O1503*B1503,0)</f>
        <v>792275</v>
      </c>
      <c r="W1503" s="32" t="n">
        <f aca="false">IFERROR(N1503*B1503,0)</f>
        <v>5539</v>
      </c>
      <c r="X1503" s="11" t="n">
        <f aca="false">IF(OR(ISNUMBER(SEARCH("live nation",L1503)),ISNUMBER(SEARCH("ocesa",L1503))),1,0)</f>
        <v>0</v>
      </c>
      <c r="Y1503" s="11" t="s">
        <v>49</v>
      </c>
    </row>
    <row r="1504" customFormat="false" ht="15" hidden="false" customHeight="false" outlineLevel="0" collapsed="false">
      <c r="A1504" s="25" t="n">
        <v>42388</v>
      </c>
      <c r="B1504" s="13" t="n">
        <v>1</v>
      </c>
      <c r="C1504" s="26" t="s">
        <v>1550</v>
      </c>
      <c r="D1504" s="26"/>
      <c r="E1504" s="13" t="s">
        <v>1376</v>
      </c>
      <c r="F1504" s="13" t="s">
        <v>1364</v>
      </c>
      <c r="G1504" s="13"/>
      <c r="H1504" s="13" t="s">
        <v>22</v>
      </c>
      <c r="I1504" s="13"/>
      <c r="J1504" s="13" t="s">
        <v>106</v>
      </c>
      <c r="K1504" s="13" t="s">
        <v>406</v>
      </c>
      <c r="L1504" s="13" t="s">
        <v>1551</v>
      </c>
      <c r="M1504" s="13" t="s">
        <v>100</v>
      </c>
      <c r="N1504" s="27" t="n">
        <v>558</v>
      </c>
      <c r="O1504" s="28" t="n">
        <v>8801.85</v>
      </c>
      <c r="P1504" s="27" t="n">
        <v>600</v>
      </c>
      <c r="Q1504" s="29" t="n">
        <v>0.93</v>
      </c>
      <c r="R1504" s="28" t="n">
        <v>10.34</v>
      </c>
      <c r="S1504" s="28" t="n">
        <v>54.76</v>
      </c>
      <c r="T1504" s="28" t="n">
        <v>15.77</v>
      </c>
      <c r="U1504" s="13" t="n">
        <f aca="false">IFERROR(YEAR(A1504),"")</f>
        <v>2016</v>
      </c>
      <c r="V1504" s="28" t="n">
        <f aca="false">IFERROR(O1504*B1504,0)</f>
        <v>8801.85</v>
      </c>
      <c r="W1504" s="27" t="n">
        <f aca="false">IFERROR(N1504*B1504,0)</f>
        <v>558</v>
      </c>
      <c r="X1504" s="13" t="n">
        <f aca="false">IF(OR(ISNUMBER(SEARCH("live nation",L1504)),ISNUMBER(SEARCH("ocesa",L1504))),1,0)</f>
        <v>0</v>
      </c>
      <c r="Y1504" s="13" t="s">
        <v>50</v>
      </c>
    </row>
    <row r="1505" customFormat="false" ht="15" hidden="false" customHeight="false" outlineLevel="0" collapsed="false">
      <c r="A1505" s="30" t="n">
        <v>42344</v>
      </c>
      <c r="B1505" s="11" t="n">
        <v>1</v>
      </c>
      <c r="C1505" s="31" t="s">
        <v>1552</v>
      </c>
      <c r="D1505" s="31"/>
      <c r="E1505" s="11" t="s">
        <v>1470</v>
      </c>
      <c r="F1505" s="11" t="s">
        <v>132</v>
      </c>
      <c r="G1505" s="11"/>
      <c r="H1505" s="11" t="s">
        <v>23</v>
      </c>
      <c r="I1505" s="11"/>
      <c r="J1505" s="11" t="s">
        <v>106</v>
      </c>
      <c r="K1505" s="11" t="s">
        <v>134</v>
      </c>
      <c r="L1505" s="11" t="s">
        <v>1553</v>
      </c>
      <c r="M1505" s="11" t="s">
        <v>251</v>
      </c>
      <c r="N1505" s="32" t="n">
        <v>605</v>
      </c>
      <c r="O1505" s="33" t="n">
        <v>33155.72</v>
      </c>
      <c r="P1505" s="32" t="n">
        <v>1000</v>
      </c>
      <c r="Q1505" s="34" t="n">
        <v>0.6</v>
      </c>
      <c r="R1505" s="33" t="n">
        <v>30.1</v>
      </c>
      <c r="S1505" s="33" t="n">
        <v>90.32</v>
      </c>
      <c r="T1505" s="33" t="n">
        <v>54.8</v>
      </c>
      <c r="U1505" s="11" t="n">
        <f aca="false">IFERROR(YEAR(A1505),"")</f>
        <v>2015</v>
      </c>
      <c r="V1505" s="33" t="n">
        <f aca="false">IFERROR(O1505*B1505,0)</f>
        <v>33155.72</v>
      </c>
      <c r="W1505" s="32" t="n">
        <f aca="false">IFERROR(N1505*B1505,0)</f>
        <v>605</v>
      </c>
      <c r="X1505" s="11" t="n">
        <f aca="false">IF(OR(ISNUMBER(SEARCH("live nation",L1505)),ISNUMBER(SEARCH("ocesa",L1505))),1,0)</f>
        <v>0</v>
      </c>
      <c r="Y1505" s="11" t="s">
        <v>49</v>
      </c>
    </row>
    <row r="1506" customFormat="false" ht="15" hidden="false" customHeight="false" outlineLevel="0" collapsed="false">
      <c r="A1506" s="25" t="n">
        <v>42337</v>
      </c>
      <c r="B1506" s="13" t="n">
        <v>1</v>
      </c>
      <c r="C1506" s="26" t="s">
        <v>1536</v>
      </c>
      <c r="D1506" s="26"/>
      <c r="E1506" s="13" t="s">
        <v>1537</v>
      </c>
      <c r="F1506" s="13" t="s">
        <v>1538</v>
      </c>
      <c r="G1506" s="13" t="s">
        <v>1539</v>
      </c>
      <c r="H1506" s="13" t="s">
        <v>20</v>
      </c>
      <c r="I1506" s="13" t="s">
        <v>375</v>
      </c>
      <c r="J1506" s="13" t="s">
        <v>121</v>
      </c>
      <c r="K1506" s="13" t="s">
        <v>107</v>
      </c>
      <c r="L1506" s="13" t="s">
        <v>122</v>
      </c>
      <c r="M1506" s="13" t="s">
        <v>100</v>
      </c>
      <c r="N1506" s="27" t="n">
        <v>2339</v>
      </c>
      <c r="O1506" s="28" t="n">
        <v>23390</v>
      </c>
      <c r="P1506" s="27" t="n">
        <v>3452</v>
      </c>
      <c r="Q1506" s="29" t="n">
        <v>0.67</v>
      </c>
      <c r="R1506" s="28" t="n">
        <v>10</v>
      </c>
      <c r="S1506" s="28" t="n">
        <v>0</v>
      </c>
      <c r="T1506" s="28" t="n">
        <v>10</v>
      </c>
      <c r="U1506" s="13" t="n">
        <f aca="false">IFERROR(YEAR(A1506),"")</f>
        <v>2015</v>
      </c>
      <c r="V1506" s="28" t="n">
        <f aca="false">IFERROR(O1506*B1506,0)</f>
        <v>23390</v>
      </c>
      <c r="W1506" s="27" t="n">
        <f aca="false">IFERROR(N1506*B1506,0)</f>
        <v>2339</v>
      </c>
      <c r="X1506" s="13" t="n">
        <f aca="false">IF(OR(ISNUMBER(SEARCH("live nation",L1506)),ISNUMBER(SEARCH("ocesa",L1506))),1,0)</f>
        <v>0</v>
      </c>
      <c r="Y1506" s="13" t="s">
        <v>49</v>
      </c>
    </row>
    <row r="1507" customFormat="false" ht="15" hidden="false" customHeight="false" outlineLevel="0" collapsed="false">
      <c r="A1507" s="30" t="n">
        <v>42330</v>
      </c>
      <c r="B1507" s="11" t="n">
        <v>1</v>
      </c>
      <c r="C1507" s="31" t="s">
        <v>569</v>
      </c>
      <c r="D1507" s="31"/>
      <c r="E1507" s="11" t="s">
        <v>1357</v>
      </c>
      <c r="F1507" s="11" t="s">
        <v>313</v>
      </c>
      <c r="G1507" s="11"/>
      <c r="H1507" s="11" t="s">
        <v>27</v>
      </c>
      <c r="I1507" s="11"/>
      <c r="J1507" s="11" t="s">
        <v>97</v>
      </c>
      <c r="K1507" s="11" t="s">
        <v>314</v>
      </c>
      <c r="L1507" s="11" t="s">
        <v>177</v>
      </c>
      <c r="M1507" s="11" t="s">
        <v>100</v>
      </c>
      <c r="N1507" s="32" t="n">
        <v>3088</v>
      </c>
      <c r="O1507" s="33" t="n">
        <v>406168.73</v>
      </c>
      <c r="P1507" s="32" t="n">
        <v>5229</v>
      </c>
      <c r="Q1507" s="34" t="n">
        <v>0.59</v>
      </c>
      <c r="R1507" s="33" t="n">
        <v>46.89</v>
      </c>
      <c r="S1507" s="33" t="n">
        <v>223.66</v>
      </c>
      <c r="T1507" s="33" t="n">
        <v>131.53</v>
      </c>
      <c r="U1507" s="11" t="n">
        <f aca="false">IFERROR(YEAR(A1507),"")</f>
        <v>2015</v>
      </c>
      <c r="V1507" s="33" t="n">
        <f aca="false">IFERROR(O1507*B1507,0)</f>
        <v>406168.73</v>
      </c>
      <c r="W1507" s="32" t="n">
        <f aca="false">IFERROR(N1507*B1507,0)</f>
        <v>3088</v>
      </c>
      <c r="X1507" s="11" t="n">
        <f aca="false">IF(OR(ISNUMBER(SEARCH("live nation",L1507)),ISNUMBER(SEARCH("ocesa",L1507))),1,0)</f>
        <v>1</v>
      </c>
      <c r="Y1507" s="11" t="s">
        <v>49</v>
      </c>
    </row>
    <row r="1508" customFormat="false" ht="15" hidden="false" customHeight="false" outlineLevel="0" collapsed="false">
      <c r="A1508" s="25" t="n">
        <v>42326</v>
      </c>
      <c r="B1508" s="13" t="n">
        <v>1</v>
      </c>
      <c r="C1508" s="26" t="s">
        <v>569</v>
      </c>
      <c r="D1508" s="26"/>
      <c r="E1508" s="13" t="s">
        <v>540</v>
      </c>
      <c r="F1508" s="13" t="s">
        <v>209</v>
      </c>
      <c r="G1508" s="13" t="s">
        <v>208</v>
      </c>
      <c r="H1508" s="13" t="s">
        <v>20</v>
      </c>
      <c r="I1508" s="13" t="s">
        <v>209</v>
      </c>
      <c r="J1508" s="13" t="s">
        <v>121</v>
      </c>
      <c r="K1508" s="13" t="s">
        <v>107</v>
      </c>
      <c r="L1508" s="13" t="s">
        <v>177</v>
      </c>
      <c r="M1508" s="13" t="s">
        <v>100</v>
      </c>
      <c r="N1508" s="27" t="n">
        <v>1999</v>
      </c>
      <c r="O1508" s="28" t="n">
        <v>138964.5</v>
      </c>
      <c r="P1508" s="27" t="n">
        <v>3553</v>
      </c>
      <c r="Q1508" s="29" t="n">
        <v>0.56</v>
      </c>
      <c r="R1508" s="28" t="n">
        <v>24.5</v>
      </c>
      <c r="S1508" s="28" t="n">
        <v>194.5</v>
      </c>
      <c r="T1508" s="28" t="n">
        <v>69.52</v>
      </c>
      <c r="U1508" s="13" t="n">
        <f aca="false">IFERROR(YEAR(A1508),"")</f>
        <v>2015</v>
      </c>
      <c r="V1508" s="28" t="n">
        <f aca="false">IFERROR(O1508*B1508,0)</f>
        <v>138964.5</v>
      </c>
      <c r="W1508" s="27" t="n">
        <f aca="false">IFERROR(N1508*B1508,0)</f>
        <v>1999</v>
      </c>
      <c r="X1508" s="13" t="n">
        <f aca="false">IF(OR(ISNUMBER(SEARCH("live nation",L1508)),ISNUMBER(SEARCH("ocesa",L1508))),1,0)</f>
        <v>1</v>
      </c>
      <c r="Y1508" s="13" t="s">
        <v>49</v>
      </c>
    </row>
    <row r="1509" customFormat="false" ht="15" hidden="false" customHeight="false" outlineLevel="0" collapsed="false">
      <c r="A1509" s="30" t="n">
        <v>42323</v>
      </c>
      <c r="B1509" s="11" t="n">
        <v>1</v>
      </c>
      <c r="C1509" s="31" t="s">
        <v>569</v>
      </c>
      <c r="D1509" s="31"/>
      <c r="E1509" s="11" t="s">
        <v>506</v>
      </c>
      <c r="F1509" s="11" t="s">
        <v>507</v>
      </c>
      <c r="G1509" s="11" t="s">
        <v>221</v>
      </c>
      <c r="H1509" s="11" t="s">
        <v>20</v>
      </c>
      <c r="I1509" s="11" t="s">
        <v>139</v>
      </c>
      <c r="J1509" s="11" t="s">
        <v>97</v>
      </c>
      <c r="K1509" s="11" t="s">
        <v>107</v>
      </c>
      <c r="L1509" s="11" t="s">
        <v>177</v>
      </c>
      <c r="M1509" s="11" t="s">
        <v>100</v>
      </c>
      <c r="N1509" s="32" t="n">
        <v>2354</v>
      </c>
      <c r="O1509" s="33" t="n">
        <v>225925</v>
      </c>
      <c r="P1509" s="32" t="n">
        <v>6772</v>
      </c>
      <c r="Q1509" s="34" t="n">
        <v>0.34</v>
      </c>
      <c r="R1509" s="33" t="n">
        <v>48</v>
      </c>
      <c r="S1509" s="33" t="n">
        <v>198</v>
      </c>
      <c r="T1509" s="33" t="n">
        <v>95.97</v>
      </c>
      <c r="U1509" s="11" t="n">
        <f aca="false">IFERROR(YEAR(A1509),"")</f>
        <v>2015</v>
      </c>
      <c r="V1509" s="33" t="n">
        <f aca="false">IFERROR(O1509*B1509,0)</f>
        <v>225925</v>
      </c>
      <c r="W1509" s="32" t="n">
        <f aca="false">IFERROR(N1509*B1509,0)</f>
        <v>2354</v>
      </c>
      <c r="X1509" s="11" t="n">
        <f aca="false">IF(OR(ISNUMBER(SEARCH("live nation",L1509)),ISNUMBER(SEARCH("ocesa",L1509))),1,0)</f>
        <v>1</v>
      </c>
      <c r="Y1509" s="11" t="s">
        <v>49</v>
      </c>
    </row>
    <row r="1510" customFormat="false" ht="15" hidden="false" customHeight="false" outlineLevel="0" collapsed="false">
      <c r="A1510" s="25" t="n">
        <v>42319</v>
      </c>
      <c r="B1510" s="13" t="n">
        <v>1</v>
      </c>
      <c r="C1510" s="26" t="s">
        <v>569</v>
      </c>
      <c r="D1510" s="26"/>
      <c r="E1510" s="13" t="s">
        <v>1412</v>
      </c>
      <c r="F1510" s="13" t="s">
        <v>550</v>
      </c>
      <c r="G1510" s="13" t="s">
        <v>328</v>
      </c>
      <c r="H1510" s="13" t="s">
        <v>128</v>
      </c>
      <c r="I1510" s="13"/>
      <c r="J1510" s="13" t="s">
        <v>97</v>
      </c>
      <c r="K1510" s="13" t="s">
        <v>129</v>
      </c>
      <c r="L1510" s="13" t="s">
        <v>177</v>
      </c>
      <c r="M1510" s="13" t="s">
        <v>100</v>
      </c>
      <c r="N1510" s="27" t="n">
        <v>6723</v>
      </c>
      <c r="O1510" s="28" t="n">
        <v>447877.36</v>
      </c>
      <c r="P1510" s="27" t="n">
        <v>6723</v>
      </c>
      <c r="Q1510" s="29" t="n">
        <v>1</v>
      </c>
      <c r="R1510" s="28" t="n">
        <v>29.05</v>
      </c>
      <c r="S1510" s="28" t="n">
        <v>151.37</v>
      </c>
      <c r="T1510" s="28" t="n">
        <v>66.62</v>
      </c>
      <c r="U1510" s="13" t="n">
        <f aca="false">IFERROR(YEAR(A1510),"")</f>
        <v>2015</v>
      </c>
      <c r="V1510" s="28" t="n">
        <f aca="false">IFERROR(O1510*B1510,0)</f>
        <v>447877.36</v>
      </c>
      <c r="W1510" s="27" t="n">
        <f aca="false">IFERROR(N1510*B1510,0)</f>
        <v>6723</v>
      </c>
      <c r="X1510" s="13" t="n">
        <f aca="false">IF(OR(ISNUMBER(SEARCH("live nation",L1510)),ISNUMBER(SEARCH("ocesa",L1510))),1,0)</f>
        <v>1</v>
      </c>
      <c r="Y1510" s="13" t="s">
        <v>49</v>
      </c>
    </row>
    <row r="1511" customFormat="false" ht="15" hidden="false" customHeight="false" outlineLevel="0" collapsed="false">
      <c r="A1511" s="30" t="n">
        <v>42316</v>
      </c>
      <c r="B1511" s="11" t="n">
        <v>1</v>
      </c>
      <c r="C1511" s="31" t="s">
        <v>1490</v>
      </c>
      <c r="D1511" s="31"/>
      <c r="E1511" s="11" t="s">
        <v>1526</v>
      </c>
      <c r="F1511" s="11" t="s">
        <v>1259</v>
      </c>
      <c r="G1511" s="11" t="s">
        <v>143</v>
      </c>
      <c r="H1511" s="11" t="s">
        <v>20</v>
      </c>
      <c r="I1511" s="11" t="s">
        <v>375</v>
      </c>
      <c r="J1511" s="11" t="s">
        <v>121</v>
      </c>
      <c r="K1511" s="11" t="s">
        <v>107</v>
      </c>
      <c r="L1511" s="11" t="s">
        <v>531</v>
      </c>
      <c r="M1511" s="11" t="s">
        <v>100</v>
      </c>
      <c r="N1511" s="32" t="n">
        <v>557</v>
      </c>
      <c r="O1511" s="33" t="n">
        <v>101160</v>
      </c>
      <c r="P1511" s="32" t="n">
        <v>1791</v>
      </c>
      <c r="Q1511" s="34" t="n">
        <v>0.31</v>
      </c>
      <c r="R1511" s="33" t="n">
        <v>100</v>
      </c>
      <c r="S1511" s="33" t="n">
        <v>200</v>
      </c>
      <c r="T1511" s="33" t="n">
        <v>181.62</v>
      </c>
      <c r="U1511" s="11" t="n">
        <f aca="false">IFERROR(YEAR(A1511),"")</f>
        <v>2015</v>
      </c>
      <c r="V1511" s="33" t="n">
        <f aca="false">IFERROR(O1511*B1511,0)</f>
        <v>101160</v>
      </c>
      <c r="W1511" s="32" t="n">
        <f aca="false">IFERROR(N1511*B1511,0)</f>
        <v>557</v>
      </c>
      <c r="X1511" s="11" t="n">
        <f aca="false">IF(OR(ISNUMBER(SEARCH("live nation",L1511)),ISNUMBER(SEARCH("ocesa",L1511))),1,0)</f>
        <v>0</v>
      </c>
      <c r="Y1511" s="11" t="s">
        <v>49</v>
      </c>
    </row>
    <row r="1512" customFormat="false" ht="15" hidden="false" customHeight="false" outlineLevel="0" collapsed="false">
      <c r="A1512" s="25" t="n">
        <v>42308</v>
      </c>
      <c r="B1512" s="13" t="n">
        <v>1</v>
      </c>
      <c r="C1512" s="26" t="s">
        <v>1554</v>
      </c>
      <c r="D1512" s="26" t="s">
        <v>1555</v>
      </c>
      <c r="E1512" s="13" t="s">
        <v>1120</v>
      </c>
      <c r="F1512" s="13" t="s">
        <v>139</v>
      </c>
      <c r="G1512" s="13" t="s">
        <v>139</v>
      </c>
      <c r="H1512" s="13" t="s">
        <v>20</v>
      </c>
      <c r="I1512" s="13" t="s">
        <v>139</v>
      </c>
      <c r="J1512" s="13" t="s">
        <v>121</v>
      </c>
      <c r="K1512" s="13" t="s">
        <v>107</v>
      </c>
      <c r="L1512" s="13" t="s">
        <v>1556</v>
      </c>
      <c r="M1512" s="13" t="s">
        <v>100</v>
      </c>
      <c r="N1512" s="27" t="n">
        <v>2048</v>
      </c>
      <c r="O1512" s="28" t="n">
        <v>129565.5</v>
      </c>
      <c r="P1512" s="27" t="n">
        <v>4039</v>
      </c>
      <c r="Q1512" s="29" t="n">
        <v>0.5</v>
      </c>
      <c r="R1512" s="28" t="n">
        <v>70</v>
      </c>
      <c r="S1512" s="28" t="n">
        <v>250</v>
      </c>
      <c r="T1512" s="28" t="n">
        <v>63.26</v>
      </c>
      <c r="U1512" s="13" t="n">
        <f aca="false">IFERROR(YEAR(A1512),"")</f>
        <v>2015</v>
      </c>
      <c r="V1512" s="28" t="n">
        <f aca="false">IFERROR(O1512*B1512,0)</f>
        <v>129565.5</v>
      </c>
      <c r="W1512" s="27" t="n">
        <f aca="false">IFERROR(N1512*B1512,0)</f>
        <v>2048</v>
      </c>
      <c r="X1512" s="13" t="n">
        <f aca="false">IF(OR(ISNUMBER(SEARCH("live nation",L1512)),ISNUMBER(SEARCH("ocesa",L1512))),1,0)</f>
        <v>0</v>
      </c>
      <c r="Y1512" s="13" t="s">
        <v>49</v>
      </c>
    </row>
    <row r="1513" customFormat="false" ht="15" hidden="false" customHeight="false" outlineLevel="0" collapsed="false">
      <c r="A1513" s="30" t="n">
        <v>42300</v>
      </c>
      <c r="B1513" s="11" t="n">
        <v>3</v>
      </c>
      <c r="C1513" s="31" t="s">
        <v>1557</v>
      </c>
      <c r="D1513" s="31"/>
      <c r="E1513" s="11" t="s">
        <v>1558</v>
      </c>
      <c r="F1513" s="11" t="s">
        <v>719</v>
      </c>
      <c r="G1513" s="11"/>
      <c r="H1513" s="11" t="s">
        <v>22</v>
      </c>
      <c r="I1513" s="11"/>
      <c r="J1513" s="11" t="s">
        <v>97</v>
      </c>
      <c r="K1513" s="11" t="s">
        <v>721</v>
      </c>
      <c r="L1513" s="11" t="s">
        <v>1559</v>
      </c>
      <c r="M1513" s="11" t="s">
        <v>100</v>
      </c>
      <c r="N1513" s="32" t="n">
        <v>9532</v>
      </c>
      <c r="O1513" s="33" t="n">
        <v>1770381.81</v>
      </c>
      <c r="P1513" s="32" t="n">
        <v>9671</v>
      </c>
      <c r="Q1513" s="34" t="n">
        <v>0.98</v>
      </c>
      <c r="R1513" s="33" t="n">
        <v>108.06</v>
      </c>
      <c r="S1513" s="33" t="n">
        <v>296.55</v>
      </c>
      <c r="T1513" s="33" t="n">
        <v>185.72</v>
      </c>
      <c r="U1513" s="11" t="n">
        <f aca="false">IFERROR(YEAR(A1513),"")</f>
        <v>2015</v>
      </c>
      <c r="V1513" s="33" t="n">
        <f aca="false">IFERROR(O1513*B1513,0)</f>
        <v>5311145.43</v>
      </c>
      <c r="W1513" s="32" t="n">
        <f aca="false">IFERROR(N1513*B1513,0)</f>
        <v>28596</v>
      </c>
      <c r="X1513" s="11" t="n">
        <f aca="false">IF(OR(ISNUMBER(SEARCH("live nation",L1513)),ISNUMBER(SEARCH("ocesa",L1513))),1,0)</f>
        <v>0</v>
      </c>
      <c r="Y1513" s="11" t="s">
        <v>50</v>
      </c>
    </row>
    <row r="1514" customFormat="false" ht="15" hidden="false" customHeight="false" outlineLevel="0" collapsed="false">
      <c r="A1514" s="25" t="n">
        <v>42287</v>
      </c>
      <c r="B1514" s="13" t="n">
        <v>2</v>
      </c>
      <c r="C1514" s="26" t="s">
        <v>1557</v>
      </c>
      <c r="D1514" s="26"/>
      <c r="E1514" s="13" t="s">
        <v>506</v>
      </c>
      <c r="F1514" s="13" t="s">
        <v>507</v>
      </c>
      <c r="G1514" s="13" t="s">
        <v>221</v>
      </c>
      <c r="H1514" s="13" t="s">
        <v>20</v>
      </c>
      <c r="I1514" s="13" t="s">
        <v>139</v>
      </c>
      <c r="J1514" s="13" t="s">
        <v>97</v>
      </c>
      <c r="K1514" s="13" t="s">
        <v>107</v>
      </c>
      <c r="L1514" s="13" t="s">
        <v>177</v>
      </c>
      <c r="M1514" s="13" t="s">
        <v>100</v>
      </c>
      <c r="N1514" s="27" t="n">
        <v>10951</v>
      </c>
      <c r="O1514" s="28" t="n">
        <v>1698849.5</v>
      </c>
      <c r="P1514" s="27" t="n">
        <v>11992</v>
      </c>
      <c r="Q1514" s="29" t="n">
        <v>0.91</v>
      </c>
      <c r="R1514" s="28" t="n">
        <v>65</v>
      </c>
      <c r="S1514" s="28" t="n">
        <v>239</v>
      </c>
      <c r="T1514" s="28" t="n">
        <v>155.12</v>
      </c>
      <c r="U1514" s="13" t="n">
        <f aca="false">IFERROR(YEAR(A1514),"")</f>
        <v>2015</v>
      </c>
      <c r="V1514" s="28" t="n">
        <f aca="false">IFERROR(O1514*B1514,0)</f>
        <v>3397699</v>
      </c>
      <c r="W1514" s="27" t="n">
        <f aca="false">IFERROR(N1514*B1514,0)</f>
        <v>21902</v>
      </c>
      <c r="X1514" s="13" t="n">
        <f aca="false">IF(OR(ISNUMBER(SEARCH("live nation",L1514)),ISNUMBER(SEARCH("ocesa",L1514))),1,0)</f>
        <v>1</v>
      </c>
      <c r="Y1514" s="13" t="s">
        <v>49</v>
      </c>
    </row>
    <row r="1515" customFormat="false" ht="15" hidden="false" customHeight="false" outlineLevel="0" collapsed="false">
      <c r="A1515" s="30" t="n">
        <v>42284</v>
      </c>
      <c r="B1515" s="11" t="n">
        <v>1</v>
      </c>
      <c r="C1515" s="31" t="s">
        <v>1557</v>
      </c>
      <c r="D1515" s="31"/>
      <c r="E1515" s="11" t="s">
        <v>1388</v>
      </c>
      <c r="F1515" s="11" t="s">
        <v>132</v>
      </c>
      <c r="G1515" s="11"/>
      <c r="H1515" s="11" t="s">
        <v>23</v>
      </c>
      <c r="I1515" s="11"/>
      <c r="J1515" s="11" t="s">
        <v>97</v>
      </c>
      <c r="K1515" s="11" t="s">
        <v>134</v>
      </c>
      <c r="L1515" s="11" t="s">
        <v>461</v>
      </c>
      <c r="M1515" s="11" t="s">
        <v>100</v>
      </c>
      <c r="N1515" s="32" t="n">
        <v>17388</v>
      </c>
      <c r="O1515" s="33" t="n">
        <v>1247079.4</v>
      </c>
      <c r="P1515" s="32" t="n">
        <v>17388</v>
      </c>
      <c r="Q1515" s="34" t="n">
        <v>1</v>
      </c>
      <c r="R1515" s="33" t="n">
        <v>52.63</v>
      </c>
      <c r="S1515" s="33" t="n">
        <v>173.28</v>
      </c>
      <c r="T1515" s="33" t="n">
        <v>71.72</v>
      </c>
      <c r="U1515" s="11" t="n">
        <f aca="false">IFERROR(YEAR(A1515),"")</f>
        <v>2015</v>
      </c>
      <c r="V1515" s="33" t="n">
        <f aca="false">IFERROR(O1515*B1515,0)</f>
        <v>1247079.4</v>
      </c>
      <c r="W1515" s="32" t="n">
        <f aca="false">IFERROR(N1515*B1515,0)</f>
        <v>17388</v>
      </c>
      <c r="X1515" s="11" t="n">
        <f aca="false">IF(OR(ISNUMBER(SEARCH("live nation",L1515)),ISNUMBER(SEARCH("ocesa",L1515))),1,0)</f>
        <v>0</v>
      </c>
      <c r="Y1515" s="11" t="s">
        <v>49</v>
      </c>
    </row>
    <row r="1516" customFormat="false" ht="15" hidden="false" customHeight="false" outlineLevel="0" collapsed="false">
      <c r="A1516" s="25" t="n">
        <v>42281</v>
      </c>
      <c r="B1516" s="13" t="n">
        <v>1</v>
      </c>
      <c r="C1516" s="26" t="s">
        <v>1557</v>
      </c>
      <c r="D1516" s="26"/>
      <c r="E1516" s="13" t="s">
        <v>618</v>
      </c>
      <c r="F1516" s="13" t="s">
        <v>619</v>
      </c>
      <c r="G1516" s="13" t="s">
        <v>202</v>
      </c>
      <c r="H1516" s="13" t="s">
        <v>20</v>
      </c>
      <c r="I1516" s="13" t="s">
        <v>203</v>
      </c>
      <c r="J1516" s="13" t="s">
        <v>97</v>
      </c>
      <c r="K1516" s="13" t="s">
        <v>107</v>
      </c>
      <c r="L1516" s="13" t="s">
        <v>177</v>
      </c>
      <c r="M1516" s="13" t="s">
        <v>100</v>
      </c>
      <c r="N1516" s="27" t="n">
        <v>10346</v>
      </c>
      <c r="O1516" s="28" t="n">
        <v>1418457</v>
      </c>
      <c r="P1516" s="27" t="n">
        <v>14174</v>
      </c>
      <c r="Q1516" s="29" t="n">
        <v>0.72</v>
      </c>
      <c r="R1516" s="28" t="n">
        <v>65</v>
      </c>
      <c r="S1516" s="28" t="n">
        <v>239</v>
      </c>
      <c r="T1516" s="28" t="n">
        <v>137.1</v>
      </c>
      <c r="U1516" s="13" t="n">
        <f aca="false">IFERROR(YEAR(A1516),"")</f>
        <v>2015</v>
      </c>
      <c r="V1516" s="28" t="n">
        <f aca="false">IFERROR(O1516*B1516,0)</f>
        <v>1418457</v>
      </c>
      <c r="W1516" s="27" t="n">
        <f aca="false">IFERROR(N1516*B1516,0)</f>
        <v>10346</v>
      </c>
      <c r="X1516" s="13" t="n">
        <f aca="false">IF(OR(ISNUMBER(SEARCH("live nation",L1516)),ISNUMBER(SEARCH("ocesa",L1516))),1,0)</f>
        <v>1</v>
      </c>
      <c r="Y1516" s="13" t="s">
        <v>49</v>
      </c>
    </row>
    <row r="1517" customFormat="false" ht="15" hidden="false" customHeight="false" outlineLevel="0" collapsed="false">
      <c r="A1517" s="30" t="n">
        <v>42281</v>
      </c>
      <c r="B1517" s="11" t="n">
        <v>1</v>
      </c>
      <c r="C1517" s="31" t="s">
        <v>1177</v>
      </c>
      <c r="D1517" s="31"/>
      <c r="E1517" s="11" t="s">
        <v>1560</v>
      </c>
      <c r="F1517" s="11" t="s">
        <v>203</v>
      </c>
      <c r="G1517" s="11" t="s">
        <v>202</v>
      </c>
      <c r="H1517" s="11" t="s">
        <v>20</v>
      </c>
      <c r="I1517" s="11" t="s">
        <v>203</v>
      </c>
      <c r="J1517" s="11" t="s">
        <v>106</v>
      </c>
      <c r="K1517" s="11" t="s">
        <v>107</v>
      </c>
      <c r="L1517" s="11" t="s">
        <v>788</v>
      </c>
      <c r="M1517" s="11" t="s">
        <v>100</v>
      </c>
      <c r="N1517" s="32" t="n">
        <v>367</v>
      </c>
      <c r="O1517" s="33" t="n">
        <v>23680</v>
      </c>
      <c r="P1517" s="32" t="n">
        <v>800</v>
      </c>
      <c r="Q1517" s="34" t="n">
        <v>0.45</v>
      </c>
      <c r="R1517" s="33" t="n">
        <v>40</v>
      </c>
      <c r="S1517" s="33" t="n">
        <v>90</v>
      </c>
      <c r="T1517" s="33" t="n">
        <v>64.52</v>
      </c>
      <c r="U1517" s="11" t="n">
        <f aca="false">IFERROR(YEAR(A1517),"")</f>
        <v>2015</v>
      </c>
      <c r="V1517" s="33" t="n">
        <f aca="false">IFERROR(O1517*B1517,0)</f>
        <v>23680</v>
      </c>
      <c r="W1517" s="32" t="n">
        <f aca="false">IFERROR(N1517*B1517,0)</f>
        <v>367</v>
      </c>
      <c r="X1517" s="11" t="n">
        <f aca="false">IF(OR(ISNUMBER(SEARCH("live nation",L1517)),ISNUMBER(SEARCH("ocesa",L1517))),1,0)</f>
        <v>0</v>
      </c>
      <c r="Y1517" s="11" t="s">
        <v>49</v>
      </c>
    </row>
    <row r="1518" customFormat="false" ht="15" hidden="false" customHeight="false" outlineLevel="0" collapsed="false">
      <c r="A1518" s="25" t="n">
        <v>42280</v>
      </c>
      <c r="B1518" s="13" t="n">
        <v>1</v>
      </c>
      <c r="C1518" s="26" t="s">
        <v>1557</v>
      </c>
      <c r="D1518" s="26"/>
      <c r="E1518" s="13" t="s">
        <v>1316</v>
      </c>
      <c r="F1518" s="13" t="s">
        <v>203</v>
      </c>
      <c r="G1518" s="13" t="s">
        <v>202</v>
      </c>
      <c r="H1518" s="13" t="s">
        <v>20</v>
      </c>
      <c r="I1518" s="13" t="s">
        <v>203</v>
      </c>
      <c r="J1518" s="13" t="s">
        <v>97</v>
      </c>
      <c r="K1518" s="13" t="s">
        <v>107</v>
      </c>
      <c r="L1518" s="13" t="s">
        <v>177</v>
      </c>
      <c r="M1518" s="13" t="s">
        <v>100</v>
      </c>
      <c r="N1518" s="27" t="n">
        <v>13361</v>
      </c>
      <c r="O1518" s="28" t="n">
        <v>1715587</v>
      </c>
      <c r="P1518" s="27" t="n">
        <v>13535</v>
      </c>
      <c r="Q1518" s="29" t="n">
        <v>0.98</v>
      </c>
      <c r="R1518" s="28" t="n">
        <v>65</v>
      </c>
      <c r="S1518" s="28" t="n">
        <v>249</v>
      </c>
      <c r="T1518" s="28" t="n">
        <v>128.4</v>
      </c>
      <c r="U1518" s="13" t="n">
        <f aca="false">IFERROR(YEAR(A1518),"")</f>
        <v>2015</v>
      </c>
      <c r="V1518" s="28" t="n">
        <f aca="false">IFERROR(O1518*B1518,0)</f>
        <v>1715587</v>
      </c>
      <c r="W1518" s="27" t="n">
        <f aca="false">IFERROR(N1518*B1518,0)</f>
        <v>13361</v>
      </c>
      <c r="X1518" s="13" t="n">
        <f aca="false">IF(OR(ISNUMBER(SEARCH("live nation",L1518)),ISNUMBER(SEARCH("ocesa",L1518))),1,0)</f>
        <v>1</v>
      </c>
      <c r="Y1518" s="13" t="s">
        <v>49</v>
      </c>
    </row>
    <row r="1519" customFormat="false" ht="15" hidden="false" customHeight="false" outlineLevel="0" collapsed="false">
      <c r="A1519" s="30" t="n">
        <v>42267</v>
      </c>
      <c r="B1519" s="11" t="n">
        <v>1</v>
      </c>
      <c r="C1519" s="31" t="s">
        <v>1536</v>
      </c>
      <c r="D1519" s="31" t="s">
        <v>1561</v>
      </c>
      <c r="E1519" s="11" t="s">
        <v>1537</v>
      </c>
      <c r="F1519" s="11" t="s">
        <v>1538</v>
      </c>
      <c r="G1519" s="11" t="s">
        <v>1539</v>
      </c>
      <c r="H1519" s="11" t="s">
        <v>20</v>
      </c>
      <c r="I1519" s="11" t="s">
        <v>375</v>
      </c>
      <c r="J1519" s="11" t="s">
        <v>121</v>
      </c>
      <c r="K1519" s="11" t="s">
        <v>107</v>
      </c>
      <c r="L1519" s="11" t="s">
        <v>122</v>
      </c>
      <c r="M1519" s="11" t="s">
        <v>100</v>
      </c>
      <c r="N1519" s="32" t="n">
        <v>1669</v>
      </c>
      <c r="O1519" s="33" t="n">
        <v>16690</v>
      </c>
      <c r="P1519" s="32" t="n">
        <v>3452</v>
      </c>
      <c r="Q1519" s="34" t="n">
        <v>0.48</v>
      </c>
      <c r="R1519" s="33" t="n">
        <v>10</v>
      </c>
      <c r="S1519" s="33" t="n">
        <v>0</v>
      </c>
      <c r="T1519" s="33" t="n">
        <v>10</v>
      </c>
      <c r="U1519" s="11" t="n">
        <f aca="false">IFERROR(YEAR(A1519),"")</f>
        <v>2015</v>
      </c>
      <c r="V1519" s="33" t="n">
        <f aca="false">IFERROR(O1519*B1519,0)</f>
        <v>16690</v>
      </c>
      <c r="W1519" s="32" t="n">
        <f aca="false">IFERROR(N1519*B1519,0)</f>
        <v>1669</v>
      </c>
      <c r="X1519" s="11" t="n">
        <f aca="false">IF(OR(ISNUMBER(SEARCH("live nation",L1519)),ISNUMBER(SEARCH("ocesa",L1519))),1,0)</f>
        <v>0</v>
      </c>
      <c r="Y1519" s="11" t="s">
        <v>49</v>
      </c>
    </row>
    <row r="1520" customFormat="false" ht="15" hidden="false" customHeight="false" outlineLevel="0" collapsed="false">
      <c r="A1520" s="25" t="n">
        <v>42224</v>
      </c>
      <c r="B1520" s="13" t="n">
        <v>1</v>
      </c>
      <c r="C1520" s="26" t="s">
        <v>968</v>
      </c>
      <c r="D1520" s="26"/>
      <c r="E1520" s="13" t="s">
        <v>506</v>
      </c>
      <c r="F1520" s="13" t="s">
        <v>507</v>
      </c>
      <c r="G1520" s="13" t="s">
        <v>221</v>
      </c>
      <c r="H1520" s="13" t="s">
        <v>20</v>
      </c>
      <c r="I1520" s="13" t="s">
        <v>139</v>
      </c>
      <c r="J1520" s="13" t="s">
        <v>97</v>
      </c>
      <c r="K1520" s="13" t="s">
        <v>107</v>
      </c>
      <c r="L1520" s="13" t="s">
        <v>1368</v>
      </c>
      <c r="M1520" s="13" t="s">
        <v>100</v>
      </c>
      <c r="N1520" s="27" t="n">
        <v>7023</v>
      </c>
      <c r="O1520" s="28" t="n">
        <v>863438</v>
      </c>
      <c r="P1520" s="27" t="n">
        <v>8579</v>
      </c>
      <c r="Q1520" s="29" t="n">
        <v>0.81</v>
      </c>
      <c r="R1520" s="28" t="n">
        <v>54.75</v>
      </c>
      <c r="S1520" s="28" t="n">
        <v>224.75</v>
      </c>
      <c r="T1520" s="28" t="n">
        <v>122.94</v>
      </c>
      <c r="U1520" s="13" t="n">
        <f aca="false">IFERROR(YEAR(A1520),"")</f>
        <v>2015</v>
      </c>
      <c r="V1520" s="28" t="n">
        <f aca="false">IFERROR(O1520*B1520,0)</f>
        <v>863438</v>
      </c>
      <c r="W1520" s="27" t="n">
        <f aca="false">IFERROR(N1520*B1520,0)</f>
        <v>7023</v>
      </c>
      <c r="X1520" s="13" t="n">
        <f aca="false">IF(OR(ISNUMBER(SEARCH("live nation",L1520)),ISNUMBER(SEARCH("ocesa",L1520))),1,0)</f>
        <v>0</v>
      </c>
      <c r="Y1520" s="13" t="s">
        <v>49</v>
      </c>
    </row>
    <row r="1521" customFormat="false" ht="15" hidden="false" customHeight="false" outlineLevel="0" collapsed="false">
      <c r="A1521" s="30" t="n">
        <v>42217</v>
      </c>
      <c r="B1521" s="11" t="n">
        <v>2</v>
      </c>
      <c r="C1521" s="31" t="s">
        <v>968</v>
      </c>
      <c r="D1521" s="31" t="s">
        <v>1562</v>
      </c>
      <c r="E1521" s="11" t="s">
        <v>1316</v>
      </c>
      <c r="F1521" s="11" t="s">
        <v>203</v>
      </c>
      <c r="G1521" s="11" t="s">
        <v>202</v>
      </c>
      <c r="H1521" s="11" t="s">
        <v>20</v>
      </c>
      <c r="I1521" s="11" t="s">
        <v>203</v>
      </c>
      <c r="J1521" s="11" t="s">
        <v>97</v>
      </c>
      <c r="K1521" s="11" t="s">
        <v>107</v>
      </c>
      <c r="L1521" s="11" t="s">
        <v>1563</v>
      </c>
      <c r="M1521" s="11" t="s">
        <v>100</v>
      </c>
      <c r="N1521" s="32" t="n">
        <v>13896</v>
      </c>
      <c r="O1521" s="33" t="n">
        <v>1027900</v>
      </c>
      <c r="P1521" s="32" t="n">
        <v>13896</v>
      </c>
      <c r="Q1521" s="34" t="n">
        <v>1</v>
      </c>
      <c r="R1521" s="33" t="n">
        <v>50</v>
      </c>
      <c r="S1521" s="33" t="n">
        <v>250</v>
      </c>
      <c r="T1521" s="33" t="n">
        <v>73.97</v>
      </c>
      <c r="U1521" s="11" t="n">
        <f aca="false">IFERROR(YEAR(A1521),"")</f>
        <v>2015</v>
      </c>
      <c r="V1521" s="33" t="n">
        <f aca="false">IFERROR(O1521*B1521,0)</f>
        <v>2055800</v>
      </c>
      <c r="W1521" s="32" t="n">
        <f aca="false">IFERROR(N1521*B1521,0)</f>
        <v>27792</v>
      </c>
      <c r="X1521" s="11" t="n">
        <f aca="false">IF(OR(ISNUMBER(SEARCH("live nation",L1521)),ISNUMBER(SEARCH("ocesa",L1521))),1,0)</f>
        <v>0</v>
      </c>
      <c r="Y1521" s="11" t="s">
        <v>49</v>
      </c>
    </row>
    <row r="1522" customFormat="false" ht="15" hidden="false" customHeight="false" outlineLevel="0" collapsed="false">
      <c r="A1522" s="25" t="n">
        <v>42209</v>
      </c>
      <c r="B1522" s="13" t="n">
        <v>1</v>
      </c>
      <c r="C1522" s="26" t="s">
        <v>60</v>
      </c>
      <c r="D1522" s="26"/>
      <c r="E1522" s="13" t="s">
        <v>487</v>
      </c>
      <c r="F1522" s="13" t="s">
        <v>207</v>
      </c>
      <c r="G1522" s="13" t="s">
        <v>208</v>
      </c>
      <c r="H1522" s="13" t="s">
        <v>20</v>
      </c>
      <c r="I1522" s="13" t="s">
        <v>209</v>
      </c>
      <c r="J1522" s="13" t="s">
        <v>121</v>
      </c>
      <c r="K1522" s="13" t="s">
        <v>107</v>
      </c>
      <c r="L1522" s="13" t="s">
        <v>1279</v>
      </c>
      <c r="M1522" s="13" t="s">
        <v>100</v>
      </c>
      <c r="N1522" s="27" t="n">
        <v>3022</v>
      </c>
      <c r="O1522" s="28" t="n">
        <v>383675</v>
      </c>
      <c r="P1522" s="27" t="n">
        <v>3022</v>
      </c>
      <c r="Q1522" s="29" t="n">
        <v>1</v>
      </c>
      <c r="R1522" s="28" t="n">
        <v>65</v>
      </c>
      <c r="S1522" s="28" t="n">
        <v>205</v>
      </c>
      <c r="T1522" s="28" t="n">
        <v>126.96</v>
      </c>
      <c r="U1522" s="13" t="n">
        <f aca="false">IFERROR(YEAR(A1522),"")</f>
        <v>2015</v>
      </c>
      <c r="V1522" s="28" t="n">
        <f aca="false">IFERROR(O1522*B1522,0)</f>
        <v>383675</v>
      </c>
      <c r="W1522" s="27" t="n">
        <f aca="false">IFERROR(N1522*B1522,0)</f>
        <v>3022</v>
      </c>
      <c r="X1522" s="13" t="n">
        <f aca="false">IF(OR(ISNUMBER(SEARCH("live nation",L1522)),ISNUMBER(SEARCH("ocesa",L1522))),1,0)</f>
        <v>0</v>
      </c>
      <c r="Y1522" s="13" t="s">
        <v>49</v>
      </c>
    </row>
    <row r="1523" customFormat="false" ht="15" hidden="false" customHeight="false" outlineLevel="0" collapsed="false">
      <c r="A1523" s="30" t="n">
        <v>42197</v>
      </c>
      <c r="B1523" s="11" t="n">
        <v>1</v>
      </c>
      <c r="C1523" s="31" t="s">
        <v>1536</v>
      </c>
      <c r="D1523" s="31"/>
      <c r="E1523" s="11" t="s">
        <v>1564</v>
      </c>
      <c r="F1523" s="11" t="s">
        <v>1538</v>
      </c>
      <c r="G1523" s="11" t="s">
        <v>1539</v>
      </c>
      <c r="H1523" s="11" t="s">
        <v>20</v>
      </c>
      <c r="I1523" s="11" t="s">
        <v>375</v>
      </c>
      <c r="J1523" s="11" t="s">
        <v>121</v>
      </c>
      <c r="K1523" s="11" t="s">
        <v>107</v>
      </c>
      <c r="L1523" s="11" t="s">
        <v>122</v>
      </c>
      <c r="M1523" s="11" t="s">
        <v>100</v>
      </c>
      <c r="N1523" s="32" t="n">
        <v>1718</v>
      </c>
      <c r="O1523" s="33" t="n">
        <v>17180</v>
      </c>
      <c r="P1523" s="32" t="n">
        <v>3435</v>
      </c>
      <c r="Q1523" s="34" t="n">
        <v>0.5</v>
      </c>
      <c r="R1523" s="33" t="n">
        <v>10</v>
      </c>
      <c r="S1523" s="33" t="n">
        <v>0</v>
      </c>
      <c r="T1523" s="33" t="n">
        <v>10</v>
      </c>
      <c r="U1523" s="11" t="n">
        <f aca="false">IFERROR(YEAR(A1523),"")</f>
        <v>2015</v>
      </c>
      <c r="V1523" s="33" t="n">
        <f aca="false">IFERROR(O1523*B1523,0)</f>
        <v>17180</v>
      </c>
      <c r="W1523" s="32" t="n">
        <f aca="false">IFERROR(N1523*B1523,0)</f>
        <v>1718</v>
      </c>
      <c r="X1523" s="11" t="n">
        <f aca="false">IF(OR(ISNUMBER(SEARCH("live nation",L1523)),ISNUMBER(SEARCH("ocesa",L1523))),1,0)</f>
        <v>0</v>
      </c>
      <c r="Y1523" s="11" t="s">
        <v>49</v>
      </c>
    </row>
    <row r="1524" customFormat="false" ht="15" hidden="false" customHeight="false" outlineLevel="0" collapsed="false">
      <c r="A1524" s="25" t="n">
        <v>42196</v>
      </c>
      <c r="B1524" s="13" t="n">
        <v>1</v>
      </c>
      <c r="C1524" s="26" t="s">
        <v>1565</v>
      </c>
      <c r="D1524" s="26"/>
      <c r="E1524" s="13" t="s">
        <v>1558</v>
      </c>
      <c r="F1524" s="13" t="s">
        <v>719</v>
      </c>
      <c r="G1524" s="13"/>
      <c r="H1524" s="13" t="s">
        <v>22</v>
      </c>
      <c r="I1524" s="13"/>
      <c r="J1524" s="13" t="s">
        <v>97</v>
      </c>
      <c r="K1524" s="13" t="s">
        <v>721</v>
      </c>
      <c r="L1524" s="13" t="s">
        <v>1566</v>
      </c>
      <c r="M1524" s="13" t="s">
        <v>100</v>
      </c>
      <c r="N1524" s="27" t="n">
        <v>5986</v>
      </c>
      <c r="O1524" s="28" t="n">
        <v>685651.48</v>
      </c>
      <c r="P1524" s="27" t="n">
        <v>6831</v>
      </c>
      <c r="Q1524" s="29" t="n">
        <v>0.87</v>
      </c>
      <c r="R1524" s="28" t="n">
        <v>62.01</v>
      </c>
      <c r="S1524" s="28" t="n">
        <v>257.82</v>
      </c>
      <c r="T1524" s="28" t="n">
        <v>114.54</v>
      </c>
      <c r="U1524" s="13" t="n">
        <f aca="false">IFERROR(YEAR(A1524),"")</f>
        <v>2015</v>
      </c>
      <c r="V1524" s="28" t="n">
        <f aca="false">IFERROR(O1524*B1524,0)</f>
        <v>685651.48</v>
      </c>
      <c r="W1524" s="27" t="n">
        <f aca="false">IFERROR(N1524*B1524,0)</f>
        <v>5986</v>
      </c>
      <c r="X1524" s="13" t="n">
        <f aca="false">IF(OR(ISNUMBER(SEARCH("live nation",L1524)),ISNUMBER(SEARCH("ocesa",L1524))),1,0)</f>
        <v>0</v>
      </c>
      <c r="Y1524" s="13" t="s">
        <v>50</v>
      </c>
    </row>
    <row r="1525" customFormat="false" ht="15" hidden="false" customHeight="false" outlineLevel="0" collapsed="false">
      <c r="A1525" s="30" t="n">
        <v>42177</v>
      </c>
      <c r="B1525" s="11" t="n">
        <v>1</v>
      </c>
      <c r="C1525" s="31" t="s">
        <v>875</v>
      </c>
      <c r="D1525" s="31"/>
      <c r="E1525" s="11" t="s">
        <v>1567</v>
      </c>
      <c r="F1525" s="11" t="s">
        <v>313</v>
      </c>
      <c r="G1525" s="11"/>
      <c r="H1525" s="11" t="s">
        <v>27</v>
      </c>
      <c r="I1525" s="11"/>
      <c r="J1525" s="11" t="s">
        <v>121</v>
      </c>
      <c r="K1525" s="11" t="s">
        <v>314</v>
      </c>
      <c r="L1525" s="11" t="s">
        <v>177</v>
      </c>
      <c r="M1525" s="11" t="s">
        <v>100</v>
      </c>
      <c r="N1525" s="32" t="n">
        <v>2184</v>
      </c>
      <c r="O1525" s="33" t="n">
        <v>318602.29</v>
      </c>
      <c r="P1525" s="32" t="n">
        <v>2702</v>
      </c>
      <c r="Q1525" s="34" t="n">
        <v>0.8</v>
      </c>
      <c r="R1525" s="33" t="n">
        <v>103.93</v>
      </c>
      <c r="S1525" s="33" t="n">
        <v>440.16</v>
      </c>
      <c r="T1525" s="33" t="n">
        <v>145.88</v>
      </c>
      <c r="U1525" s="11" t="n">
        <f aca="false">IFERROR(YEAR(A1525),"")</f>
        <v>2015</v>
      </c>
      <c r="V1525" s="33" t="n">
        <f aca="false">IFERROR(O1525*B1525,0)</f>
        <v>318602.29</v>
      </c>
      <c r="W1525" s="32" t="n">
        <f aca="false">IFERROR(N1525*B1525,0)</f>
        <v>2184</v>
      </c>
      <c r="X1525" s="11" t="n">
        <f aca="false">IF(OR(ISNUMBER(SEARCH("live nation",L1525)),ISNUMBER(SEARCH("ocesa",L1525))),1,0)</f>
        <v>1</v>
      </c>
      <c r="Y1525" s="11" t="s">
        <v>49</v>
      </c>
    </row>
    <row r="1526" customFormat="false" ht="15" hidden="false" customHeight="false" outlineLevel="0" collapsed="false">
      <c r="A1526" s="25" t="n">
        <v>42139</v>
      </c>
      <c r="B1526" s="13" t="n">
        <v>2</v>
      </c>
      <c r="C1526" s="26" t="s">
        <v>1529</v>
      </c>
      <c r="D1526" s="26"/>
      <c r="E1526" s="13" t="s">
        <v>1558</v>
      </c>
      <c r="F1526" s="13" t="s">
        <v>719</v>
      </c>
      <c r="G1526" s="13"/>
      <c r="H1526" s="13" t="s">
        <v>22</v>
      </c>
      <c r="I1526" s="13"/>
      <c r="J1526" s="13" t="s">
        <v>97</v>
      </c>
      <c r="K1526" s="13" t="s">
        <v>721</v>
      </c>
      <c r="L1526" s="13" t="s">
        <v>1568</v>
      </c>
      <c r="M1526" s="13" t="s">
        <v>251</v>
      </c>
      <c r="N1526" s="27" t="n">
        <v>8523</v>
      </c>
      <c r="O1526" s="28" t="n">
        <v>1080208.65</v>
      </c>
      <c r="P1526" s="27" t="n">
        <v>8740</v>
      </c>
      <c r="Q1526" s="29" t="n">
        <v>0.97</v>
      </c>
      <c r="R1526" s="28" t="n">
        <v>62.15</v>
      </c>
      <c r="S1526" s="28" t="n">
        <v>274.76</v>
      </c>
      <c r="T1526" s="28" t="n">
        <v>126.74</v>
      </c>
      <c r="U1526" s="13" t="n">
        <f aca="false">IFERROR(YEAR(A1526),"")</f>
        <v>2015</v>
      </c>
      <c r="V1526" s="28" t="n">
        <f aca="false">IFERROR(O1526*B1526,0)</f>
        <v>2160417.3</v>
      </c>
      <c r="W1526" s="27" t="n">
        <f aca="false">IFERROR(N1526*B1526,0)</f>
        <v>17046</v>
      </c>
      <c r="X1526" s="13" t="n">
        <f aca="false">IF(OR(ISNUMBER(SEARCH("live nation",L1526)),ISNUMBER(SEARCH("ocesa",L1526))),1,0)</f>
        <v>0</v>
      </c>
      <c r="Y1526" s="13" t="s">
        <v>50</v>
      </c>
    </row>
    <row r="1527" customFormat="false" ht="15" hidden="false" customHeight="false" outlineLevel="0" collapsed="false">
      <c r="A1527" s="30" t="n">
        <v>42127</v>
      </c>
      <c r="B1527" s="11" t="n">
        <v>1</v>
      </c>
      <c r="C1527" s="31" t="s">
        <v>1536</v>
      </c>
      <c r="D1527" s="31"/>
      <c r="E1527" s="11" t="s">
        <v>1564</v>
      </c>
      <c r="F1527" s="11" t="s">
        <v>1538</v>
      </c>
      <c r="G1527" s="11" t="s">
        <v>1539</v>
      </c>
      <c r="H1527" s="11" t="s">
        <v>20</v>
      </c>
      <c r="I1527" s="11" t="s">
        <v>375</v>
      </c>
      <c r="J1527" s="11" t="s">
        <v>121</v>
      </c>
      <c r="K1527" s="11" t="s">
        <v>107</v>
      </c>
      <c r="L1527" s="11" t="s">
        <v>122</v>
      </c>
      <c r="M1527" s="11" t="s">
        <v>100</v>
      </c>
      <c r="N1527" s="32" t="n">
        <v>1652</v>
      </c>
      <c r="O1527" s="33" t="n">
        <v>16520</v>
      </c>
      <c r="P1527" s="32" t="n">
        <v>3430</v>
      </c>
      <c r="Q1527" s="34" t="n">
        <v>0.48</v>
      </c>
      <c r="R1527" s="33" t="n">
        <v>10</v>
      </c>
      <c r="S1527" s="33" t="n">
        <v>0</v>
      </c>
      <c r="T1527" s="33" t="n">
        <v>10</v>
      </c>
      <c r="U1527" s="11" t="n">
        <f aca="false">IFERROR(YEAR(A1527),"")</f>
        <v>2015</v>
      </c>
      <c r="V1527" s="33" t="n">
        <f aca="false">IFERROR(O1527*B1527,0)</f>
        <v>16520</v>
      </c>
      <c r="W1527" s="32" t="n">
        <f aca="false">IFERROR(N1527*B1527,0)</f>
        <v>1652</v>
      </c>
      <c r="X1527" s="11" t="n">
        <f aca="false">IF(OR(ISNUMBER(SEARCH("live nation",L1527)),ISNUMBER(SEARCH("ocesa",L1527))),1,0)</f>
        <v>0</v>
      </c>
      <c r="Y1527" s="11" t="s">
        <v>49</v>
      </c>
    </row>
    <row r="1528" customFormat="false" ht="15" hidden="false" customHeight="false" outlineLevel="0" collapsed="false">
      <c r="A1528" s="25" t="n">
        <v>42099</v>
      </c>
      <c r="B1528" s="13" t="n">
        <v>1</v>
      </c>
      <c r="C1528" s="26" t="s">
        <v>661</v>
      </c>
      <c r="D1528" s="26"/>
      <c r="E1528" s="13" t="s">
        <v>1470</v>
      </c>
      <c r="F1528" s="13" t="s">
        <v>132</v>
      </c>
      <c r="G1528" s="13"/>
      <c r="H1528" s="13" t="s">
        <v>23</v>
      </c>
      <c r="I1528" s="13"/>
      <c r="J1528" s="13" t="s">
        <v>106</v>
      </c>
      <c r="K1528" s="13" t="s">
        <v>134</v>
      </c>
      <c r="L1528" s="13" t="s">
        <v>1553</v>
      </c>
      <c r="M1528" s="13" t="s">
        <v>100</v>
      </c>
      <c r="N1528" s="27" t="n">
        <v>907</v>
      </c>
      <c r="O1528" s="28" t="n">
        <v>29110.5</v>
      </c>
      <c r="P1528" s="27" t="n">
        <v>1000</v>
      </c>
      <c r="Q1528" s="29" t="n">
        <v>0.9</v>
      </c>
      <c r="R1528" s="28" t="n">
        <v>26.29</v>
      </c>
      <c r="S1528" s="28" t="n">
        <v>52.58</v>
      </c>
      <c r="T1528" s="28" t="n">
        <v>32.1</v>
      </c>
      <c r="U1528" s="13" t="n">
        <f aca="false">IFERROR(YEAR(A1528),"")</f>
        <v>2015</v>
      </c>
      <c r="V1528" s="28" t="n">
        <f aca="false">IFERROR(O1528*B1528,0)</f>
        <v>29110.5</v>
      </c>
      <c r="W1528" s="27" t="n">
        <f aca="false">IFERROR(N1528*B1528,0)</f>
        <v>907</v>
      </c>
      <c r="X1528" s="13" t="n">
        <f aca="false">IF(OR(ISNUMBER(SEARCH("live nation",L1528)),ISNUMBER(SEARCH("ocesa",L1528))),1,0)</f>
        <v>0</v>
      </c>
      <c r="Y1528" s="13" t="s">
        <v>49</v>
      </c>
    </row>
    <row r="1529" customFormat="false" ht="15" hidden="false" customHeight="false" outlineLevel="0" collapsed="false">
      <c r="A1529" s="30" t="n">
        <v>42092</v>
      </c>
      <c r="B1529" s="11" t="n">
        <v>1</v>
      </c>
      <c r="C1529" s="31" t="s">
        <v>729</v>
      </c>
      <c r="D1529" s="31"/>
      <c r="E1529" s="11" t="s">
        <v>1569</v>
      </c>
      <c r="F1529" s="11" t="s">
        <v>1570</v>
      </c>
      <c r="G1529" s="11" t="s">
        <v>221</v>
      </c>
      <c r="H1529" s="11" t="s">
        <v>20</v>
      </c>
      <c r="I1529" s="11" t="s">
        <v>890</v>
      </c>
      <c r="J1529" s="11" t="s">
        <v>97</v>
      </c>
      <c r="K1529" s="11" t="s">
        <v>107</v>
      </c>
      <c r="L1529" s="11" t="s">
        <v>1571</v>
      </c>
      <c r="M1529" s="11" t="s">
        <v>100</v>
      </c>
      <c r="N1529" s="32" t="n">
        <v>2888</v>
      </c>
      <c r="O1529" s="33" t="n">
        <v>452274</v>
      </c>
      <c r="P1529" s="32" t="n">
        <v>6875</v>
      </c>
      <c r="Q1529" s="34" t="n">
        <v>0.42</v>
      </c>
      <c r="R1529" s="33" t="n">
        <v>70</v>
      </c>
      <c r="S1529" s="33" t="n">
        <v>390</v>
      </c>
      <c r="T1529" s="33" t="n">
        <v>156.6</v>
      </c>
      <c r="U1529" s="11" t="n">
        <f aca="false">IFERROR(YEAR(A1529),"")</f>
        <v>2015</v>
      </c>
      <c r="V1529" s="33" t="n">
        <f aca="false">IFERROR(O1529*B1529,0)</f>
        <v>452274</v>
      </c>
      <c r="W1529" s="32" t="n">
        <f aca="false">IFERROR(N1529*B1529,0)</f>
        <v>2888</v>
      </c>
      <c r="X1529" s="11" t="n">
        <f aca="false">IF(OR(ISNUMBER(SEARCH("live nation",L1529)),ISNUMBER(SEARCH("ocesa",L1529))),1,0)</f>
        <v>0</v>
      </c>
      <c r="Y1529" s="11" t="s">
        <v>49</v>
      </c>
    </row>
    <row r="1530" customFormat="false" ht="15" hidden="false" customHeight="false" outlineLevel="0" collapsed="false">
      <c r="A1530" s="25" t="n">
        <v>42091</v>
      </c>
      <c r="B1530" s="13" t="n">
        <v>1</v>
      </c>
      <c r="C1530" s="26" t="s">
        <v>1464</v>
      </c>
      <c r="D1530" s="26"/>
      <c r="E1530" s="13" t="s">
        <v>1558</v>
      </c>
      <c r="F1530" s="13" t="s">
        <v>719</v>
      </c>
      <c r="G1530" s="13"/>
      <c r="H1530" s="13" t="s">
        <v>22</v>
      </c>
      <c r="I1530" s="13"/>
      <c r="J1530" s="13" t="s">
        <v>97</v>
      </c>
      <c r="K1530" s="13" t="s">
        <v>721</v>
      </c>
      <c r="L1530" s="13" t="s">
        <v>1568</v>
      </c>
      <c r="M1530" s="13" t="s">
        <v>100</v>
      </c>
      <c r="N1530" s="27" t="n">
        <v>6104</v>
      </c>
      <c r="O1530" s="28" t="n">
        <v>535266.04</v>
      </c>
      <c r="P1530" s="27" t="n">
        <v>6756</v>
      </c>
      <c r="Q1530" s="29" t="n">
        <v>0.9</v>
      </c>
      <c r="R1530" s="28" t="n">
        <v>45.37</v>
      </c>
      <c r="S1530" s="28" t="n">
        <v>207.39</v>
      </c>
      <c r="T1530" s="28" t="n">
        <v>87.69</v>
      </c>
      <c r="U1530" s="13" t="n">
        <f aca="false">IFERROR(YEAR(A1530),"")</f>
        <v>2015</v>
      </c>
      <c r="V1530" s="28" t="n">
        <f aca="false">IFERROR(O1530*B1530,0)</f>
        <v>535266.04</v>
      </c>
      <c r="W1530" s="27" t="n">
        <f aca="false">IFERROR(N1530*B1530,0)</f>
        <v>6104</v>
      </c>
      <c r="X1530" s="13" t="n">
        <f aca="false">IF(OR(ISNUMBER(SEARCH("live nation",L1530)),ISNUMBER(SEARCH("ocesa",L1530))),1,0)</f>
        <v>0</v>
      </c>
      <c r="Y1530" s="13" t="s">
        <v>50</v>
      </c>
    </row>
    <row r="1531" customFormat="false" ht="15" hidden="false" customHeight="false" outlineLevel="0" collapsed="false">
      <c r="A1531" s="30" t="n">
        <v>42064</v>
      </c>
      <c r="B1531" s="11" t="n">
        <v>1</v>
      </c>
      <c r="C1531" s="31" t="s">
        <v>484</v>
      </c>
      <c r="D1531" s="31"/>
      <c r="E1531" s="11" t="s">
        <v>1558</v>
      </c>
      <c r="F1531" s="11" t="s">
        <v>719</v>
      </c>
      <c r="G1531" s="11"/>
      <c r="H1531" s="11" t="s">
        <v>22</v>
      </c>
      <c r="I1531" s="11"/>
      <c r="J1531" s="11" t="s">
        <v>97</v>
      </c>
      <c r="K1531" s="11" t="s">
        <v>721</v>
      </c>
      <c r="L1531" s="11" t="s">
        <v>1568</v>
      </c>
      <c r="M1531" s="11" t="s">
        <v>251</v>
      </c>
      <c r="N1531" s="32" t="n">
        <v>5910</v>
      </c>
      <c r="O1531" s="33" t="n">
        <v>1104899.44</v>
      </c>
      <c r="P1531" s="32" t="n">
        <v>6763</v>
      </c>
      <c r="Q1531" s="34" t="n">
        <v>0.87</v>
      </c>
      <c r="R1531" s="33" t="n">
        <v>126.2</v>
      </c>
      <c r="S1531" s="33" t="n">
        <v>320.36</v>
      </c>
      <c r="T1531" s="33" t="n">
        <v>186.95</v>
      </c>
      <c r="U1531" s="11" t="n">
        <f aca="false">IFERROR(YEAR(A1531),"")</f>
        <v>2015</v>
      </c>
      <c r="V1531" s="33" t="n">
        <f aca="false">IFERROR(O1531*B1531,0)</f>
        <v>1104899.44</v>
      </c>
      <c r="W1531" s="32" t="n">
        <f aca="false">IFERROR(N1531*B1531,0)</f>
        <v>5910</v>
      </c>
      <c r="X1531" s="11" t="n">
        <f aca="false">IF(OR(ISNUMBER(SEARCH("live nation",L1531)),ISNUMBER(SEARCH("ocesa",L1531))),1,0)</f>
        <v>0</v>
      </c>
      <c r="Y1531" s="11" t="s">
        <v>50</v>
      </c>
    </row>
    <row r="1532" customFormat="false" ht="15" hidden="false" customHeight="false" outlineLevel="0" collapsed="false">
      <c r="A1532" s="25" t="n">
        <v>41966</v>
      </c>
      <c r="B1532" s="13" t="n">
        <v>1</v>
      </c>
      <c r="C1532" s="26" t="s">
        <v>1572</v>
      </c>
      <c r="D1532" s="26"/>
      <c r="E1532" s="13" t="s">
        <v>1564</v>
      </c>
      <c r="F1532" s="13" t="s">
        <v>1538</v>
      </c>
      <c r="G1532" s="13" t="s">
        <v>1539</v>
      </c>
      <c r="H1532" s="13" t="s">
        <v>20</v>
      </c>
      <c r="I1532" s="13" t="s">
        <v>375</v>
      </c>
      <c r="J1532" s="13" t="s">
        <v>121</v>
      </c>
      <c r="K1532" s="13" t="s">
        <v>107</v>
      </c>
      <c r="L1532" s="13" t="s">
        <v>122</v>
      </c>
      <c r="M1532" s="13" t="s">
        <v>100</v>
      </c>
      <c r="N1532" s="27" t="n">
        <v>2122</v>
      </c>
      <c r="O1532" s="28" t="n">
        <v>21220</v>
      </c>
      <c r="P1532" s="27" t="n">
        <v>3420</v>
      </c>
      <c r="Q1532" s="29" t="n">
        <v>0.62</v>
      </c>
      <c r="R1532" s="28" t="n">
        <v>10</v>
      </c>
      <c r="S1532" s="28" t="n">
        <v>0</v>
      </c>
      <c r="T1532" s="28" t="n">
        <v>10</v>
      </c>
      <c r="U1532" s="13" t="n">
        <f aca="false">IFERROR(YEAR(A1532),"")</f>
        <v>2014</v>
      </c>
      <c r="V1532" s="28" t="n">
        <f aca="false">IFERROR(O1532*B1532,0)</f>
        <v>21220</v>
      </c>
      <c r="W1532" s="27" t="n">
        <f aca="false">IFERROR(N1532*B1532,0)</f>
        <v>2122</v>
      </c>
      <c r="X1532" s="13" t="n">
        <f aca="false">IF(OR(ISNUMBER(SEARCH("live nation",L1532)),ISNUMBER(SEARCH("ocesa",L1532))),1,0)</f>
        <v>0</v>
      </c>
      <c r="Y1532" s="13" t="s">
        <v>49</v>
      </c>
    </row>
    <row r="1533" customFormat="false" ht="15" hidden="false" customHeight="false" outlineLevel="0" collapsed="false">
      <c r="A1533" s="30" t="n">
        <v>41965</v>
      </c>
      <c r="B1533" s="11" t="n">
        <v>1</v>
      </c>
      <c r="C1533" s="31" t="s">
        <v>1336</v>
      </c>
      <c r="D1533" s="31"/>
      <c r="E1533" s="11" t="s">
        <v>1337</v>
      </c>
      <c r="F1533" s="11" t="s">
        <v>404</v>
      </c>
      <c r="G1533" s="11" t="s">
        <v>202</v>
      </c>
      <c r="H1533" s="11" t="s">
        <v>20</v>
      </c>
      <c r="I1533" s="11" t="s">
        <v>232</v>
      </c>
      <c r="J1533" s="11" t="s">
        <v>97</v>
      </c>
      <c r="K1533" s="11" t="s">
        <v>107</v>
      </c>
      <c r="L1533" s="11" t="s">
        <v>1573</v>
      </c>
      <c r="M1533" s="11" t="s">
        <v>277</v>
      </c>
      <c r="N1533" s="32" t="n">
        <v>3211</v>
      </c>
      <c r="O1533" s="33" t="n">
        <v>320960.2</v>
      </c>
      <c r="P1533" s="32" t="n">
        <v>3571</v>
      </c>
      <c r="Q1533" s="34" t="n">
        <v>0.89</v>
      </c>
      <c r="R1533" s="33" t="n">
        <v>55.1</v>
      </c>
      <c r="S1533" s="33" t="n">
        <v>198</v>
      </c>
      <c r="T1533" s="33" t="n">
        <v>99.96</v>
      </c>
      <c r="U1533" s="11" t="n">
        <f aca="false">IFERROR(YEAR(A1533),"")</f>
        <v>2014</v>
      </c>
      <c r="V1533" s="33" t="n">
        <f aca="false">IFERROR(O1533*B1533,0)</f>
        <v>320960.2</v>
      </c>
      <c r="W1533" s="32" t="n">
        <f aca="false">IFERROR(N1533*B1533,0)</f>
        <v>3211</v>
      </c>
      <c r="X1533" s="11" t="n">
        <f aca="false">IF(OR(ISNUMBER(SEARCH("live nation",L1533)),ISNUMBER(SEARCH("ocesa",L1533))),1,0)</f>
        <v>0</v>
      </c>
      <c r="Y1533" s="11" t="s">
        <v>49</v>
      </c>
    </row>
    <row r="1534" customFormat="false" ht="15" hidden="false" customHeight="false" outlineLevel="0" collapsed="false">
      <c r="A1534" s="25" t="n">
        <v>41961</v>
      </c>
      <c r="B1534" s="13" t="n">
        <v>1</v>
      </c>
      <c r="C1534" s="26" t="s">
        <v>1574</v>
      </c>
      <c r="D1534" s="26"/>
      <c r="E1534" s="13" t="s">
        <v>1526</v>
      </c>
      <c r="F1534" s="13" t="s">
        <v>1259</v>
      </c>
      <c r="G1534" s="13" t="s">
        <v>143</v>
      </c>
      <c r="H1534" s="13" t="s">
        <v>20</v>
      </c>
      <c r="I1534" s="13" t="s">
        <v>375</v>
      </c>
      <c r="J1534" s="13" t="s">
        <v>121</v>
      </c>
      <c r="K1534" s="13" t="s">
        <v>107</v>
      </c>
      <c r="L1534" s="13" t="s">
        <v>1575</v>
      </c>
      <c r="M1534" s="13" t="s">
        <v>100</v>
      </c>
      <c r="N1534" s="27" t="n">
        <v>1554</v>
      </c>
      <c r="O1534" s="28" t="n">
        <v>165140</v>
      </c>
      <c r="P1534" s="27" t="n">
        <v>3139</v>
      </c>
      <c r="Q1534" s="29" t="n">
        <v>0.49</v>
      </c>
      <c r="R1534" s="28" t="n">
        <v>50</v>
      </c>
      <c r="S1534" s="28" t="n">
        <v>150</v>
      </c>
      <c r="T1534" s="28" t="n">
        <v>106.27</v>
      </c>
      <c r="U1534" s="13" t="n">
        <f aca="false">IFERROR(YEAR(A1534),"")</f>
        <v>2014</v>
      </c>
      <c r="V1534" s="28" t="n">
        <f aca="false">IFERROR(O1534*B1534,0)</f>
        <v>165140</v>
      </c>
      <c r="W1534" s="27" t="n">
        <f aca="false">IFERROR(N1534*B1534,0)</f>
        <v>1554</v>
      </c>
      <c r="X1534" s="13" t="n">
        <f aca="false">IF(OR(ISNUMBER(SEARCH("live nation",L1534)),ISNUMBER(SEARCH("ocesa",L1534))),1,0)</f>
        <v>0</v>
      </c>
      <c r="Y1534" s="13" t="s">
        <v>49</v>
      </c>
    </row>
    <row r="1535" customFormat="false" ht="15" hidden="false" customHeight="false" outlineLevel="0" collapsed="false">
      <c r="A1535" s="30" t="n">
        <v>41959</v>
      </c>
      <c r="B1535" s="11" t="n">
        <v>1</v>
      </c>
      <c r="C1535" s="31" t="s">
        <v>1574</v>
      </c>
      <c r="D1535" s="31"/>
      <c r="E1535" s="11" t="s">
        <v>487</v>
      </c>
      <c r="F1535" s="11" t="s">
        <v>207</v>
      </c>
      <c r="G1535" s="11" t="s">
        <v>208</v>
      </c>
      <c r="H1535" s="11" t="s">
        <v>20</v>
      </c>
      <c r="I1535" s="11" t="s">
        <v>209</v>
      </c>
      <c r="J1535" s="11" t="s">
        <v>121</v>
      </c>
      <c r="K1535" s="11" t="s">
        <v>107</v>
      </c>
      <c r="L1535" s="11" t="s">
        <v>531</v>
      </c>
      <c r="M1535" s="11" t="s">
        <v>100</v>
      </c>
      <c r="N1535" s="32" t="n">
        <v>1957</v>
      </c>
      <c r="O1535" s="33" t="n">
        <v>176780</v>
      </c>
      <c r="P1535" s="32" t="n">
        <v>3000</v>
      </c>
      <c r="Q1535" s="34" t="n">
        <v>0.65</v>
      </c>
      <c r="R1535" s="33" t="n">
        <v>50</v>
      </c>
      <c r="S1535" s="33" t="n">
        <v>150</v>
      </c>
      <c r="T1535" s="33" t="n">
        <v>90.33</v>
      </c>
      <c r="U1535" s="11" t="n">
        <f aca="false">IFERROR(YEAR(A1535),"")</f>
        <v>2014</v>
      </c>
      <c r="V1535" s="33" t="n">
        <f aca="false">IFERROR(O1535*B1535,0)</f>
        <v>176780</v>
      </c>
      <c r="W1535" s="32" t="n">
        <f aca="false">IFERROR(N1535*B1535,0)</f>
        <v>1957</v>
      </c>
      <c r="X1535" s="11" t="n">
        <f aca="false">IF(OR(ISNUMBER(SEARCH("live nation",L1535)),ISNUMBER(SEARCH("ocesa",L1535))),1,0)</f>
        <v>0</v>
      </c>
      <c r="Y1535" s="11" t="s">
        <v>49</v>
      </c>
    </row>
    <row r="1536" customFormat="false" ht="15" hidden="false" customHeight="false" outlineLevel="0" collapsed="false">
      <c r="A1536" s="25" t="n">
        <v>41957</v>
      </c>
      <c r="B1536" s="13" t="n">
        <v>1</v>
      </c>
      <c r="C1536" s="26" t="s">
        <v>1574</v>
      </c>
      <c r="D1536" s="26"/>
      <c r="E1536" s="13" t="s">
        <v>506</v>
      </c>
      <c r="F1536" s="13" t="s">
        <v>507</v>
      </c>
      <c r="G1536" s="13" t="s">
        <v>221</v>
      </c>
      <c r="H1536" s="13" t="s">
        <v>20</v>
      </c>
      <c r="I1536" s="13" t="s">
        <v>139</v>
      </c>
      <c r="J1536" s="13" t="s">
        <v>97</v>
      </c>
      <c r="K1536" s="13" t="s">
        <v>107</v>
      </c>
      <c r="L1536" s="13" t="s">
        <v>531</v>
      </c>
      <c r="M1536" s="13" t="s">
        <v>100</v>
      </c>
      <c r="N1536" s="27" t="n">
        <v>2330</v>
      </c>
      <c r="O1536" s="28" t="n">
        <v>225264</v>
      </c>
      <c r="P1536" s="27" t="n">
        <v>7355</v>
      </c>
      <c r="Q1536" s="29" t="n">
        <v>0.31</v>
      </c>
      <c r="R1536" s="28" t="n">
        <v>54.75</v>
      </c>
      <c r="S1536" s="28" t="n">
        <v>154.75</v>
      </c>
      <c r="T1536" s="28" t="n">
        <v>96.68</v>
      </c>
      <c r="U1536" s="13" t="n">
        <f aca="false">IFERROR(YEAR(A1536),"")</f>
        <v>2014</v>
      </c>
      <c r="V1536" s="28" t="n">
        <f aca="false">IFERROR(O1536*B1536,0)</f>
        <v>225264</v>
      </c>
      <c r="W1536" s="27" t="n">
        <f aca="false">IFERROR(N1536*B1536,0)</f>
        <v>2330</v>
      </c>
      <c r="X1536" s="13" t="n">
        <f aca="false">IF(OR(ISNUMBER(SEARCH("live nation",L1536)),ISNUMBER(SEARCH("ocesa",L1536))),1,0)</f>
        <v>0</v>
      </c>
      <c r="Y1536" s="13" t="s">
        <v>49</v>
      </c>
    </row>
    <row r="1537" customFormat="false" ht="15" hidden="false" customHeight="false" outlineLevel="0" collapsed="false">
      <c r="A1537" s="30" t="n">
        <v>41942</v>
      </c>
      <c r="B1537" s="11" t="n">
        <v>1</v>
      </c>
      <c r="C1537" s="31" t="s">
        <v>1118</v>
      </c>
      <c r="D1537" s="31" t="s">
        <v>1576</v>
      </c>
      <c r="E1537" s="11" t="s">
        <v>1388</v>
      </c>
      <c r="F1537" s="11" t="s">
        <v>132</v>
      </c>
      <c r="G1537" s="11"/>
      <c r="H1537" s="11" t="s">
        <v>23</v>
      </c>
      <c r="I1537" s="11"/>
      <c r="J1537" s="11" t="s">
        <v>97</v>
      </c>
      <c r="K1537" s="11" t="s">
        <v>134</v>
      </c>
      <c r="L1537" s="11" t="s">
        <v>461</v>
      </c>
      <c r="M1537" s="11" t="s">
        <v>277</v>
      </c>
      <c r="N1537" s="32" t="n">
        <v>12581</v>
      </c>
      <c r="O1537" s="33" t="n">
        <v>908771.91</v>
      </c>
      <c r="P1537" s="32" t="n">
        <v>14650</v>
      </c>
      <c r="Q1537" s="34" t="n">
        <v>0.85</v>
      </c>
      <c r="R1537" s="33" t="n">
        <v>44.54</v>
      </c>
      <c r="S1537" s="33" t="n">
        <v>222.69</v>
      </c>
      <c r="T1537" s="33" t="n">
        <v>72.23</v>
      </c>
      <c r="U1537" s="11" t="n">
        <f aca="false">IFERROR(YEAR(A1537),"")</f>
        <v>2014</v>
      </c>
      <c r="V1537" s="33" t="n">
        <f aca="false">IFERROR(O1537*B1537,0)</f>
        <v>908771.91</v>
      </c>
      <c r="W1537" s="32" t="n">
        <f aca="false">IFERROR(N1537*B1537,0)</f>
        <v>12581</v>
      </c>
      <c r="X1537" s="11" t="n">
        <f aca="false">IF(OR(ISNUMBER(SEARCH("live nation",L1537)),ISNUMBER(SEARCH("ocesa",L1537))),1,0)</f>
        <v>0</v>
      </c>
      <c r="Y1537" s="11" t="s">
        <v>49</v>
      </c>
    </row>
    <row r="1538" customFormat="false" ht="15" hidden="false" customHeight="false" outlineLevel="0" collapsed="false">
      <c r="A1538" s="25" t="n">
        <v>41923</v>
      </c>
      <c r="B1538" s="13" t="n">
        <v>1</v>
      </c>
      <c r="C1538" s="26" t="s">
        <v>1490</v>
      </c>
      <c r="D1538" s="26"/>
      <c r="E1538" s="13" t="s">
        <v>1097</v>
      </c>
      <c r="F1538" s="13" t="s">
        <v>535</v>
      </c>
      <c r="G1538" s="13" t="s">
        <v>202</v>
      </c>
      <c r="H1538" s="13" t="s">
        <v>20</v>
      </c>
      <c r="I1538" s="13" t="s">
        <v>232</v>
      </c>
      <c r="J1538" s="13" t="s">
        <v>121</v>
      </c>
      <c r="K1538" s="13" t="s">
        <v>107</v>
      </c>
      <c r="L1538" s="13" t="s">
        <v>791</v>
      </c>
      <c r="M1538" s="13" t="s">
        <v>100</v>
      </c>
      <c r="N1538" s="27" t="n">
        <v>1446</v>
      </c>
      <c r="O1538" s="28" t="n">
        <v>163326</v>
      </c>
      <c r="P1538" s="27" t="n">
        <v>2500</v>
      </c>
      <c r="Q1538" s="29" t="n">
        <v>0.57</v>
      </c>
      <c r="R1538" s="28" t="n">
        <v>50</v>
      </c>
      <c r="S1538" s="28" t="n">
        <v>180</v>
      </c>
      <c r="T1538" s="28" t="n">
        <v>112.95</v>
      </c>
      <c r="U1538" s="13" t="n">
        <f aca="false">IFERROR(YEAR(A1538),"")</f>
        <v>2014</v>
      </c>
      <c r="V1538" s="28" t="n">
        <f aca="false">IFERROR(O1538*B1538,0)</f>
        <v>163326</v>
      </c>
      <c r="W1538" s="27" t="n">
        <f aca="false">IFERROR(N1538*B1538,0)</f>
        <v>1446</v>
      </c>
      <c r="X1538" s="13" t="n">
        <f aca="false">IF(OR(ISNUMBER(SEARCH("live nation",L1538)),ISNUMBER(SEARCH("ocesa",L1538))),1,0)</f>
        <v>0</v>
      </c>
      <c r="Y1538" s="13" t="s">
        <v>49</v>
      </c>
    </row>
    <row r="1539" customFormat="false" ht="15" hidden="false" customHeight="false" outlineLevel="0" collapsed="false">
      <c r="A1539" s="30" t="n">
        <v>41917</v>
      </c>
      <c r="B1539" s="11" t="n">
        <v>1</v>
      </c>
      <c r="C1539" s="31" t="s">
        <v>1490</v>
      </c>
      <c r="D1539" s="31"/>
      <c r="E1539" s="11" t="s">
        <v>487</v>
      </c>
      <c r="F1539" s="11" t="s">
        <v>207</v>
      </c>
      <c r="G1539" s="11" t="s">
        <v>208</v>
      </c>
      <c r="H1539" s="11" t="s">
        <v>20</v>
      </c>
      <c r="I1539" s="11" t="s">
        <v>209</v>
      </c>
      <c r="J1539" s="11" t="s">
        <v>121</v>
      </c>
      <c r="K1539" s="11" t="s">
        <v>107</v>
      </c>
      <c r="L1539" s="11" t="s">
        <v>1577</v>
      </c>
      <c r="M1539" s="11" t="s">
        <v>100</v>
      </c>
      <c r="N1539" s="32" t="n">
        <v>1233</v>
      </c>
      <c r="O1539" s="33" t="n">
        <v>132760</v>
      </c>
      <c r="P1539" s="32" t="n">
        <v>4402</v>
      </c>
      <c r="Q1539" s="34" t="n">
        <v>0.28</v>
      </c>
      <c r="R1539" s="33" t="n">
        <v>50</v>
      </c>
      <c r="S1539" s="33" t="n">
        <v>180</v>
      </c>
      <c r="T1539" s="33" t="n">
        <v>107.67</v>
      </c>
      <c r="U1539" s="11" t="n">
        <f aca="false">IFERROR(YEAR(A1539),"")</f>
        <v>2014</v>
      </c>
      <c r="V1539" s="33" t="n">
        <f aca="false">IFERROR(O1539*B1539,0)</f>
        <v>132760</v>
      </c>
      <c r="W1539" s="32" t="n">
        <f aca="false">IFERROR(N1539*B1539,0)</f>
        <v>1233</v>
      </c>
      <c r="X1539" s="11" t="n">
        <f aca="false">IF(OR(ISNUMBER(SEARCH("live nation",L1539)),ISNUMBER(SEARCH("ocesa",L1539))),1,0)</f>
        <v>0</v>
      </c>
      <c r="Y1539" s="11" t="s">
        <v>49</v>
      </c>
    </row>
    <row r="1540" customFormat="false" ht="15" hidden="false" customHeight="false" outlineLevel="0" collapsed="false">
      <c r="A1540" s="25" t="n">
        <v>41915</v>
      </c>
      <c r="B1540" s="13" t="n">
        <v>1</v>
      </c>
      <c r="C1540" s="26" t="s">
        <v>1490</v>
      </c>
      <c r="D1540" s="26"/>
      <c r="E1540" s="13" t="s">
        <v>1465</v>
      </c>
      <c r="F1540" s="13" t="s">
        <v>139</v>
      </c>
      <c r="G1540" s="13" t="s">
        <v>139</v>
      </c>
      <c r="H1540" s="13" t="s">
        <v>20</v>
      </c>
      <c r="I1540" s="13" t="s">
        <v>139</v>
      </c>
      <c r="J1540" s="13" t="s">
        <v>106</v>
      </c>
      <c r="K1540" s="13" t="s">
        <v>107</v>
      </c>
      <c r="L1540" s="13" t="s">
        <v>1577</v>
      </c>
      <c r="M1540" s="13" t="s">
        <v>100</v>
      </c>
      <c r="N1540" s="27" t="n">
        <v>1219</v>
      </c>
      <c r="O1540" s="28" t="n">
        <v>115000</v>
      </c>
      <c r="P1540" s="27" t="n">
        <v>2150</v>
      </c>
      <c r="Q1540" s="29" t="n">
        <v>0.56</v>
      </c>
      <c r="R1540" s="28" t="n">
        <v>80</v>
      </c>
      <c r="S1540" s="28" t="n">
        <v>180</v>
      </c>
      <c r="T1540" s="28" t="n">
        <v>94.34</v>
      </c>
      <c r="U1540" s="13" t="n">
        <f aca="false">IFERROR(YEAR(A1540),"")</f>
        <v>2014</v>
      </c>
      <c r="V1540" s="28" t="n">
        <f aca="false">IFERROR(O1540*B1540,0)</f>
        <v>115000</v>
      </c>
      <c r="W1540" s="27" t="n">
        <f aca="false">IFERROR(N1540*B1540,0)</f>
        <v>1219</v>
      </c>
      <c r="X1540" s="13" t="n">
        <f aca="false">IF(OR(ISNUMBER(SEARCH("live nation",L1540)),ISNUMBER(SEARCH("ocesa",L1540))),1,0)</f>
        <v>0</v>
      </c>
      <c r="Y1540" s="13" t="s">
        <v>49</v>
      </c>
    </row>
    <row r="1541" customFormat="false" ht="15" hidden="false" customHeight="false" outlineLevel="0" collapsed="false">
      <c r="A1541" s="30" t="n">
        <v>41907</v>
      </c>
      <c r="B1541" s="11" t="n">
        <v>1</v>
      </c>
      <c r="C1541" s="31" t="s">
        <v>1578</v>
      </c>
      <c r="D1541" s="31"/>
      <c r="E1541" s="11" t="s">
        <v>1579</v>
      </c>
      <c r="F1541" s="11" t="s">
        <v>203</v>
      </c>
      <c r="G1541" s="11" t="s">
        <v>202</v>
      </c>
      <c r="H1541" s="11" t="s">
        <v>20</v>
      </c>
      <c r="I1541" s="11" t="s">
        <v>203</v>
      </c>
      <c r="J1541" s="11" t="s">
        <v>121</v>
      </c>
      <c r="K1541" s="11" t="s">
        <v>107</v>
      </c>
      <c r="L1541" s="11" t="s">
        <v>1577</v>
      </c>
      <c r="M1541" s="11" t="s">
        <v>100</v>
      </c>
      <c r="N1541" s="32" t="n">
        <v>591</v>
      </c>
      <c r="O1541" s="33" t="n">
        <v>55198.5</v>
      </c>
      <c r="P1541" s="32" t="n">
        <v>1505</v>
      </c>
      <c r="Q1541" s="34" t="n">
        <v>0.39</v>
      </c>
      <c r="R1541" s="33" t="n">
        <v>53.5</v>
      </c>
      <c r="S1541" s="33" t="n">
        <v>133.5</v>
      </c>
      <c r="T1541" s="33" t="n">
        <v>93.4</v>
      </c>
      <c r="U1541" s="11" t="n">
        <f aca="false">IFERROR(YEAR(A1541),"")</f>
        <v>2014</v>
      </c>
      <c r="V1541" s="33" t="n">
        <f aca="false">IFERROR(O1541*B1541,0)</f>
        <v>55198.5</v>
      </c>
      <c r="W1541" s="32" t="n">
        <f aca="false">IFERROR(N1541*B1541,0)</f>
        <v>591</v>
      </c>
      <c r="X1541" s="11" t="n">
        <f aca="false">IF(OR(ISNUMBER(SEARCH("live nation",L1541)),ISNUMBER(SEARCH("ocesa",L1541))),1,0)</f>
        <v>0</v>
      </c>
      <c r="Y1541" s="11" t="s">
        <v>49</v>
      </c>
    </row>
    <row r="1542" customFormat="false" ht="15" hidden="false" customHeight="false" outlineLevel="0" collapsed="false">
      <c r="A1542" s="25" t="n">
        <v>41902</v>
      </c>
      <c r="B1542" s="13" t="n">
        <v>1</v>
      </c>
      <c r="C1542" s="26" t="s">
        <v>1336</v>
      </c>
      <c r="D1542" s="26"/>
      <c r="E1542" s="13" t="s">
        <v>1558</v>
      </c>
      <c r="F1542" s="13" t="s">
        <v>719</v>
      </c>
      <c r="G1542" s="13"/>
      <c r="H1542" s="13" t="s">
        <v>22</v>
      </c>
      <c r="I1542" s="13"/>
      <c r="J1542" s="13" t="s">
        <v>97</v>
      </c>
      <c r="K1542" s="13" t="s">
        <v>406</v>
      </c>
      <c r="L1542" s="13" t="s">
        <v>122</v>
      </c>
      <c r="M1542" s="13" t="s">
        <v>277</v>
      </c>
      <c r="N1542" s="27" t="n">
        <v>3010</v>
      </c>
      <c r="O1542" s="28" t="n">
        <v>324043.48</v>
      </c>
      <c r="P1542" s="27" t="n">
        <v>4869</v>
      </c>
      <c r="Q1542" s="29" t="n">
        <v>0.61</v>
      </c>
      <c r="R1542" s="28" t="n">
        <v>45.42</v>
      </c>
      <c r="S1542" s="28" t="n">
        <v>175.18</v>
      </c>
      <c r="T1542" s="28" t="n">
        <v>107.66</v>
      </c>
      <c r="U1542" s="13" t="n">
        <f aca="false">IFERROR(YEAR(A1542),"")</f>
        <v>2014</v>
      </c>
      <c r="V1542" s="28" t="n">
        <f aca="false">IFERROR(O1542*B1542,0)</f>
        <v>324043.48</v>
      </c>
      <c r="W1542" s="27" t="n">
        <f aca="false">IFERROR(N1542*B1542,0)</f>
        <v>3010</v>
      </c>
      <c r="X1542" s="13" t="n">
        <f aca="false">IF(OR(ISNUMBER(SEARCH("live nation",L1542)),ISNUMBER(SEARCH("ocesa",L1542))),1,0)</f>
        <v>0</v>
      </c>
      <c r="Y1542" s="13" t="s">
        <v>50</v>
      </c>
    </row>
    <row r="1543" customFormat="false" ht="15" hidden="false" customHeight="false" outlineLevel="0" collapsed="false">
      <c r="A1543" s="30" t="n">
        <v>41895</v>
      </c>
      <c r="B1543" s="11" t="n">
        <v>1</v>
      </c>
      <c r="C1543" s="31" t="s">
        <v>1580</v>
      </c>
      <c r="D1543" s="31" t="s">
        <v>1581</v>
      </c>
      <c r="E1543" s="11" t="s">
        <v>1558</v>
      </c>
      <c r="F1543" s="11" t="s">
        <v>719</v>
      </c>
      <c r="G1543" s="11"/>
      <c r="H1543" s="11" t="s">
        <v>22</v>
      </c>
      <c r="I1543" s="11"/>
      <c r="J1543" s="11" t="s">
        <v>97</v>
      </c>
      <c r="K1543" s="11" t="s">
        <v>721</v>
      </c>
      <c r="L1543" s="11" t="s">
        <v>1568</v>
      </c>
      <c r="M1543" s="11" t="s">
        <v>100</v>
      </c>
      <c r="N1543" s="32" t="n">
        <v>4081</v>
      </c>
      <c r="O1543" s="33" t="n">
        <v>507744.14</v>
      </c>
      <c r="P1543" s="32" t="n">
        <v>6584</v>
      </c>
      <c r="Q1543" s="34" t="n">
        <v>0.61</v>
      </c>
      <c r="R1543" s="33" t="n">
        <v>61.64</v>
      </c>
      <c r="S1543" s="33" t="n">
        <v>272.5</v>
      </c>
      <c r="T1543" s="33" t="n">
        <v>124.42</v>
      </c>
      <c r="U1543" s="11" t="n">
        <f aca="false">IFERROR(YEAR(A1543),"")</f>
        <v>2014</v>
      </c>
      <c r="V1543" s="33" t="n">
        <f aca="false">IFERROR(O1543*B1543,0)</f>
        <v>507744.14</v>
      </c>
      <c r="W1543" s="32" t="n">
        <f aca="false">IFERROR(N1543*B1543,0)</f>
        <v>4081</v>
      </c>
      <c r="X1543" s="11" t="n">
        <f aca="false">IF(OR(ISNUMBER(SEARCH("live nation",L1543)),ISNUMBER(SEARCH("ocesa",L1543))),1,0)</f>
        <v>0</v>
      </c>
      <c r="Y1543" s="11" t="s">
        <v>50</v>
      </c>
    </row>
    <row r="1544" customFormat="false" ht="15" hidden="false" customHeight="false" outlineLevel="0" collapsed="false">
      <c r="A1544" s="25" t="n">
        <v>41867</v>
      </c>
      <c r="B1544" s="13" t="n">
        <v>1</v>
      </c>
      <c r="C1544" s="26" t="s">
        <v>1582</v>
      </c>
      <c r="D1544" s="26"/>
      <c r="E1544" s="13" t="s">
        <v>1558</v>
      </c>
      <c r="F1544" s="13" t="s">
        <v>719</v>
      </c>
      <c r="G1544" s="13"/>
      <c r="H1544" s="13" t="s">
        <v>22</v>
      </c>
      <c r="I1544" s="13"/>
      <c r="J1544" s="13" t="s">
        <v>97</v>
      </c>
      <c r="K1544" s="13" t="s">
        <v>721</v>
      </c>
      <c r="L1544" s="13" t="s">
        <v>122</v>
      </c>
      <c r="M1544" s="13" t="s">
        <v>100</v>
      </c>
      <c r="N1544" s="27" t="n">
        <v>1726</v>
      </c>
      <c r="O1544" s="28" t="n">
        <v>114803.83</v>
      </c>
      <c r="P1544" s="27" t="n">
        <v>4725</v>
      </c>
      <c r="Q1544" s="29" t="n">
        <v>0.36</v>
      </c>
      <c r="R1544" s="28" t="n">
        <v>45.35</v>
      </c>
      <c r="S1544" s="28" t="n">
        <v>142.53</v>
      </c>
      <c r="T1544" s="28" t="n">
        <v>66.51</v>
      </c>
      <c r="U1544" s="13" t="n">
        <f aca="false">IFERROR(YEAR(A1544),"")</f>
        <v>2014</v>
      </c>
      <c r="V1544" s="28" t="n">
        <f aca="false">IFERROR(O1544*B1544,0)</f>
        <v>114803.83</v>
      </c>
      <c r="W1544" s="27" t="n">
        <f aca="false">IFERROR(N1544*B1544,0)</f>
        <v>1726</v>
      </c>
      <c r="X1544" s="13" t="n">
        <f aca="false">IF(OR(ISNUMBER(SEARCH("live nation",L1544)),ISNUMBER(SEARCH("ocesa",L1544))),1,0)</f>
        <v>0</v>
      </c>
      <c r="Y1544" s="13" t="s">
        <v>50</v>
      </c>
    </row>
    <row r="1545" customFormat="false" ht="15" hidden="false" customHeight="false" outlineLevel="0" collapsed="false">
      <c r="A1545" s="30" t="n">
        <v>41853</v>
      </c>
      <c r="B1545" s="11" t="n">
        <v>1</v>
      </c>
      <c r="C1545" s="31" t="s">
        <v>875</v>
      </c>
      <c r="D1545" s="31"/>
      <c r="E1545" s="11" t="s">
        <v>1558</v>
      </c>
      <c r="F1545" s="11" t="s">
        <v>719</v>
      </c>
      <c r="G1545" s="11"/>
      <c r="H1545" s="11" t="s">
        <v>22</v>
      </c>
      <c r="I1545" s="11"/>
      <c r="J1545" s="11" t="s">
        <v>97</v>
      </c>
      <c r="K1545" s="11" t="s">
        <v>721</v>
      </c>
      <c r="L1545" s="11" t="s">
        <v>1566</v>
      </c>
      <c r="M1545" s="11" t="s">
        <v>100</v>
      </c>
      <c r="N1545" s="32" t="n">
        <v>2934</v>
      </c>
      <c r="O1545" s="33" t="n">
        <v>280388.27</v>
      </c>
      <c r="P1545" s="32" t="n">
        <v>6261</v>
      </c>
      <c r="Q1545" s="34" t="n">
        <v>0.46</v>
      </c>
      <c r="R1545" s="33" t="n">
        <v>45.35</v>
      </c>
      <c r="S1545" s="33" t="n">
        <v>207.32</v>
      </c>
      <c r="T1545" s="33" t="n">
        <v>95.57</v>
      </c>
      <c r="U1545" s="11" t="n">
        <f aca="false">IFERROR(YEAR(A1545),"")</f>
        <v>2014</v>
      </c>
      <c r="V1545" s="33" t="n">
        <f aca="false">IFERROR(O1545*B1545,0)</f>
        <v>280388.27</v>
      </c>
      <c r="W1545" s="32" t="n">
        <f aca="false">IFERROR(N1545*B1545,0)</f>
        <v>2934</v>
      </c>
      <c r="X1545" s="11" t="n">
        <f aca="false">IF(OR(ISNUMBER(SEARCH("live nation",L1545)),ISNUMBER(SEARCH("ocesa",L1545))),1,0)</f>
        <v>0</v>
      </c>
      <c r="Y1545" s="11" t="s">
        <v>50</v>
      </c>
    </row>
    <row r="1546" customFormat="false" ht="15" hidden="false" customHeight="false" outlineLevel="0" collapsed="false">
      <c r="A1546" s="25" t="n">
        <v>41853</v>
      </c>
      <c r="B1546" s="13" t="n">
        <v>1</v>
      </c>
      <c r="C1546" s="26" t="s">
        <v>1583</v>
      </c>
      <c r="D1546" s="26"/>
      <c r="E1546" s="13" t="s">
        <v>1584</v>
      </c>
      <c r="F1546" s="13" t="s">
        <v>719</v>
      </c>
      <c r="G1546" s="13"/>
      <c r="H1546" s="13" t="s">
        <v>22</v>
      </c>
      <c r="I1546" s="13"/>
      <c r="J1546" s="13" t="s">
        <v>121</v>
      </c>
      <c r="K1546" s="13" t="s">
        <v>721</v>
      </c>
      <c r="L1546" s="13" t="s">
        <v>1568</v>
      </c>
      <c r="M1546" s="13" t="s">
        <v>100</v>
      </c>
      <c r="N1546" s="27" t="n">
        <v>1581</v>
      </c>
      <c r="O1546" s="28" t="n">
        <v>75564.33</v>
      </c>
      <c r="P1546" s="27" t="n">
        <v>1761</v>
      </c>
      <c r="Q1546" s="29" t="n">
        <v>0.89</v>
      </c>
      <c r="R1546" s="28" t="n">
        <v>32.39</v>
      </c>
      <c r="S1546" s="28" t="n">
        <v>97.18</v>
      </c>
      <c r="T1546" s="28" t="n">
        <v>47.8</v>
      </c>
      <c r="U1546" s="13" t="n">
        <f aca="false">IFERROR(YEAR(A1546),"")</f>
        <v>2014</v>
      </c>
      <c r="V1546" s="28" t="n">
        <f aca="false">IFERROR(O1546*B1546,0)</f>
        <v>75564.33</v>
      </c>
      <c r="W1546" s="27" t="n">
        <f aca="false">IFERROR(N1546*B1546,0)</f>
        <v>1581</v>
      </c>
      <c r="X1546" s="13" t="n">
        <f aca="false">IF(OR(ISNUMBER(SEARCH("live nation",L1546)),ISNUMBER(SEARCH("ocesa",L1546))),1,0)</f>
        <v>0</v>
      </c>
      <c r="Y1546" s="13" t="s">
        <v>50</v>
      </c>
    </row>
    <row r="1547" customFormat="false" ht="15" hidden="false" customHeight="false" outlineLevel="0" collapsed="false">
      <c r="A1547" s="30" t="n">
        <v>41847</v>
      </c>
      <c r="B1547" s="11" t="n">
        <v>1</v>
      </c>
      <c r="C1547" s="31" t="s">
        <v>272</v>
      </c>
      <c r="D1547" s="31"/>
      <c r="E1547" s="11" t="s">
        <v>1560</v>
      </c>
      <c r="F1547" s="11" t="s">
        <v>203</v>
      </c>
      <c r="G1547" s="11" t="s">
        <v>202</v>
      </c>
      <c r="H1547" s="11" t="s">
        <v>20</v>
      </c>
      <c r="I1547" s="11" t="s">
        <v>203</v>
      </c>
      <c r="J1547" s="11" t="s">
        <v>106</v>
      </c>
      <c r="K1547" s="11" t="s">
        <v>107</v>
      </c>
      <c r="L1547" s="11" t="s">
        <v>791</v>
      </c>
      <c r="M1547" s="11" t="s">
        <v>277</v>
      </c>
      <c r="N1547" s="32" t="n">
        <v>1200</v>
      </c>
      <c r="O1547" s="33" t="n">
        <v>33000</v>
      </c>
      <c r="P1547" s="32" t="n">
        <v>1200</v>
      </c>
      <c r="Q1547" s="34" t="n">
        <v>1</v>
      </c>
      <c r="R1547" s="33" t="n">
        <v>27.5</v>
      </c>
      <c r="S1547" s="33" t="n">
        <v>0</v>
      </c>
      <c r="T1547" s="33" t="n">
        <v>27.5</v>
      </c>
      <c r="U1547" s="11" t="n">
        <f aca="false">IFERROR(YEAR(A1547),"")</f>
        <v>2014</v>
      </c>
      <c r="V1547" s="33" t="n">
        <f aca="false">IFERROR(O1547*B1547,0)</f>
        <v>33000</v>
      </c>
      <c r="W1547" s="32" t="n">
        <f aca="false">IFERROR(N1547*B1547,0)</f>
        <v>1200</v>
      </c>
      <c r="X1547" s="11" t="n">
        <f aca="false">IF(OR(ISNUMBER(SEARCH("live nation",L1547)),ISNUMBER(SEARCH("ocesa",L1547))),1,0)</f>
        <v>0</v>
      </c>
      <c r="Y1547" s="11" t="s">
        <v>49</v>
      </c>
    </row>
    <row r="1548" customFormat="false" ht="15" hidden="false" customHeight="false" outlineLevel="0" collapsed="false">
      <c r="A1548" s="25" t="n">
        <v>41831</v>
      </c>
      <c r="B1548" s="13" t="n">
        <v>1</v>
      </c>
      <c r="C1548" s="26" t="s">
        <v>875</v>
      </c>
      <c r="D1548" s="26"/>
      <c r="E1548" s="13" t="s">
        <v>1337</v>
      </c>
      <c r="F1548" s="13" t="s">
        <v>404</v>
      </c>
      <c r="G1548" s="13" t="s">
        <v>202</v>
      </c>
      <c r="H1548" s="13" t="s">
        <v>20</v>
      </c>
      <c r="I1548" s="13" t="s">
        <v>232</v>
      </c>
      <c r="J1548" s="13" t="s">
        <v>97</v>
      </c>
      <c r="K1548" s="13" t="s">
        <v>107</v>
      </c>
      <c r="L1548" s="13" t="s">
        <v>1573</v>
      </c>
      <c r="M1548" s="13" t="s">
        <v>100</v>
      </c>
      <c r="N1548" s="27" t="n">
        <v>3412</v>
      </c>
      <c r="O1548" s="28" t="n">
        <v>324096</v>
      </c>
      <c r="P1548" s="27" t="n">
        <v>3531</v>
      </c>
      <c r="Q1548" s="29" t="n">
        <v>0.96</v>
      </c>
      <c r="R1548" s="28" t="n">
        <v>58</v>
      </c>
      <c r="S1548" s="28" t="n">
        <v>168</v>
      </c>
      <c r="T1548" s="28" t="n">
        <v>94.99</v>
      </c>
      <c r="U1548" s="13" t="n">
        <f aca="false">IFERROR(YEAR(A1548),"")</f>
        <v>2014</v>
      </c>
      <c r="V1548" s="28" t="n">
        <f aca="false">IFERROR(O1548*B1548,0)</f>
        <v>324096</v>
      </c>
      <c r="W1548" s="27" t="n">
        <f aca="false">IFERROR(N1548*B1548,0)</f>
        <v>3412</v>
      </c>
      <c r="X1548" s="13" t="n">
        <f aca="false">IF(OR(ISNUMBER(SEARCH("live nation",L1548)),ISNUMBER(SEARCH("ocesa",L1548))),1,0)</f>
        <v>0</v>
      </c>
      <c r="Y1548" s="13" t="s">
        <v>49</v>
      </c>
    </row>
    <row r="1549" customFormat="false" ht="15" hidden="false" customHeight="false" outlineLevel="0" collapsed="false">
      <c r="A1549" s="30" t="n">
        <v>41811</v>
      </c>
      <c r="B1549" s="11" t="n">
        <v>1</v>
      </c>
      <c r="C1549" s="31" t="s">
        <v>475</v>
      </c>
      <c r="D1549" s="31"/>
      <c r="E1549" s="11" t="s">
        <v>1585</v>
      </c>
      <c r="F1549" s="11" t="s">
        <v>1586</v>
      </c>
      <c r="G1549" s="11" t="s">
        <v>281</v>
      </c>
      <c r="H1549" s="11" t="s">
        <v>20</v>
      </c>
      <c r="I1549" s="11"/>
      <c r="J1549" s="11" t="s">
        <v>106</v>
      </c>
      <c r="K1549" s="11" t="s">
        <v>107</v>
      </c>
      <c r="L1549" s="11" t="s">
        <v>1587</v>
      </c>
      <c r="M1549" s="11" t="s">
        <v>100</v>
      </c>
      <c r="N1549" s="32" t="n">
        <v>37</v>
      </c>
      <c r="O1549" s="33" t="n">
        <v>392</v>
      </c>
      <c r="P1549" s="32" t="n">
        <v>200</v>
      </c>
      <c r="Q1549" s="34" t="n">
        <v>0.18</v>
      </c>
      <c r="R1549" s="33" t="n">
        <v>10</v>
      </c>
      <c r="S1549" s="33" t="n">
        <v>12</v>
      </c>
      <c r="T1549" s="33" t="n">
        <v>10.59</v>
      </c>
      <c r="U1549" s="11" t="n">
        <f aca="false">IFERROR(YEAR(A1549),"")</f>
        <v>2014</v>
      </c>
      <c r="V1549" s="33" t="n">
        <f aca="false">IFERROR(O1549*B1549,0)</f>
        <v>392</v>
      </c>
      <c r="W1549" s="32" t="n">
        <f aca="false">IFERROR(N1549*B1549,0)</f>
        <v>37</v>
      </c>
      <c r="X1549" s="11" t="n">
        <f aca="false">IF(OR(ISNUMBER(SEARCH("live nation",L1549)),ISNUMBER(SEARCH("ocesa",L1549))),1,0)</f>
        <v>0</v>
      </c>
      <c r="Y1549" s="11" t="s">
        <v>49</v>
      </c>
    </row>
    <row r="1550" customFormat="false" ht="15" hidden="false" customHeight="false" outlineLevel="0" collapsed="false">
      <c r="A1550" s="25" t="n">
        <v>41790</v>
      </c>
      <c r="B1550" s="13" t="n">
        <v>1</v>
      </c>
      <c r="C1550" s="26" t="s">
        <v>569</v>
      </c>
      <c r="D1550" s="26"/>
      <c r="E1550" s="13" t="s">
        <v>1588</v>
      </c>
      <c r="F1550" s="13" t="s">
        <v>1589</v>
      </c>
      <c r="G1550" s="13"/>
      <c r="H1550" s="13" t="s">
        <v>22</v>
      </c>
      <c r="I1550" s="13"/>
      <c r="J1550" s="13" t="s">
        <v>97</v>
      </c>
      <c r="K1550" s="13" t="s">
        <v>406</v>
      </c>
      <c r="L1550" s="13" t="s">
        <v>1590</v>
      </c>
      <c r="M1550" s="13" t="s">
        <v>100</v>
      </c>
      <c r="N1550" s="27" t="n">
        <v>8652</v>
      </c>
      <c r="O1550" s="28" t="n">
        <v>627791.29</v>
      </c>
      <c r="P1550" s="27" t="n">
        <v>8652</v>
      </c>
      <c r="Q1550" s="29" t="n">
        <v>1</v>
      </c>
      <c r="R1550" s="28" t="n">
        <v>45.4</v>
      </c>
      <c r="S1550" s="28" t="n">
        <v>158.91</v>
      </c>
      <c r="T1550" s="28" t="n">
        <v>72.56</v>
      </c>
      <c r="U1550" s="13" t="n">
        <f aca="false">IFERROR(YEAR(A1550),"")</f>
        <v>2014</v>
      </c>
      <c r="V1550" s="28" t="n">
        <f aca="false">IFERROR(O1550*B1550,0)</f>
        <v>627791.29</v>
      </c>
      <c r="W1550" s="27" t="n">
        <f aca="false">IFERROR(N1550*B1550,0)</f>
        <v>8652</v>
      </c>
      <c r="X1550" s="13" t="n">
        <f aca="false">IF(OR(ISNUMBER(SEARCH("live nation",L1550)),ISNUMBER(SEARCH("ocesa",L1550))),1,0)</f>
        <v>0</v>
      </c>
      <c r="Y1550" s="13" t="s">
        <v>50</v>
      </c>
    </row>
    <row r="1551" customFormat="false" ht="15" hidden="false" customHeight="false" outlineLevel="0" collapsed="false">
      <c r="A1551" s="30" t="n">
        <v>41768</v>
      </c>
      <c r="B1551" s="11" t="n">
        <v>1</v>
      </c>
      <c r="C1551" s="31" t="s">
        <v>711</v>
      </c>
      <c r="D1551" s="31"/>
      <c r="E1551" s="11" t="s">
        <v>1591</v>
      </c>
      <c r="F1551" s="11" t="s">
        <v>1428</v>
      </c>
      <c r="G1551" s="11"/>
      <c r="H1551" s="11" t="s">
        <v>28</v>
      </c>
      <c r="I1551" s="11"/>
      <c r="J1551" s="11" t="s">
        <v>97</v>
      </c>
      <c r="K1551" s="11" t="s">
        <v>98</v>
      </c>
      <c r="L1551" s="11" t="s">
        <v>765</v>
      </c>
      <c r="M1551" s="11" t="s">
        <v>100</v>
      </c>
      <c r="N1551" s="32" t="n">
        <v>1812</v>
      </c>
      <c r="O1551" s="33" t="n">
        <v>207168.02</v>
      </c>
      <c r="P1551" s="32" t="n">
        <v>1815</v>
      </c>
      <c r="Q1551" s="34" t="n">
        <v>0.99</v>
      </c>
      <c r="R1551" s="33" t="n">
        <v>76.05</v>
      </c>
      <c r="S1551" s="33" t="n">
        <v>317.83</v>
      </c>
      <c r="T1551" s="33" t="n">
        <v>114.33</v>
      </c>
      <c r="U1551" s="11" t="n">
        <f aca="false">IFERROR(YEAR(A1551),"")</f>
        <v>2014</v>
      </c>
      <c r="V1551" s="33" t="n">
        <f aca="false">IFERROR(O1551*B1551,0)</f>
        <v>207168.02</v>
      </c>
      <c r="W1551" s="32" t="n">
        <f aca="false">IFERROR(N1551*B1551,0)</f>
        <v>1812</v>
      </c>
      <c r="X1551" s="11" t="n">
        <f aca="false">IF(OR(ISNUMBER(SEARCH("live nation",L1551)),ISNUMBER(SEARCH("ocesa",L1551))),1,0)</f>
        <v>0</v>
      </c>
      <c r="Y1551" s="11" t="s">
        <v>49</v>
      </c>
    </row>
    <row r="1552" customFormat="false" ht="15" hidden="false" customHeight="false" outlineLevel="0" collapsed="false">
      <c r="A1552" s="25" t="n">
        <v>41764</v>
      </c>
      <c r="B1552" s="13" t="n">
        <v>1</v>
      </c>
      <c r="C1552" s="26" t="s">
        <v>1592</v>
      </c>
      <c r="D1552" s="26"/>
      <c r="E1552" s="13" t="s">
        <v>290</v>
      </c>
      <c r="F1552" s="13" t="s">
        <v>291</v>
      </c>
      <c r="G1552" s="13"/>
      <c r="H1552" s="13" t="s">
        <v>28</v>
      </c>
      <c r="I1552" s="13"/>
      <c r="J1552" s="13" t="s">
        <v>97</v>
      </c>
      <c r="K1552" s="13" t="s">
        <v>98</v>
      </c>
      <c r="L1552" s="13" t="s">
        <v>1593</v>
      </c>
      <c r="M1552" s="13" t="s">
        <v>251</v>
      </c>
      <c r="N1552" s="27" t="n">
        <v>1236</v>
      </c>
      <c r="O1552" s="28" t="n">
        <v>216385.55</v>
      </c>
      <c r="P1552" s="27" t="n">
        <v>1331</v>
      </c>
      <c r="Q1552" s="29" t="n">
        <v>0.92</v>
      </c>
      <c r="R1552" s="28" t="n">
        <v>63.08</v>
      </c>
      <c r="S1552" s="28" t="n">
        <v>295.01</v>
      </c>
      <c r="T1552" s="28" t="n">
        <v>175.07</v>
      </c>
      <c r="U1552" s="13" t="n">
        <f aca="false">IFERROR(YEAR(A1552),"")</f>
        <v>2014</v>
      </c>
      <c r="V1552" s="28" t="n">
        <f aca="false">IFERROR(O1552*B1552,0)</f>
        <v>216385.55</v>
      </c>
      <c r="W1552" s="27" t="n">
        <f aca="false">IFERROR(N1552*B1552,0)</f>
        <v>1236</v>
      </c>
      <c r="X1552" s="13" t="n">
        <f aca="false">IF(OR(ISNUMBER(SEARCH("live nation",L1552)),ISNUMBER(SEARCH("ocesa",L1552))),1,0)</f>
        <v>0</v>
      </c>
      <c r="Y1552" s="13" t="s">
        <v>49</v>
      </c>
    </row>
    <row r="1553" customFormat="false" ht="15" hidden="false" customHeight="false" outlineLevel="0" collapsed="false">
      <c r="A1553" s="30" t="n">
        <v>41760</v>
      </c>
      <c r="B1553" s="11" t="n">
        <v>3</v>
      </c>
      <c r="C1553" s="31" t="s">
        <v>569</v>
      </c>
      <c r="D1553" s="31"/>
      <c r="E1553" s="11" t="s">
        <v>1558</v>
      </c>
      <c r="F1553" s="11" t="s">
        <v>719</v>
      </c>
      <c r="G1553" s="11"/>
      <c r="H1553" s="11" t="s">
        <v>22</v>
      </c>
      <c r="I1553" s="11"/>
      <c r="J1553" s="11" t="s">
        <v>97</v>
      </c>
      <c r="K1553" s="11" t="s">
        <v>721</v>
      </c>
      <c r="L1553" s="11" t="s">
        <v>1594</v>
      </c>
      <c r="M1553" s="11" t="s">
        <v>100</v>
      </c>
      <c r="N1553" s="32" t="n">
        <v>7047</v>
      </c>
      <c r="O1553" s="33" t="n">
        <v>719230.86</v>
      </c>
      <c r="P1553" s="32" t="n">
        <v>8902</v>
      </c>
      <c r="Q1553" s="34" t="n">
        <v>0.79</v>
      </c>
      <c r="R1553" s="33" t="n">
        <v>45.36</v>
      </c>
      <c r="S1553" s="33" t="n">
        <v>272.16</v>
      </c>
      <c r="T1553" s="33" t="n">
        <v>102.06</v>
      </c>
      <c r="U1553" s="11" t="n">
        <f aca="false">IFERROR(YEAR(A1553),"")</f>
        <v>2014</v>
      </c>
      <c r="V1553" s="33" t="n">
        <f aca="false">IFERROR(O1553*B1553,0)</f>
        <v>2157692.58</v>
      </c>
      <c r="W1553" s="32" t="n">
        <f aca="false">IFERROR(N1553*B1553,0)</f>
        <v>21141</v>
      </c>
      <c r="X1553" s="11" t="n">
        <f aca="false">IF(OR(ISNUMBER(SEARCH("live nation",L1553)),ISNUMBER(SEARCH("ocesa",L1553))),1,0)</f>
        <v>0</v>
      </c>
      <c r="Y1553" s="11" t="s">
        <v>50</v>
      </c>
    </row>
    <row r="1554" customFormat="false" ht="15" hidden="false" customHeight="false" outlineLevel="0" collapsed="false">
      <c r="A1554" s="25" t="n">
        <v>41751</v>
      </c>
      <c r="B1554" s="13" t="n">
        <v>1</v>
      </c>
      <c r="C1554" s="26" t="s">
        <v>1355</v>
      </c>
      <c r="D1554" s="26"/>
      <c r="E1554" s="13" t="s">
        <v>1256</v>
      </c>
      <c r="F1554" s="13" t="s">
        <v>203</v>
      </c>
      <c r="G1554" s="13" t="s">
        <v>202</v>
      </c>
      <c r="H1554" s="13" t="s">
        <v>20</v>
      </c>
      <c r="I1554" s="13" t="s">
        <v>203</v>
      </c>
      <c r="J1554" s="13" t="s">
        <v>121</v>
      </c>
      <c r="K1554" s="13" t="s">
        <v>107</v>
      </c>
      <c r="L1554" s="13" t="s">
        <v>531</v>
      </c>
      <c r="M1554" s="13" t="s">
        <v>277</v>
      </c>
      <c r="N1554" s="27" t="n">
        <v>2770</v>
      </c>
      <c r="O1554" s="28" t="n">
        <v>239080</v>
      </c>
      <c r="P1554" s="27" t="n">
        <v>6882</v>
      </c>
      <c r="Q1554" s="29" t="n">
        <v>0.4</v>
      </c>
      <c r="R1554" s="28" t="n">
        <v>45</v>
      </c>
      <c r="S1554" s="28" t="n">
        <v>135</v>
      </c>
      <c r="T1554" s="28" t="n">
        <v>86.31</v>
      </c>
      <c r="U1554" s="13" t="n">
        <f aca="false">IFERROR(YEAR(A1554),"")</f>
        <v>2014</v>
      </c>
      <c r="V1554" s="28" t="n">
        <f aca="false">IFERROR(O1554*B1554,0)</f>
        <v>239080</v>
      </c>
      <c r="W1554" s="27" t="n">
        <f aca="false">IFERROR(N1554*B1554,0)</f>
        <v>2770</v>
      </c>
      <c r="X1554" s="13" t="n">
        <f aca="false">IF(OR(ISNUMBER(SEARCH("live nation",L1554)),ISNUMBER(SEARCH("ocesa",L1554))),1,0)</f>
        <v>0</v>
      </c>
      <c r="Y1554" s="13" t="s">
        <v>49</v>
      </c>
    </row>
    <row r="1555" customFormat="false" ht="15" hidden="false" customHeight="false" outlineLevel="0" collapsed="false">
      <c r="A1555" s="30" t="n">
        <v>41748</v>
      </c>
      <c r="B1555" s="11" t="n">
        <v>1</v>
      </c>
      <c r="C1555" s="31" t="s">
        <v>1355</v>
      </c>
      <c r="D1555" s="31"/>
      <c r="E1555" s="11" t="s">
        <v>1595</v>
      </c>
      <c r="F1555" s="11" t="s">
        <v>1596</v>
      </c>
      <c r="G1555" s="11" t="s">
        <v>180</v>
      </c>
      <c r="H1555" s="11" t="s">
        <v>20</v>
      </c>
      <c r="I1555" s="11" t="s">
        <v>209</v>
      </c>
      <c r="J1555" s="11" t="s">
        <v>121</v>
      </c>
      <c r="K1555" s="11" t="s">
        <v>107</v>
      </c>
      <c r="L1555" s="11" t="s">
        <v>791</v>
      </c>
      <c r="M1555" s="11" t="s">
        <v>277</v>
      </c>
      <c r="N1555" s="32" t="n">
        <v>2888</v>
      </c>
      <c r="O1555" s="33" t="n">
        <v>224795</v>
      </c>
      <c r="P1555" s="32" t="n">
        <v>2956</v>
      </c>
      <c r="Q1555" s="34" t="n">
        <v>0.97</v>
      </c>
      <c r="R1555" s="33" t="n">
        <v>45</v>
      </c>
      <c r="S1555" s="33" t="n">
        <v>135</v>
      </c>
      <c r="T1555" s="33" t="n">
        <v>77.84</v>
      </c>
      <c r="U1555" s="11" t="n">
        <f aca="false">IFERROR(YEAR(A1555),"")</f>
        <v>2014</v>
      </c>
      <c r="V1555" s="33" t="n">
        <f aca="false">IFERROR(O1555*B1555,0)</f>
        <v>224795</v>
      </c>
      <c r="W1555" s="32" t="n">
        <f aca="false">IFERROR(N1555*B1555,0)</f>
        <v>2888</v>
      </c>
      <c r="X1555" s="11" t="n">
        <f aca="false">IF(OR(ISNUMBER(SEARCH("live nation",L1555)),ISNUMBER(SEARCH("ocesa",L1555))),1,0)</f>
        <v>0</v>
      </c>
      <c r="Y1555" s="11" t="s">
        <v>49</v>
      </c>
    </row>
    <row r="1556" customFormat="false" ht="15" hidden="false" customHeight="false" outlineLevel="0" collapsed="false">
      <c r="A1556" s="25" t="n">
        <v>41745</v>
      </c>
      <c r="B1556" s="13" t="n">
        <v>1</v>
      </c>
      <c r="C1556" s="26" t="s">
        <v>1355</v>
      </c>
      <c r="D1556" s="26"/>
      <c r="E1556" s="13" t="s">
        <v>1526</v>
      </c>
      <c r="F1556" s="13" t="s">
        <v>1259</v>
      </c>
      <c r="G1556" s="13" t="s">
        <v>143</v>
      </c>
      <c r="H1556" s="13" t="s">
        <v>20</v>
      </c>
      <c r="I1556" s="13" t="s">
        <v>375</v>
      </c>
      <c r="J1556" s="13" t="s">
        <v>121</v>
      </c>
      <c r="K1556" s="13" t="s">
        <v>107</v>
      </c>
      <c r="L1556" s="13" t="s">
        <v>1597</v>
      </c>
      <c r="M1556" s="13" t="s">
        <v>277</v>
      </c>
      <c r="N1556" s="27" t="n">
        <v>2349</v>
      </c>
      <c r="O1556" s="28" t="n">
        <v>197195</v>
      </c>
      <c r="P1556" s="27" t="n">
        <v>2550</v>
      </c>
      <c r="Q1556" s="29" t="n">
        <v>0.92</v>
      </c>
      <c r="R1556" s="28" t="n">
        <v>45</v>
      </c>
      <c r="S1556" s="28" t="n">
        <v>135</v>
      </c>
      <c r="T1556" s="28" t="n">
        <v>83.95</v>
      </c>
      <c r="U1556" s="13" t="n">
        <f aca="false">IFERROR(YEAR(A1556),"")</f>
        <v>2014</v>
      </c>
      <c r="V1556" s="28" t="n">
        <f aca="false">IFERROR(O1556*B1556,0)</f>
        <v>197195</v>
      </c>
      <c r="W1556" s="27" t="n">
        <f aca="false">IFERROR(N1556*B1556,0)</f>
        <v>2349</v>
      </c>
      <c r="X1556" s="13" t="n">
        <f aca="false">IF(OR(ISNUMBER(SEARCH("live nation",L1556)),ISNUMBER(SEARCH("ocesa",L1556))),1,0)</f>
        <v>0</v>
      </c>
      <c r="Y1556" s="13" t="s">
        <v>49</v>
      </c>
    </row>
    <row r="1557" customFormat="false" ht="15" hidden="false" customHeight="false" outlineLevel="0" collapsed="false">
      <c r="A1557" s="30" t="n">
        <v>41742</v>
      </c>
      <c r="B1557" s="11" t="n">
        <v>1</v>
      </c>
      <c r="C1557" s="31" t="s">
        <v>1355</v>
      </c>
      <c r="D1557" s="31"/>
      <c r="E1557" s="11" t="s">
        <v>1465</v>
      </c>
      <c r="F1557" s="11" t="s">
        <v>139</v>
      </c>
      <c r="G1557" s="11" t="s">
        <v>139</v>
      </c>
      <c r="H1557" s="11" t="s">
        <v>20</v>
      </c>
      <c r="I1557" s="11" t="s">
        <v>139</v>
      </c>
      <c r="J1557" s="11" t="s">
        <v>106</v>
      </c>
      <c r="K1557" s="11" t="s">
        <v>107</v>
      </c>
      <c r="L1557" s="11" t="s">
        <v>1597</v>
      </c>
      <c r="M1557" s="11" t="s">
        <v>277</v>
      </c>
      <c r="N1557" s="32" t="n">
        <v>2150</v>
      </c>
      <c r="O1557" s="33" t="n">
        <v>202105</v>
      </c>
      <c r="P1557" s="32" t="n">
        <v>2150</v>
      </c>
      <c r="Q1557" s="34" t="n">
        <v>1</v>
      </c>
      <c r="R1557" s="33" t="n">
        <v>51.5</v>
      </c>
      <c r="S1557" s="33" t="n">
        <v>136.5</v>
      </c>
      <c r="T1557" s="33" t="n">
        <v>94</v>
      </c>
      <c r="U1557" s="11" t="n">
        <f aca="false">IFERROR(YEAR(A1557),"")</f>
        <v>2014</v>
      </c>
      <c r="V1557" s="33" t="n">
        <f aca="false">IFERROR(O1557*B1557,0)</f>
        <v>202105</v>
      </c>
      <c r="W1557" s="32" t="n">
        <f aca="false">IFERROR(N1557*B1557,0)</f>
        <v>2150</v>
      </c>
      <c r="X1557" s="11" t="n">
        <f aca="false">IF(OR(ISNUMBER(SEARCH("live nation",L1557)),ISNUMBER(SEARCH("ocesa",L1557))),1,0)</f>
        <v>0</v>
      </c>
      <c r="Y1557" s="11" t="s">
        <v>49</v>
      </c>
    </row>
    <row r="1558" customFormat="false" ht="15" hidden="false" customHeight="false" outlineLevel="0" collapsed="false">
      <c r="A1558" s="25" t="n">
        <v>41740</v>
      </c>
      <c r="B1558" s="13" t="n">
        <v>1</v>
      </c>
      <c r="C1558" s="26" t="s">
        <v>643</v>
      </c>
      <c r="D1558" s="26"/>
      <c r="E1558" s="13" t="s">
        <v>95</v>
      </c>
      <c r="F1558" s="13" t="s">
        <v>96</v>
      </c>
      <c r="G1558" s="13"/>
      <c r="H1558" s="13" t="s">
        <v>28</v>
      </c>
      <c r="I1558" s="13"/>
      <c r="J1558" s="13" t="s">
        <v>97</v>
      </c>
      <c r="K1558" s="13" t="s">
        <v>98</v>
      </c>
      <c r="L1558" s="13" t="s">
        <v>1404</v>
      </c>
      <c r="M1558" s="13" t="s">
        <v>100</v>
      </c>
      <c r="N1558" s="27" t="n">
        <v>7397</v>
      </c>
      <c r="O1558" s="28" t="n">
        <v>1365771.94</v>
      </c>
      <c r="P1558" s="27" t="n">
        <v>11804</v>
      </c>
      <c r="Q1558" s="29" t="n">
        <v>0.62</v>
      </c>
      <c r="R1558" s="28" t="n">
        <v>91.54</v>
      </c>
      <c r="S1558" s="28" t="n">
        <v>368.92</v>
      </c>
      <c r="T1558" s="28" t="n">
        <v>184.64</v>
      </c>
      <c r="U1558" s="13" t="n">
        <f aca="false">IFERROR(YEAR(A1558),"")</f>
        <v>2014</v>
      </c>
      <c r="V1558" s="28" t="n">
        <f aca="false">IFERROR(O1558*B1558,0)</f>
        <v>1365771.94</v>
      </c>
      <c r="W1558" s="27" t="n">
        <f aca="false">IFERROR(N1558*B1558,0)</f>
        <v>7397</v>
      </c>
      <c r="X1558" s="13" t="n">
        <f aca="false">IF(OR(ISNUMBER(SEARCH("live nation",L1558)),ISNUMBER(SEARCH("ocesa",L1558))),1,0)</f>
        <v>0</v>
      </c>
      <c r="Y1558" s="13" t="s">
        <v>49</v>
      </c>
    </row>
    <row r="1559" customFormat="false" ht="15" hidden="false" customHeight="false" outlineLevel="0" collapsed="false">
      <c r="A1559" s="30" t="n">
        <v>41726</v>
      </c>
      <c r="B1559" s="11" t="n">
        <v>1</v>
      </c>
      <c r="C1559" s="31" t="s">
        <v>729</v>
      </c>
      <c r="D1559" s="31"/>
      <c r="E1559" s="11" t="s">
        <v>1337</v>
      </c>
      <c r="F1559" s="11" t="s">
        <v>404</v>
      </c>
      <c r="G1559" s="11" t="s">
        <v>202</v>
      </c>
      <c r="H1559" s="11" t="s">
        <v>20</v>
      </c>
      <c r="I1559" s="11" t="s">
        <v>232</v>
      </c>
      <c r="J1559" s="11" t="s">
        <v>97</v>
      </c>
      <c r="K1559" s="11" t="s">
        <v>107</v>
      </c>
      <c r="L1559" s="11" t="s">
        <v>1598</v>
      </c>
      <c r="M1559" s="11" t="s">
        <v>100</v>
      </c>
      <c r="N1559" s="32" t="n">
        <v>3827</v>
      </c>
      <c r="O1559" s="33" t="n">
        <v>505666</v>
      </c>
      <c r="P1559" s="32" t="n">
        <v>3866</v>
      </c>
      <c r="Q1559" s="34" t="n">
        <v>0.98</v>
      </c>
      <c r="R1559" s="33" t="n">
        <v>58</v>
      </c>
      <c r="S1559" s="33" t="n">
        <v>258</v>
      </c>
      <c r="T1559" s="33" t="n">
        <v>132.13</v>
      </c>
      <c r="U1559" s="11" t="n">
        <f aca="false">IFERROR(YEAR(A1559),"")</f>
        <v>2014</v>
      </c>
      <c r="V1559" s="33" t="n">
        <f aca="false">IFERROR(O1559*B1559,0)</f>
        <v>505666</v>
      </c>
      <c r="W1559" s="32" t="n">
        <f aca="false">IFERROR(N1559*B1559,0)</f>
        <v>3827</v>
      </c>
      <c r="X1559" s="11" t="n">
        <f aca="false">IF(OR(ISNUMBER(SEARCH("live nation",L1559)),ISNUMBER(SEARCH("ocesa",L1559))),1,0)</f>
        <v>1</v>
      </c>
      <c r="Y1559" s="11" t="s">
        <v>49</v>
      </c>
    </row>
    <row r="1560" customFormat="false" ht="15" hidden="false" customHeight="false" outlineLevel="0" collapsed="false">
      <c r="A1560" s="25" t="n">
        <v>41720</v>
      </c>
      <c r="B1560" s="13" t="n">
        <v>1</v>
      </c>
      <c r="C1560" s="26" t="s">
        <v>729</v>
      </c>
      <c r="D1560" s="26"/>
      <c r="E1560" s="13" t="s">
        <v>1599</v>
      </c>
      <c r="F1560" s="13" t="s">
        <v>139</v>
      </c>
      <c r="G1560" s="13" t="s">
        <v>139</v>
      </c>
      <c r="H1560" s="13" t="s">
        <v>20</v>
      </c>
      <c r="I1560" s="13" t="s">
        <v>139</v>
      </c>
      <c r="J1560" s="13" t="s">
        <v>97</v>
      </c>
      <c r="K1560" s="13" t="s">
        <v>107</v>
      </c>
      <c r="L1560" s="13" t="s">
        <v>177</v>
      </c>
      <c r="M1560" s="13" t="s">
        <v>100</v>
      </c>
      <c r="N1560" s="27" t="n">
        <v>11048</v>
      </c>
      <c r="O1560" s="28" t="n">
        <v>1144325</v>
      </c>
      <c r="P1560" s="27" t="n">
        <v>11048</v>
      </c>
      <c r="Q1560" s="29" t="n">
        <v>1</v>
      </c>
      <c r="R1560" s="28" t="n">
        <v>25</v>
      </c>
      <c r="S1560" s="28" t="n">
        <v>295</v>
      </c>
      <c r="T1560" s="28" t="n">
        <v>103.58</v>
      </c>
      <c r="U1560" s="13" t="n">
        <f aca="false">IFERROR(YEAR(A1560),"")</f>
        <v>2014</v>
      </c>
      <c r="V1560" s="28" t="n">
        <f aca="false">IFERROR(O1560*B1560,0)</f>
        <v>1144325</v>
      </c>
      <c r="W1560" s="27" t="n">
        <f aca="false">IFERROR(N1560*B1560,0)</f>
        <v>11048</v>
      </c>
      <c r="X1560" s="13" t="n">
        <f aca="false">IF(OR(ISNUMBER(SEARCH("live nation",L1560)),ISNUMBER(SEARCH("ocesa",L1560))),1,0)</f>
        <v>1</v>
      </c>
      <c r="Y1560" s="13" t="s">
        <v>49</v>
      </c>
    </row>
    <row r="1561" customFormat="false" ht="15" hidden="false" customHeight="false" outlineLevel="0" collapsed="false">
      <c r="A1561" s="30" t="n">
        <v>41720</v>
      </c>
      <c r="B1561" s="11" t="n">
        <v>1</v>
      </c>
      <c r="C1561" s="31" t="s">
        <v>711</v>
      </c>
      <c r="D1561" s="31"/>
      <c r="E1561" s="11" t="s">
        <v>1558</v>
      </c>
      <c r="F1561" s="11" t="s">
        <v>719</v>
      </c>
      <c r="G1561" s="11"/>
      <c r="H1561" s="11" t="s">
        <v>22</v>
      </c>
      <c r="I1561" s="11"/>
      <c r="J1561" s="11" t="s">
        <v>97</v>
      </c>
      <c r="K1561" s="11" t="s">
        <v>721</v>
      </c>
      <c r="L1561" s="11" t="s">
        <v>1568</v>
      </c>
      <c r="M1561" s="11" t="s">
        <v>100</v>
      </c>
      <c r="N1561" s="32" t="n">
        <v>4699</v>
      </c>
      <c r="O1561" s="33" t="n">
        <v>397540.86</v>
      </c>
      <c r="P1561" s="32" t="n">
        <v>6953</v>
      </c>
      <c r="Q1561" s="34" t="n">
        <v>0.67</v>
      </c>
      <c r="R1561" s="33" t="n">
        <v>45.67</v>
      </c>
      <c r="S1561" s="33" t="n">
        <v>208.78</v>
      </c>
      <c r="T1561" s="33" t="n">
        <v>84.6</v>
      </c>
      <c r="U1561" s="11" t="n">
        <f aca="false">IFERROR(YEAR(A1561),"")</f>
        <v>2014</v>
      </c>
      <c r="V1561" s="33" t="n">
        <f aca="false">IFERROR(O1561*B1561,0)</f>
        <v>397540.86</v>
      </c>
      <c r="W1561" s="32" t="n">
        <f aca="false">IFERROR(N1561*B1561,0)</f>
        <v>4699</v>
      </c>
      <c r="X1561" s="11" t="n">
        <f aca="false">IF(OR(ISNUMBER(SEARCH("live nation",L1561)),ISNUMBER(SEARCH("ocesa",L1561))),1,0)</f>
        <v>0</v>
      </c>
      <c r="Y1561" s="11" t="s">
        <v>50</v>
      </c>
    </row>
    <row r="1562" customFormat="false" ht="15" hidden="false" customHeight="false" outlineLevel="0" collapsed="false">
      <c r="A1562" s="25" t="n">
        <v>41718</v>
      </c>
      <c r="B1562" s="13" t="n">
        <v>1</v>
      </c>
      <c r="C1562" s="26" t="s">
        <v>729</v>
      </c>
      <c r="D1562" s="26"/>
      <c r="E1562" s="13" t="s">
        <v>1412</v>
      </c>
      <c r="F1562" s="13" t="s">
        <v>550</v>
      </c>
      <c r="G1562" s="13" t="s">
        <v>328</v>
      </c>
      <c r="H1562" s="13" t="s">
        <v>128</v>
      </c>
      <c r="I1562" s="13"/>
      <c r="J1562" s="13" t="s">
        <v>97</v>
      </c>
      <c r="K1562" s="13" t="s">
        <v>129</v>
      </c>
      <c r="L1562" s="13" t="s">
        <v>177</v>
      </c>
      <c r="M1562" s="13" t="s">
        <v>100</v>
      </c>
      <c r="N1562" s="27" t="n">
        <v>5984</v>
      </c>
      <c r="O1562" s="28" t="n">
        <v>895236.53</v>
      </c>
      <c r="P1562" s="27" t="n">
        <v>6000</v>
      </c>
      <c r="Q1562" s="29" t="n">
        <v>0.99</v>
      </c>
      <c r="R1562" s="28" t="n">
        <v>61.2</v>
      </c>
      <c r="S1562" s="28" t="n">
        <v>295.22</v>
      </c>
      <c r="T1562" s="28" t="n">
        <v>149.61</v>
      </c>
      <c r="U1562" s="13" t="n">
        <f aca="false">IFERROR(YEAR(A1562),"")</f>
        <v>2014</v>
      </c>
      <c r="V1562" s="28" t="n">
        <f aca="false">IFERROR(O1562*B1562,0)</f>
        <v>895236.53</v>
      </c>
      <c r="W1562" s="27" t="n">
        <f aca="false">IFERROR(N1562*B1562,0)</f>
        <v>5984</v>
      </c>
      <c r="X1562" s="13" t="n">
        <f aca="false">IF(OR(ISNUMBER(SEARCH("live nation",L1562)),ISNUMBER(SEARCH("ocesa",L1562))),1,0)</f>
        <v>1</v>
      </c>
      <c r="Y1562" s="13" t="s">
        <v>49</v>
      </c>
    </row>
    <row r="1563" customFormat="false" ht="15" hidden="false" customHeight="false" outlineLevel="0" collapsed="false">
      <c r="A1563" s="30" t="n">
        <v>41696</v>
      </c>
      <c r="B1563" s="11" t="n">
        <v>1</v>
      </c>
      <c r="C1563" s="31" t="s">
        <v>729</v>
      </c>
      <c r="D1563" s="31"/>
      <c r="E1563" s="11" t="s">
        <v>1015</v>
      </c>
      <c r="F1563" s="11" t="s">
        <v>561</v>
      </c>
      <c r="G1563" s="11"/>
      <c r="H1563" s="11" t="s">
        <v>449</v>
      </c>
      <c r="I1563" s="11"/>
      <c r="J1563" s="11" t="s">
        <v>121</v>
      </c>
      <c r="K1563" s="11" t="s">
        <v>173</v>
      </c>
      <c r="L1563" s="11" t="s">
        <v>177</v>
      </c>
      <c r="M1563" s="11" t="s">
        <v>100</v>
      </c>
      <c r="N1563" s="32" t="n">
        <v>1600</v>
      </c>
      <c r="O1563" s="33" t="n">
        <v>384297.44</v>
      </c>
      <c r="P1563" s="32" t="n">
        <v>3500</v>
      </c>
      <c r="Q1563" s="34" t="n">
        <v>0.45</v>
      </c>
      <c r="R1563" s="33" t="n">
        <v>56.56</v>
      </c>
      <c r="S1563" s="33" t="n">
        <v>240.86</v>
      </c>
      <c r="T1563" s="33" t="n">
        <v>240.19</v>
      </c>
      <c r="U1563" s="11" t="n">
        <f aca="false">IFERROR(YEAR(A1563),"")</f>
        <v>2014</v>
      </c>
      <c r="V1563" s="33" t="n">
        <f aca="false">IFERROR(O1563*B1563,0)</f>
        <v>384297.44</v>
      </c>
      <c r="W1563" s="32" t="n">
        <f aca="false">IFERROR(N1563*B1563,0)</f>
        <v>1600</v>
      </c>
      <c r="X1563" s="11" t="n">
        <f aca="false">IF(OR(ISNUMBER(SEARCH("live nation",L1563)),ISNUMBER(SEARCH("ocesa",L1563))),1,0)</f>
        <v>1</v>
      </c>
      <c r="Y1563" s="11" t="s">
        <v>49</v>
      </c>
    </row>
    <row r="1564" customFormat="false" ht="15" hidden="false" customHeight="false" outlineLevel="0" collapsed="false">
      <c r="A1564" s="25" t="n">
        <v>41691</v>
      </c>
      <c r="B1564" s="13" t="n">
        <v>1</v>
      </c>
      <c r="C1564" s="26" t="s">
        <v>729</v>
      </c>
      <c r="D1564" s="26"/>
      <c r="E1564" s="13" t="s">
        <v>1357</v>
      </c>
      <c r="F1564" s="13" t="s">
        <v>313</v>
      </c>
      <c r="G1564" s="13"/>
      <c r="H1564" s="13" t="s">
        <v>27</v>
      </c>
      <c r="I1564" s="13"/>
      <c r="J1564" s="13" t="s">
        <v>97</v>
      </c>
      <c r="K1564" s="13" t="s">
        <v>314</v>
      </c>
      <c r="L1564" s="13" t="s">
        <v>177</v>
      </c>
      <c r="M1564" s="13" t="s">
        <v>100</v>
      </c>
      <c r="N1564" s="27" t="n">
        <v>8873</v>
      </c>
      <c r="O1564" s="28" t="n">
        <v>1310670.83</v>
      </c>
      <c r="P1564" s="27" t="n">
        <v>10372</v>
      </c>
      <c r="Q1564" s="29" t="n">
        <v>0.85</v>
      </c>
      <c r="R1564" s="28" t="n">
        <v>95.51</v>
      </c>
      <c r="S1564" s="28" t="n">
        <v>309.59</v>
      </c>
      <c r="T1564" s="28" t="n">
        <v>147.71</v>
      </c>
      <c r="U1564" s="13" t="n">
        <f aca="false">IFERROR(YEAR(A1564),"")</f>
        <v>2014</v>
      </c>
      <c r="V1564" s="28" t="n">
        <f aca="false">IFERROR(O1564*B1564,0)</f>
        <v>1310670.83</v>
      </c>
      <c r="W1564" s="27" t="n">
        <f aca="false">IFERROR(N1564*B1564,0)</f>
        <v>8873</v>
      </c>
      <c r="X1564" s="13" t="n">
        <f aca="false">IF(OR(ISNUMBER(SEARCH("live nation",L1564)),ISNUMBER(SEARCH("ocesa",L1564))),1,0)</f>
        <v>1</v>
      </c>
      <c r="Y1564" s="13" t="s">
        <v>49</v>
      </c>
    </row>
    <row r="1565" customFormat="false" ht="15" hidden="false" customHeight="false" outlineLevel="0" collapsed="false">
      <c r="A1565" s="30" t="n">
        <v>41686</v>
      </c>
      <c r="B1565" s="11" t="n">
        <v>1</v>
      </c>
      <c r="C1565" s="31" t="s">
        <v>711</v>
      </c>
      <c r="D1565" s="31"/>
      <c r="E1565" s="11" t="s">
        <v>1357</v>
      </c>
      <c r="F1565" s="11" t="s">
        <v>313</v>
      </c>
      <c r="G1565" s="11"/>
      <c r="H1565" s="11" t="s">
        <v>27</v>
      </c>
      <c r="I1565" s="11"/>
      <c r="J1565" s="11" t="s">
        <v>97</v>
      </c>
      <c r="K1565" s="11" t="s">
        <v>314</v>
      </c>
      <c r="L1565" s="11" t="s">
        <v>1600</v>
      </c>
      <c r="M1565" s="11" t="s">
        <v>100</v>
      </c>
      <c r="N1565" s="32" t="n">
        <v>1970</v>
      </c>
      <c r="O1565" s="33" t="n">
        <v>215231.19</v>
      </c>
      <c r="P1565" s="32" t="n">
        <v>5500</v>
      </c>
      <c r="Q1565" s="34" t="n">
        <v>0.35</v>
      </c>
      <c r="R1565" s="33" t="n">
        <v>62.58</v>
      </c>
      <c r="S1565" s="33" t="n">
        <v>276.66</v>
      </c>
      <c r="T1565" s="33" t="n">
        <v>109.25</v>
      </c>
      <c r="U1565" s="11" t="n">
        <f aca="false">IFERROR(YEAR(A1565),"")</f>
        <v>2014</v>
      </c>
      <c r="V1565" s="33" t="n">
        <f aca="false">IFERROR(O1565*B1565,0)</f>
        <v>215231.19</v>
      </c>
      <c r="W1565" s="32" t="n">
        <f aca="false">IFERROR(N1565*B1565,0)</f>
        <v>1970</v>
      </c>
      <c r="X1565" s="11" t="n">
        <f aca="false">IF(OR(ISNUMBER(SEARCH("live nation",L1565)),ISNUMBER(SEARCH("ocesa",L1565))),1,0)</f>
        <v>0</v>
      </c>
      <c r="Y1565" s="11" t="s">
        <v>49</v>
      </c>
    </row>
    <row r="1566" customFormat="false" ht="15" hidden="false" customHeight="false" outlineLevel="0" collapsed="false">
      <c r="A1566" s="25" t="n">
        <v>41613</v>
      </c>
      <c r="B1566" s="13" t="n">
        <v>1</v>
      </c>
      <c r="C1566" s="26" t="s">
        <v>475</v>
      </c>
      <c r="D1566" s="26"/>
      <c r="E1566" s="13" t="s">
        <v>1601</v>
      </c>
      <c r="F1566" s="13" t="s">
        <v>1602</v>
      </c>
      <c r="G1566" s="13" t="s">
        <v>202</v>
      </c>
      <c r="H1566" s="13" t="s">
        <v>20</v>
      </c>
      <c r="I1566" s="13" t="s">
        <v>203</v>
      </c>
      <c r="J1566" s="13" t="s">
        <v>106</v>
      </c>
      <c r="K1566" s="13" t="s">
        <v>107</v>
      </c>
      <c r="L1566" s="13" t="s">
        <v>122</v>
      </c>
      <c r="M1566" s="13" t="s">
        <v>100</v>
      </c>
      <c r="N1566" s="27" t="n">
        <v>203</v>
      </c>
      <c r="O1566" s="28" t="n">
        <v>3102</v>
      </c>
      <c r="P1566" s="27" t="n">
        <v>500</v>
      </c>
      <c r="Q1566" s="29" t="n">
        <v>0.4</v>
      </c>
      <c r="R1566" s="28" t="n">
        <v>14</v>
      </c>
      <c r="S1566" s="28" t="n">
        <v>16</v>
      </c>
      <c r="T1566" s="28" t="n">
        <v>15.28</v>
      </c>
      <c r="U1566" s="13" t="n">
        <f aca="false">IFERROR(YEAR(A1566),"")</f>
        <v>2013</v>
      </c>
      <c r="V1566" s="28" t="n">
        <f aca="false">IFERROR(O1566*B1566,0)</f>
        <v>3102</v>
      </c>
      <c r="W1566" s="27" t="n">
        <f aca="false">IFERROR(N1566*B1566,0)</f>
        <v>203</v>
      </c>
      <c r="X1566" s="13" t="n">
        <f aca="false">IF(OR(ISNUMBER(SEARCH("live nation",L1566)),ISNUMBER(SEARCH("ocesa",L1566))),1,0)</f>
        <v>0</v>
      </c>
      <c r="Y1566" s="13" t="s">
        <v>49</v>
      </c>
    </row>
    <row r="1567" customFormat="false" ht="15" hidden="false" customHeight="false" outlineLevel="0" collapsed="false">
      <c r="A1567" s="30" t="n">
        <v>41608</v>
      </c>
      <c r="B1567" s="11" t="n">
        <v>1</v>
      </c>
      <c r="C1567" s="31" t="s">
        <v>484</v>
      </c>
      <c r="D1567" s="31"/>
      <c r="E1567" s="11" t="s">
        <v>1558</v>
      </c>
      <c r="F1567" s="11" t="s">
        <v>719</v>
      </c>
      <c r="G1567" s="11"/>
      <c r="H1567" s="11" t="s">
        <v>22</v>
      </c>
      <c r="I1567" s="11"/>
      <c r="J1567" s="11" t="s">
        <v>97</v>
      </c>
      <c r="K1567" s="11" t="s">
        <v>721</v>
      </c>
      <c r="L1567" s="11" t="s">
        <v>1603</v>
      </c>
      <c r="M1567" s="11" t="s">
        <v>251</v>
      </c>
      <c r="N1567" s="32" t="n">
        <v>6581</v>
      </c>
      <c r="O1567" s="33" t="n">
        <v>1232043.19</v>
      </c>
      <c r="P1567" s="32" t="n">
        <v>6982</v>
      </c>
      <c r="Q1567" s="34" t="n">
        <v>0.94</v>
      </c>
      <c r="R1567" s="33" t="n">
        <v>127.15</v>
      </c>
      <c r="S1567" s="33" t="n">
        <v>322.76</v>
      </c>
      <c r="T1567" s="33" t="n">
        <v>187.21</v>
      </c>
      <c r="U1567" s="11" t="n">
        <f aca="false">IFERROR(YEAR(A1567),"")</f>
        <v>2013</v>
      </c>
      <c r="V1567" s="33" t="n">
        <f aca="false">IFERROR(O1567*B1567,0)</f>
        <v>1232043.19</v>
      </c>
      <c r="W1567" s="32" t="n">
        <f aca="false">IFERROR(N1567*B1567,0)</f>
        <v>6581</v>
      </c>
      <c r="X1567" s="11" t="n">
        <f aca="false">IF(OR(ISNUMBER(SEARCH("live nation",L1567)),ISNUMBER(SEARCH("ocesa",L1567))),1,0)</f>
        <v>0</v>
      </c>
      <c r="Y1567" s="11" t="s">
        <v>50</v>
      </c>
    </row>
    <row r="1568" customFormat="false" ht="15" hidden="false" customHeight="false" outlineLevel="0" collapsed="false">
      <c r="A1568" s="25" t="n">
        <v>41587</v>
      </c>
      <c r="B1568" s="13" t="n">
        <v>1</v>
      </c>
      <c r="C1568" s="26" t="s">
        <v>484</v>
      </c>
      <c r="D1568" s="26"/>
      <c r="E1568" s="13" t="s">
        <v>1357</v>
      </c>
      <c r="F1568" s="13" t="s">
        <v>313</v>
      </c>
      <c r="G1568" s="13"/>
      <c r="H1568" s="13" t="s">
        <v>27</v>
      </c>
      <c r="I1568" s="13"/>
      <c r="J1568" s="13" t="s">
        <v>97</v>
      </c>
      <c r="K1568" s="13" t="s">
        <v>314</v>
      </c>
      <c r="L1568" s="13" t="s">
        <v>1604</v>
      </c>
      <c r="M1568" s="13" t="s">
        <v>251</v>
      </c>
      <c r="N1568" s="27" t="n">
        <v>4681</v>
      </c>
      <c r="O1568" s="28" t="n">
        <v>779768.22</v>
      </c>
      <c r="P1568" s="27" t="n">
        <v>8008</v>
      </c>
      <c r="Q1568" s="29" t="n">
        <v>0.58</v>
      </c>
      <c r="R1568" s="28" t="n">
        <v>78.56</v>
      </c>
      <c r="S1568" s="28" t="n">
        <v>238.89</v>
      </c>
      <c r="T1568" s="28" t="n">
        <v>166.58</v>
      </c>
      <c r="U1568" s="13" t="n">
        <f aca="false">IFERROR(YEAR(A1568),"")</f>
        <v>2013</v>
      </c>
      <c r="V1568" s="28" t="n">
        <f aca="false">IFERROR(O1568*B1568,0)</f>
        <v>779768.22</v>
      </c>
      <c r="W1568" s="27" t="n">
        <f aca="false">IFERROR(N1568*B1568,0)</f>
        <v>4681</v>
      </c>
      <c r="X1568" s="13" t="n">
        <f aca="false">IF(OR(ISNUMBER(SEARCH("live nation",L1568)),ISNUMBER(SEARCH("ocesa",L1568))),1,0)</f>
        <v>0</v>
      </c>
      <c r="Y1568" s="13" t="s">
        <v>49</v>
      </c>
    </row>
    <row r="1569" customFormat="false" ht="15" hidden="false" customHeight="false" outlineLevel="0" collapsed="false">
      <c r="A1569" s="30" t="n">
        <v>41586</v>
      </c>
      <c r="B1569" s="11" t="n">
        <v>1</v>
      </c>
      <c r="C1569" s="31" t="s">
        <v>1605</v>
      </c>
      <c r="D1569" s="31"/>
      <c r="E1569" s="11" t="s">
        <v>1526</v>
      </c>
      <c r="F1569" s="11" t="s">
        <v>1259</v>
      </c>
      <c r="G1569" s="11" t="s">
        <v>143</v>
      </c>
      <c r="H1569" s="11" t="s">
        <v>20</v>
      </c>
      <c r="I1569" s="11" t="s">
        <v>375</v>
      </c>
      <c r="J1569" s="11" t="s">
        <v>121</v>
      </c>
      <c r="K1569" s="11" t="s">
        <v>107</v>
      </c>
      <c r="L1569" s="11" t="s">
        <v>531</v>
      </c>
      <c r="M1569" s="11" t="s">
        <v>100</v>
      </c>
      <c r="N1569" s="32" t="n">
        <v>1513</v>
      </c>
      <c r="O1569" s="33" t="n">
        <v>155460</v>
      </c>
      <c r="P1569" s="32" t="n">
        <v>3156</v>
      </c>
      <c r="Q1569" s="34" t="n">
        <v>0.47</v>
      </c>
      <c r="R1569" s="33" t="n">
        <v>60</v>
      </c>
      <c r="S1569" s="33" t="n">
        <v>120</v>
      </c>
      <c r="T1569" s="33" t="n">
        <v>102.75</v>
      </c>
      <c r="U1569" s="11" t="n">
        <f aca="false">IFERROR(YEAR(A1569),"")</f>
        <v>2013</v>
      </c>
      <c r="V1569" s="33" t="n">
        <f aca="false">IFERROR(O1569*B1569,0)</f>
        <v>155460</v>
      </c>
      <c r="W1569" s="32" t="n">
        <f aca="false">IFERROR(N1569*B1569,0)</f>
        <v>1513</v>
      </c>
      <c r="X1569" s="11" t="n">
        <f aca="false">IF(OR(ISNUMBER(SEARCH("live nation",L1569)),ISNUMBER(SEARCH("ocesa",L1569))),1,0)</f>
        <v>0</v>
      </c>
      <c r="Y1569" s="11" t="s">
        <v>49</v>
      </c>
    </row>
    <row r="1570" customFormat="false" ht="15" hidden="false" customHeight="false" outlineLevel="0" collapsed="false">
      <c r="A1570" s="25" t="n">
        <v>41585</v>
      </c>
      <c r="B1570" s="13" t="n">
        <v>1</v>
      </c>
      <c r="C1570" s="26" t="s">
        <v>484</v>
      </c>
      <c r="D1570" s="26"/>
      <c r="E1570" s="13" t="s">
        <v>1388</v>
      </c>
      <c r="F1570" s="13" t="s">
        <v>132</v>
      </c>
      <c r="G1570" s="13"/>
      <c r="H1570" s="13" t="s">
        <v>23</v>
      </c>
      <c r="I1570" s="13"/>
      <c r="J1570" s="13" t="s">
        <v>97</v>
      </c>
      <c r="K1570" s="13" t="s">
        <v>134</v>
      </c>
      <c r="L1570" s="13" t="s">
        <v>461</v>
      </c>
      <c r="M1570" s="13" t="s">
        <v>251</v>
      </c>
      <c r="N1570" s="27" t="n">
        <v>15444</v>
      </c>
      <c r="O1570" s="28" t="n">
        <v>1511184.23</v>
      </c>
      <c r="P1570" s="27" t="n">
        <v>15444</v>
      </c>
      <c r="Q1570" s="29" t="n">
        <v>1</v>
      </c>
      <c r="R1570" s="28" t="n">
        <v>65.52</v>
      </c>
      <c r="S1570" s="28" t="n">
        <v>215.82</v>
      </c>
      <c r="T1570" s="28" t="n">
        <v>97.85</v>
      </c>
      <c r="U1570" s="13" t="n">
        <f aca="false">IFERROR(YEAR(A1570),"")</f>
        <v>2013</v>
      </c>
      <c r="V1570" s="28" t="n">
        <f aca="false">IFERROR(O1570*B1570,0)</f>
        <v>1511184.23</v>
      </c>
      <c r="W1570" s="27" t="n">
        <f aca="false">IFERROR(N1570*B1570,0)</f>
        <v>15444</v>
      </c>
      <c r="X1570" s="13" t="n">
        <f aca="false">IF(OR(ISNUMBER(SEARCH("live nation",L1570)),ISNUMBER(SEARCH("ocesa",L1570))),1,0)</f>
        <v>0</v>
      </c>
      <c r="Y1570" s="13" t="s">
        <v>49</v>
      </c>
    </row>
    <row r="1571" customFormat="false" ht="15" hidden="false" customHeight="false" outlineLevel="0" collapsed="false">
      <c r="A1571" s="30" t="n">
        <v>41411</v>
      </c>
      <c r="B1571" s="11" t="n">
        <v>1</v>
      </c>
      <c r="C1571" s="31" t="s">
        <v>1355</v>
      </c>
      <c r="D1571" s="31"/>
      <c r="E1571" s="11" t="s">
        <v>1465</v>
      </c>
      <c r="F1571" s="11" t="s">
        <v>139</v>
      </c>
      <c r="G1571" s="11" t="s">
        <v>139</v>
      </c>
      <c r="H1571" s="11" t="s">
        <v>20</v>
      </c>
      <c r="I1571" s="11" t="s">
        <v>139</v>
      </c>
      <c r="J1571" s="11" t="s">
        <v>106</v>
      </c>
      <c r="K1571" s="11" t="s">
        <v>107</v>
      </c>
      <c r="L1571" s="11" t="s">
        <v>531</v>
      </c>
      <c r="M1571" s="11" t="s">
        <v>277</v>
      </c>
      <c r="N1571" s="32" t="n">
        <v>2150</v>
      </c>
      <c r="O1571" s="33" t="n">
        <v>138750</v>
      </c>
      <c r="P1571" s="32" t="n">
        <v>2150</v>
      </c>
      <c r="Q1571" s="34" t="n">
        <v>1</v>
      </c>
      <c r="R1571" s="33" t="n">
        <v>40</v>
      </c>
      <c r="S1571" s="33" t="n">
        <v>115</v>
      </c>
      <c r="T1571" s="33" t="n">
        <v>64.53</v>
      </c>
      <c r="U1571" s="11" t="n">
        <f aca="false">IFERROR(YEAR(A1571),"")</f>
        <v>2013</v>
      </c>
      <c r="V1571" s="33" t="n">
        <f aca="false">IFERROR(O1571*B1571,0)</f>
        <v>138750</v>
      </c>
      <c r="W1571" s="32" t="n">
        <f aca="false">IFERROR(N1571*B1571,0)</f>
        <v>2150</v>
      </c>
      <c r="X1571" s="11" t="n">
        <f aca="false">IF(OR(ISNUMBER(SEARCH("live nation",L1571)),ISNUMBER(SEARCH("ocesa",L1571))),1,0)</f>
        <v>0</v>
      </c>
      <c r="Y1571" s="11" t="s">
        <v>49</v>
      </c>
    </row>
    <row r="1572" customFormat="false" ht="15" hidden="false" customHeight="false" outlineLevel="0" collapsed="false">
      <c r="A1572" s="25" t="n">
        <v>41389</v>
      </c>
      <c r="B1572" s="13" t="n">
        <v>1</v>
      </c>
      <c r="C1572" s="26" t="s">
        <v>484</v>
      </c>
      <c r="D1572" s="26"/>
      <c r="E1572" s="13" t="s">
        <v>155</v>
      </c>
      <c r="F1572" s="13" t="s">
        <v>156</v>
      </c>
      <c r="G1572" s="13"/>
      <c r="H1572" s="13" t="s">
        <v>157</v>
      </c>
      <c r="I1572" s="13"/>
      <c r="J1572" s="13" t="s">
        <v>97</v>
      </c>
      <c r="K1572" s="13" t="s">
        <v>158</v>
      </c>
      <c r="L1572" s="13" t="s">
        <v>1606</v>
      </c>
      <c r="M1572" s="13" t="s">
        <v>251</v>
      </c>
      <c r="N1572" s="27" t="n">
        <v>7684</v>
      </c>
      <c r="O1572" s="28" t="n">
        <v>745814.3</v>
      </c>
      <c r="P1572" s="27" t="n">
        <v>12000</v>
      </c>
      <c r="Q1572" s="29" t="n">
        <v>0.64</v>
      </c>
      <c r="R1572" s="28" t="n">
        <v>42.4</v>
      </c>
      <c r="S1572" s="28" t="n">
        <v>254.4</v>
      </c>
      <c r="T1572" s="28" t="n">
        <v>97.06</v>
      </c>
      <c r="U1572" s="13" t="n">
        <f aca="false">IFERROR(YEAR(A1572),"")</f>
        <v>2013</v>
      </c>
      <c r="V1572" s="28" t="n">
        <f aca="false">IFERROR(O1572*B1572,0)</f>
        <v>745814.3</v>
      </c>
      <c r="W1572" s="27" t="n">
        <f aca="false">IFERROR(N1572*B1572,0)</f>
        <v>7684</v>
      </c>
      <c r="X1572" s="13" t="n">
        <f aca="false">IF(OR(ISNUMBER(SEARCH("live nation",L1572)),ISNUMBER(SEARCH("ocesa",L1572))),1,0)</f>
        <v>0</v>
      </c>
      <c r="Y1572" s="13" t="s">
        <v>49</v>
      </c>
    </row>
    <row r="1573" customFormat="false" ht="15" hidden="false" customHeight="false" outlineLevel="0" collapsed="false">
      <c r="A1573" s="30" t="n">
        <v>41385</v>
      </c>
      <c r="B1573" s="11" t="n">
        <v>1</v>
      </c>
      <c r="C1573" s="31" t="s">
        <v>484</v>
      </c>
      <c r="D1573" s="31"/>
      <c r="E1573" s="11" t="s">
        <v>1487</v>
      </c>
      <c r="F1573" s="11" t="s">
        <v>582</v>
      </c>
      <c r="G1573" s="11"/>
      <c r="H1573" s="11" t="s">
        <v>583</v>
      </c>
      <c r="I1573" s="11"/>
      <c r="J1573" s="11" t="s">
        <v>121</v>
      </c>
      <c r="K1573" s="11" t="s">
        <v>584</v>
      </c>
      <c r="L1573" s="11" t="s">
        <v>1403</v>
      </c>
      <c r="M1573" s="11" t="s">
        <v>251</v>
      </c>
      <c r="N1573" s="32" t="n">
        <v>5922</v>
      </c>
      <c r="O1573" s="33" t="n">
        <v>387044.21</v>
      </c>
      <c r="P1573" s="32" t="n">
        <v>5934</v>
      </c>
      <c r="Q1573" s="34" t="n">
        <v>0.99</v>
      </c>
      <c r="R1573" s="33" t="n">
        <v>44.44</v>
      </c>
      <c r="S1573" s="33" t="n">
        <v>197.5</v>
      </c>
      <c r="T1573" s="33" t="n">
        <v>65.36</v>
      </c>
      <c r="U1573" s="11" t="n">
        <f aca="false">IFERROR(YEAR(A1573),"")</f>
        <v>2013</v>
      </c>
      <c r="V1573" s="33" t="n">
        <f aca="false">IFERROR(O1573*B1573,0)</f>
        <v>387044.21</v>
      </c>
      <c r="W1573" s="32" t="n">
        <f aca="false">IFERROR(N1573*B1573,0)</f>
        <v>5922</v>
      </c>
      <c r="X1573" s="11" t="n">
        <f aca="false">IF(OR(ISNUMBER(SEARCH("live nation",L1573)),ISNUMBER(SEARCH("ocesa",L1573))),1,0)</f>
        <v>0</v>
      </c>
      <c r="Y1573" s="11" t="s">
        <v>49</v>
      </c>
    </row>
    <row r="1574" customFormat="false" ht="15" hidden="false" customHeight="false" outlineLevel="0" collapsed="false">
      <c r="A1574" s="25" t="n">
        <v>41265</v>
      </c>
      <c r="B1574" s="13" t="n">
        <v>1</v>
      </c>
      <c r="C1574" s="26" t="s">
        <v>1574</v>
      </c>
      <c r="D1574" s="26"/>
      <c r="E1574" s="13" t="s">
        <v>1558</v>
      </c>
      <c r="F1574" s="13" t="s">
        <v>719</v>
      </c>
      <c r="G1574" s="13"/>
      <c r="H1574" s="13" t="s">
        <v>22</v>
      </c>
      <c r="I1574" s="13"/>
      <c r="J1574" s="13" t="s">
        <v>97</v>
      </c>
      <c r="K1574" s="13" t="s">
        <v>721</v>
      </c>
      <c r="L1574" s="13" t="s">
        <v>1603</v>
      </c>
      <c r="M1574" s="13" t="s">
        <v>100</v>
      </c>
      <c r="N1574" s="27" t="n">
        <v>3709</v>
      </c>
      <c r="O1574" s="28" t="n">
        <v>523154.78</v>
      </c>
      <c r="P1574" s="27" t="n">
        <v>8692</v>
      </c>
      <c r="Q1574" s="29" t="n">
        <v>0.42</v>
      </c>
      <c r="R1574" s="28" t="n">
        <v>61</v>
      </c>
      <c r="S1574" s="28" t="n">
        <v>269.67</v>
      </c>
      <c r="T1574" s="28" t="n">
        <v>141.05</v>
      </c>
      <c r="U1574" s="13" t="n">
        <f aca="false">IFERROR(YEAR(A1574),"")</f>
        <v>2012</v>
      </c>
      <c r="V1574" s="28" t="n">
        <f aca="false">IFERROR(O1574*B1574,0)</f>
        <v>523154.78</v>
      </c>
      <c r="W1574" s="27" t="n">
        <f aca="false">IFERROR(N1574*B1574,0)</f>
        <v>3709</v>
      </c>
      <c r="X1574" s="13" t="n">
        <f aca="false">IF(OR(ISNUMBER(SEARCH("live nation",L1574)),ISNUMBER(SEARCH("ocesa",L1574))),1,0)</f>
        <v>0</v>
      </c>
      <c r="Y1574" s="13" t="s">
        <v>50</v>
      </c>
    </row>
    <row r="1575" customFormat="false" ht="15" hidden="false" customHeight="false" outlineLevel="0" collapsed="false">
      <c r="A1575" s="30" t="n">
        <v>41251</v>
      </c>
      <c r="B1575" s="11" t="n">
        <v>1</v>
      </c>
      <c r="C1575" s="31" t="s">
        <v>1336</v>
      </c>
      <c r="D1575" s="31"/>
      <c r="E1575" s="11" t="s">
        <v>1558</v>
      </c>
      <c r="F1575" s="11" t="s">
        <v>719</v>
      </c>
      <c r="G1575" s="11"/>
      <c r="H1575" s="11" t="s">
        <v>22</v>
      </c>
      <c r="I1575" s="11"/>
      <c r="J1575" s="11" t="s">
        <v>97</v>
      </c>
      <c r="K1575" s="11" t="s">
        <v>721</v>
      </c>
      <c r="L1575" s="11" t="s">
        <v>1607</v>
      </c>
      <c r="M1575" s="11" t="s">
        <v>277</v>
      </c>
      <c r="N1575" s="32" t="n">
        <v>4649</v>
      </c>
      <c r="O1575" s="33" t="n">
        <v>419861.29</v>
      </c>
      <c r="P1575" s="32" t="n">
        <v>7214</v>
      </c>
      <c r="Q1575" s="34" t="n">
        <v>0.64</v>
      </c>
      <c r="R1575" s="33" t="n">
        <v>44.95</v>
      </c>
      <c r="S1575" s="33" t="n">
        <v>205.47</v>
      </c>
      <c r="T1575" s="33" t="n">
        <v>90.31</v>
      </c>
      <c r="U1575" s="11" t="n">
        <f aca="false">IFERROR(YEAR(A1575),"")</f>
        <v>2012</v>
      </c>
      <c r="V1575" s="33" t="n">
        <f aca="false">IFERROR(O1575*B1575,0)</f>
        <v>419861.29</v>
      </c>
      <c r="W1575" s="32" t="n">
        <f aca="false">IFERROR(N1575*B1575,0)</f>
        <v>4649</v>
      </c>
      <c r="X1575" s="11" t="n">
        <f aca="false">IF(OR(ISNUMBER(SEARCH("live nation",L1575)),ISNUMBER(SEARCH("ocesa",L1575))),1,0)</f>
        <v>0</v>
      </c>
      <c r="Y1575" s="11" t="s">
        <v>50</v>
      </c>
    </row>
    <row r="1576" customFormat="false" ht="15" hidden="false" customHeight="false" outlineLevel="0" collapsed="false">
      <c r="A1576" s="25" t="n">
        <v>41221</v>
      </c>
      <c r="B1576" s="13" t="n">
        <v>2</v>
      </c>
      <c r="C1576" s="26" t="s">
        <v>1557</v>
      </c>
      <c r="D1576" s="26"/>
      <c r="E1576" s="13" t="s">
        <v>506</v>
      </c>
      <c r="F1576" s="13" t="s">
        <v>507</v>
      </c>
      <c r="G1576" s="13" t="s">
        <v>221</v>
      </c>
      <c r="H1576" s="13" t="s">
        <v>20</v>
      </c>
      <c r="I1576" s="13" t="s">
        <v>139</v>
      </c>
      <c r="J1576" s="13" t="s">
        <v>97</v>
      </c>
      <c r="K1576" s="13" t="s">
        <v>107</v>
      </c>
      <c r="L1576" s="13" t="s">
        <v>177</v>
      </c>
      <c r="M1576" s="13" t="s">
        <v>100</v>
      </c>
      <c r="N1576" s="27" t="n">
        <v>9181</v>
      </c>
      <c r="O1576" s="28" t="n">
        <v>1165053</v>
      </c>
      <c r="P1576" s="27" t="n">
        <v>10380</v>
      </c>
      <c r="Q1576" s="29" t="n">
        <v>0.88</v>
      </c>
      <c r="R1576" s="28" t="n">
        <v>46.5</v>
      </c>
      <c r="S1576" s="28" t="n">
        <v>196.5</v>
      </c>
      <c r="T1576" s="28" t="n">
        <v>126.9</v>
      </c>
      <c r="U1576" s="13" t="n">
        <f aca="false">IFERROR(YEAR(A1576),"")</f>
        <v>2012</v>
      </c>
      <c r="V1576" s="28" t="n">
        <f aca="false">IFERROR(O1576*B1576,0)</f>
        <v>2330106</v>
      </c>
      <c r="W1576" s="27" t="n">
        <f aca="false">IFERROR(N1576*B1576,0)</f>
        <v>18362</v>
      </c>
      <c r="X1576" s="13" t="n">
        <f aca="false">IF(OR(ISNUMBER(SEARCH("live nation",L1576)),ISNUMBER(SEARCH("ocesa",L1576))),1,0)</f>
        <v>1</v>
      </c>
      <c r="Y1576" s="13" t="s">
        <v>49</v>
      </c>
    </row>
    <row r="1577" customFormat="false" ht="15" hidden="false" customHeight="false" outlineLevel="0" collapsed="false">
      <c r="A1577" s="30" t="n">
        <v>41215</v>
      </c>
      <c r="B1577" s="11" t="n">
        <v>2</v>
      </c>
      <c r="C1577" s="31" t="s">
        <v>1557</v>
      </c>
      <c r="D1577" s="31"/>
      <c r="E1577" s="11" t="s">
        <v>618</v>
      </c>
      <c r="F1577" s="11" t="s">
        <v>619</v>
      </c>
      <c r="G1577" s="11" t="s">
        <v>202</v>
      </c>
      <c r="H1577" s="11" t="s">
        <v>20</v>
      </c>
      <c r="I1577" s="11" t="s">
        <v>203</v>
      </c>
      <c r="J1577" s="11" t="s">
        <v>97</v>
      </c>
      <c r="K1577" s="11" t="s">
        <v>107</v>
      </c>
      <c r="L1577" s="11" t="s">
        <v>177</v>
      </c>
      <c r="M1577" s="11" t="s">
        <v>100</v>
      </c>
      <c r="N1577" s="32" t="n">
        <v>10957</v>
      </c>
      <c r="O1577" s="33" t="n">
        <v>1319509.5</v>
      </c>
      <c r="P1577" s="32" t="n">
        <v>12757</v>
      </c>
      <c r="Q1577" s="34" t="n">
        <v>0.85</v>
      </c>
      <c r="R1577" s="33" t="n">
        <v>50</v>
      </c>
      <c r="S1577" s="33" t="n">
        <v>200</v>
      </c>
      <c r="T1577" s="33" t="n">
        <v>120.43</v>
      </c>
      <c r="U1577" s="11" t="n">
        <f aca="false">IFERROR(YEAR(A1577),"")</f>
        <v>2012</v>
      </c>
      <c r="V1577" s="33" t="n">
        <f aca="false">IFERROR(O1577*B1577,0)</f>
        <v>2639019</v>
      </c>
      <c r="W1577" s="32" t="n">
        <f aca="false">IFERROR(N1577*B1577,0)</f>
        <v>21914</v>
      </c>
      <c r="X1577" s="11" t="n">
        <f aca="false">IF(OR(ISNUMBER(SEARCH("live nation",L1577)),ISNUMBER(SEARCH("ocesa",L1577))),1,0)</f>
        <v>1</v>
      </c>
      <c r="Y1577" s="11" t="s">
        <v>49</v>
      </c>
    </row>
    <row r="1578" customFormat="false" ht="15" hidden="false" customHeight="false" outlineLevel="0" collapsed="false">
      <c r="A1578" s="25" t="n">
        <v>41147</v>
      </c>
      <c r="B1578" s="13" t="n">
        <v>1</v>
      </c>
      <c r="C1578" s="26" t="s">
        <v>1608</v>
      </c>
      <c r="D1578" s="26"/>
      <c r="E1578" s="13" t="s">
        <v>906</v>
      </c>
      <c r="F1578" s="13" t="s">
        <v>647</v>
      </c>
      <c r="G1578" s="13"/>
      <c r="H1578" s="13" t="s">
        <v>28</v>
      </c>
      <c r="I1578" s="13"/>
      <c r="J1578" s="13" t="s">
        <v>106</v>
      </c>
      <c r="K1578" s="13" t="s">
        <v>98</v>
      </c>
      <c r="L1578" s="13" t="s">
        <v>122</v>
      </c>
      <c r="M1578" s="13" t="s">
        <v>100</v>
      </c>
      <c r="N1578" s="27" t="n">
        <v>45</v>
      </c>
      <c r="O1578" s="28" t="n">
        <v>846.29</v>
      </c>
      <c r="P1578" s="27" t="n">
        <v>300</v>
      </c>
      <c r="Q1578" s="29" t="n">
        <v>0.15</v>
      </c>
      <c r="R1578" s="28" t="n">
        <v>15.77</v>
      </c>
      <c r="S1578" s="28" t="n">
        <v>21.03</v>
      </c>
      <c r="T1578" s="28" t="n">
        <v>18.81</v>
      </c>
      <c r="U1578" s="13" t="n">
        <f aca="false">IFERROR(YEAR(A1578),"")</f>
        <v>2012</v>
      </c>
      <c r="V1578" s="28" t="n">
        <f aca="false">IFERROR(O1578*B1578,0)</f>
        <v>846.29</v>
      </c>
      <c r="W1578" s="27" t="n">
        <f aca="false">IFERROR(N1578*B1578,0)</f>
        <v>45</v>
      </c>
      <c r="X1578" s="13" t="n">
        <f aca="false">IF(OR(ISNUMBER(SEARCH("live nation",L1578)),ISNUMBER(SEARCH("ocesa",L1578))),1,0)</f>
        <v>0</v>
      </c>
      <c r="Y1578" s="13" t="s">
        <v>49</v>
      </c>
    </row>
    <row r="1579" customFormat="false" ht="15" hidden="false" customHeight="false" outlineLevel="0" collapsed="false">
      <c r="A1579" s="30" t="n">
        <v>41145</v>
      </c>
      <c r="B1579" s="11" t="n">
        <v>1</v>
      </c>
      <c r="C1579" s="31" t="s">
        <v>1609</v>
      </c>
      <c r="D1579" s="31"/>
      <c r="E1579" s="11" t="s">
        <v>1256</v>
      </c>
      <c r="F1579" s="11" t="s">
        <v>203</v>
      </c>
      <c r="G1579" s="11" t="s">
        <v>202</v>
      </c>
      <c r="H1579" s="11" t="s">
        <v>20</v>
      </c>
      <c r="I1579" s="11" t="s">
        <v>203</v>
      </c>
      <c r="J1579" s="11" t="s">
        <v>121</v>
      </c>
      <c r="K1579" s="11" t="s">
        <v>107</v>
      </c>
      <c r="L1579" s="11" t="s">
        <v>177</v>
      </c>
      <c r="M1579" s="11" t="s">
        <v>251</v>
      </c>
      <c r="N1579" s="32" t="n">
        <v>6680</v>
      </c>
      <c r="O1579" s="33" t="n">
        <v>653716</v>
      </c>
      <c r="P1579" s="32" t="n">
        <v>6714</v>
      </c>
      <c r="Q1579" s="34" t="n">
        <v>0.99</v>
      </c>
      <c r="R1579" s="33" t="n">
        <v>30</v>
      </c>
      <c r="S1579" s="33" t="n">
        <v>200</v>
      </c>
      <c r="T1579" s="33" t="n">
        <v>97.86</v>
      </c>
      <c r="U1579" s="11" t="n">
        <f aca="false">IFERROR(YEAR(A1579),"")</f>
        <v>2012</v>
      </c>
      <c r="V1579" s="33" t="n">
        <f aca="false">IFERROR(O1579*B1579,0)</f>
        <v>653716</v>
      </c>
      <c r="W1579" s="32" t="n">
        <f aca="false">IFERROR(N1579*B1579,0)</f>
        <v>6680</v>
      </c>
      <c r="X1579" s="11" t="n">
        <f aca="false">IF(OR(ISNUMBER(SEARCH("live nation",L1579)),ISNUMBER(SEARCH("ocesa",L1579))),1,0)</f>
        <v>1</v>
      </c>
      <c r="Y1579" s="11" t="s">
        <v>49</v>
      </c>
    </row>
    <row r="1580" customFormat="false" ht="15" hidden="false" customHeight="false" outlineLevel="0" collapsed="false">
      <c r="A1580" s="25" t="n">
        <v>41138</v>
      </c>
      <c r="B1580" s="13" t="n">
        <v>1</v>
      </c>
      <c r="C1580" s="26" t="s">
        <v>1609</v>
      </c>
      <c r="D1580" s="26"/>
      <c r="E1580" s="13" t="s">
        <v>506</v>
      </c>
      <c r="F1580" s="13" t="s">
        <v>507</v>
      </c>
      <c r="G1580" s="13" t="s">
        <v>221</v>
      </c>
      <c r="H1580" s="13" t="s">
        <v>20</v>
      </c>
      <c r="I1580" s="13" t="s">
        <v>139</v>
      </c>
      <c r="J1580" s="13" t="s">
        <v>97</v>
      </c>
      <c r="K1580" s="13" t="s">
        <v>107</v>
      </c>
      <c r="L1580" s="13" t="s">
        <v>177</v>
      </c>
      <c r="M1580" s="13" t="s">
        <v>251</v>
      </c>
      <c r="N1580" s="27" t="n">
        <v>5062</v>
      </c>
      <c r="O1580" s="28" t="n">
        <v>550783</v>
      </c>
      <c r="P1580" s="27" t="n">
        <v>6876</v>
      </c>
      <c r="Q1580" s="29" t="n">
        <v>0.73</v>
      </c>
      <c r="R1580" s="28" t="n">
        <v>46.5</v>
      </c>
      <c r="S1580" s="28" t="n">
        <v>196.5</v>
      </c>
      <c r="T1580" s="28" t="n">
        <v>108.81</v>
      </c>
      <c r="U1580" s="13" t="n">
        <f aca="false">IFERROR(YEAR(A1580),"")</f>
        <v>2012</v>
      </c>
      <c r="V1580" s="28" t="n">
        <f aca="false">IFERROR(O1580*B1580,0)</f>
        <v>550783</v>
      </c>
      <c r="W1580" s="27" t="n">
        <f aca="false">IFERROR(N1580*B1580,0)</f>
        <v>5062</v>
      </c>
      <c r="X1580" s="13" t="n">
        <f aca="false">IF(OR(ISNUMBER(SEARCH("live nation",L1580)),ISNUMBER(SEARCH("ocesa",L1580))),1,0)</f>
        <v>1</v>
      </c>
      <c r="Y1580" s="13" t="s">
        <v>49</v>
      </c>
    </row>
    <row r="1581" customFormat="false" ht="15" hidden="false" customHeight="false" outlineLevel="0" collapsed="false">
      <c r="A1581" s="30" t="n">
        <v>41049</v>
      </c>
      <c r="B1581" s="11" t="n">
        <v>1</v>
      </c>
      <c r="C1581" s="31" t="s">
        <v>740</v>
      </c>
      <c r="D1581" s="31" t="s">
        <v>1610</v>
      </c>
      <c r="E1581" s="11" t="s">
        <v>618</v>
      </c>
      <c r="F1581" s="11" t="s">
        <v>619</v>
      </c>
      <c r="G1581" s="11" t="s">
        <v>202</v>
      </c>
      <c r="H1581" s="11" t="s">
        <v>20</v>
      </c>
      <c r="I1581" s="11" t="s">
        <v>203</v>
      </c>
      <c r="J1581" s="11" t="s">
        <v>97</v>
      </c>
      <c r="K1581" s="11" t="s">
        <v>107</v>
      </c>
      <c r="L1581" s="11" t="s">
        <v>1577</v>
      </c>
      <c r="M1581" s="11" t="s">
        <v>742</v>
      </c>
      <c r="N1581" s="32" t="n">
        <v>11100</v>
      </c>
      <c r="O1581" s="33" t="n">
        <v>1291800</v>
      </c>
      <c r="P1581" s="32" t="n">
        <v>11100</v>
      </c>
      <c r="Q1581" s="34" t="n">
        <v>1</v>
      </c>
      <c r="R1581" s="33" t="n">
        <v>50</v>
      </c>
      <c r="S1581" s="33" t="n">
        <v>300</v>
      </c>
      <c r="T1581" s="33" t="n">
        <v>116.38</v>
      </c>
      <c r="U1581" s="11" t="n">
        <f aca="false">IFERROR(YEAR(A1581),"")</f>
        <v>2012</v>
      </c>
      <c r="V1581" s="33" t="n">
        <f aca="false">IFERROR(O1581*B1581,0)</f>
        <v>1291800</v>
      </c>
      <c r="W1581" s="32" t="n">
        <f aca="false">IFERROR(N1581*B1581,0)</f>
        <v>11100</v>
      </c>
      <c r="X1581" s="11" t="n">
        <f aca="false">IF(OR(ISNUMBER(SEARCH("live nation",L1581)),ISNUMBER(SEARCH("ocesa",L1581))),1,0)</f>
        <v>0</v>
      </c>
      <c r="Y1581" s="11" t="s">
        <v>49</v>
      </c>
    </row>
    <row r="1582" customFormat="false" ht="15" hidden="false" customHeight="false" outlineLevel="0" collapsed="false">
      <c r="A1582" s="25" t="n">
        <v>41029</v>
      </c>
      <c r="B1582" s="13" t="n">
        <v>1</v>
      </c>
      <c r="C1582" s="26" t="s">
        <v>1409</v>
      </c>
      <c r="D1582" s="26"/>
      <c r="E1582" s="13" t="s">
        <v>567</v>
      </c>
      <c r="F1582" s="13" t="s">
        <v>313</v>
      </c>
      <c r="G1582" s="13"/>
      <c r="H1582" s="13" t="s">
        <v>27</v>
      </c>
      <c r="I1582" s="13"/>
      <c r="J1582" s="13" t="s">
        <v>97</v>
      </c>
      <c r="K1582" s="13" t="s">
        <v>314</v>
      </c>
      <c r="L1582" s="13" t="s">
        <v>860</v>
      </c>
      <c r="M1582" s="13" t="s">
        <v>100</v>
      </c>
      <c r="N1582" s="27" t="n">
        <v>5361</v>
      </c>
      <c r="O1582" s="28" t="n">
        <v>739525.78</v>
      </c>
      <c r="P1582" s="27" t="n">
        <v>8421</v>
      </c>
      <c r="Q1582" s="29" t="n">
        <v>0.63</v>
      </c>
      <c r="R1582" s="28" t="n">
        <v>60.83</v>
      </c>
      <c r="S1582" s="28" t="n">
        <v>252.95</v>
      </c>
      <c r="T1582" s="28" t="n">
        <v>137.95</v>
      </c>
      <c r="U1582" s="13" t="n">
        <f aca="false">IFERROR(YEAR(A1582),"")</f>
        <v>2012</v>
      </c>
      <c r="V1582" s="28" t="n">
        <f aca="false">IFERROR(O1582*B1582,0)</f>
        <v>739525.78</v>
      </c>
      <c r="W1582" s="27" t="n">
        <f aca="false">IFERROR(N1582*B1582,0)</f>
        <v>5361</v>
      </c>
      <c r="X1582" s="13" t="n">
        <f aca="false">IF(OR(ISNUMBER(SEARCH("live nation",L1582)),ISNUMBER(SEARCH("ocesa",L1582))),1,0)</f>
        <v>0</v>
      </c>
      <c r="Y1582" s="13" t="s">
        <v>49</v>
      </c>
    </row>
    <row r="1583" customFormat="false" ht="15" hidden="false" customHeight="false" outlineLevel="0" collapsed="false">
      <c r="A1583" s="30" t="n">
        <v>40995</v>
      </c>
      <c r="B1583" s="11" t="n">
        <v>1</v>
      </c>
      <c r="C1583" s="31" t="s">
        <v>729</v>
      </c>
      <c r="D1583" s="31"/>
      <c r="E1583" s="11" t="s">
        <v>1357</v>
      </c>
      <c r="F1583" s="11" t="s">
        <v>313</v>
      </c>
      <c r="G1583" s="11"/>
      <c r="H1583" s="11" t="s">
        <v>27</v>
      </c>
      <c r="I1583" s="11"/>
      <c r="J1583" s="11" t="s">
        <v>97</v>
      </c>
      <c r="K1583" s="11" t="s">
        <v>314</v>
      </c>
      <c r="L1583" s="11" t="s">
        <v>122</v>
      </c>
      <c r="M1583" s="11" t="s">
        <v>100</v>
      </c>
      <c r="N1583" s="32" t="n">
        <v>6100</v>
      </c>
      <c r="O1583" s="33" t="n">
        <v>717351.86</v>
      </c>
      <c r="P1583" s="32" t="n">
        <v>10534</v>
      </c>
      <c r="Q1583" s="34" t="n">
        <v>0.57</v>
      </c>
      <c r="R1583" s="33" t="n">
        <v>60.53</v>
      </c>
      <c r="S1583" s="33" t="n">
        <v>267.61</v>
      </c>
      <c r="T1583" s="33" t="n">
        <v>117.6</v>
      </c>
      <c r="U1583" s="11" t="n">
        <f aca="false">IFERROR(YEAR(A1583),"")</f>
        <v>2012</v>
      </c>
      <c r="V1583" s="33" t="n">
        <f aca="false">IFERROR(O1583*B1583,0)</f>
        <v>717351.86</v>
      </c>
      <c r="W1583" s="32" t="n">
        <f aca="false">IFERROR(N1583*B1583,0)</f>
        <v>6100</v>
      </c>
      <c r="X1583" s="11" t="n">
        <f aca="false">IF(OR(ISNUMBER(SEARCH("live nation",L1583)),ISNUMBER(SEARCH("ocesa",L1583))),1,0)</f>
        <v>0</v>
      </c>
      <c r="Y1583" s="11" t="s">
        <v>49</v>
      </c>
    </row>
    <row r="1584" customFormat="false" ht="15" hidden="false" customHeight="false" outlineLevel="0" collapsed="false">
      <c r="A1584" s="25" t="n">
        <v>40977</v>
      </c>
      <c r="B1584" s="13" t="n">
        <v>2</v>
      </c>
      <c r="C1584" s="26" t="s">
        <v>484</v>
      </c>
      <c r="D1584" s="26"/>
      <c r="E1584" s="13" t="s">
        <v>1558</v>
      </c>
      <c r="F1584" s="13" t="s">
        <v>719</v>
      </c>
      <c r="G1584" s="13"/>
      <c r="H1584" s="13" t="s">
        <v>22</v>
      </c>
      <c r="I1584" s="13"/>
      <c r="J1584" s="13" t="s">
        <v>97</v>
      </c>
      <c r="K1584" s="13" t="s">
        <v>721</v>
      </c>
      <c r="L1584" s="13" t="s">
        <v>1611</v>
      </c>
      <c r="M1584" s="13" t="s">
        <v>251</v>
      </c>
      <c r="N1584" s="27" t="n">
        <v>6805</v>
      </c>
      <c r="O1584" s="28" t="n">
        <v>1242892.29</v>
      </c>
      <c r="P1584" s="27" t="n">
        <v>7087</v>
      </c>
      <c r="Q1584" s="29" t="n">
        <v>0.96</v>
      </c>
      <c r="R1584" s="28" t="n">
        <v>123.8</v>
      </c>
      <c r="S1584" s="28" t="n">
        <v>314.27</v>
      </c>
      <c r="T1584" s="28" t="n">
        <v>182.64</v>
      </c>
      <c r="U1584" s="13" t="n">
        <f aca="false">IFERROR(YEAR(A1584),"")</f>
        <v>2012</v>
      </c>
      <c r="V1584" s="28" t="n">
        <f aca="false">IFERROR(O1584*B1584,0)</f>
        <v>2485784.58</v>
      </c>
      <c r="W1584" s="27" t="n">
        <f aca="false">IFERROR(N1584*B1584,0)</f>
        <v>13610</v>
      </c>
      <c r="X1584" s="13" t="n">
        <f aca="false">IF(OR(ISNUMBER(SEARCH("live nation",L1584)),ISNUMBER(SEARCH("ocesa",L1584))),1,0)</f>
        <v>0</v>
      </c>
      <c r="Y1584" s="13" t="s">
        <v>50</v>
      </c>
    </row>
    <row r="1585" customFormat="false" ht="15" hidden="false" customHeight="false" outlineLevel="0" collapsed="false">
      <c r="A1585" s="30" t="n">
        <v>40977</v>
      </c>
      <c r="B1585" s="11" t="n">
        <v>1</v>
      </c>
      <c r="C1585" s="31" t="s">
        <v>1612</v>
      </c>
      <c r="D1585" s="31"/>
      <c r="E1585" s="11" t="s">
        <v>1256</v>
      </c>
      <c r="F1585" s="11" t="s">
        <v>203</v>
      </c>
      <c r="G1585" s="11" t="s">
        <v>202</v>
      </c>
      <c r="H1585" s="11" t="s">
        <v>20</v>
      </c>
      <c r="I1585" s="11" t="s">
        <v>203</v>
      </c>
      <c r="J1585" s="11" t="s">
        <v>121</v>
      </c>
      <c r="K1585" s="11" t="s">
        <v>107</v>
      </c>
      <c r="L1585" s="11" t="s">
        <v>791</v>
      </c>
      <c r="M1585" s="11" t="s">
        <v>1613</v>
      </c>
      <c r="N1585" s="32" t="n">
        <v>3592</v>
      </c>
      <c r="O1585" s="33" t="n">
        <v>316515</v>
      </c>
      <c r="P1585" s="32" t="n">
        <v>4318</v>
      </c>
      <c r="Q1585" s="34" t="n">
        <v>0.83</v>
      </c>
      <c r="R1585" s="33" t="n">
        <v>45</v>
      </c>
      <c r="S1585" s="33" t="n">
        <v>200</v>
      </c>
      <c r="T1585" s="33" t="n">
        <v>88.12</v>
      </c>
      <c r="U1585" s="11" t="n">
        <f aca="false">IFERROR(YEAR(A1585),"")</f>
        <v>2012</v>
      </c>
      <c r="V1585" s="33" t="n">
        <f aca="false">IFERROR(O1585*B1585,0)</f>
        <v>316515</v>
      </c>
      <c r="W1585" s="32" t="n">
        <f aca="false">IFERROR(N1585*B1585,0)</f>
        <v>3592</v>
      </c>
      <c r="X1585" s="11" t="n">
        <f aca="false">IF(OR(ISNUMBER(SEARCH("live nation",L1585)),ISNUMBER(SEARCH("ocesa",L1585))),1,0)</f>
        <v>0</v>
      </c>
      <c r="Y1585" s="11" t="s">
        <v>49</v>
      </c>
    </row>
    <row r="1586" customFormat="false" ht="15" hidden="false" customHeight="false" outlineLevel="0" collapsed="false">
      <c r="A1586" s="25" t="n">
        <v>40947</v>
      </c>
      <c r="B1586" s="13" t="n">
        <v>1</v>
      </c>
      <c r="C1586" s="26" t="s">
        <v>1118</v>
      </c>
      <c r="D1586" s="26" t="s">
        <v>1614</v>
      </c>
      <c r="E1586" s="13" t="s">
        <v>1615</v>
      </c>
      <c r="F1586" s="13" t="s">
        <v>552</v>
      </c>
      <c r="G1586" s="13"/>
      <c r="H1586" s="13" t="s">
        <v>26</v>
      </c>
      <c r="I1586" s="13"/>
      <c r="J1586" s="13" t="s">
        <v>97</v>
      </c>
      <c r="K1586" s="13" t="s">
        <v>173</v>
      </c>
      <c r="L1586" s="13" t="s">
        <v>1616</v>
      </c>
      <c r="M1586" s="13" t="s">
        <v>277</v>
      </c>
      <c r="N1586" s="27" t="n">
        <v>7862</v>
      </c>
      <c r="O1586" s="28" t="n">
        <v>851994.33</v>
      </c>
      <c r="P1586" s="27" t="n">
        <v>13655</v>
      </c>
      <c r="Q1586" s="29" t="n">
        <v>0.57</v>
      </c>
      <c r="R1586" s="28" t="n">
        <v>91.65</v>
      </c>
      <c r="S1586" s="28" t="n">
        <v>130.71</v>
      </c>
      <c r="T1586" s="28" t="n">
        <v>108.37</v>
      </c>
      <c r="U1586" s="13" t="n">
        <f aca="false">IFERROR(YEAR(A1586),"")</f>
        <v>2012</v>
      </c>
      <c r="V1586" s="28" t="n">
        <f aca="false">IFERROR(O1586*B1586,0)</f>
        <v>851994.33</v>
      </c>
      <c r="W1586" s="27" t="n">
        <f aca="false">IFERROR(N1586*B1586,0)</f>
        <v>7862</v>
      </c>
      <c r="X1586" s="13" t="n">
        <f aca="false">IF(OR(ISNUMBER(SEARCH("live nation",L1586)),ISNUMBER(SEARCH("ocesa",L1586))),1,0)</f>
        <v>0</v>
      </c>
      <c r="Y1586" s="13" t="s">
        <v>49</v>
      </c>
    </row>
    <row r="1587" customFormat="false" ht="15" hidden="false" customHeight="false" outlineLevel="0" collapsed="false">
      <c r="A1587" s="30" t="n">
        <v>40924</v>
      </c>
      <c r="B1587" s="11" t="n">
        <v>1</v>
      </c>
      <c r="C1587" s="31" t="s">
        <v>1353</v>
      </c>
      <c r="D1587" s="31"/>
      <c r="E1587" s="11" t="s">
        <v>1412</v>
      </c>
      <c r="F1587" s="11" t="s">
        <v>550</v>
      </c>
      <c r="G1587" s="11" t="s">
        <v>328</v>
      </c>
      <c r="H1587" s="11" t="s">
        <v>128</v>
      </c>
      <c r="I1587" s="11"/>
      <c r="J1587" s="11" t="s">
        <v>97</v>
      </c>
      <c r="K1587" s="11" t="s">
        <v>129</v>
      </c>
      <c r="L1587" s="11" t="s">
        <v>1617</v>
      </c>
      <c r="M1587" s="11" t="s">
        <v>100</v>
      </c>
      <c r="N1587" s="32" t="n">
        <v>5863</v>
      </c>
      <c r="O1587" s="33" t="n">
        <v>668537.31</v>
      </c>
      <c r="P1587" s="32" t="n">
        <v>5863</v>
      </c>
      <c r="Q1587" s="34" t="n">
        <v>1</v>
      </c>
      <c r="R1587" s="33" t="n">
        <v>86.33</v>
      </c>
      <c r="S1587" s="33" t="n">
        <v>428.95</v>
      </c>
      <c r="T1587" s="33" t="n">
        <v>114.03</v>
      </c>
      <c r="U1587" s="11" t="n">
        <f aca="false">IFERROR(YEAR(A1587),"")</f>
        <v>2012</v>
      </c>
      <c r="V1587" s="33" t="n">
        <f aca="false">IFERROR(O1587*B1587,0)</f>
        <v>668537.31</v>
      </c>
      <c r="W1587" s="32" t="n">
        <f aca="false">IFERROR(N1587*B1587,0)</f>
        <v>5863</v>
      </c>
      <c r="X1587" s="11" t="n">
        <f aca="false">IF(OR(ISNUMBER(SEARCH("live nation",L1587)),ISNUMBER(SEARCH("ocesa",L1587))),1,0)</f>
        <v>0</v>
      </c>
      <c r="Y1587" s="11" t="s">
        <v>49</v>
      </c>
    </row>
    <row r="1588" customFormat="false" ht="15" hidden="false" customHeight="false" outlineLevel="0" collapsed="false">
      <c r="A1588" s="25" t="n">
        <v>40909</v>
      </c>
      <c r="B1588" s="13" t="n">
        <v>1</v>
      </c>
      <c r="C1588" s="26" t="s">
        <v>1353</v>
      </c>
      <c r="D1588" s="26"/>
      <c r="E1588" s="13" t="s">
        <v>1558</v>
      </c>
      <c r="F1588" s="13" t="s">
        <v>719</v>
      </c>
      <c r="G1588" s="13"/>
      <c r="H1588" s="13" t="s">
        <v>22</v>
      </c>
      <c r="I1588" s="13"/>
      <c r="J1588" s="13" t="s">
        <v>97</v>
      </c>
      <c r="K1588" s="13" t="s">
        <v>721</v>
      </c>
      <c r="L1588" s="13" t="s">
        <v>1618</v>
      </c>
      <c r="M1588" s="13" t="s">
        <v>100</v>
      </c>
      <c r="N1588" s="27" t="n">
        <v>6653</v>
      </c>
      <c r="O1588" s="28" t="n">
        <v>1090652.12</v>
      </c>
      <c r="P1588" s="27" t="n">
        <v>6998</v>
      </c>
      <c r="Q1588" s="29" t="n">
        <v>0.95</v>
      </c>
      <c r="R1588" s="28" t="n">
        <v>43.96</v>
      </c>
      <c r="S1588" s="28" t="n">
        <v>452.16</v>
      </c>
      <c r="T1588" s="28" t="n">
        <v>163.93</v>
      </c>
      <c r="U1588" s="13" t="n">
        <f aca="false">IFERROR(YEAR(A1588),"")</f>
        <v>2012</v>
      </c>
      <c r="V1588" s="28" t="n">
        <f aca="false">IFERROR(O1588*B1588,0)</f>
        <v>1090652.12</v>
      </c>
      <c r="W1588" s="27" t="n">
        <f aca="false">IFERROR(N1588*B1588,0)</f>
        <v>6653</v>
      </c>
      <c r="X1588" s="13" t="n">
        <f aca="false">IF(OR(ISNUMBER(SEARCH("live nation",L1588)),ISNUMBER(SEARCH("ocesa",L1588))),1,0)</f>
        <v>0</v>
      </c>
      <c r="Y1588" s="13" t="s">
        <v>50</v>
      </c>
    </row>
    <row r="1589" customFormat="false" ht="15" hidden="false" customHeight="false" outlineLevel="0" collapsed="false">
      <c r="A1589" s="30" t="n">
        <v>40906</v>
      </c>
      <c r="B1589" s="11" t="n">
        <v>4</v>
      </c>
      <c r="C1589" s="31" t="s">
        <v>1353</v>
      </c>
      <c r="D1589" s="31"/>
      <c r="E1589" s="11" t="s">
        <v>1558</v>
      </c>
      <c r="F1589" s="11" t="s">
        <v>719</v>
      </c>
      <c r="G1589" s="11"/>
      <c r="H1589" s="11" t="s">
        <v>22</v>
      </c>
      <c r="I1589" s="11"/>
      <c r="J1589" s="11" t="s">
        <v>97</v>
      </c>
      <c r="K1589" s="11" t="s">
        <v>721</v>
      </c>
      <c r="L1589" s="11" t="s">
        <v>1618</v>
      </c>
      <c r="M1589" s="11" t="s">
        <v>100</v>
      </c>
      <c r="N1589" s="32" t="n">
        <v>6893</v>
      </c>
      <c r="O1589" s="33" t="n">
        <v>1046815.18</v>
      </c>
      <c r="P1589" s="32" t="n">
        <v>7084</v>
      </c>
      <c r="Q1589" s="34" t="n">
        <v>0.97</v>
      </c>
      <c r="R1589" s="33" t="n">
        <v>43.96</v>
      </c>
      <c r="S1589" s="33" t="n">
        <v>452.16</v>
      </c>
      <c r="T1589" s="33" t="n">
        <v>151.86</v>
      </c>
      <c r="U1589" s="11" t="n">
        <f aca="false">IFERROR(YEAR(A1589),"")</f>
        <v>2011</v>
      </c>
      <c r="V1589" s="33" t="n">
        <f aca="false">IFERROR(O1589*B1589,0)</f>
        <v>4187260.72</v>
      </c>
      <c r="W1589" s="32" t="n">
        <f aca="false">IFERROR(N1589*B1589,0)</f>
        <v>27572</v>
      </c>
      <c r="X1589" s="11" t="n">
        <f aca="false">IF(OR(ISNUMBER(SEARCH("live nation",L1589)),ISNUMBER(SEARCH("ocesa",L1589))),1,0)</f>
        <v>0</v>
      </c>
      <c r="Y1589" s="11" t="s">
        <v>50</v>
      </c>
    </row>
    <row r="1590" customFormat="false" ht="15" hidden="false" customHeight="false" outlineLevel="0" collapsed="false">
      <c r="A1590" s="25" t="n">
        <v>40887</v>
      </c>
      <c r="B1590" s="13" t="n">
        <v>1</v>
      </c>
      <c r="C1590" s="26" t="s">
        <v>1529</v>
      </c>
      <c r="D1590" s="26"/>
      <c r="E1590" s="13" t="s">
        <v>1558</v>
      </c>
      <c r="F1590" s="13" t="s">
        <v>719</v>
      </c>
      <c r="G1590" s="13"/>
      <c r="H1590" s="13" t="s">
        <v>22</v>
      </c>
      <c r="I1590" s="13"/>
      <c r="J1590" s="13" t="s">
        <v>97</v>
      </c>
      <c r="K1590" s="13" t="s">
        <v>721</v>
      </c>
      <c r="L1590" s="13" t="s">
        <v>1619</v>
      </c>
      <c r="M1590" s="13" t="s">
        <v>251</v>
      </c>
      <c r="N1590" s="27" t="n">
        <v>8063</v>
      </c>
      <c r="O1590" s="28" t="n">
        <v>705870.8</v>
      </c>
      <c r="P1590" s="27" t="n">
        <v>8257</v>
      </c>
      <c r="Q1590" s="29" t="n">
        <v>0.97</v>
      </c>
      <c r="R1590" s="28" t="n">
        <v>59.66</v>
      </c>
      <c r="S1590" s="28" t="n">
        <v>200.96</v>
      </c>
      <c r="T1590" s="28" t="n">
        <v>87.54</v>
      </c>
      <c r="U1590" s="13" t="n">
        <f aca="false">IFERROR(YEAR(A1590),"")</f>
        <v>2011</v>
      </c>
      <c r="V1590" s="28" t="n">
        <f aca="false">IFERROR(O1590*B1590,0)</f>
        <v>705870.8</v>
      </c>
      <c r="W1590" s="27" t="n">
        <f aca="false">IFERROR(N1590*B1590,0)</f>
        <v>8063</v>
      </c>
      <c r="X1590" s="13" t="n">
        <f aca="false">IF(OR(ISNUMBER(SEARCH("live nation",L1590)),ISNUMBER(SEARCH("ocesa",L1590))),1,0)</f>
        <v>0</v>
      </c>
      <c r="Y1590" s="13" t="s">
        <v>50</v>
      </c>
    </row>
    <row r="1591" customFormat="false" ht="15" hidden="false" customHeight="false" outlineLevel="0" collapsed="false">
      <c r="A1591" s="30" t="n">
        <v>40839</v>
      </c>
      <c r="B1591" s="11" t="n">
        <v>1</v>
      </c>
      <c r="C1591" s="31" t="s">
        <v>740</v>
      </c>
      <c r="D1591" s="31" t="s">
        <v>1620</v>
      </c>
      <c r="E1591" s="11" t="s">
        <v>1599</v>
      </c>
      <c r="F1591" s="11" t="s">
        <v>139</v>
      </c>
      <c r="G1591" s="11" t="s">
        <v>139</v>
      </c>
      <c r="H1591" s="11" t="s">
        <v>20</v>
      </c>
      <c r="I1591" s="11" t="s">
        <v>139</v>
      </c>
      <c r="J1591" s="11" t="s">
        <v>97</v>
      </c>
      <c r="K1591" s="11" t="s">
        <v>107</v>
      </c>
      <c r="L1591" s="11" t="s">
        <v>177</v>
      </c>
      <c r="M1591" s="11" t="s">
        <v>742</v>
      </c>
      <c r="N1591" s="32" t="n">
        <v>11439</v>
      </c>
      <c r="O1591" s="33" t="n">
        <v>1585280</v>
      </c>
      <c r="P1591" s="32" t="n">
        <v>11439</v>
      </c>
      <c r="Q1591" s="34" t="n">
        <v>1</v>
      </c>
      <c r="R1591" s="33" t="n">
        <v>40</v>
      </c>
      <c r="S1591" s="33" t="n">
        <v>200</v>
      </c>
      <c r="T1591" s="33" t="n">
        <v>138.59</v>
      </c>
      <c r="U1591" s="11" t="n">
        <f aca="false">IFERROR(YEAR(A1591),"")</f>
        <v>2011</v>
      </c>
      <c r="V1591" s="33" t="n">
        <f aca="false">IFERROR(O1591*B1591,0)</f>
        <v>1585280</v>
      </c>
      <c r="W1591" s="32" t="n">
        <f aca="false">IFERROR(N1591*B1591,0)</f>
        <v>11439</v>
      </c>
      <c r="X1591" s="11" t="n">
        <f aca="false">IF(OR(ISNUMBER(SEARCH("live nation",L1591)),ISNUMBER(SEARCH("ocesa",L1591))),1,0)</f>
        <v>1</v>
      </c>
      <c r="Y1591" s="11" t="s">
        <v>49</v>
      </c>
    </row>
    <row r="1592" customFormat="false" ht="15" hidden="false" customHeight="false" outlineLevel="0" collapsed="false">
      <c r="A1592" s="25" t="n">
        <v>40838</v>
      </c>
      <c r="B1592" s="13" t="n">
        <v>1</v>
      </c>
      <c r="C1592" s="26" t="s">
        <v>569</v>
      </c>
      <c r="D1592" s="26"/>
      <c r="E1592" s="13" t="s">
        <v>1558</v>
      </c>
      <c r="F1592" s="13" t="s">
        <v>719</v>
      </c>
      <c r="G1592" s="13"/>
      <c r="H1592" s="13" t="s">
        <v>22</v>
      </c>
      <c r="I1592" s="13"/>
      <c r="J1592" s="13" t="s">
        <v>97</v>
      </c>
      <c r="K1592" s="13" t="s">
        <v>721</v>
      </c>
      <c r="L1592" s="13" t="s">
        <v>1621</v>
      </c>
      <c r="M1592" s="13" t="s">
        <v>100</v>
      </c>
      <c r="N1592" s="27" t="n">
        <v>4045</v>
      </c>
      <c r="O1592" s="28" t="n">
        <v>212898.62</v>
      </c>
      <c r="P1592" s="27" t="n">
        <v>5991</v>
      </c>
      <c r="Q1592" s="29" t="n">
        <v>0.67</v>
      </c>
      <c r="R1592" s="28" t="n">
        <v>43.66</v>
      </c>
      <c r="S1592" s="28" t="n">
        <v>90.45</v>
      </c>
      <c r="T1592" s="28" t="n">
        <v>52.63</v>
      </c>
      <c r="U1592" s="13" t="n">
        <f aca="false">IFERROR(YEAR(A1592),"")</f>
        <v>2011</v>
      </c>
      <c r="V1592" s="28" t="n">
        <f aca="false">IFERROR(O1592*B1592,0)</f>
        <v>212898.62</v>
      </c>
      <c r="W1592" s="27" t="n">
        <f aca="false">IFERROR(N1592*B1592,0)</f>
        <v>4045</v>
      </c>
      <c r="X1592" s="13" t="n">
        <f aca="false">IF(OR(ISNUMBER(SEARCH("live nation",L1592)),ISNUMBER(SEARCH("ocesa",L1592))),1,0)</f>
        <v>0</v>
      </c>
      <c r="Y1592" s="13" t="s">
        <v>50</v>
      </c>
    </row>
    <row r="1593" customFormat="false" ht="15" hidden="false" customHeight="false" outlineLevel="0" collapsed="false">
      <c r="A1593" s="30" t="n">
        <v>40831</v>
      </c>
      <c r="B1593" s="11" t="n">
        <v>1</v>
      </c>
      <c r="C1593" s="31" t="s">
        <v>569</v>
      </c>
      <c r="D1593" s="31"/>
      <c r="E1593" s="11" t="s">
        <v>1622</v>
      </c>
      <c r="F1593" s="11" t="s">
        <v>1623</v>
      </c>
      <c r="G1593" s="11"/>
      <c r="H1593" s="11" t="s">
        <v>22</v>
      </c>
      <c r="I1593" s="11"/>
      <c r="J1593" s="11" t="s">
        <v>914</v>
      </c>
      <c r="K1593" s="11" t="s">
        <v>406</v>
      </c>
      <c r="L1593" s="11" t="s">
        <v>1624</v>
      </c>
      <c r="M1593" s="11" t="s">
        <v>100</v>
      </c>
      <c r="N1593" s="32" t="n">
        <v>6150</v>
      </c>
      <c r="O1593" s="33" t="n">
        <v>333881.57</v>
      </c>
      <c r="P1593" s="32" t="n">
        <v>9000</v>
      </c>
      <c r="Q1593" s="34" t="n">
        <v>0.68</v>
      </c>
      <c r="R1593" s="33" t="n">
        <v>43.89</v>
      </c>
      <c r="S1593" s="33" t="n">
        <v>91.78</v>
      </c>
      <c r="T1593" s="33" t="n">
        <v>54.29</v>
      </c>
      <c r="U1593" s="11" t="n">
        <f aca="false">IFERROR(YEAR(A1593),"")</f>
        <v>2011</v>
      </c>
      <c r="V1593" s="33" t="n">
        <f aca="false">IFERROR(O1593*B1593,0)</f>
        <v>333881.57</v>
      </c>
      <c r="W1593" s="32" t="n">
        <f aca="false">IFERROR(N1593*B1593,0)</f>
        <v>6150</v>
      </c>
      <c r="X1593" s="11" t="n">
        <f aca="false">IF(OR(ISNUMBER(SEARCH("live nation",L1593)),ISNUMBER(SEARCH("ocesa",L1593))),1,0)</f>
        <v>0</v>
      </c>
      <c r="Y1593" s="11" t="s">
        <v>50</v>
      </c>
    </row>
    <row r="1594" customFormat="false" ht="15" hidden="false" customHeight="false" outlineLevel="0" collapsed="false">
      <c r="A1594" s="25" t="n">
        <v>40733</v>
      </c>
      <c r="B1594" s="13" t="n">
        <v>2</v>
      </c>
      <c r="C1594" s="26" t="s">
        <v>1529</v>
      </c>
      <c r="D1594" s="26"/>
      <c r="E1594" s="13" t="s">
        <v>1558</v>
      </c>
      <c r="F1594" s="13" t="s">
        <v>719</v>
      </c>
      <c r="G1594" s="13"/>
      <c r="H1594" s="13" t="s">
        <v>22</v>
      </c>
      <c r="I1594" s="13"/>
      <c r="J1594" s="13" t="s">
        <v>97</v>
      </c>
      <c r="K1594" s="13" t="s">
        <v>721</v>
      </c>
      <c r="L1594" s="13" t="s">
        <v>1611</v>
      </c>
      <c r="M1594" s="13" t="s">
        <v>251</v>
      </c>
      <c r="N1594" s="27" t="n">
        <v>8747</v>
      </c>
      <c r="O1594" s="28" t="n">
        <v>765605.48</v>
      </c>
      <c r="P1594" s="27" t="n">
        <v>9225</v>
      </c>
      <c r="Q1594" s="29" t="n">
        <v>0.94</v>
      </c>
      <c r="R1594" s="28" t="n">
        <v>58.77</v>
      </c>
      <c r="S1594" s="28" t="n">
        <v>197.95</v>
      </c>
      <c r="T1594" s="28" t="n">
        <v>87.53</v>
      </c>
      <c r="U1594" s="13" t="n">
        <f aca="false">IFERROR(YEAR(A1594),"")</f>
        <v>2011</v>
      </c>
      <c r="V1594" s="28" t="n">
        <f aca="false">IFERROR(O1594*B1594,0)</f>
        <v>1531210.96</v>
      </c>
      <c r="W1594" s="27" t="n">
        <f aca="false">IFERROR(N1594*B1594,0)</f>
        <v>17494</v>
      </c>
      <c r="X1594" s="13" t="n">
        <f aca="false">IF(OR(ISNUMBER(SEARCH("live nation",L1594)),ISNUMBER(SEARCH("ocesa",L1594))),1,0)</f>
        <v>0</v>
      </c>
      <c r="Y1594" s="13" t="s">
        <v>50</v>
      </c>
    </row>
    <row r="1595" customFormat="false" ht="15" hidden="false" customHeight="false" outlineLevel="0" collapsed="false">
      <c r="A1595" s="30" t="n">
        <v>40677</v>
      </c>
      <c r="B1595" s="11" t="n">
        <v>1</v>
      </c>
      <c r="C1595" s="31" t="s">
        <v>1158</v>
      </c>
      <c r="D1595" s="31"/>
      <c r="E1595" s="11" t="s">
        <v>1558</v>
      </c>
      <c r="F1595" s="11" t="s">
        <v>719</v>
      </c>
      <c r="G1595" s="11"/>
      <c r="H1595" s="11" t="s">
        <v>22</v>
      </c>
      <c r="I1595" s="11"/>
      <c r="J1595" s="11" t="s">
        <v>97</v>
      </c>
      <c r="K1595" s="11" t="s">
        <v>721</v>
      </c>
      <c r="L1595" s="11" t="s">
        <v>122</v>
      </c>
      <c r="M1595" s="11" t="s">
        <v>100</v>
      </c>
      <c r="N1595" s="32" t="n">
        <v>5027</v>
      </c>
      <c r="O1595" s="33" t="n">
        <v>674426.07</v>
      </c>
      <c r="P1595" s="32" t="n">
        <v>7730</v>
      </c>
      <c r="Q1595" s="34" t="n">
        <v>0.65</v>
      </c>
      <c r="R1595" s="33" t="n">
        <v>43.11</v>
      </c>
      <c r="S1595" s="33" t="n">
        <v>400.3</v>
      </c>
      <c r="T1595" s="33" t="n">
        <v>134.16</v>
      </c>
      <c r="U1595" s="11" t="n">
        <f aca="false">IFERROR(YEAR(A1595),"")</f>
        <v>2011</v>
      </c>
      <c r="V1595" s="33" t="n">
        <f aca="false">IFERROR(O1595*B1595,0)</f>
        <v>674426.07</v>
      </c>
      <c r="W1595" s="32" t="n">
        <f aca="false">IFERROR(N1595*B1595,0)</f>
        <v>5027</v>
      </c>
      <c r="X1595" s="11" t="n">
        <f aca="false">IF(OR(ISNUMBER(SEARCH("live nation",L1595)),ISNUMBER(SEARCH("ocesa",L1595))),1,0)</f>
        <v>0</v>
      </c>
      <c r="Y1595" s="11" t="s">
        <v>50</v>
      </c>
    </row>
    <row r="1596" customFormat="false" ht="15" hidden="false" customHeight="false" outlineLevel="0" collapsed="false">
      <c r="A1596" s="25" t="n">
        <v>40677</v>
      </c>
      <c r="B1596" s="13" t="n">
        <v>3</v>
      </c>
      <c r="C1596" s="26" t="s">
        <v>569</v>
      </c>
      <c r="D1596" s="26"/>
      <c r="E1596" s="13" t="s">
        <v>1625</v>
      </c>
      <c r="F1596" s="13" t="s">
        <v>25</v>
      </c>
      <c r="G1596" s="13"/>
      <c r="H1596" s="13" t="s">
        <v>22</v>
      </c>
      <c r="I1596" s="13"/>
      <c r="J1596" s="13" t="s">
        <v>97</v>
      </c>
      <c r="K1596" s="13" t="s">
        <v>25</v>
      </c>
      <c r="L1596" s="13" t="s">
        <v>1626</v>
      </c>
      <c r="M1596" s="13" t="s">
        <v>100</v>
      </c>
      <c r="N1596" s="27" t="n">
        <v>9000</v>
      </c>
      <c r="O1596" s="28" t="n">
        <v>365679.1</v>
      </c>
      <c r="P1596" s="27" t="n">
        <v>9000</v>
      </c>
      <c r="Q1596" s="29" t="n">
        <v>1</v>
      </c>
      <c r="R1596" s="28" t="n">
        <v>27.5</v>
      </c>
      <c r="S1596" s="28" t="n">
        <v>74.12</v>
      </c>
      <c r="T1596" s="28" t="n">
        <v>40.63</v>
      </c>
      <c r="U1596" s="13" t="n">
        <f aca="false">IFERROR(YEAR(A1596),"")</f>
        <v>2011</v>
      </c>
      <c r="V1596" s="28" t="n">
        <f aca="false">IFERROR(O1596*B1596,0)</f>
        <v>1097037.3</v>
      </c>
      <c r="W1596" s="27" t="n">
        <f aca="false">IFERROR(N1596*B1596,0)</f>
        <v>27000</v>
      </c>
      <c r="X1596" s="13" t="n">
        <f aca="false">IF(OR(ISNUMBER(SEARCH("live nation",L1596)),ISNUMBER(SEARCH("ocesa",L1596))),1,0)</f>
        <v>0</v>
      </c>
      <c r="Y1596" s="13" t="s">
        <v>50</v>
      </c>
    </row>
    <row r="1597" customFormat="false" ht="15" hidden="false" customHeight="false" outlineLevel="0" collapsed="false">
      <c r="A1597" s="30" t="n">
        <v>40425</v>
      </c>
      <c r="B1597" s="11" t="n">
        <v>1</v>
      </c>
      <c r="C1597" s="31" t="s">
        <v>740</v>
      </c>
      <c r="D1597" s="31" t="s">
        <v>1627</v>
      </c>
      <c r="E1597" s="11" t="s">
        <v>1316</v>
      </c>
      <c r="F1597" s="11" t="s">
        <v>203</v>
      </c>
      <c r="G1597" s="11" t="s">
        <v>202</v>
      </c>
      <c r="H1597" s="11" t="s">
        <v>20</v>
      </c>
      <c r="I1597" s="11" t="s">
        <v>203</v>
      </c>
      <c r="J1597" s="11" t="s">
        <v>97</v>
      </c>
      <c r="K1597" s="11" t="s">
        <v>107</v>
      </c>
      <c r="L1597" s="11" t="s">
        <v>1577</v>
      </c>
      <c r="M1597" s="11" t="s">
        <v>742</v>
      </c>
      <c r="N1597" s="32" t="n">
        <v>15015</v>
      </c>
      <c r="O1597" s="33" t="n">
        <v>1101582</v>
      </c>
      <c r="P1597" s="32" t="n">
        <v>15015</v>
      </c>
      <c r="Q1597" s="34" t="n">
        <v>1</v>
      </c>
      <c r="R1597" s="33" t="n">
        <v>40</v>
      </c>
      <c r="S1597" s="33" t="n">
        <v>180</v>
      </c>
      <c r="T1597" s="33" t="n">
        <v>73.37</v>
      </c>
      <c r="U1597" s="11" t="n">
        <f aca="false">IFERROR(YEAR(A1597),"")</f>
        <v>2010</v>
      </c>
      <c r="V1597" s="33" t="n">
        <f aca="false">IFERROR(O1597*B1597,0)</f>
        <v>1101582</v>
      </c>
      <c r="W1597" s="32" t="n">
        <f aca="false">IFERROR(N1597*B1597,0)</f>
        <v>15015</v>
      </c>
      <c r="X1597" s="11" t="n">
        <f aca="false">IF(OR(ISNUMBER(SEARCH("live nation",L1597)),ISNUMBER(SEARCH("ocesa",L1597))),1,0)</f>
        <v>0</v>
      </c>
      <c r="Y1597" s="11" t="s">
        <v>49</v>
      </c>
    </row>
    <row r="1598" customFormat="false" ht="15" hidden="false" customHeight="false" outlineLevel="0" collapsed="false">
      <c r="A1598" s="25" t="n">
        <v>40404</v>
      </c>
      <c r="B1598" s="13" t="n">
        <v>1</v>
      </c>
      <c r="C1598" s="26" t="s">
        <v>1477</v>
      </c>
      <c r="D1598" s="26"/>
      <c r="E1598" s="13" t="s">
        <v>1628</v>
      </c>
      <c r="F1598" s="13" t="s">
        <v>209</v>
      </c>
      <c r="G1598" s="13" t="s">
        <v>208</v>
      </c>
      <c r="H1598" s="13" t="s">
        <v>20</v>
      </c>
      <c r="I1598" s="13" t="s">
        <v>209</v>
      </c>
      <c r="J1598" s="13" t="s">
        <v>106</v>
      </c>
      <c r="K1598" s="13" t="s">
        <v>107</v>
      </c>
      <c r="L1598" s="13" t="s">
        <v>122</v>
      </c>
      <c r="M1598" s="13" t="s">
        <v>251</v>
      </c>
      <c r="N1598" s="27" t="n">
        <v>366</v>
      </c>
      <c r="O1598" s="28" t="n">
        <v>5022</v>
      </c>
      <c r="P1598" s="27" t="n">
        <v>400</v>
      </c>
      <c r="Q1598" s="29" t="n">
        <v>0.91</v>
      </c>
      <c r="R1598" s="28" t="n">
        <v>12</v>
      </c>
      <c r="S1598" s="28" t="n">
        <v>15</v>
      </c>
      <c r="T1598" s="28" t="n">
        <v>13.72</v>
      </c>
      <c r="U1598" s="13" t="n">
        <f aca="false">IFERROR(YEAR(A1598),"")</f>
        <v>2010</v>
      </c>
      <c r="V1598" s="28" t="n">
        <f aca="false">IFERROR(O1598*B1598,0)</f>
        <v>5022</v>
      </c>
      <c r="W1598" s="27" t="n">
        <f aca="false">IFERROR(N1598*B1598,0)</f>
        <v>366</v>
      </c>
      <c r="X1598" s="13" t="n">
        <f aca="false">IF(OR(ISNUMBER(SEARCH("live nation",L1598)),ISNUMBER(SEARCH("ocesa",L1598))),1,0)</f>
        <v>0</v>
      </c>
      <c r="Y1598" s="13" t="s">
        <v>49</v>
      </c>
    </row>
    <row r="1599" customFormat="false" ht="15" hidden="false" customHeight="false" outlineLevel="0" collapsed="false">
      <c r="A1599" s="30" t="n">
        <v>40257</v>
      </c>
      <c r="B1599" s="11" t="n">
        <v>1</v>
      </c>
      <c r="C1599" s="31" t="s">
        <v>1336</v>
      </c>
      <c r="D1599" s="31"/>
      <c r="E1599" s="11" t="s">
        <v>1558</v>
      </c>
      <c r="F1599" s="11" t="s">
        <v>719</v>
      </c>
      <c r="G1599" s="11"/>
      <c r="H1599" s="11" t="s">
        <v>22</v>
      </c>
      <c r="I1599" s="11"/>
      <c r="J1599" s="11" t="s">
        <v>97</v>
      </c>
      <c r="K1599" s="11" t="s">
        <v>721</v>
      </c>
      <c r="L1599" s="11" t="s">
        <v>122</v>
      </c>
      <c r="M1599" s="11" t="s">
        <v>277</v>
      </c>
      <c r="N1599" s="32" t="n">
        <v>4709</v>
      </c>
      <c r="O1599" s="33" t="n">
        <v>338224.61</v>
      </c>
      <c r="P1599" s="32" t="n">
        <v>5424</v>
      </c>
      <c r="Q1599" s="34" t="n">
        <v>0.86</v>
      </c>
      <c r="R1599" s="33" t="n">
        <v>29.31</v>
      </c>
      <c r="S1599" s="33" t="n">
        <v>175.86</v>
      </c>
      <c r="T1599" s="33" t="n">
        <v>71.83</v>
      </c>
      <c r="U1599" s="11" t="n">
        <f aca="false">IFERROR(YEAR(A1599),"")</f>
        <v>2010</v>
      </c>
      <c r="V1599" s="33" t="n">
        <f aca="false">IFERROR(O1599*B1599,0)</f>
        <v>338224.61</v>
      </c>
      <c r="W1599" s="32" t="n">
        <f aca="false">IFERROR(N1599*B1599,0)</f>
        <v>4709</v>
      </c>
      <c r="X1599" s="11" t="n">
        <f aca="false">IF(OR(ISNUMBER(SEARCH("live nation",L1599)),ISNUMBER(SEARCH("ocesa",L1599))),1,0)</f>
        <v>0</v>
      </c>
      <c r="Y1599" s="11" t="s">
        <v>50</v>
      </c>
    </row>
    <row r="1600" customFormat="false" ht="15" hidden="false" customHeight="false" outlineLevel="0" collapsed="false">
      <c r="A1600" s="25" t="n">
        <v>40171</v>
      </c>
      <c r="B1600" s="13" t="n">
        <v>2</v>
      </c>
      <c r="C1600" s="26" t="s">
        <v>1158</v>
      </c>
      <c r="D1600" s="26"/>
      <c r="E1600" s="13" t="s">
        <v>1629</v>
      </c>
      <c r="F1600" s="13" t="s">
        <v>395</v>
      </c>
      <c r="G1600" s="13" t="s">
        <v>396</v>
      </c>
      <c r="H1600" s="13" t="s">
        <v>20</v>
      </c>
      <c r="I1600" s="13" t="s">
        <v>395</v>
      </c>
      <c r="J1600" s="13" t="s">
        <v>121</v>
      </c>
      <c r="K1600" s="13" t="s">
        <v>107</v>
      </c>
      <c r="L1600" s="13" t="s">
        <v>1630</v>
      </c>
      <c r="M1600" s="13" t="s">
        <v>100</v>
      </c>
      <c r="N1600" s="27" t="n">
        <v>3388</v>
      </c>
      <c r="O1600" s="28" t="n">
        <v>606372</v>
      </c>
      <c r="P1600" s="27" t="n">
        <v>3964</v>
      </c>
      <c r="Q1600" s="29" t="n">
        <v>0.85</v>
      </c>
      <c r="R1600" s="28" t="n">
        <v>98</v>
      </c>
      <c r="S1600" s="28" t="n">
        <v>288</v>
      </c>
      <c r="T1600" s="28" t="n">
        <v>178.98</v>
      </c>
      <c r="U1600" s="13" t="n">
        <f aca="false">IFERROR(YEAR(A1600),"")</f>
        <v>2009</v>
      </c>
      <c r="V1600" s="28" t="n">
        <f aca="false">IFERROR(O1600*B1600,0)</f>
        <v>1212744</v>
      </c>
      <c r="W1600" s="27" t="n">
        <f aca="false">IFERROR(N1600*B1600,0)</f>
        <v>6776</v>
      </c>
      <c r="X1600" s="13" t="n">
        <f aca="false">IF(OR(ISNUMBER(SEARCH("live nation",L1600)),ISNUMBER(SEARCH("ocesa",L1600))),1,0)</f>
        <v>0</v>
      </c>
      <c r="Y1600" s="13" t="s">
        <v>49</v>
      </c>
    </row>
    <row r="1601" customFormat="false" ht="15" hidden="false" customHeight="false" outlineLevel="0" collapsed="false">
      <c r="A1601" s="30" t="n">
        <v>40027</v>
      </c>
      <c r="B1601" s="11" t="n">
        <v>1</v>
      </c>
      <c r="C1601" s="31" t="s">
        <v>1477</v>
      </c>
      <c r="D1601" s="31" t="s">
        <v>1631</v>
      </c>
      <c r="E1601" s="11" t="s">
        <v>1632</v>
      </c>
      <c r="F1601" s="11" t="s">
        <v>209</v>
      </c>
      <c r="G1601" s="11" t="s">
        <v>208</v>
      </c>
      <c r="H1601" s="11" t="s">
        <v>20</v>
      </c>
      <c r="I1601" s="11" t="s">
        <v>209</v>
      </c>
      <c r="J1601" s="11" t="s">
        <v>106</v>
      </c>
      <c r="K1601" s="11" t="s">
        <v>107</v>
      </c>
      <c r="L1601" s="11" t="s">
        <v>122</v>
      </c>
      <c r="M1601" s="11" t="s">
        <v>251</v>
      </c>
      <c r="N1601" s="32" t="n">
        <v>211</v>
      </c>
      <c r="O1601" s="33" t="n">
        <v>1998</v>
      </c>
      <c r="P1601" s="32" t="n">
        <v>211</v>
      </c>
      <c r="Q1601" s="34" t="n">
        <v>1</v>
      </c>
      <c r="R1601" s="33" t="n">
        <v>8</v>
      </c>
      <c r="S1601" s="33" t="n">
        <v>10</v>
      </c>
      <c r="T1601" s="33" t="n">
        <v>9.47</v>
      </c>
      <c r="U1601" s="11" t="n">
        <f aca="false">IFERROR(YEAR(A1601),"")</f>
        <v>2009</v>
      </c>
      <c r="V1601" s="33" t="n">
        <f aca="false">IFERROR(O1601*B1601,0)</f>
        <v>1998</v>
      </c>
      <c r="W1601" s="32" t="n">
        <f aca="false">IFERROR(N1601*B1601,0)</f>
        <v>211</v>
      </c>
      <c r="X1601" s="11" t="n">
        <f aca="false">IF(OR(ISNUMBER(SEARCH("live nation",L1601)),ISNUMBER(SEARCH("ocesa",L1601))),1,0)</f>
        <v>0</v>
      </c>
      <c r="Y1601" s="11" t="s">
        <v>49</v>
      </c>
    </row>
    <row r="1602" customFormat="false" ht="15" hidden="false" customHeight="false" outlineLevel="0" collapsed="false">
      <c r="A1602" s="25" t="n">
        <v>40008</v>
      </c>
      <c r="B1602" s="13" t="n">
        <v>14</v>
      </c>
      <c r="C1602" s="26" t="s">
        <v>1158</v>
      </c>
      <c r="D1602" s="26"/>
      <c r="E1602" s="13" t="s">
        <v>1633</v>
      </c>
      <c r="F1602" s="13" t="s">
        <v>455</v>
      </c>
      <c r="G1602" s="13"/>
      <c r="H1602" s="13" t="s">
        <v>350</v>
      </c>
      <c r="I1602" s="13"/>
      <c r="J1602" s="13" t="s">
        <v>121</v>
      </c>
      <c r="K1602" s="13" t="s">
        <v>173</v>
      </c>
      <c r="L1602" s="13" t="s">
        <v>1634</v>
      </c>
      <c r="M1602" s="13" t="s">
        <v>100</v>
      </c>
      <c r="N1602" s="27" t="n">
        <v>1119</v>
      </c>
      <c r="O1602" s="28" t="n">
        <v>60188.04</v>
      </c>
      <c r="P1602" s="27" t="n">
        <v>1504</v>
      </c>
      <c r="Q1602" s="29" t="n">
        <v>0.74</v>
      </c>
      <c r="R1602" s="28" t="n">
        <v>25.36</v>
      </c>
      <c r="S1602" s="28" t="n">
        <v>77.47</v>
      </c>
      <c r="T1602" s="28" t="n">
        <v>53.77</v>
      </c>
      <c r="U1602" s="13" t="n">
        <f aca="false">IFERROR(YEAR(A1602),"")</f>
        <v>2009</v>
      </c>
      <c r="V1602" s="28" t="n">
        <f aca="false">IFERROR(O1602*B1602,0)</f>
        <v>842632.56</v>
      </c>
      <c r="W1602" s="27" t="n">
        <f aca="false">IFERROR(N1602*B1602,0)</f>
        <v>15666</v>
      </c>
      <c r="X1602" s="13" t="n">
        <f aca="false">IF(OR(ISNUMBER(SEARCH("live nation",L1602)),ISNUMBER(SEARCH("ocesa",L1602))),1,0)</f>
        <v>0</v>
      </c>
      <c r="Y1602" s="13" t="s">
        <v>49</v>
      </c>
    </row>
    <row r="1603" customFormat="false" ht="15" hidden="false" customHeight="false" outlineLevel="0" collapsed="false">
      <c r="A1603" s="30" t="n">
        <v>40001</v>
      </c>
      <c r="B1603" s="11" t="n">
        <v>6</v>
      </c>
      <c r="C1603" s="31" t="s">
        <v>1158</v>
      </c>
      <c r="D1603" s="31"/>
      <c r="E1603" s="11" t="s">
        <v>1635</v>
      </c>
      <c r="F1603" s="11" t="s">
        <v>1636</v>
      </c>
      <c r="G1603" s="11"/>
      <c r="H1603" s="11" t="s">
        <v>350</v>
      </c>
      <c r="I1603" s="11"/>
      <c r="J1603" s="11" t="s">
        <v>121</v>
      </c>
      <c r="K1603" s="11" t="s">
        <v>173</v>
      </c>
      <c r="L1603" s="11" t="s">
        <v>1634</v>
      </c>
      <c r="M1603" s="11" t="s">
        <v>100</v>
      </c>
      <c r="N1603" s="32" t="n">
        <v>1034</v>
      </c>
      <c r="O1603" s="33" t="n">
        <v>60741.77</v>
      </c>
      <c r="P1603" s="32" t="n">
        <v>1217</v>
      </c>
      <c r="Q1603" s="34" t="n">
        <v>0.85</v>
      </c>
      <c r="R1603" s="33" t="n">
        <v>35.22</v>
      </c>
      <c r="S1603" s="33" t="n">
        <v>77.47</v>
      </c>
      <c r="T1603" s="33" t="n">
        <v>58.7</v>
      </c>
      <c r="U1603" s="11" t="n">
        <f aca="false">IFERROR(YEAR(A1603),"")</f>
        <v>2009</v>
      </c>
      <c r="V1603" s="33" t="n">
        <f aca="false">IFERROR(O1603*B1603,0)</f>
        <v>364450.62</v>
      </c>
      <c r="W1603" s="32" t="n">
        <f aca="false">IFERROR(N1603*B1603,0)</f>
        <v>6204</v>
      </c>
      <c r="X1603" s="11" t="n">
        <f aca="false">IF(OR(ISNUMBER(SEARCH("live nation",L1603)),ISNUMBER(SEARCH("ocesa",L1603))),1,0)</f>
        <v>0</v>
      </c>
      <c r="Y1603" s="11" t="s">
        <v>49</v>
      </c>
    </row>
    <row r="1604" customFormat="false" ht="15" hidden="false" customHeight="false" outlineLevel="0" collapsed="false">
      <c r="A1604" s="25" t="n">
        <v>39997</v>
      </c>
      <c r="B1604" s="13" t="n">
        <v>1</v>
      </c>
      <c r="C1604" s="26" t="s">
        <v>643</v>
      </c>
      <c r="D1604" s="26"/>
      <c r="E1604" s="13" t="s">
        <v>95</v>
      </c>
      <c r="F1604" s="13" t="s">
        <v>96</v>
      </c>
      <c r="G1604" s="13"/>
      <c r="H1604" s="13" t="s">
        <v>28</v>
      </c>
      <c r="I1604" s="13"/>
      <c r="J1604" s="13" t="s">
        <v>97</v>
      </c>
      <c r="K1604" s="13" t="s">
        <v>98</v>
      </c>
      <c r="L1604" s="13" t="s">
        <v>1637</v>
      </c>
      <c r="M1604" s="13" t="s">
        <v>100</v>
      </c>
      <c r="N1604" s="27" t="n">
        <v>13047</v>
      </c>
      <c r="O1604" s="28" t="n">
        <v>1645200.09</v>
      </c>
      <c r="P1604" s="27" t="n">
        <v>13047</v>
      </c>
      <c r="Q1604" s="29" t="n">
        <v>1</v>
      </c>
      <c r="R1604" s="28" t="n">
        <v>63.18</v>
      </c>
      <c r="S1604" s="28" t="n">
        <v>395.29</v>
      </c>
      <c r="T1604" s="28" t="n">
        <v>126.1</v>
      </c>
      <c r="U1604" s="13" t="n">
        <f aca="false">IFERROR(YEAR(A1604),"")</f>
        <v>2009</v>
      </c>
      <c r="V1604" s="28" t="n">
        <f aca="false">IFERROR(O1604*B1604,0)</f>
        <v>1645200.09</v>
      </c>
      <c r="W1604" s="27" t="n">
        <f aca="false">IFERROR(N1604*B1604,0)</f>
        <v>13047</v>
      </c>
      <c r="X1604" s="13" t="n">
        <f aca="false">IF(OR(ISNUMBER(SEARCH("live nation",L1604)),ISNUMBER(SEARCH("ocesa",L1604))),1,0)</f>
        <v>0</v>
      </c>
      <c r="Y1604" s="13" t="s">
        <v>49</v>
      </c>
    </row>
    <row r="1605" customFormat="false" ht="15" hidden="false" customHeight="false" outlineLevel="0" collapsed="false">
      <c r="A1605" s="30" t="n">
        <v>39995</v>
      </c>
      <c r="B1605" s="11" t="n">
        <v>5</v>
      </c>
      <c r="C1605" s="31" t="s">
        <v>1158</v>
      </c>
      <c r="D1605" s="31"/>
      <c r="E1605" s="11" t="s">
        <v>1638</v>
      </c>
      <c r="F1605" s="11" t="s">
        <v>1639</v>
      </c>
      <c r="G1605" s="11"/>
      <c r="H1605" s="11" t="s">
        <v>350</v>
      </c>
      <c r="I1605" s="11"/>
      <c r="J1605" s="11" t="s">
        <v>121</v>
      </c>
      <c r="K1605" s="11" t="s">
        <v>173</v>
      </c>
      <c r="L1605" s="11" t="s">
        <v>1634</v>
      </c>
      <c r="M1605" s="11" t="s">
        <v>100</v>
      </c>
      <c r="N1605" s="32" t="n">
        <v>748</v>
      </c>
      <c r="O1605" s="33" t="n">
        <v>37836.08</v>
      </c>
      <c r="P1605" s="32" t="n">
        <v>1111</v>
      </c>
      <c r="Q1605" s="34" t="n">
        <v>0.67</v>
      </c>
      <c r="R1605" s="33" t="n">
        <v>48.12</v>
      </c>
      <c r="S1605" s="33" t="n">
        <v>59.45</v>
      </c>
      <c r="T1605" s="33" t="n">
        <v>50.58</v>
      </c>
      <c r="U1605" s="11" t="n">
        <f aca="false">IFERROR(YEAR(A1605),"")</f>
        <v>2009</v>
      </c>
      <c r="V1605" s="33" t="n">
        <f aca="false">IFERROR(O1605*B1605,0)</f>
        <v>189180.4</v>
      </c>
      <c r="W1605" s="32" t="n">
        <f aca="false">IFERROR(N1605*B1605,0)</f>
        <v>3740</v>
      </c>
      <c r="X1605" s="11" t="n">
        <f aca="false">IF(OR(ISNUMBER(SEARCH("live nation",L1605)),ISNUMBER(SEARCH("ocesa",L1605))),1,0)</f>
        <v>0</v>
      </c>
      <c r="Y1605" s="11" t="s">
        <v>49</v>
      </c>
    </row>
    <row r="1606" customFormat="false" ht="15" hidden="false" customHeight="false" outlineLevel="0" collapsed="false">
      <c r="A1606" s="25" t="n">
        <v>39991</v>
      </c>
      <c r="B1606" s="13" t="n">
        <v>1</v>
      </c>
      <c r="C1606" s="26" t="s">
        <v>1158</v>
      </c>
      <c r="D1606" s="26"/>
      <c r="E1606" s="13" t="s">
        <v>1558</v>
      </c>
      <c r="F1606" s="13" t="s">
        <v>719</v>
      </c>
      <c r="G1606" s="13"/>
      <c r="H1606" s="13" t="s">
        <v>22</v>
      </c>
      <c r="I1606" s="13"/>
      <c r="J1606" s="13" t="s">
        <v>97</v>
      </c>
      <c r="K1606" s="13" t="s">
        <v>721</v>
      </c>
      <c r="L1606" s="13" t="s">
        <v>1640</v>
      </c>
      <c r="M1606" s="13" t="s">
        <v>100</v>
      </c>
      <c r="N1606" s="27" t="n">
        <v>7183</v>
      </c>
      <c r="O1606" s="28" t="n">
        <v>657519.22</v>
      </c>
      <c r="P1606" s="27" t="n">
        <v>10145</v>
      </c>
      <c r="Q1606" s="29" t="n">
        <v>0.7</v>
      </c>
      <c r="R1606" s="28" t="n">
        <v>55.73</v>
      </c>
      <c r="S1606" s="28" t="n">
        <v>263.99</v>
      </c>
      <c r="T1606" s="28" t="n">
        <v>91.54</v>
      </c>
      <c r="U1606" s="13" t="n">
        <f aca="false">IFERROR(YEAR(A1606),"")</f>
        <v>2009</v>
      </c>
      <c r="V1606" s="28" t="n">
        <f aca="false">IFERROR(O1606*B1606,0)</f>
        <v>657519.22</v>
      </c>
      <c r="W1606" s="27" t="n">
        <f aca="false">IFERROR(N1606*B1606,0)</f>
        <v>7183</v>
      </c>
      <c r="X1606" s="13" t="n">
        <f aca="false">IF(OR(ISNUMBER(SEARCH("live nation",L1606)),ISNUMBER(SEARCH("ocesa",L1606))),1,0)</f>
        <v>0</v>
      </c>
      <c r="Y1606" s="13" t="s">
        <v>50</v>
      </c>
    </row>
    <row r="1607" customFormat="false" ht="15" hidden="false" customHeight="false" outlineLevel="0" collapsed="false">
      <c r="A1607" s="30" t="n">
        <v>39823</v>
      </c>
      <c r="B1607" s="11" t="n">
        <v>1</v>
      </c>
      <c r="C1607" s="31" t="s">
        <v>1641</v>
      </c>
      <c r="D1607" s="31"/>
      <c r="E1607" s="11" t="s">
        <v>1558</v>
      </c>
      <c r="F1607" s="11" t="s">
        <v>719</v>
      </c>
      <c r="G1607" s="11"/>
      <c r="H1607" s="11" t="s">
        <v>22</v>
      </c>
      <c r="I1607" s="11"/>
      <c r="J1607" s="11" t="s">
        <v>97</v>
      </c>
      <c r="K1607" s="11" t="s">
        <v>721</v>
      </c>
      <c r="L1607" s="11" t="s">
        <v>122</v>
      </c>
      <c r="M1607" s="11" t="s">
        <v>100</v>
      </c>
      <c r="N1607" s="32" t="n">
        <v>7595</v>
      </c>
      <c r="O1607" s="33" t="n">
        <v>534876.77</v>
      </c>
      <c r="P1607" s="32" t="n">
        <v>9648</v>
      </c>
      <c r="Q1607" s="34" t="n">
        <v>0.78</v>
      </c>
      <c r="R1607" s="33" t="n">
        <v>32.29</v>
      </c>
      <c r="S1607" s="33" t="n">
        <v>193.74</v>
      </c>
      <c r="T1607" s="33" t="n">
        <v>70.42</v>
      </c>
      <c r="U1607" s="11" t="n">
        <f aca="false">IFERROR(YEAR(A1607),"")</f>
        <v>2009</v>
      </c>
      <c r="V1607" s="33" t="n">
        <f aca="false">IFERROR(O1607*B1607,0)</f>
        <v>534876.77</v>
      </c>
      <c r="W1607" s="32" t="n">
        <f aca="false">IFERROR(N1607*B1607,0)</f>
        <v>7595</v>
      </c>
      <c r="X1607" s="11" t="n">
        <f aca="false">IF(OR(ISNUMBER(SEARCH("live nation",L1607)),ISNUMBER(SEARCH("ocesa",L1607))),1,0)</f>
        <v>0</v>
      </c>
      <c r="Y1607" s="11" t="s">
        <v>50</v>
      </c>
    </row>
    <row r="1608" customFormat="false" ht="15" hidden="false" customHeight="false" outlineLevel="0" collapsed="false">
      <c r="A1608" s="25" t="n">
        <v>39800</v>
      </c>
      <c r="B1608" s="13" t="n">
        <v>1</v>
      </c>
      <c r="C1608" s="26" t="s">
        <v>643</v>
      </c>
      <c r="D1608" s="26"/>
      <c r="E1608" s="13" t="s">
        <v>1412</v>
      </c>
      <c r="F1608" s="13" t="s">
        <v>550</v>
      </c>
      <c r="G1608" s="13" t="s">
        <v>328</v>
      </c>
      <c r="H1608" s="13" t="s">
        <v>128</v>
      </c>
      <c r="I1608" s="13"/>
      <c r="J1608" s="13" t="s">
        <v>97</v>
      </c>
      <c r="K1608" s="13" t="s">
        <v>129</v>
      </c>
      <c r="L1608" s="13" t="s">
        <v>1642</v>
      </c>
      <c r="M1608" s="13" t="s">
        <v>100</v>
      </c>
      <c r="N1608" s="27" t="n">
        <v>13750</v>
      </c>
      <c r="O1608" s="28" t="n">
        <v>282562</v>
      </c>
      <c r="P1608" s="27" t="n">
        <v>14500</v>
      </c>
      <c r="Q1608" s="29" t="n">
        <v>0.94</v>
      </c>
      <c r="R1608" s="28" t="n">
        <v>48.4</v>
      </c>
      <c r="S1608" s="28" t="n">
        <v>233.92</v>
      </c>
      <c r="T1608" s="28" t="n">
        <v>20.55</v>
      </c>
      <c r="U1608" s="13" t="n">
        <f aca="false">IFERROR(YEAR(A1608),"")</f>
        <v>2008</v>
      </c>
      <c r="V1608" s="28" t="n">
        <f aca="false">IFERROR(O1608*B1608,0)</f>
        <v>282562</v>
      </c>
      <c r="W1608" s="27" t="n">
        <f aca="false">IFERROR(N1608*B1608,0)</f>
        <v>13750</v>
      </c>
      <c r="X1608" s="13" t="n">
        <f aca="false">IF(OR(ISNUMBER(SEARCH("live nation",L1608)),ISNUMBER(SEARCH("ocesa",L1608))),1,0)</f>
        <v>0</v>
      </c>
      <c r="Y1608" s="13" t="s">
        <v>49</v>
      </c>
    </row>
    <row r="1609" customFormat="false" ht="15" hidden="false" customHeight="false" outlineLevel="0" collapsed="false">
      <c r="A1609" s="30" t="n">
        <v>39725</v>
      </c>
      <c r="B1609" s="11" t="n">
        <v>1</v>
      </c>
      <c r="C1609" s="31" t="s">
        <v>1336</v>
      </c>
      <c r="D1609" s="31"/>
      <c r="E1609" s="11" t="s">
        <v>1337</v>
      </c>
      <c r="F1609" s="11" t="s">
        <v>404</v>
      </c>
      <c r="G1609" s="11" t="s">
        <v>202</v>
      </c>
      <c r="H1609" s="11" t="s">
        <v>20</v>
      </c>
      <c r="I1609" s="11" t="s">
        <v>232</v>
      </c>
      <c r="J1609" s="11" t="s">
        <v>97</v>
      </c>
      <c r="K1609" s="11" t="s">
        <v>107</v>
      </c>
      <c r="L1609" s="11" t="s">
        <v>1643</v>
      </c>
      <c r="M1609" s="11" t="s">
        <v>277</v>
      </c>
      <c r="N1609" s="32" t="n">
        <v>3626</v>
      </c>
      <c r="O1609" s="33" t="n">
        <v>372528</v>
      </c>
      <c r="P1609" s="32" t="n">
        <v>3940</v>
      </c>
      <c r="Q1609" s="34" t="n">
        <v>0.92</v>
      </c>
      <c r="R1609" s="33" t="n">
        <v>58</v>
      </c>
      <c r="S1609" s="33" t="n">
        <v>168</v>
      </c>
      <c r="T1609" s="33" t="n">
        <v>102.74</v>
      </c>
      <c r="U1609" s="11" t="n">
        <f aca="false">IFERROR(YEAR(A1609),"")</f>
        <v>2008</v>
      </c>
      <c r="V1609" s="33" t="n">
        <f aca="false">IFERROR(O1609*B1609,0)</f>
        <v>372528</v>
      </c>
      <c r="W1609" s="32" t="n">
        <f aca="false">IFERROR(N1609*B1609,0)</f>
        <v>3626</v>
      </c>
      <c r="X1609" s="11" t="n">
        <f aca="false">IF(OR(ISNUMBER(SEARCH("live nation",L1609)),ISNUMBER(SEARCH("ocesa",L1609))),1,0)</f>
        <v>0</v>
      </c>
      <c r="Y1609" s="11" t="s">
        <v>49</v>
      </c>
    </row>
    <row r="1610" customFormat="false" ht="15" hidden="false" customHeight="false" outlineLevel="0" collapsed="false">
      <c r="A1610" s="25" t="n">
        <v>39670</v>
      </c>
      <c r="B1610" s="13" t="n">
        <v>1</v>
      </c>
      <c r="C1610" s="26" t="s">
        <v>1477</v>
      </c>
      <c r="D1610" s="26" t="s">
        <v>1631</v>
      </c>
      <c r="E1610" s="13" t="s">
        <v>1632</v>
      </c>
      <c r="F1610" s="13" t="s">
        <v>209</v>
      </c>
      <c r="G1610" s="13" t="s">
        <v>208</v>
      </c>
      <c r="H1610" s="13" t="s">
        <v>20</v>
      </c>
      <c r="I1610" s="13" t="s">
        <v>209</v>
      </c>
      <c r="J1610" s="13" t="s">
        <v>106</v>
      </c>
      <c r="K1610" s="13" t="s">
        <v>107</v>
      </c>
      <c r="L1610" s="13" t="s">
        <v>122</v>
      </c>
      <c r="M1610" s="13" t="s">
        <v>251</v>
      </c>
      <c r="N1610" s="27" t="n">
        <v>137</v>
      </c>
      <c r="O1610" s="28" t="n">
        <v>1096</v>
      </c>
      <c r="P1610" s="27" t="n">
        <v>150</v>
      </c>
      <c r="Q1610" s="29" t="n">
        <v>0.91</v>
      </c>
      <c r="R1610" s="28" t="n">
        <v>8</v>
      </c>
      <c r="S1610" s="28" t="n">
        <v>0</v>
      </c>
      <c r="T1610" s="28" t="n">
        <v>8</v>
      </c>
      <c r="U1610" s="13" t="n">
        <f aca="false">IFERROR(YEAR(A1610),"")</f>
        <v>2008</v>
      </c>
      <c r="V1610" s="28" t="n">
        <f aca="false">IFERROR(O1610*B1610,0)</f>
        <v>1096</v>
      </c>
      <c r="W1610" s="27" t="n">
        <f aca="false">IFERROR(N1610*B1610,0)</f>
        <v>137</v>
      </c>
      <c r="X1610" s="13" t="n">
        <f aca="false">IF(OR(ISNUMBER(SEARCH("live nation",L1610)),ISNUMBER(SEARCH("ocesa",L1610))),1,0)</f>
        <v>0</v>
      </c>
      <c r="Y1610" s="13" t="s">
        <v>49</v>
      </c>
    </row>
    <row r="1611" customFormat="false" ht="15" hidden="false" customHeight="false" outlineLevel="0" collapsed="false">
      <c r="A1611" s="30" t="n">
        <v>39644</v>
      </c>
      <c r="B1611" s="11" t="n">
        <v>1</v>
      </c>
      <c r="C1611" s="31" t="s">
        <v>1644</v>
      </c>
      <c r="D1611" s="31" t="s">
        <v>1645</v>
      </c>
      <c r="E1611" s="11" t="s">
        <v>1646</v>
      </c>
      <c r="F1611" s="11" t="s">
        <v>1647</v>
      </c>
      <c r="G1611" s="11" t="s">
        <v>221</v>
      </c>
      <c r="H1611" s="11" t="s">
        <v>20</v>
      </c>
      <c r="I1611" s="11"/>
      <c r="J1611" s="11" t="s">
        <v>914</v>
      </c>
      <c r="K1611" s="11" t="s">
        <v>107</v>
      </c>
      <c r="L1611" s="11" t="s">
        <v>1648</v>
      </c>
      <c r="M1611" s="11" t="s">
        <v>100</v>
      </c>
      <c r="N1611" s="32" t="n">
        <v>128</v>
      </c>
      <c r="O1611" s="33" t="n">
        <v>1280</v>
      </c>
      <c r="P1611" s="32" t="n">
        <v>300</v>
      </c>
      <c r="Q1611" s="34" t="n">
        <v>0.42</v>
      </c>
      <c r="R1611" s="33" t="n">
        <v>10</v>
      </c>
      <c r="S1611" s="33" t="n">
        <v>0</v>
      </c>
      <c r="T1611" s="33" t="n">
        <v>10</v>
      </c>
      <c r="U1611" s="11" t="n">
        <f aca="false">IFERROR(YEAR(A1611),"")</f>
        <v>2008</v>
      </c>
      <c r="V1611" s="33" t="n">
        <f aca="false">IFERROR(O1611*B1611,0)</f>
        <v>1280</v>
      </c>
      <c r="W1611" s="32" t="n">
        <f aca="false">IFERROR(N1611*B1611,0)</f>
        <v>128</v>
      </c>
      <c r="X1611" s="11" t="n">
        <f aca="false">IF(OR(ISNUMBER(SEARCH("live nation",L1611)),ISNUMBER(SEARCH("ocesa",L1611))),1,0)</f>
        <v>0</v>
      </c>
      <c r="Y1611" s="11" t="s">
        <v>49</v>
      </c>
    </row>
    <row r="1612" customFormat="false" ht="15" hidden="false" customHeight="false" outlineLevel="0" collapsed="false">
      <c r="A1612" s="25" t="n">
        <v>39456</v>
      </c>
      <c r="B1612" s="13" t="n">
        <v>1</v>
      </c>
      <c r="C1612" s="26" t="s">
        <v>1353</v>
      </c>
      <c r="D1612" s="26"/>
      <c r="E1612" s="13" t="s">
        <v>628</v>
      </c>
      <c r="F1612" s="13" t="s">
        <v>629</v>
      </c>
      <c r="G1612" s="13"/>
      <c r="H1612" s="13" t="s">
        <v>630</v>
      </c>
      <c r="I1612" s="13"/>
      <c r="J1612" s="13" t="s">
        <v>97</v>
      </c>
      <c r="K1612" s="13" t="s">
        <v>630</v>
      </c>
      <c r="L1612" s="13" t="s">
        <v>1649</v>
      </c>
      <c r="M1612" s="13" t="s">
        <v>100</v>
      </c>
      <c r="N1612" s="27" t="n">
        <v>3298</v>
      </c>
      <c r="O1612" s="28" t="n">
        <v>270094.46</v>
      </c>
      <c r="P1612" s="27" t="n">
        <v>4918</v>
      </c>
      <c r="Q1612" s="29" t="n">
        <v>0.67</v>
      </c>
      <c r="R1612" s="28" t="n">
        <v>45.65</v>
      </c>
      <c r="S1612" s="28" t="n">
        <v>216.65</v>
      </c>
      <c r="T1612" s="28" t="n">
        <v>81.9</v>
      </c>
      <c r="U1612" s="13" t="n">
        <f aca="false">IFERROR(YEAR(A1612),"")</f>
        <v>2008</v>
      </c>
      <c r="V1612" s="28" t="n">
        <f aca="false">IFERROR(O1612*B1612,0)</f>
        <v>270094.46</v>
      </c>
      <c r="W1612" s="27" t="n">
        <f aca="false">IFERROR(N1612*B1612,0)</f>
        <v>3298</v>
      </c>
      <c r="X1612" s="13" t="n">
        <f aca="false">IF(OR(ISNUMBER(SEARCH("live nation",L1612)),ISNUMBER(SEARCH("ocesa",L1612))),1,0)</f>
        <v>0</v>
      </c>
      <c r="Y1612" s="13" t="s">
        <v>49</v>
      </c>
    </row>
    <row r="1613" customFormat="false" ht="15" hidden="false" customHeight="false" outlineLevel="0" collapsed="false">
      <c r="A1613" s="30" t="n">
        <v>39435</v>
      </c>
      <c r="B1613" s="11" t="n">
        <v>1</v>
      </c>
      <c r="C1613" s="31" t="s">
        <v>1353</v>
      </c>
      <c r="D1613" s="31"/>
      <c r="E1613" s="11" t="s">
        <v>1412</v>
      </c>
      <c r="F1613" s="11" t="s">
        <v>550</v>
      </c>
      <c r="G1613" s="11" t="s">
        <v>328</v>
      </c>
      <c r="H1613" s="11" t="s">
        <v>128</v>
      </c>
      <c r="I1613" s="11"/>
      <c r="J1613" s="11" t="s">
        <v>97</v>
      </c>
      <c r="K1613" s="11" t="s">
        <v>129</v>
      </c>
      <c r="L1613" s="11" t="s">
        <v>1650</v>
      </c>
      <c r="M1613" s="11" t="s">
        <v>100</v>
      </c>
      <c r="N1613" s="32" t="n">
        <v>8500</v>
      </c>
      <c r="O1613" s="33" t="n">
        <v>401140</v>
      </c>
      <c r="P1613" s="32" t="n">
        <v>8500</v>
      </c>
      <c r="Q1613" s="34" t="n">
        <v>1</v>
      </c>
      <c r="R1613" s="33" t="n">
        <v>70.2</v>
      </c>
      <c r="S1613" s="33" t="n">
        <v>140.4</v>
      </c>
      <c r="T1613" s="33" t="n">
        <v>47.19</v>
      </c>
      <c r="U1613" s="11" t="n">
        <f aca="false">IFERROR(YEAR(A1613),"")</f>
        <v>2007</v>
      </c>
      <c r="V1613" s="33" t="n">
        <f aca="false">IFERROR(O1613*B1613,0)</f>
        <v>401140</v>
      </c>
      <c r="W1613" s="32" t="n">
        <f aca="false">IFERROR(N1613*B1613,0)</f>
        <v>8500</v>
      </c>
      <c r="X1613" s="11" t="n">
        <f aca="false">IF(OR(ISNUMBER(SEARCH("live nation",L1613)),ISNUMBER(SEARCH("ocesa",L1613))),1,0)</f>
        <v>0</v>
      </c>
      <c r="Y1613" s="11" t="s">
        <v>49</v>
      </c>
    </row>
    <row r="1614" customFormat="false" ht="15" hidden="false" customHeight="false" outlineLevel="0" collapsed="false">
      <c r="A1614" s="25" t="n">
        <v>39306</v>
      </c>
      <c r="B1614" s="13" t="n">
        <v>1</v>
      </c>
      <c r="C1614" s="26" t="s">
        <v>1477</v>
      </c>
      <c r="D1614" s="26" t="s">
        <v>1651</v>
      </c>
      <c r="E1614" s="13" t="s">
        <v>1632</v>
      </c>
      <c r="F1614" s="13" t="s">
        <v>209</v>
      </c>
      <c r="G1614" s="13" t="s">
        <v>208</v>
      </c>
      <c r="H1614" s="13" t="s">
        <v>20</v>
      </c>
      <c r="I1614" s="13" t="s">
        <v>209</v>
      </c>
      <c r="J1614" s="13" t="s">
        <v>106</v>
      </c>
      <c r="K1614" s="13" t="s">
        <v>107</v>
      </c>
      <c r="L1614" s="13" t="s">
        <v>122</v>
      </c>
      <c r="M1614" s="13" t="s">
        <v>251</v>
      </c>
      <c r="N1614" s="27" t="n">
        <v>112</v>
      </c>
      <c r="O1614" s="28" t="n">
        <v>1046</v>
      </c>
      <c r="P1614" s="27" t="n">
        <v>150</v>
      </c>
      <c r="Q1614" s="29" t="n">
        <v>0.74</v>
      </c>
      <c r="R1614" s="28" t="n">
        <v>8</v>
      </c>
      <c r="S1614" s="28" t="n">
        <v>10</v>
      </c>
      <c r="T1614" s="28" t="n">
        <v>9.34</v>
      </c>
      <c r="U1614" s="13" t="n">
        <f aca="false">IFERROR(YEAR(A1614),"")</f>
        <v>2007</v>
      </c>
      <c r="V1614" s="28" t="n">
        <f aca="false">IFERROR(O1614*B1614,0)</f>
        <v>1046</v>
      </c>
      <c r="W1614" s="27" t="n">
        <f aca="false">IFERROR(N1614*B1614,0)</f>
        <v>112</v>
      </c>
      <c r="X1614" s="13" t="n">
        <f aca="false">IF(OR(ISNUMBER(SEARCH("live nation",L1614)),ISNUMBER(SEARCH("ocesa",L1614))),1,0)</f>
        <v>0</v>
      </c>
      <c r="Y1614" s="13" t="s">
        <v>49</v>
      </c>
    </row>
    <row r="1615" customFormat="false" ht="15" hidden="false" customHeight="false" outlineLevel="0" collapsed="false">
      <c r="A1615" s="30" t="n">
        <v>39275</v>
      </c>
      <c r="B1615" s="11" t="n">
        <v>1</v>
      </c>
      <c r="C1615" s="31" t="s">
        <v>1644</v>
      </c>
      <c r="D1615" s="31"/>
      <c r="E1615" s="11" t="s">
        <v>1652</v>
      </c>
      <c r="F1615" s="11" t="s">
        <v>586</v>
      </c>
      <c r="G1615" s="11" t="s">
        <v>143</v>
      </c>
      <c r="H1615" s="11" t="s">
        <v>20</v>
      </c>
      <c r="I1615" s="11" t="s">
        <v>586</v>
      </c>
      <c r="J1615" s="11" t="s">
        <v>121</v>
      </c>
      <c r="K1615" s="11" t="s">
        <v>107</v>
      </c>
      <c r="L1615" s="11" t="s">
        <v>1653</v>
      </c>
      <c r="M1615" s="11" t="s">
        <v>100</v>
      </c>
      <c r="N1615" s="32" t="n">
        <v>183</v>
      </c>
      <c r="O1615" s="33" t="n">
        <v>1932</v>
      </c>
      <c r="P1615" s="32" t="n">
        <v>350</v>
      </c>
      <c r="Q1615" s="34" t="n">
        <v>0.52</v>
      </c>
      <c r="R1615" s="33" t="n">
        <v>10</v>
      </c>
      <c r="S1615" s="33" t="n">
        <v>12</v>
      </c>
      <c r="T1615" s="33" t="n">
        <v>10.56</v>
      </c>
      <c r="U1615" s="11" t="n">
        <f aca="false">IFERROR(YEAR(A1615),"")</f>
        <v>2007</v>
      </c>
      <c r="V1615" s="33" t="n">
        <f aca="false">IFERROR(O1615*B1615,0)</f>
        <v>1932</v>
      </c>
      <c r="W1615" s="32" t="n">
        <f aca="false">IFERROR(N1615*B1615,0)</f>
        <v>183</v>
      </c>
      <c r="X1615" s="11" t="n">
        <f aca="false">IF(OR(ISNUMBER(SEARCH("live nation",L1615)),ISNUMBER(SEARCH("ocesa",L1615))),1,0)</f>
        <v>0</v>
      </c>
      <c r="Y1615" s="11" t="s">
        <v>49</v>
      </c>
    </row>
    <row r="1616" customFormat="false" ht="15" hidden="false" customHeight="false" outlineLevel="0" collapsed="false">
      <c r="A1616" s="25" t="n">
        <v>39262</v>
      </c>
      <c r="B1616" s="13" t="n">
        <v>1</v>
      </c>
      <c r="C1616" s="26" t="s">
        <v>1529</v>
      </c>
      <c r="D1616" s="26"/>
      <c r="E1616" s="13" t="s">
        <v>1412</v>
      </c>
      <c r="F1616" s="13" t="s">
        <v>550</v>
      </c>
      <c r="G1616" s="13" t="s">
        <v>328</v>
      </c>
      <c r="H1616" s="13" t="s">
        <v>128</v>
      </c>
      <c r="I1616" s="13"/>
      <c r="J1616" s="13" t="s">
        <v>97</v>
      </c>
      <c r="K1616" s="13" t="s">
        <v>129</v>
      </c>
      <c r="L1616" s="13" t="s">
        <v>1654</v>
      </c>
      <c r="M1616" s="13" t="s">
        <v>251</v>
      </c>
      <c r="N1616" s="27" t="n">
        <v>7390</v>
      </c>
      <c r="O1616" s="28" t="n">
        <v>202163.82</v>
      </c>
      <c r="P1616" s="27" t="n">
        <v>7390</v>
      </c>
      <c r="Q1616" s="29" t="n">
        <v>1</v>
      </c>
      <c r="R1616" s="28" t="n">
        <v>45.1</v>
      </c>
      <c r="S1616" s="28" t="n">
        <v>101.48</v>
      </c>
      <c r="T1616" s="28" t="n">
        <v>27.36</v>
      </c>
      <c r="U1616" s="13" t="n">
        <f aca="false">IFERROR(YEAR(A1616),"")</f>
        <v>2007</v>
      </c>
      <c r="V1616" s="28" t="n">
        <f aca="false">IFERROR(O1616*B1616,0)</f>
        <v>202163.82</v>
      </c>
      <c r="W1616" s="27" t="n">
        <f aca="false">IFERROR(N1616*B1616,0)</f>
        <v>7390</v>
      </c>
      <c r="X1616" s="13" t="n">
        <f aca="false">IF(OR(ISNUMBER(SEARCH("live nation",L1616)),ISNUMBER(SEARCH("ocesa",L1616))),1,0)</f>
        <v>0</v>
      </c>
      <c r="Y1616" s="13" t="s">
        <v>49</v>
      </c>
    </row>
    <row r="1617" customFormat="false" ht="15" hidden="false" customHeight="false" outlineLevel="0" collapsed="false">
      <c r="A1617" s="30" t="n">
        <v>39186</v>
      </c>
      <c r="B1617" s="11" t="n">
        <v>1</v>
      </c>
      <c r="C1617" s="31" t="s">
        <v>1158</v>
      </c>
      <c r="D1617" s="31"/>
      <c r="E1617" s="11" t="s">
        <v>95</v>
      </c>
      <c r="F1617" s="11" t="s">
        <v>96</v>
      </c>
      <c r="G1617" s="11"/>
      <c r="H1617" s="11" t="s">
        <v>28</v>
      </c>
      <c r="I1617" s="11"/>
      <c r="J1617" s="11" t="s">
        <v>97</v>
      </c>
      <c r="K1617" s="11" t="s">
        <v>98</v>
      </c>
      <c r="L1617" s="11"/>
      <c r="M1617" s="11" t="s">
        <v>100</v>
      </c>
      <c r="N1617" s="32" t="n">
        <v>4946</v>
      </c>
      <c r="O1617" s="33" t="n">
        <v>692135</v>
      </c>
      <c r="P1617" s="32" t="n">
        <v>7398</v>
      </c>
      <c r="Q1617" s="34" t="n">
        <v>0.66</v>
      </c>
      <c r="R1617" s="33" t="n">
        <v>84.17</v>
      </c>
      <c r="S1617" s="33" t="n">
        <v>342.7</v>
      </c>
      <c r="T1617" s="33" t="n">
        <v>139.94</v>
      </c>
      <c r="U1617" s="11" t="n">
        <f aca="false">IFERROR(YEAR(A1617),"")</f>
        <v>2007</v>
      </c>
      <c r="V1617" s="33" t="n">
        <f aca="false">IFERROR(O1617*B1617,0)</f>
        <v>692135</v>
      </c>
      <c r="W1617" s="32" t="n">
        <f aca="false">IFERROR(N1617*B1617,0)</f>
        <v>4946</v>
      </c>
      <c r="X1617" s="11" t="n">
        <f aca="false">IF(OR(ISNUMBER(SEARCH("live nation",L1617)),ISNUMBER(SEARCH("ocesa",L1617))),1,0)</f>
        <v>0</v>
      </c>
      <c r="Y1617" s="11" t="s">
        <v>49</v>
      </c>
    </row>
    <row r="1618" customFormat="false" ht="15" hidden="false" customHeight="false" outlineLevel="0" collapsed="false">
      <c r="A1618" s="25" t="n">
        <v>39131</v>
      </c>
      <c r="B1618" s="13" t="n">
        <v>2</v>
      </c>
      <c r="C1618" s="26" t="s">
        <v>1353</v>
      </c>
      <c r="D1618" s="26"/>
      <c r="E1618" s="13" t="s">
        <v>1629</v>
      </c>
      <c r="F1618" s="13" t="s">
        <v>395</v>
      </c>
      <c r="G1618" s="13" t="s">
        <v>396</v>
      </c>
      <c r="H1618" s="13" t="s">
        <v>20</v>
      </c>
      <c r="I1618" s="13" t="s">
        <v>395</v>
      </c>
      <c r="J1618" s="13" t="s">
        <v>121</v>
      </c>
      <c r="K1618" s="13" t="s">
        <v>107</v>
      </c>
      <c r="L1618" s="13" t="s">
        <v>1655</v>
      </c>
      <c r="M1618" s="13" t="s">
        <v>100</v>
      </c>
      <c r="N1618" s="27" t="n">
        <v>4125</v>
      </c>
      <c r="O1618" s="28" t="n">
        <v>705762</v>
      </c>
      <c r="P1618" s="27" t="n">
        <v>4125</v>
      </c>
      <c r="Q1618" s="29" t="n">
        <v>1</v>
      </c>
      <c r="R1618" s="28" t="n">
        <v>89.09</v>
      </c>
      <c r="S1618" s="28" t="n">
        <v>261.82</v>
      </c>
      <c r="T1618" s="28" t="n">
        <v>171.07</v>
      </c>
      <c r="U1618" s="13" t="n">
        <f aca="false">IFERROR(YEAR(A1618),"")</f>
        <v>2007</v>
      </c>
      <c r="V1618" s="28" t="n">
        <f aca="false">IFERROR(O1618*B1618,0)</f>
        <v>1411524</v>
      </c>
      <c r="W1618" s="27" t="n">
        <f aca="false">IFERROR(N1618*B1618,0)</f>
        <v>8250</v>
      </c>
      <c r="X1618" s="13" t="n">
        <f aca="false">IF(OR(ISNUMBER(SEARCH("live nation",L1618)),ISNUMBER(SEARCH("ocesa",L1618))),1,0)</f>
        <v>0</v>
      </c>
      <c r="Y1618" s="13" t="s">
        <v>49</v>
      </c>
    </row>
    <row r="1619" customFormat="false" ht="15" hidden="false" customHeight="false" outlineLevel="0" collapsed="false">
      <c r="A1619" s="30" t="n">
        <v>39074</v>
      </c>
      <c r="B1619" s="11" t="n">
        <v>2</v>
      </c>
      <c r="C1619" s="31" t="s">
        <v>1158</v>
      </c>
      <c r="D1619" s="31"/>
      <c r="E1619" s="11" t="s">
        <v>1629</v>
      </c>
      <c r="F1619" s="11" t="s">
        <v>395</v>
      </c>
      <c r="G1619" s="11" t="s">
        <v>396</v>
      </c>
      <c r="H1619" s="11" t="s">
        <v>20</v>
      </c>
      <c r="I1619" s="11" t="s">
        <v>395</v>
      </c>
      <c r="J1619" s="11" t="s">
        <v>121</v>
      </c>
      <c r="K1619" s="11" t="s">
        <v>107</v>
      </c>
      <c r="L1619" s="11" t="s">
        <v>1655</v>
      </c>
      <c r="M1619" s="11" t="s">
        <v>100</v>
      </c>
      <c r="N1619" s="32" t="n">
        <v>3922</v>
      </c>
      <c r="O1619" s="33" t="n">
        <v>690910</v>
      </c>
      <c r="P1619" s="32" t="n">
        <v>3927</v>
      </c>
      <c r="Q1619" s="34" t="n">
        <v>0.99</v>
      </c>
      <c r="R1619" s="33" t="n">
        <v>98</v>
      </c>
      <c r="S1619" s="33" t="n">
        <v>288</v>
      </c>
      <c r="T1619" s="33" t="n">
        <v>176.14</v>
      </c>
      <c r="U1619" s="11" t="n">
        <f aca="false">IFERROR(YEAR(A1619),"")</f>
        <v>2006</v>
      </c>
      <c r="V1619" s="33" t="n">
        <f aca="false">IFERROR(O1619*B1619,0)</f>
        <v>1381820</v>
      </c>
      <c r="W1619" s="32" t="n">
        <f aca="false">IFERROR(N1619*B1619,0)</f>
        <v>7844</v>
      </c>
      <c r="X1619" s="11" t="n">
        <f aca="false">IF(OR(ISNUMBER(SEARCH("live nation",L1619)),ISNUMBER(SEARCH("ocesa",L1619))),1,0)</f>
        <v>0</v>
      </c>
      <c r="Y1619" s="11" t="s">
        <v>49</v>
      </c>
    </row>
    <row r="1620" customFormat="false" ht="15" hidden="false" customHeight="false" outlineLevel="0" collapsed="false">
      <c r="A1620" s="25" t="n">
        <v>38864</v>
      </c>
      <c r="B1620" s="13" t="n">
        <v>1</v>
      </c>
      <c r="C1620" s="26" t="s">
        <v>1409</v>
      </c>
      <c r="D1620" s="26"/>
      <c r="E1620" s="13" t="s">
        <v>1656</v>
      </c>
      <c r="F1620" s="13" t="s">
        <v>395</v>
      </c>
      <c r="G1620" s="13" t="s">
        <v>396</v>
      </c>
      <c r="H1620" s="13" t="s">
        <v>20</v>
      </c>
      <c r="I1620" s="13" t="s">
        <v>395</v>
      </c>
      <c r="J1620" s="13" t="s">
        <v>121</v>
      </c>
      <c r="K1620" s="13" t="s">
        <v>107</v>
      </c>
      <c r="L1620" s="13" t="s">
        <v>1657</v>
      </c>
      <c r="M1620" s="13" t="s">
        <v>100</v>
      </c>
      <c r="N1620" s="27" t="n">
        <v>3701</v>
      </c>
      <c r="O1620" s="28" t="n">
        <v>356775</v>
      </c>
      <c r="P1620" s="27" t="n">
        <v>7019</v>
      </c>
      <c r="Q1620" s="29" t="n">
        <v>0.52</v>
      </c>
      <c r="R1620" s="28" t="n">
        <v>50</v>
      </c>
      <c r="S1620" s="28" t="n">
        <v>168</v>
      </c>
      <c r="T1620" s="28" t="n">
        <v>96.4</v>
      </c>
      <c r="U1620" s="13" t="n">
        <f aca="false">IFERROR(YEAR(A1620),"")</f>
        <v>2006</v>
      </c>
      <c r="V1620" s="28" t="n">
        <f aca="false">IFERROR(O1620*B1620,0)</f>
        <v>356775</v>
      </c>
      <c r="W1620" s="27" t="n">
        <f aca="false">IFERROR(N1620*B1620,0)</f>
        <v>3701</v>
      </c>
      <c r="X1620" s="13" t="n">
        <f aca="false">IF(OR(ISNUMBER(SEARCH("live nation",L1620)),ISNUMBER(SEARCH("ocesa",L1620))),1,0)</f>
        <v>0</v>
      </c>
      <c r="Y1620" s="13" t="s">
        <v>49</v>
      </c>
    </row>
    <row r="1621" customFormat="false" ht="15" hidden="false" customHeight="false" outlineLevel="0" collapsed="false">
      <c r="A1621" s="30" t="n">
        <v>38750</v>
      </c>
      <c r="B1621" s="11" t="n">
        <v>2</v>
      </c>
      <c r="C1621" s="31" t="s">
        <v>1158</v>
      </c>
      <c r="D1621" s="31"/>
      <c r="E1621" s="11" t="s">
        <v>1120</v>
      </c>
      <c r="F1621" s="11" t="s">
        <v>139</v>
      </c>
      <c r="G1621" s="11" t="s">
        <v>139</v>
      </c>
      <c r="H1621" s="11" t="s">
        <v>20</v>
      </c>
      <c r="I1621" s="11" t="s">
        <v>139</v>
      </c>
      <c r="J1621" s="11" t="s">
        <v>121</v>
      </c>
      <c r="K1621" s="11" t="s">
        <v>107</v>
      </c>
      <c r="L1621" s="11"/>
      <c r="M1621" s="11" t="s">
        <v>100</v>
      </c>
      <c r="N1621" s="32" t="n">
        <v>4837</v>
      </c>
      <c r="O1621" s="33" t="n">
        <v>342829</v>
      </c>
      <c r="P1621" s="32" t="n">
        <v>5348</v>
      </c>
      <c r="Q1621" s="34" t="n">
        <v>0.9</v>
      </c>
      <c r="R1621" s="33" t="n">
        <v>55</v>
      </c>
      <c r="S1621" s="33" t="n">
        <v>145</v>
      </c>
      <c r="T1621" s="33" t="n">
        <v>70.87</v>
      </c>
      <c r="U1621" s="11" t="n">
        <f aca="false">IFERROR(YEAR(A1621),"")</f>
        <v>2006</v>
      </c>
      <c r="V1621" s="33" t="n">
        <f aca="false">IFERROR(O1621*B1621,0)</f>
        <v>685658</v>
      </c>
      <c r="W1621" s="32" t="n">
        <f aca="false">IFERROR(N1621*B1621,0)</f>
        <v>9674</v>
      </c>
      <c r="X1621" s="11" t="n">
        <f aca="false">IF(OR(ISNUMBER(SEARCH("live nation",L1621)),ISNUMBER(SEARCH("ocesa",L1621))),1,0)</f>
        <v>0</v>
      </c>
      <c r="Y1621" s="11" t="s">
        <v>49</v>
      </c>
    </row>
    <row r="1622" customFormat="false" ht="15" hidden="false" customHeight="false" outlineLevel="0" collapsed="false">
      <c r="A1622" s="25" t="n">
        <v>38500</v>
      </c>
      <c r="B1622" s="13" t="n">
        <v>1</v>
      </c>
      <c r="C1622" s="26" t="s">
        <v>1336</v>
      </c>
      <c r="D1622" s="26"/>
      <c r="E1622" s="13" t="s">
        <v>1658</v>
      </c>
      <c r="F1622" s="13" t="s">
        <v>395</v>
      </c>
      <c r="G1622" s="13" t="s">
        <v>396</v>
      </c>
      <c r="H1622" s="13" t="s">
        <v>20</v>
      </c>
      <c r="I1622" s="13" t="s">
        <v>395</v>
      </c>
      <c r="J1622" s="13" t="s">
        <v>97</v>
      </c>
      <c r="K1622" s="13" t="s">
        <v>107</v>
      </c>
      <c r="L1622" s="13" t="s">
        <v>1659</v>
      </c>
      <c r="M1622" s="13" t="s">
        <v>277</v>
      </c>
      <c r="N1622" s="27" t="n">
        <v>4762</v>
      </c>
      <c r="O1622" s="28" t="n">
        <v>473820</v>
      </c>
      <c r="P1622" s="27" t="n">
        <v>5459</v>
      </c>
      <c r="Q1622" s="29" t="n">
        <v>0.87</v>
      </c>
      <c r="R1622" s="28" t="n">
        <v>50</v>
      </c>
      <c r="S1622" s="28" t="n">
        <v>168</v>
      </c>
      <c r="T1622" s="28" t="n">
        <v>99.5</v>
      </c>
      <c r="U1622" s="13" t="n">
        <f aca="false">IFERROR(YEAR(A1622),"")</f>
        <v>2005</v>
      </c>
      <c r="V1622" s="28" t="n">
        <f aca="false">IFERROR(O1622*B1622,0)</f>
        <v>473820</v>
      </c>
      <c r="W1622" s="27" t="n">
        <f aca="false">IFERROR(N1622*B1622,0)</f>
        <v>4762</v>
      </c>
      <c r="X1622" s="13" t="n">
        <f aca="false">IF(OR(ISNUMBER(SEARCH("live nation",L1622)),ISNUMBER(SEARCH("ocesa",L1622))),1,0)</f>
        <v>0</v>
      </c>
      <c r="Y1622" s="13" t="s">
        <v>49</v>
      </c>
    </row>
    <row r="1623" customFormat="false" ht="15" hidden="false" customHeight="false" outlineLevel="0" collapsed="false">
      <c r="A1623" s="30" t="n">
        <v>38283</v>
      </c>
      <c r="B1623" s="11" t="n">
        <v>1</v>
      </c>
      <c r="C1623" s="31" t="s">
        <v>1660</v>
      </c>
      <c r="D1623" s="31" t="s">
        <v>1661</v>
      </c>
      <c r="E1623" s="11" t="s">
        <v>541</v>
      </c>
      <c r="F1623" s="11" t="s">
        <v>1602</v>
      </c>
      <c r="G1623" s="11" t="s">
        <v>202</v>
      </c>
      <c r="H1623" s="11" t="s">
        <v>20</v>
      </c>
      <c r="I1623" s="11" t="s">
        <v>203</v>
      </c>
      <c r="J1623" s="11" t="s">
        <v>106</v>
      </c>
      <c r="K1623" s="11" t="s">
        <v>107</v>
      </c>
      <c r="L1623" s="11" t="s">
        <v>1662</v>
      </c>
      <c r="M1623" s="11" t="s">
        <v>100</v>
      </c>
      <c r="N1623" s="32" t="n">
        <v>1034</v>
      </c>
      <c r="O1623" s="33" t="n">
        <v>27090</v>
      </c>
      <c r="P1623" s="32" t="n">
        <v>1050</v>
      </c>
      <c r="Q1623" s="34" t="n">
        <v>0.98</v>
      </c>
      <c r="R1623" s="33" t="n">
        <v>25.2</v>
      </c>
      <c r="S1623" s="33" t="n">
        <v>28</v>
      </c>
      <c r="T1623" s="33" t="n">
        <v>26.2</v>
      </c>
      <c r="U1623" s="11" t="n">
        <f aca="false">IFERROR(YEAR(A1623),"")</f>
        <v>2004</v>
      </c>
      <c r="V1623" s="33" t="n">
        <f aca="false">IFERROR(O1623*B1623,0)</f>
        <v>27090</v>
      </c>
      <c r="W1623" s="32" t="n">
        <f aca="false">IFERROR(N1623*B1623,0)</f>
        <v>1034</v>
      </c>
      <c r="X1623" s="11" t="n">
        <f aca="false">IF(OR(ISNUMBER(SEARCH("live nation",L1623)),ISNUMBER(SEARCH("ocesa",L1623))),1,0)</f>
        <v>0</v>
      </c>
      <c r="Y1623" s="11" t="s">
        <v>49</v>
      </c>
    </row>
    <row r="1624" customFormat="false" ht="15" hidden="false" customHeight="false" outlineLevel="0" collapsed="false">
      <c r="A1624" s="25" t="n">
        <v>38279</v>
      </c>
      <c r="B1624" s="13" t="n">
        <v>1</v>
      </c>
      <c r="C1624" s="26" t="s">
        <v>1663</v>
      </c>
      <c r="D1624" s="26" t="s">
        <v>1664</v>
      </c>
      <c r="E1624" s="13" t="s">
        <v>541</v>
      </c>
      <c r="F1624" s="13" t="s">
        <v>209</v>
      </c>
      <c r="G1624" s="13" t="s">
        <v>208</v>
      </c>
      <c r="H1624" s="13" t="s">
        <v>20</v>
      </c>
      <c r="I1624" s="13" t="s">
        <v>209</v>
      </c>
      <c r="J1624" s="13" t="s">
        <v>106</v>
      </c>
      <c r="K1624" s="13" t="s">
        <v>107</v>
      </c>
      <c r="L1624" s="13" t="s">
        <v>1662</v>
      </c>
      <c r="M1624" s="13" t="s">
        <v>100</v>
      </c>
      <c r="N1624" s="27" t="n">
        <v>243</v>
      </c>
      <c r="O1624" s="28" t="n">
        <v>6075</v>
      </c>
      <c r="P1624" s="27" t="n">
        <v>1300</v>
      </c>
      <c r="Q1624" s="29" t="n">
        <v>0.18</v>
      </c>
      <c r="R1624" s="28" t="n">
        <v>25</v>
      </c>
      <c r="S1624" s="28" t="n">
        <v>25</v>
      </c>
      <c r="T1624" s="28" t="n">
        <v>25</v>
      </c>
      <c r="U1624" s="13" t="n">
        <f aca="false">IFERROR(YEAR(A1624),"")</f>
        <v>2004</v>
      </c>
      <c r="V1624" s="28" t="n">
        <f aca="false">IFERROR(O1624*B1624,0)</f>
        <v>6075</v>
      </c>
      <c r="W1624" s="27" t="n">
        <f aca="false">IFERROR(N1624*B1624,0)</f>
        <v>243</v>
      </c>
      <c r="X1624" s="13" t="n">
        <f aca="false">IF(OR(ISNUMBER(SEARCH("live nation",L1624)),ISNUMBER(SEARCH("ocesa",L1624))),1,0)</f>
        <v>0</v>
      </c>
      <c r="Y1624" s="13" t="s">
        <v>49</v>
      </c>
    </row>
    <row r="1625" customFormat="false" ht="15" hidden="false" customHeight="false" outlineLevel="0" collapsed="false">
      <c r="A1625" s="30" t="n">
        <v>38277</v>
      </c>
      <c r="B1625" s="11" t="n">
        <v>1</v>
      </c>
      <c r="C1625" s="31" t="s">
        <v>1660</v>
      </c>
      <c r="D1625" s="31" t="s">
        <v>1665</v>
      </c>
      <c r="E1625" s="11" t="s">
        <v>1666</v>
      </c>
      <c r="F1625" s="11" t="s">
        <v>139</v>
      </c>
      <c r="G1625" s="11" t="s">
        <v>139</v>
      </c>
      <c r="H1625" s="11" t="s">
        <v>20</v>
      </c>
      <c r="I1625" s="11" t="s">
        <v>139</v>
      </c>
      <c r="J1625" s="11" t="s">
        <v>106</v>
      </c>
      <c r="K1625" s="11" t="s">
        <v>107</v>
      </c>
      <c r="L1625" s="11" t="s">
        <v>122</v>
      </c>
      <c r="M1625" s="11" t="s">
        <v>100</v>
      </c>
      <c r="N1625" s="32" t="n">
        <v>779</v>
      </c>
      <c r="O1625" s="33" t="n">
        <v>15960</v>
      </c>
      <c r="P1625" s="32" t="n">
        <v>1000</v>
      </c>
      <c r="Q1625" s="34" t="n">
        <v>0.77</v>
      </c>
      <c r="R1625" s="33" t="n">
        <v>20</v>
      </c>
      <c r="S1625" s="33" t="n">
        <v>24</v>
      </c>
      <c r="T1625" s="33" t="n">
        <v>20.49</v>
      </c>
      <c r="U1625" s="11" t="n">
        <f aca="false">IFERROR(YEAR(A1625),"")</f>
        <v>2004</v>
      </c>
      <c r="V1625" s="33" t="n">
        <f aca="false">IFERROR(O1625*B1625,0)</f>
        <v>15960</v>
      </c>
      <c r="W1625" s="32" t="n">
        <f aca="false">IFERROR(N1625*B1625,0)</f>
        <v>779</v>
      </c>
      <c r="X1625" s="11" t="n">
        <f aca="false">IF(OR(ISNUMBER(SEARCH("live nation",L1625)),ISNUMBER(SEARCH("ocesa",L1625))),1,0)</f>
        <v>0</v>
      </c>
      <c r="Y1625" s="11" t="s">
        <v>49</v>
      </c>
    </row>
    <row r="1626" customFormat="false" ht="15" hidden="false" customHeight="false" outlineLevel="0" collapsed="false">
      <c r="A1626" s="25" t="n">
        <v>38276</v>
      </c>
      <c r="B1626" s="13" t="n">
        <v>1</v>
      </c>
      <c r="C1626" s="26" t="s">
        <v>1660</v>
      </c>
      <c r="D1626" s="26" t="s">
        <v>1664</v>
      </c>
      <c r="E1626" s="13" t="s">
        <v>1667</v>
      </c>
      <c r="F1626" s="13" t="s">
        <v>188</v>
      </c>
      <c r="G1626" s="13" t="s">
        <v>189</v>
      </c>
      <c r="H1626" s="13" t="s">
        <v>20</v>
      </c>
      <c r="I1626" s="13" t="s">
        <v>190</v>
      </c>
      <c r="J1626" s="13" t="s">
        <v>106</v>
      </c>
      <c r="K1626" s="13" t="s">
        <v>107</v>
      </c>
      <c r="L1626" s="13" t="s">
        <v>911</v>
      </c>
      <c r="M1626" s="13" t="s">
        <v>100</v>
      </c>
      <c r="N1626" s="27" t="n">
        <v>236</v>
      </c>
      <c r="O1626" s="28" t="n">
        <v>5900</v>
      </c>
      <c r="P1626" s="27" t="n">
        <v>500</v>
      </c>
      <c r="Q1626" s="29" t="n">
        <v>0.47</v>
      </c>
      <c r="R1626" s="28" t="n">
        <v>25</v>
      </c>
      <c r="S1626" s="28" t="n">
        <v>25</v>
      </c>
      <c r="T1626" s="28" t="n">
        <v>25</v>
      </c>
      <c r="U1626" s="13" t="n">
        <f aca="false">IFERROR(YEAR(A1626),"")</f>
        <v>2004</v>
      </c>
      <c r="V1626" s="28" t="n">
        <f aca="false">IFERROR(O1626*B1626,0)</f>
        <v>5900</v>
      </c>
      <c r="W1626" s="27" t="n">
        <f aca="false">IFERROR(N1626*B1626,0)</f>
        <v>236</v>
      </c>
      <c r="X1626" s="13" t="n">
        <f aca="false">IF(OR(ISNUMBER(SEARCH("live nation",L1626)),ISNUMBER(SEARCH("ocesa",L1626))),1,0)</f>
        <v>0</v>
      </c>
      <c r="Y1626" s="13" t="s">
        <v>49</v>
      </c>
    </row>
    <row r="1627" customFormat="false" ht="15" hidden="false" customHeight="false" outlineLevel="0" collapsed="false">
      <c r="A1627" s="30" t="n">
        <v>38275</v>
      </c>
      <c r="B1627" s="11" t="n">
        <v>1</v>
      </c>
      <c r="C1627" s="31" t="s">
        <v>1660</v>
      </c>
      <c r="D1627" s="31" t="s">
        <v>1668</v>
      </c>
      <c r="E1627" s="11" t="s">
        <v>1669</v>
      </c>
      <c r="F1627" s="11" t="s">
        <v>890</v>
      </c>
      <c r="G1627" s="11" t="s">
        <v>281</v>
      </c>
      <c r="H1627" s="11" t="s">
        <v>20</v>
      </c>
      <c r="I1627" s="11" t="s">
        <v>890</v>
      </c>
      <c r="J1627" s="11" t="s">
        <v>106</v>
      </c>
      <c r="K1627" s="11" t="s">
        <v>107</v>
      </c>
      <c r="L1627" s="11" t="s">
        <v>1662</v>
      </c>
      <c r="M1627" s="11" t="s">
        <v>100</v>
      </c>
      <c r="N1627" s="32" t="n">
        <v>244</v>
      </c>
      <c r="O1627" s="33" t="n">
        <v>6951</v>
      </c>
      <c r="P1627" s="32" t="n">
        <v>800</v>
      </c>
      <c r="Q1627" s="34" t="n">
        <v>0.3</v>
      </c>
      <c r="R1627" s="33" t="n">
        <v>27</v>
      </c>
      <c r="S1627" s="33" t="n">
        <v>30</v>
      </c>
      <c r="T1627" s="33" t="n">
        <v>28.49</v>
      </c>
      <c r="U1627" s="11" t="n">
        <f aca="false">IFERROR(YEAR(A1627),"")</f>
        <v>2004</v>
      </c>
      <c r="V1627" s="33" t="n">
        <f aca="false">IFERROR(O1627*B1627,0)</f>
        <v>6951</v>
      </c>
      <c r="W1627" s="32" t="n">
        <f aca="false">IFERROR(N1627*B1627,0)</f>
        <v>244</v>
      </c>
      <c r="X1627" s="11" t="n">
        <f aca="false">IF(OR(ISNUMBER(SEARCH("live nation",L1627)),ISNUMBER(SEARCH("ocesa",L1627))),1,0)</f>
        <v>0</v>
      </c>
      <c r="Y1627" s="11" t="s">
        <v>49</v>
      </c>
    </row>
    <row r="1628" customFormat="false" ht="15" hidden="false" customHeight="false" outlineLevel="0" collapsed="false">
      <c r="A1628" s="25" t="n">
        <v>38272</v>
      </c>
      <c r="B1628" s="13" t="n">
        <v>1</v>
      </c>
      <c r="C1628" s="26" t="s">
        <v>1663</v>
      </c>
      <c r="D1628" s="26" t="s">
        <v>1664</v>
      </c>
      <c r="E1628" s="13" t="s">
        <v>541</v>
      </c>
      <c r="F1628" s="13" t="s">
        <v>619</v>
      </c>
      <c r="G1628" s="13" t="s">
        <v>202</v>
      </c>
      <c r="H1628" s="13" t="s">
        <v>20</v>
      </c>
      <c r="I1628" s="13" t="s">
        <v>203</v>
      </c>
      <c r="J1628" s="13" t="s">
        <v>106</v>
      </c>
      <c r="K1628" s="13" t="s">
        <v>107</v>
      </c>
      <c r="L1628" s="13" t="s">
        <v>1662</v>
      </c>
      <c r="M1628" s="13" t="s">
        <v>100</v>
      </c>
      <c r="N1628" s="27" t="n">
        <v>309</v>
      </c>
      <c r="O1628" s="28" t="n">
        <v>8268</v>
      </c>
      <c r="P1628" s="27" t="n">
        <v>500</v>
      </c>
      <c r="Q1628" s="29" t="n">
        <v>0.61</v>
      </c>
      <c r="R1628" s="28" t="n">
        <v>28</v>
      </c>
      <c r="S1628" s="28" t="n">
        <v>28</v>
      </c>
      <c r="T1628" s="28" t="n">
        <v>26.76</v>
      </c>
      <c r="U1628" s="13" t="n">
        <f aca="false">IFERROR(YEAR(A1628),"")</f>
        <v>2004</v>
      </c>
      <c r="V1628" s="28" t="n">
        <f aca="false">IFERROR(O1628*B1628,0)</f>
        <v>8268</v>
      </c>
      <c r="W1628" s="27" t="n">
        <f aca="false">IFERROR(N1628*B1628,0)</f>
        <v>309</v>
      </c>
      <c r="X1628" s="13" t="n">
        <f aca="false">IF(OR(ISNUMBER(SEARCH("live nation",L1628)),ISNUMBER(SEARCH("ocesa",L1628))),1,0)</f>
        <v>0</v>
      </c>
      <c r="Y1628" s="13" t="s">
        <v>49</v>
      </c>
    </row>
    <row r="1629" customFormat="false" ht="15" hidden="false" customHeight="false" outlineLevel="0" collapsed="false">
      <c r="A1629" s="30" t="n">
        <v>38271</v>
      </c>
      <c r="B1629" s="11" t="n">
        <v>1</v>
      </c>
      <c r="C1629" s="31" t="s">
        <v>1663</v>
      </c>
      <c r="D1629" s="31"/>
      <c r="E1629" s="11" t="s">
        <v>1670</v>
      </c>
      <c r="F1629" s="11" t="s">
        <v>524</v>
      </c>
      <c r="G1629" s="11" t="s">
        <v>525</v>
      </c>
      <c r="H1629" s="11" t="s">
        <v>128</v>
      </c>
      <c r="I1629" s="11"/>
      <c r="J1629" s="11" t="s">
        <v>106</v>
      </c>
      <c r="K1629" s="11" t="s">
        <v>129</v>
      </c>
      <c r="L1629" s="11" t="s">
        <v>1671</v>
      </c>
      <c r="M1629" s="11" t="s">
        <v>100</v>
      </c>
      <c r="N1629" s="32" t="n">
        <v>381</v>
      </c>
      <c r="O1629" s="33" t="n">
        <v>7781</v>
      </c>
      <c r="P1629" s="32" t="n">
        <v>900</v>
      </c>
      <c r="Q1629" s="34" t="n">
        <v>0.42</v>
      </c>
      <c r="R1629" s="33" t="n">
        <v>23.49</v>
      </c>
      <c r="S1629" s="33" t="n">
        <v>23.49</v>
      </c>
      <c r="T1629" s="33" t="n">
        <v>20.42</v>
      </c>
      <c r="U1629" s="11" t="n">
        <f aca="false">IFERROR(YEAR(A1629),"")</f>
        <v>2004</v>
      </c>
      <c r="V1629" s="33" t="n">
        <f aca="false">IFERROR(O1629*B1629,0)</f>
        <v>7781</v>
      </c>
      <c r="W1629" s="32" t="n">
        <f aca="false">IFERROR(N1629*B1629,0)</f>
        <v>381</v>
      </c>
      <c r="X1629" s="11" t="n">
        <f aca="false">IF(OR(ISNUMBER(SEARCH("live nation",L1629)),ISNUMBER(SEARCH("ocesa",L1629))),1,0)</f>
        <v>0</v>
      </c>
      <c r="Y1629" s="11" t="s">
        <v>49</v>
      </c>
    </row>
    <row r="1630" customFormat="false" ht="15" hidden="false" customHeight="false" outlineLevel="0" collapsed="false">
      <c r="A1630" s="25" t="n">
        <v>38115</v>
      </c>
      <c r="B1630" s="13" t="n">
        <v>1</v>
      </c>
      <c r="C1630" s="26" t="s">
        <v>1336</v>
      </c>
      <c r="D1630" s="26"/>
      <c r="E1630" s="13" t="s">
        <v>1658</v>
      </c>
      <c r="F1630" s="13" t="s">
        <v>395</v>
      </c>
      <c r="G1630" s="13" t="s">
        <v>396</v>
      </c>
      <c r="H1630" s="13" t="s">
        <v>20</v>
      </c>
      <c r="I1630" s="13" t="s">
        <v>395</v>
      </c>
      <c r="J1630" s="13" t="s">
        <v>97</v>
      </c>
      <c r="K1630" s="13" t="s">
        <v>107</v>
      </c>
      <c r="L1630" s="13" t="s">
        <v>122</v>
      </c>
      <c r="M1630" s="13" t="s">
        <v>277</v>
      </c>
      <c r="N1630" s="27" t="n">
        <v>4232</v>
      </c>
      <c r="O1630" s="28" t="n">
        <v>387630</v>
      </c>
      <c r="P1630" s="27" t="n">
        <v>4591</v>
      </c>
      <c r="Q1630" s="29" t="n">
        <v>0.92</v>
      </c>
      <c r="R1630" s="28" t="n">
        <v>48</v>
      </c>
      <c r="S1630" s="28" t="n">
        <v>168</v>
      </c>
      <c r="T1630" s="28" t="n">
        <v>91.59</v>
      </c>
      <c r="U1630" s="13" t="n">
        <f aca="false">IFERROR(YEAR(A1630),"")</f>
        <v>2004</v>
      </c>
      <c r="V1630" s="28" t="n">
        <f aca="false">IFERROR(O1630*B1630,0)</f>
        <v>387630</v>
      </c>
      <c r="W1630" s="27" t="n">
        <f aca="false">IFERROR(N1630*B1630,0)</f>
        <v>4232</v>
      </c>
      <c r="X1630" s="13" t="n">
        <f aca="false">IF(OR(ISNUMBER(SEARCH("live nation",L1630)),ISNUMBER(SEARCH("ocesa",L1630))),1,0)</f>
        <v>0</v>
      </c>
      <c r="Y1630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2026-06-02T17:15:13Z</dcterms:created>
  <dc:creator>openpyxl</dc:creator>
  <dc:description/>
  <dc:language>en-US</dc:language>
  <cp:lastModifiedBy/>
  <dcterms:modified xsi:type="dcterms:W3CDTF">2026-06-02T17:15:17Z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