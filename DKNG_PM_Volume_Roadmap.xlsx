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 (Base)" sheetId="1" state="visible" r:id="rId3"/>
    <sheet name="Scenarios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<sst xmlns="http://schemas.openxmlformats.org/spreadsheetml/2006/main" count="91" uniqueCount="68">
  <si>
    <t xml:space="preserve">DraftKings Predictions - monthly volume roadmap &amp; forecast, 2026 (Base case, $m/month)</t>
  </si>
  <si>
    <t xml:space="preserve">Actuals (Mar-May) from DK 8-Ks: Apr ann. consumer $1.0bn / total $2.3bn; May ann. consumer $1.3bn (+24% MoM disclosed) / total $3.1bn (+34%). Monthly = annualized / 12. Blue = forecast assumptions. Total = Consumer / (1 - market-making share).</t>
  </si>
  <si>
    <t xml:space="preserve">Month</t>
  </si>
  <si>
    <t xml:space="preserve">Consumer
MoM (assump.)</t>
  </si>
  <si>
    <t xml:space="preserve">Market-making
% of total (assump.)</t>
  </si>
  <si>
    <t xml:space="preserve">Consumer
($m)</t>
  </si>
  <si>
    <t xml:space="preserve">Market-making
($m)</t>
  </si>
  <si>
    <t xml:space="preserve">Total
($m)</t>
  </si>
  <si>
    <t xml:space="preserve">Consumer
MoM (calc)</t>
  </si>
  <si>
    <t xml:space="preserve">MM %
(calc)</t>
  </si>
  <si>
    <t xml:space="preserve">Total annualized
($bn)</t>
  </si>
  <si>
    <t xml:space="preserve">Mar (A)</t>
  </si>
  <si>
    <t xml:space="preserve">Apr (A)</t>
  </si>
  <si>
    <t xml:space="preserve">May (A)</t>
  </si>
  <si>
    <t xml:space="preserve">Jun (E)</t>
  </si>
  <si>
    <t xml:space="preserve">Jul (E)</t>
  </si>
  <si>
    <t xml:space="preserve">Aug (E)</t>
  </si>
  <si>
    <t xml:space="preserve">Sep (E)</t>
  </si>
  <si>
    <t xml:space="preserve">Oct (E)</t>
  </si>
  <si>
    <t xml:space="preserve">Nov (E)</t>
  </si>
  <si>
    <t xml:space="preserve">Dec (E)</t>
  </si>
  <si>
    <t xml:space="preserve">CATALYST CALENDAR (add as chart callouts)</t>
  </si>
  <si>
    <t xml:space="preserve">Jun</t>
  </si>
  <si>
    <t xml:space="preserve">NBA Finals; World Cup group stage (Jun 11); Railbird exchange + Combos launch</t>
  </si>
  <si>
    <t xml:space="preserve">Jul</t>
  </si>
  <si>
    <t xml:space="preserve">World Cup knockouts; Combos ramp</t>
  </si>
  <si>
    <t xml:space="preserve">Aug</t>
  </si>
  <si>
    <t xml:space="preserve">In-house FCM; combined wallets; Super App upgrades</t>
  </si>
  <si>
    <t xml:space="preserve">Sep</t>
  </si>
  <si>
    <t xml:space="preserve">NFL kickoff - Week 1: 49ers-Rams (CA, Thu) &amp; Cowboys-Giants (TX/NY, SNF)</t>
  </si>
  <si>
    <t xml:space="preserve">Oct</t>
  </si>
  <si>
    <t xml:space="preserve">NFL peak; NBA &amp; NHL tip-off; MLB playoffs / World Series</t>
  </si>
  <si>
    <t xml:space="preserve">Nov</t>
  </si>
  <si>
    <t xml:space="preserve">NFL; midterm elections (PM category tailwind)</t>
  </si>
  <si>
    <t xml:space="preserve">Dec</t>
  </si>
  <si>
    <t xml:space="preserve">NFL; NBA; CFB championships</t>
  </si>
  <si>
    <t xml:space="preserve">DK Predictions - Bear / Base / Bull, consumer volume ramp &amp; YE run-rate</t>
  </si>
  <si>
    <t xml:space="preserve">Consumer monthly built off May $108m via scenario MoM rates. Total via scenario market-making share. Reconciled to the YE funded-accounts build (Exhibit 7).</t>
  </si>
  <si>
    <t xml:space="preserve">Consumer MoM assumptions</t>
  </si>
  <si>
    <t xml:space="preserve">Bear</t>
  </si>
  <si>
    <t xml:space="preserve">Base</t>
  </si>
  <si>
    <t xml:space="preserve">Bull</t>
  </si>
  <si>
    <t xml:space="preserve">Consumer monthly ($m)</t>
  </si>
  <si>
    <t xml:space="preserve">December run-rate &amp; reconciliation to YE funded accounts</t>
  </si>
  <si>
    <t xml:space="preserve">Metric</t>
  </si>
  <si>
    <t xml:space="preserve">Market-making share (Dec, assump.)</t>
  </si>
  <si>
    <t xml:space="preserve">Dec consumer ($m/mo)</t>
  </si>
  <si>
    <t xml:space="preserve">Dec total ($m/mo)</t>
  </si>
  <si>
    <t xml:space="preserve">Dec consumer annualized ($bn)</t>
  </si>
  <si>
    <t xml:space="preserve">Dec total annualized ($bn)</t>
  </si>
  <si>
    <t xml:space="preserve">YE cumulative funded accounts (m) [Exhibit 7]</t>
  </si>
  <si>
    <t xml:space="preserve">  x assumed monthly-active %</t>
  </si>
  <si>
    <t xml:space="preserve">Monthly-active accounts (m)</t>
  </si>
  <si>
    <t xml:space="preserve">Implied consumer vol / active acct / mo ($)</t>
  </si>
  <si>
    <t xml:space="preserve">Sense-check: implied vol/active sits well below the $1,111 avid-cohort rate (Exhibit 6) and rises with the bull, exactly as a casual event-driven mix would. Volume forecast and the YE accounts build are therefore consistent across scenarios.</t>
  </si>
  <si>
    <t xml:space="preserve">Disclosures, method &amp; caveats</t>
  </si>
  <si>
    <t xml:space="preserve">Disclosures</t>
  </si>
  <si>
    <t xml:space="preserve">DK 8-K (May 2026): April annualized consumer volume exceeded $1.0bn, total volume traded exceeded $2.3bn; +38% / +43% MoM vs March.</t>
  </si>
  <si>
    <t xml:space="preserve">DK 8-K (Jun 9, 2026): May annualized consumer volume +24% MoM to $1.3bn; total +34% MoM to $3.1bn. Preliminary, unaudited.</t>
  </si>
  <si>
    <t xml:space="preserve">Reconciliation note</t>
  </si>
  <si>
    <t xml:space="preserve">April total $2.3bn -&gt; May $3.1bn = +34.7% (ties to disclosed +34%). April consumer $1.0bn -&gt; May $1.3bn = +30%, vs disclosed +24%; the gap reflects rounding in April's 'exceeded $1bn'. We anchor to the disclosed $1.0bn / $1.3bn levels for consistency with Exhibit 13.</t>
  </si>
  <si>
    <t xml:space="preserve">Method</t>
  </si>
  <si>
    <t xml:space="preserve">Monthly = annualized / 12. March back-solved from disclosed April MoM. Forecast: consumer compounded by a catalyst-scaled MoM rate; total = consumer / (1 - market-making share); MM = total - consumer.</t>
  </si>
  <si>
    <t xml:space="preserve">Two-speed growth: total is outgrowing consumer because DK's own market-making is the fastest-growing piece (MM share 55% Mar -&gt; 58% May). Read consumer as the customer-demand signal; total is partly self-supplied liquidity that scales with the Railbird exchange and combos.</t>
  </si>
  <si>
    <t xml:space="preserve">Caveats</t>
  </si>
  <si>
    <t xml:space="preserve">Consumer growth decelerated (+38% -&gt; +24%) BEFORE the catalysts; the Base re-acceleration in Jun (WC) and Sep (NFL) is the call to scrutinise.</t>
  </si>
  <si>
    <t xml:space="preserve">Vol/active compresses as the casual event-driven cohort joins - the bull-case risk already flagged in Exhibit 6. MM-share path is an assumption; take rate on PM volume remains undisclosed, so this is volume, not revenue.</t>
  </si>
  <si>
    <t xml:space="preserve">Source: DraftKings Forms 8-K (May 2026; June 9, 2026), company Q1 2026 disclosures, Bernstein estimates.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</si>
</sst>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"/>
    <numFmt numFmtId="166" formatCode="0.0%"/>
    <numFmt numFmtId="167" formatCode="0.0"/>
    <numFmt numFmtId="168" formatCode="0.00"/>
    <numFmt numFmtId="169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5555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9E8F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DK Predictions monthly volume ($m): Consumer vs Total (Apr-Dec 2026, 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'Forecast (Base)'!D3</c:f>
              <c:strCache>
                <c:ptCount val="1"/>
                <c:pt idx="0">
                  <c:v>Consumer
($m)</c:v>
                </c:pt>
              </c:strCache>
            </c:strRef>
          </c:tx>
          <c:spPr>
            <a:solidFill>
              <a:srgbClr val="2e9e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(Base)'!$A$5:$A$13</c:f>
              <c:strCache>
                <c:ptCount val="9"/>
                <c:pt idx="0">
                  <c:v>Apr (A)</c:v>
                </c:pt>
                <c:pt idx="1">
                  <c:v>May (A)</c:v>
                </c:pt>
                <c:pt idx="2">
                  <c:v>Jun (E)</c:v>
                </c:pt>
                <c:pt idx="3">
                  <c:v>Jul (E)</c:v>
                </c:pt>
                <c:pt idx="4">
                  <c:v>Aug (E)</c:v>
                </c:pt>
                <c:pt idx="5">
                  <c:v>Sep (E)</c:v>
                </c:pt>
                <c:pt idx="6">
                  <c:v>Oct (E)</c:v>
                </c:pt>
                <c:pt idx="7">
                  <c:v>Nov (E)</c:v>
                </c:pt>
                <c:pt idx="8">
                  <c:v>Dec (E)</c:v>
                </c:pt>
              </c:strCache>
            </c:strRef>
          </c:cat>
          <c:val>
            <c:numRef>
              <c:f>'Forecast (Base)'!$D$4:$D$13</c:f>
              <c:numCache>
                <c:formatCode>#,##0;\(#,##0\)</c:formatCode>
                <c:ptCount val="10"/>
                <c:pt idx="0">
                  <c:v>60.4</c:v>
                </c:pt>
                <c:pt idx="1">
                  <c:v>83.3</c:v>
                </c:pt>
                <c:pt idx="2">
                  <c:v>108.3</c:v>
                </c:pt>
                <c:pt idx="3">
                  <c:v>149.454</c:v>
                </c:pt>
                <c:pt idx="4">
                  <c:v>179.3448</c:v>
                </c:pt>
                <c:pt idx="5">
                  <c:v>190.105488</c:v>
                </c:pt>
                <c:pt idx="6">
                  <c:v>269.94979296</c:v>
                </c:pt>
                <c:pt idx="7">
                  <c:v>337.4372412</c:v>
                </c:pt>
                <c:pt idx="8">
                  <c:v>391.427199792</c:v>
                </c:pt>
                <c:pt idx="9">
                  <c:v>430.5699197712</c:v>
                </c:pt>
              </c:numCache>
            </c:numRef>
          </c:val>
        </c:ser>
        <c:ser>
          <c:idx val="1"/>
          <c:order val="1"/>
          <c:tx>
            <c:strRef>
              <c:f>'Forecast (Base)'!F3</c:f>
              <c:strCache>
                <c:ptCount val="1"/>
                <c:pt idx="0">
                  <c:v>Total
($m)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(Base)'!$A$5:$A$13</c:f>
              <c:strCache>
                <c:ptCount val="9"/>
                <c:pt idx="0">
                  <c:v>Apr (A)</c:v>
                </c:pt>
                <c:pt idx="1">
                  <c:v>May (A)</c:v>
                </c:pt>
                <c:pt idx="2">
                  <c:v>Jun (E)</c:v>
                </c:pt>
                <c:pt idx="3">
                  <c:v>Jul (E)</c:v>
                </c:pt>
                <c:pt idx="4">
                  <c:v>Aug (E)</c:v>
                </c:pt>
                <c:pt idx="5">
                  <c:v>Sep (E)</c:v>
                </c:pt>
                <c:pt idx="6">
                  <c:v>Oct (E)</c:v>
                </c:pt>
                <c:pt idx="7">
                  <c:v>Nov (E)</c:v>
                </c:pt>
                <c:pt idx="8">
                  <c:v>Dec (E)</c:v>
                </c:pt>
              </c:strCache>
            </c:strRef>
          </c:cat>
          <c:val>
            <c:numRef>
              <c:f>'Forecast (Base)'!$F$4:$F$13</c:f>
              <c:numCache>
                <c:formatCode>#,##0;\(#,##0\)</c:formatCode>
                <c:ptCount val="10"/>
                <c:pt idx="0">
                  <c:v>134</c:v>
                </c:pt>
                <c:pt idx="1">
                  <c:v>191.7</c:v>
                </c:pt>
                <c:pt idx="2">
                  <c:v>258.3</c:v>
                </c:pt>
                <c:pt idx="3">
                  <c:v>355.842857142857</c:v>
                </c:pt>
                <c:pt idx="4">
                  <c:v>427.011428571428</c:v>
                </c:pt>
                <c:pt idx="5">
                  <c:v>452.632114285714</c:v>
                </c:pt>
                <c:pt idx="6">
                  <c:v>642.737602285714</c:v>
                </c:pt>
                <c:pt idx="7">
                  <c:v>803.422002857143</c:v>
                </c:pt>
                <c:pt idx="8">
                  <c:v>931.969523314286</c:v>
                </c:pt>
                <c:pt idx="9">
                  <c:v>1025.16647564571</c:v>
                </c:pt>
              </c:numCache>
            </c:numRef>
          </c:val>
        </c:ser>
        <c:gapWidth val="60"/>
        <c:overlap val="0"/>
        <c:axId val="54411727"/>
        <c:axId val="51108340"/>
      </c:barChart>
      <c:catAx>
        <c:axId val="5441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08340"/>
        <c:crosses val="autoZero"/>
        <c:auto val="1"/>
        <c:lblAlgn val="ctr"/>
        <c:lblOffset val="100"/>
        <c:noMultiLvlLbl val="0"/>
      </c:catAx>
      <c:valAx>
        <c:axId val="51108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117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8</xdr:col>
      <xdr:colOff>714960</xdr:colOff>
      <xdr:row>40</xdr:row>
      <xdr:rowOff>1080</xdr:rowOff>
    </xdr:to>
    <xdr:graphicFrame>
      <xdr:nvGraphicFramePr>
        <xdr:cNvPr id="0" name="Chart 1"/>
        <xdr:cNvGraphicFramePr/>
      </xdr:nvGraphicFramePr>
      <xdr:xfrm>
        <a:off x="0" y="49435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s">
        <v>11</v>
      </c>
      <c r="B4" s="5"/>
      <c r="C4" s="5"/>
      <c r="D4" s="6" t="n">
        <v>60.4</v>
      </c>
      <c r="E4" s="6" t="n">
        <f aca="false">F4-D4</f>
        <v>73.6</v>
      </c>
      <c r="F4" s="6" t="n">
        <v>134</v>
      </c>
      <c r="G4" s="5"/>
      <c r="H4" s="7" t="n">
        <f aca="false">E4/F4</f>
        <v>0.549253731343284</v>
      </c>
      <c r="I4" s="8" t="n">
        <f aca="false">F4*12/1000</f>
        <v>1.608</v>
      </c>
    </row>
    <row r="5" customFormat="false" ht="15" hidden="false" customHeight="false" outlineLevel="0" collapsed="false">
      <c r="A5" s="9" t="s">
        <v>12</v>
      </c>
      <c r="B5" s="10"/>
      <c r="C5" s="10"/>
      <c r="D5" s="11" t="n">
        <v>83.3</v>
      </c>
      <c r="E5" s="11" t="n">
        <f aca="false">F5-D5</f>
        <v>108.4</v>
      </c>
      <c r="F5" s="11" t="n">
        <v>191.7</v>
      </c>
      <c r="G5" s="12" t="n">
        <f aca="false">D5/D4-1</f>
        <v>0.379139072847682</v>
      </c>
      <c r="H5" s="12" t="n">
        <f aca="false">E5/F5</f>
        <v>0.56546687532603</v>
      </c>
      <c r="I5" s="13" t="n">
        <f aca="false">F5*12/1000</f>
        <v>2.3004</v>
      </c>
    </row>
    <row r="6" customFormat="false" ht="15" hidden="false" customHeight="false" outlineLevel="0" collapsed="false">
      <c r="A6" s="4" t="s">
        <v>13</v>
      </c>
      <c r="B6" s="5"/>
      <c r="C6" s="5"/>
      <c r="D6" s="6" t="n">
        <v>108.3</v>
      </c>
      <c r="E6" s="6" t="n">
        <f aca="false">F6-D6</f>
        <v>150</v>
      </c>
      <c r="F6" s="6" t="n">
        <v>258.3</v>
      </c>
      <c r="G6" s="7" t="n">
        <f aca="false">D6/D5-1</f>
        <v>0.300120048019208</v>
      </c>
      <c r="H6" s="7" t="n">
        <f aca="false">E6/F6</f>
        <v>0.580720092915215</v>
      </c>
      <c r="I6" s="8" t="n">
        <f aca="false">F6*12/1000</f>
        <v>3.0996</v>
      </c>
    </row>
    <row r="7" customFormat="false" ht="15" hidden="false" customHeight="false" outlineLevel="0" collapsed="false">
      <c r="A7" s="14" t="s">
        <v>14</v>
      </c>
      <c r="B7" s="15" t="n">
        <v>0.38</v>
      </c>
      <c r="C7" s="15" t="n">
        <v>0.58</v>
      </c>
      <c r="D7" s="11" t="n">
        <f aca="false">D6*(1+B7)</f>
        <v>149.454</v>
      </c>
      <c r="E7" s="11" t="n">
        <f aca="false">F7-D7</f>
        <v>206.388857142857</v>
      </c>
      <c r="F7" s="11" t="n">
        <f aca="false">D7/(1-C7)</f>
        <v>355.842857142857</v>
      </c>
      <c r="G7" s="12" t="n">
        <f aca="false">D7/D6-1</f>
        <v>0.38</v>
      </c>
      <c r="H7" s="12" t="n">
        <f aca="false">E7/F7</f>
        <v>0.58</v>
      </c>
      <c r="I7" s="13" t="n">
        <f aca="false">F7*12/1000</f>
        <v>4.27011428571428</v>
      </c>
    </row>
    <row r="8" customFormat="false" ht="15" hidden="false" customHeight="false" outlineLevel="0" collapsed="false">
      <c r="A8" s="14" t="s">
        <v>15</v>
      </c>
      <c r="B8" s="15" t="n">
        <v>0.2</v>
      </c>
      <c r="C8" s="15" t="n">
        <v>0.58</v>
      </c>
      <c r="D8" s="6" t="n">
        <f aca="false">D7*(1+B8)</f>
        <v>179.3448</v>
      </c>
      <c r="E8" s="6" t="n">
        <f aca="false">F8-D8</f>
        <v>247.666628571428</v>
      </c>
      <c r="F8" s="6" t="n">
        <f aca="false">D8/(1-C8)</f>
        <v>427.011428571428</v>
      </c>
      <c r="G8" s="7" t="n">
        <f aca="false">D8/D7-1</f>
        <v>0.2</v>
      </c>
      <c r="H8" s="7" t="n">
        <f aca="false">E8/F8</f>
        <v>0.58</v>
      </c>
      <c r="I8" s="8" t="n">
        <f aca="false">F8*12/1000</f>
        <v>5.12413714285714</v>
      </c>
    </row>
    <row r="9" customFormat="false" ht="15" hidden="false" customHeight="false" outlineLevel="0" collapsed="false">
      <c r="A9" s="14" t="s">
        <v>16</v>
      </c>
      <c r="B9" s="15" t="n">
        <v>0.06</v>
      </c>
      <c r="C9" s="15" t="n">
        <v>0.58</v>
      </c>
      <c r="D9" s="11" t="n">
        <f aca="false">D8*(1+B9)</f>
        <v>190.105488</v>
      </c>
      <c r="E9" s="11" t="n">
        <f aca="false">F9-D9</f>
        <v>262.526626285714</v>
      </c>
      <c r="F9" s="11" t="n">
        <f aca="false">D9/(1-C9)</f>
        <v>452.632114285714</v>
      </c>
      <c r="G9" s="12" t="n">
        <f aca="false">D9/D8-1</f>
        <v>0.0600000000000001</v>
      </c>
      <c r="H9" s="12" t="n">
        <f aca="false">E9/F9</f>
        <v>0.58</v>
      </c>
      <c r="I9" s="13" t="n">
        <f aca="false">F9*12/1000</f>
        <v>5.43158537142857</v>
      </c>
    </row>
    <row r="10" customFormat="false" ht="15" hidden="false" customHeight="false" outlineLevel="0" collapsed="false">
      <c r="A10" s="14" t="s">
        <v>17</v>
      </c>
      <c r="B10" s="15" t="n">
        <v>0.42</v>
      </c>
      <c r="C10" s="15" t="n">
        <v>0.58</v>
      </c>
      <c r="D10" s="6" t="n">
        <f aca="false">D9*(1+B10)</f>
        <v>269.94979296</v>
      </c>
      <c r="E10" s="6" t="n">
        <f aca="false">F10-D10</f>
        <v>372.787809325714</v>
      </c>
      <c r="F10" s="6" t="n">
        <f aca="false">D10/(1-C10)</f>
        <v>642.737602285714</v>
      </c>
      <c r="G10" s="7" t="n">
        <f aca="false">D10/D9-1</f>
        <v>0.42</v>
      </c>
      <c r="H10" s="7" t="n">
        <f aca="false">E10/F10</f>
        <v>0.58</v>
      </c>
      <c r="I10" s="8" t="n">
        <f aca="false">F10*12/1000</f>
        <v>7.71285122742857</v>
      </c>
    </row>
    <row r="11" customFormat="false" ht="15" hidden="false" customHeight="false" outlineLevel="0" collapsed="false">
      <c r="A11" s="14" t="s">
        <v>18</v>
      </c>
      <c r="B11" s="15" t="n">
        <v>0.25</v>
      </c>
      <c r="C11" s="15" t="n">
        <v>0.58</v>
      </c>
      <c r="D11" s="11" t="n">
        <f aca="false">D10*(1+B11)</f>
        <v>337.4372412</v>
      </c>
      <c r="E11" s="11" t="n">
        <f aca="false">F11-D11</f>
        <v>465.984761657143</v>
      </c>
      <c r="F11" s="11" t="n">
        <f aca="false">D11/(1-C11)</f>
        <v>803.422002857143</v>
      </c>
      <c r="G11" s="12" t="n">
        <f aca="false">D11/D10-1</f>
        <v>0.25</v>
      </c>
      <c r="H11" s="12" t="n">
        <f aca="false">E11/F11</f>
        <v>0.58</v>
      </c>
      <c r="I11" s="13" t="n">
        <f aca="false">F11*12/1000</f>
        <v>9.64106403428571</v>
      </c>
    </row>
    <row r="12" customFormat="false" ht="15" hidden="false" customHeight="false" outlineLevel="0" collapsed="false">
      <c r="A12" s="14" t="s">
        <v>19</v>
      </c>
      <c r="B12" s="15" t="n">
        <v>0.16</v>
      </c>
      <c r="C12" s="15" t="n">
        <v>0.58</v>
      </c>
      <c r="D12" s="6" t="n">
        <f aca="false">D11*(1+B12)</f>
        <v>391.427199792</v>
      </c>
      <c r="E12" s="6" t="n">
        <f aca="false">F12-D12</f>
        <v>540.542323522286</v>
      </c>
      <c r="F12" s="6" t="n">
        <f aca="false">D12/(1-C12)</f>
        <v>931.969523314286</v>
      </c>
      <c r="G12" s="7" t="n">
        <f aca="false">D12/D11-1</f>
        <v>0.16</v>
      </c>
      <c r="H12" s="7" t="n">
        <f aca="false">E12/F12</f>
        <v>0.58</v>
      </c>
      <c r="I12" s="8" t="n">
        <f aca="false">F12*12/1000</f>
        <v>11.1836342797714</v>
      </c>
    </row>
    <row r="13" customFormat="false" ht="15" hidden="false" customHeight="false" outlineLevel="0" collapsed="false">
      <c r="A13" s="14" t="s">
        <v>20</v>
      </c>
      <c r="B13" s="15" t="n">
        <v>0.1</v>
      </c>
      <c r="C13" s="15" t="n">
        <v>0.58</v>
      </c>
      <c r="D13" s="11" t="n">
        <f aca="false">D12*(1+B13)</f>
        <v>430.5699197712</v>
      </c>
      <c r="E13" s="11" t="n">
        <f aca="false">F13-D13</f>
        <v>594.596555874514</v>
      </c>
      <c r="F13" s="11" t="n">
        <f aca="false">D13/(1-C13)</f>
        <v>1025.16647564571</v>
      </c>
      <c r="G13" s="12" t="n">
        <f aca="false">D13/D12-1</f>
        <v>0.1</v>
      </c>
      <c r="H13" s="12" t="n">
        <f aca="false">E13/F13</f>
        <v>0.58</v>
      </c>
      <c r="I13" s="13" t="n">
        <f aca="false">F13*12/1000</f>
        <v>12.3019977077486</v>
      </c>
    </row>
    <row r="15" customFormat="false" ht="15" hidden="false" customHeight="false" outlineLevel="0" collapsed="false">
      <c r="A15" s="16" t="s">
        <v>21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17" t="s">
        <v>22</v>
      </c>
      <c r="B16" s="18" t="s">
        <v>23</v>
      </c>
      <c r="C16" s="18"/>
      <c r="D16" s="18"/>
      <c r="E16" s="18"/>
      <c r="F16" s="18"/>
      <c r="G16" s="18"/>
      <c r="H16" s="18"/>
      <c r="I16" s="18"/>
    </row>
    <row r="17" customFormat="false" ht="15" hidden="false" customHeight="false" outlineLevel="0" collapsed="false">
      <c r="A17" s="17" t="s">
        <v>24</v>
      </c>
      <c r="B17" s="18" t="s">
        <v>25</v>
      </c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17" t="s">
        <v>26</v>
      </c>
      <c r="B18" s="18" t="s">
        <v>27</v>
      </c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17" t="s">
        <v>28</v>
      </c>
      <c r="B19" s="18" t="s">
        <v>29</v>
      </c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</row>
    <row r="21" customFormat="false" ht="15" hidden="false" customHeight="false" outlineLevel="0" collapsed="false">
      <c r="A21" s="17" t="s">
        <v>32</v>
      </c>
      <c r="B21" s="18" t="s">
        <v>33</v>
      </c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17" t="s">
        <v>34</v>
      </c>
      <c r="B22" s="18" t="s">
        <v>35</v>
      </c>
      <c r="C22" s="18"/>
      <c r="D22" s="18"/>
      <c r="E22" s="18"/>
      <c r="F22" s="18"/>
      <c r="G22" s="18"/>
      <c r="H22" s="18"/>
      <c r="I22" s="18"/>
    </row>
  </sheetData>
  <mergeCells count="10">
    <mergeCell ref="A1:I1"/>
    <mergeCell ref="A2:I2"/>
    <mergeCell ref="A15:I15"/>
    <mergeCell ref="B16:I16"/>
    <mergeCell ref="B17:I17"/>
    <mergeCell ref="B18:I18"/>
    <mergeCell ref="B19:I19"/>
    <mergeCell ref="B20:I20"/>
    <mergeCell ref="B21:I21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2"/>
  </cols>
  <sheetData>
    <row r="1" customFormat="false" ht="24" hidden="false" customHeight="true" outlineLevel="0" collapsed="false">
      <c r="A1" s="1" t="s">
        <v>36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37</v>
      </c>
      <c r="B2" s="2"/>
      <c r="C2" s="2"/>
      <c r="D2" s="2"/>
      <c r="E2" s="2"/>
    </row>
    <row r="4" customFormat="false" ht="15" hidden="false" customHeight="false" outlineLevel="0" collapsed="false">
      <c r="A4" s="19" t="s">
        <v>38</v>
      </c>
      <c r="B4" s="19"/>
      <c r="C4" s="19"/>
      <c r="D4" s="19"/>
      <c r="E4" s="19"/>
    </row>
    <row r="5" customFormat="false" ht="15" hidden="false" customHeight="false" outlineLevel="0" collapsed="false">
      <c r="A5" s="20" t="s">
        <v>2</v>
      </c>
      <c r="B5" s="20" t="s">
        <v>39</v>
      </c>
      <c r="C5" s="20" t="s">
        <v>40</v>
      </c>
      <c r="D5" s="20" t="s">
        <v>41</v>
      </c>
    </row>
    <row r="6" customFormat="false" ht="15" hidden="false" customHeight="false" outlineLevel="0" collapsed="false">
      <c r="A6" s="21" t="s">
        <v>22</v>
      </c>
      <c r="B6" s="15" t="n">
        <v>0.22</v>
      </c>
      <c r="C6" s="15" t="n">
        <v>0.38</v>
      </c>
      <c r="D6" s="15" t="n">
        <v>0.52</v>
      </c>
    </row>
    <row r="7" customFormat="false" ht="15" hidden="false" customHeight="false" outlineLevel="0" collapsed="false">
      <c r="A7" s="21" t="s">
        <v>24</v>
      </c>
      <c r="B7" s="15" t="n">
        <v>0.1</v>
      </c>
      <c r="C7" s="15" t="n">
        <v>0.2</v>
      </c>
      <c r="D7" s="15" t="n">
        <v>0.3</v>
      </c>
    </row>
    <row r="8" customFormat="false" ht="15" hidden="false" customHeight="false" outlineLevel="0" collapsed="false">
      <c r="A8" s="21" t="s">
        <v>26</v>
      </c>
      <c r="B8" s="15" t="n">
        <v>0.02</v>
      </c>
      <c r="C8" s="15" t="n">
        <v>0.06</v>
      </c>
      <c r="D8" s="15" t="n">
        <v>0.12</v>
      </c>
    </row>
    <row r="9" customFormat="false" ht="15" hidden="false" customHeight="false" outlineLevel="0" collapsed="false">
      <c r="A9" s="21" t="s">
        <v>28</v>
      </c>
      <c r="B9" s="15" t="n">
        <v>0.25</v>
      </c>
      <c r="C9" s="15" t="n">
        <v>0.42</v>
      </c>
      <c r="D9" s="15" t="n">
        <v>0.58</v>
      </c>
    </row>
    <row r="10" customFormat="false" ht="15" hidden="false" customHeight="false" outlineLevel="0" collapsed="false">
      <c r="A10" s="21" t="s">
        <v>30</v>
      </c>
      <c r="B10" s="15" t="n">
        <v>0.14</v>
      </c>
      <c r="C10" s="15" t="n">
        <v>0.25</v>
      </c>
      <c r="D10" s="15" t="n">
        <v>0.35</v>
      </c>
    </row>
    <row r="11" customFormat="false" ht="15" hidden="false" customHeight="false" outlineLevel="0" collapsed="false">
      <c r="A11" s="21" t="s">
        <v>32</v>
      </c>
      <c r="B11" s="15" t="n">
        <v>0.08</v>
      </c>
      <c r="C11" s="15" t="n">
        <v>0.16</v>
      </c>
      <c r="D11" s="15" t="n">
        <v>0.24</v>
      </c>
    </row>
    <row r="12" customFormat="false" ht="15" hidden="false" customHeight="false" outlineLevel="0" collapsed="false">
      <c r="A12" s="21" t="s">
        <v>34</v>
      </c>
      <c r="B12" s="15" t="n">
        <v>0.05</v>
      </c>
      <c r="C12" s="15" t="n">
        <v>0.1</v>
      </c>
      <c r="D12" s="15" t="n">
        <v>0.16</v>
      </c>
    </row>
    <row r="13" customFormat="false" ht="15" hidden="false" customHeight="false" outlineLevel="0" collapsed="false">
      <c r="A13" s="19" t="s">
        <v>42</v>
      </c>
      <c r="B13" s="19"/>
      <c r="C13" s="19"/>
      <c r="D13" s="19"/>
      <c r="E13" s="19"/>
    </row>
    <row r="14" customFormat="false" ht="15" hidden="false" customHeight="false" outlineLevel="0" collapsed="false">
      <c r="A14" s="20" t="s">
        <v>2</v>
      </c>
      <c r="B14" s="20" t="s">
        <v>39</v>
      </c>
      <c r="C14" s="20" t="s">
        <v>40</v>
      </c>
      <c r="D14" s="20" t="s">
        <v>41</v>
      </c>
    </row>
    <row r="15" customFormat="false" ht="15" hidden="false" customHeight="false" outlineLevel="0" collapsed="false">
      <c r="A15" s="9" t="s">
        <v>13</v>
      </c>
      <c r="B15" s="11" t="n">
        <v>108.3</v>
      </c>
      <c r="C15" s="11" t="n">
        <v>108.3</v>
      </c>
      <c r="D15" s="11" t="n">
        <v>108.3</v>
      </c>
    </row>
    <row r="16" customFormat="false" ht="15" hidden="false" customHeight="false" outlineLevel="0" collapsed="false">
      <c r="A16" s="22" t="s">
        <v>22</v>
      </c>
      <c r="B16" s="23" t="n">
        <f aca="false">B15*(1+B6)</f>
        <v>132.126</v>
      </c>
      <c r="C16" s="23" t="n">
        <f aca="false">C15*(1+C6)</f>
        <v>149.454</v>
      </c>
      <c r="D16" s="23" t="n">
        <f aca="false">D15*(1+D6)</f>
        <v>164.616</v>
      </c>
    </row>
    <row r="17" customFormat="false" ht="15" hidden="false" customHeight="false" outlineLevel="0" collapsed="false">
      <c r="A17" s="22" t="s">
        <v>24</v>
      </c>
      <c r="B17" s="23" t="n">
        <f aca="false">B16*(1+B7)</f>
        <v>145.3386</v>
      </c>
      <c r="C17" s="23" t="n">
        <f aca="false">C16*(1+C7)</f>
        <v>179.3448</v>
      </c>
      <c r="D17" s="23" t="n">
        <f aca="false">D16*(1+D7)</f>
        <v>214.0008</v>
      </c>
    </row>
    <row r="18" customFormat="false" ht="15" hidden="false" customHeight="false" outlineLevel="0" collapsed="false">
      <c r="A18" s="22" t="s">
        <v>26</v>
      </c>
      <c r="B18" s="23" t="n">
        <f aca="false">B17*(1+B8)</f>
        <v>148.245372</v>
      </c>
      <c r="C18" s="23" t="n">
        <f aca="false">C17*(1+C8)</f>
        <v>190.105488</v>
      </c>
      <c r="D18" s="23" t="n">
        <f aca="false">D17*(1+D8)</f>
        <v>239.680896</v>
      </c>
    </row>
    <row r="19" customFormat="false" ht="15" hidden="false" customHeight="false" outlineLevel="0" collapsed="false">
      <c r="A19" s="22" t="s">
        <v>28</v>
      </c>
      <c r="B19" s="23" t="n">
        <f aca="false">B18*(1+B9)</f>
        <v>185.306715</v>
      </c>
      <c r="C19" s="23" t="n">
        <f aca="false">C18*(1+C9)</f>
        <v>269.94979296</v>
      </c>
      <c r="D19" s="23" t="n">
        <f aca="false">D18*(1+D9)</f>
        <v>378.69581568</v>
      </c>
    </row>
    <row r="20" customFormat="false" ht="15" hidden="false" customHeight="false" outlineLevel="0" collapsed="false">
      <c r="A20" s="22" t="s">
        <v>30</v>
      </c>
      <c r="B20" s="23" t="n">
        <f aca="false">B19*(1+B10)</f>
        <v>211.2496551</v>
      </c>
      <c r="C20" s="23" t="n">
        <f aca="false">C19*(1+C10)</f>
        <v>337.4372412</v>
      </c>
      <c r="D20" s="23" t="n">
        <f aca="false">D19*(1+D10)</f>
        <v>511.239351168</v>
      </c>
    </row>
    <row r="21" customFormat="false" ht="15" hidden="false" customHeight="false" outlineLevel="0" collapsed="false">
      <c r="A21" s="22" t="s">
        <v>32</v>
      </c>
      <c r="B21" s="23" t="n">
        <f aca="false">B20*(1+B11)</f>
        <v>228.149627508</v>
      </c>
      <c r="C21" s="23" t="n">
        <f aca="false">C20*(1+C11)</f>
        <v>391.427199792</v>
      </c>
      <c r="D21" s="23" t="n">
        <f aca="false">D20*(1+D11)</f>
        <v>633.93679544832</v>
      </c>
    </row>
    <row r="22" customFormat="false" ht="15" hidden="false" customHeight="false" outlineLevel="0" collapsed="false">
      <c r="A22" s="22" t="s">
        <v>34</v>
      </c>
      <c r="B22" s="23" t="n">
        <f aca="false">B21*(1+B12)</f>
        <v>239.5571088834</v>
      </c>
      <c r="C22" s="23" t="n">
        <f aca="false">C21*(1+C12)</f>
        <v>430.5699197712</v>
      </c>
      <c r="D22" s="23" t="n">
        <f aca="false">D21*(1+D12)</f>
        <v>735.366682720051</v>
      </c>
    </row>
    <row r="23" customFormat="false" ht="15" hidden="false" customHeight="false" outlineLevel="0" collapsed="false">
      <c r="A23" s="19" t="s">
        <v>43</v>
      </c>
      <c r="B23" s="19"/>
      <c r="C23" s="19"/>
      <c r="D23" s="19"/>
      <c r="E23" s="19"/>
    </row>
    <row r="24" customFormat="false" ht="15" hidden="false" customHeight="false" outlineLevel="0" collapsed="false">
      <c r="A24" s="20" t="s">
        <v>44</v>
      </c>
      <c r="B24" s="20" t="s">
        <v>39</v>
      </c>
      <c r="C24" s="20" t="s">
        <v>40</v>
      </c>
      <c r="D24" s="20" t="s">
        <v>41</v>
      </c>
    </row>
    <row r="25" customFormat="false" ht="15" hidden="false" customHeight="false" outlineLevel="0" collapsed="false">
      <c r="A25" s="22" t="s">
        <v>45</v>
      </c>
      <c r="B25" s="24" t="n">
        <v>0.56</v>
      </c>
      <c r="C25" s="24" t="n">
        <v>0.58</v>
      </c>
      <c r="D25" s="24" t="n">
        <v>0.61</v>
      </c>
    </row>
    <row r="26" customFormat="false" ht="15" hidden="false" customHeight="false" outlineLevel="0" collapsed="false">
      <c r="A26" s="22" t="s">
        <v>46</v>
      </c>
      <c r="B26" s="23" t="n">
        <f aca="false">B22</f>
        <v>239.5571088834</v>
      </c>
      <c r="C26" s="25" t="n">
        <f aca="false">C22</f>
        <v>430.5699197712</v>
      </c>
      <c r="D26" s="23" t="n">
        <f aca="false">D22</f>
        <v>735.366682720051</v>
      </c>
    </row>
    <row r="27" customFormat="false" ht="15" hidden="false" customHeight="false" outlineLevel="0" collapsed="false">
      <c r="A27" s="22" t="s">
        <v>47</v>
      </c>
      <c r="B27" s="23" t="n">
        <f aca="false">B26/(1-B25)</f>
        <v>544.447974735</v>
      </c>
      <c r="C27" s="25" t="n">
        <f aca="false">C26/(1-C25)</f>
        <v>1025.16647564571</v>
      </c>
      <c r="D27" s="23" t="n">
        <f aca="false">D26/(1-D25)</f>
        <v>1885.55559671808</v>
      </c>
    </row>
    <row r="28" customFormat="false" ht="15" hidden="false" customHeight="false" outlineLevel="0" collapsed="false">
      <c r="A28" s="22" t="s">
        <v>48</v>
      </c>
      <c r="B28" s="26" t="n">
        <f aca="false">B26*12/1000</f>
        <v>2.8746853066008</v>
      </c>
      <c r="C28" s="27" t="n">
        <f aca="false">C26*12/1000</f>
        <v>5.1668390372544</v>
      </c>
      <c r="D28" s="26" t="n">
        <f aca="false">D26*12/1000</f>
        <v>8.82440019264062</v>
      </c>
    </row>
    <row r="29" customFormat="false" ht="15" hidden="false" customHeight="false" outlineLevel="0" collapsed="false">
      <c r="A29" s="22" t="s">
        <v>49</v>
      </c>
      <c r="B29" s="26" t="n">
        <f aca="false">B27*12/1000</f>
        <v>6.53337569682</v>
      </c>
      <c r="C29" s="27" t="n">
        <f aca="false">C27*12/1000</f>
        <v>12.3019977077486</v>
      </c>
      <c r="D29" s="26" t="n">
        <f aca="false">D27*12/1000</f>
        <v>22.626667160617</v>
      </c>
    </row>
    <row r="30" customFormat="false" ht="15" hidden="false" customHeight="false" outlineLevel="0" collapsed="false">
      <c r="A30" s="22" t="s">
        <v>50</v>
      </c>
      <c r="B30" s="28" t="n">
        <v>1.56</v>
      </c>
      <c r="C30" s="28" t="n">
        <v>2.02</v>
      </c>
      <c r="D30" s="28" t="n">
        <v>2.44</v>
      </c>
    </row>
    <row r="31" customFormat="false" ht="15" hidden="false" customHeight="false" outlineLevel="0" collapsed="false">
      <c r="A31" s="22" t="s">
        <v>51</v>
      </c>
      <c r="B31" s="24" t="n">
        <v>0.35</v>
      </c>
      <c r="C31" s="24" t="n">
        <v>0.35</v>
      </c>
      <c r="D31" s="24" t="n">
        <v>0.35</v>
      </c>
    </row>
    <row r="32" customFormat="false" ht="15" hidden="false" customHeight="false" outlineLevel="0" collapsed="false">
      <c r="A32" s="22" t="s">
        <v>52</v>
      </c>
      <c r="B32" s="29" t="n">
        <f aca="false">B30*B31</f>
        <v>0.546</v>
      </c>
      <c r="C32" s="30" t="n">
        <f aca="false">C30*C31</f>
        <v>0.707</v>
      </c>
      <c r="D32" s="29" t="n">
        <f aca="false">D30*D31</f>
        <v>0.854</v>
      </c>
    </row>
    <row r="33" customFormat="false" ht="15" hidden="false" customHeight="false" outlineLevel="0" collapsed="false">
      <c r="A33" s="22" t="s">
        <v>53</v>
      </c>
      <c r="B33" s="31" t="n">
        <f aca="false">B26/B32</f>
        <v>438.749283669231</v>
      </c>
      <c r="C33" s="31" t="n">
        <f aca="false">C26/C32</f>
        <v>609.009787512306</v>
      </c>
      <c r="D33" s="31" t="n">
        <f aca="false">D26/D32</f>
        <v>861.085108571489</v>
      </c>
    </row>
    <row r="35" customFormat="false" ht="30" hidden="false" customHeight="true" outlineLevel="0" collapsed="false">
      <c r="A35" s="32" t="s">
        <v>54</v>
      </c>
      <c r="B35" s="32"/>
      <c r="C35" s="32"/>
      <c r="D35" s="32"/>
      <c r="E35" s="32"/>
    </row>
  </sheetData>
  <mergeCells count="6">
    <mergeCell ref="A1:E1"/>
    <mergeCell ref="A2:E2"/>
    <mergeCell ref="A4:E4"/>
    <mergeCell ref="A13:E13"/>
    <mergeCell ref="A23:E23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21.75" hidden="false" customHeight="true" outlineLevel="0" collapsed="false">
      <c r="A1" s="1" t="s">
        <v>55</v>
      </c>
      <c r="B1" s="1"/>
    </row>
    <row r="3" customFormat="false" ht="15" hidden="false" customHeight="false" outlineLevel="0" collapsed="false">
      <c r="A3" s="33" t="s">
        <v>56</v>
      </c>
      <c r="B3" s="33"/>
    </row>
    <row r="4" customFormat="false" ht="30" hidden="false" customHeight="true" outlineLevel="0" collapsed="false">
      <c r="A4" s="34" t="s">
        <v>57</v>
      </c>
      <c r="B4" s="34"/>
    </row>
    <row r="5" customFormat="false" ht="30" hidden="false" customHeight="true" outlineLevel="0" collapsed="false">
      <c r="A5" s="34" t="s">
        <v>58</v>
      </c>
      <c r="B5" s="34"/>
    </row>
    <row r="6" customFormat="false" ht="15" hidden="false" customHeight="false" outlineLevel="0" collapsed="false">
      <c r="A6" s="33" t="s">
        <v>59</v>
      </c>
      <c r="B6" s="33"/>
    </row>
    <row r="7" customFormat="false" ht="30" hidden="false" customHeight="true" outlineLevel="0" collapsed="false">
      <c r="A7" s="34" t="s">
        <v>60</v>
      </c>
      <c r="B7" s="34"/>
    </row>
    <row r="8" customFormat="false" ht="15" hidden="false" customHeight="false" outlineLevel="0" collapsed="false">
      <c r="A8" s="33" t="s">
        <v>61</v>
      </c>
      <c r="B8" s="33"/>
    </row>
    <row r="9" customFormat="false" ht="30" hidden="false" customHeight="true" outlineLevel="0" collapsed="false">
      <c r="A9" s="34" t="s">
        <v>62</v>
      </c>
      <c r="B9" s="34"/>
    </row>
    <row r="10" customFormat="false" ht="30" hidden="false" customHeight="true" outlineLevel="0" collapsed="false">
      <c r="A10" s="34" t="s">
        <v>63</v>
      </c>
      <c r="B10" s="34"/>
    </row>
    <row r="11" customFormat="false" ht="15" hidden="false" customHeight="false" outlineLevel="0" collapsed="false">
      <c r="A11" s="33" t="s">
        <v>64</v>
      </c>
      <c r="B11" s="33"/>
    </row>
    <row r="12" customFormat="false" ht="30" hidden="false" customHeight="true" outlineLevel="0" collapsed="false">
      <c r="A12" s="34" t="s">
        <v>65</v>
      </c>
      <c r="B12" s="34"/>
    </row>
    <row r="13" customFormat="false" ht="30" hidden="false" customHeight="true" outlineLevel="0" collapsed="false">
      <c r="A13" s="34" t="s">
        <v>66</v>
      </c>
      <c r="B13" s="34"/>
    </row>
    <row r="14" customFormat="false" ht="15" hidden="false" customHeight="true" outlineLevel="0" collapsed="false">
      <c r="A14" s="34" t="s">
        <v>67</v>
      </c>
      <c r="B14" s="34"/>
    </row>
  </sheetData>
  <mergeCells count="13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2026-06-09T14:28:08Z</dcterms:created>
  <dc:creator>openpyxl</dc:creator>
  <dc:description/>
  <dc:language>en-US</dc:language>
  <cp:lastModifiedBy/>
  <dcterms:modified xsi:type="dcterms:W3CDTF">2026-06-09T14:28:11Z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