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Model" sheetId="1" state="visible" r:id="rId3"/>
  </sheets>
  <definedNames>
    <definedName function="false" hidden="false" localSheetId="0" name="_xlnm.Print_Area" vbProcedure="false">'Scenario Model'!$B$2:$G$58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<sst xmlns="http://schemas.openxmlformats.org/spreadsheetml/2006/main" count="53" uniqueCount="49">
  <si>
    <t xml:space="preserve">TKO - May 6 Q1 Call Scenario: Jun 27 WWE Riyadh + Jul 26 UFC Abu Dhabi</t>
  </si>
  <si>
    <t xml:space="preserve">Sizing 2026E revenue/EBITDA impact if TKO announces that either or both ME events need to relocate</t>
  </si>
  <si>
    <t xml:space="preserve">INPUTS &amp; ASSUMPTIONS  (blue = editable)</t>
  </si>
  <si>
    <t xml:space="preserve">WWE Night of Champions
(Jun 27, Riyadh)</t>
  </si>
  <si>
    <t xml:space="preserve">UFC Fight Night
(Jul 26, Abu Dhabi)</t>
  </si>
  <si>
    <t xml:space="preserve">Site fee revenue (ME host)</t>
  </si>
  <si>
    <t xml:space="preserve">Contribution margin on site fee</t>
  </si>
  <si>
    <t xml:space="preserve">US replacement revenue (gate + FIP + sponsorship)</t>
  </si>
  <si>
    <t xml:space="preserve">Contribution margin on US replacement</t>
  </si>
  <si>
    <t xml:space="preserve">WWE: $55M site fee confirmed by Shapiro on Q4 25 call (per WON / 411Mania Feb 28). Near-pure margin - Saudi pays in full.</t>
  </si>
  <si>
    <t xml:space="preserve">UFC: DCT-Abu Dhabi partnership through 2028; forum reporting suggests ~$25M/event, we use $20M for this Fight Night (smaller than numbered event).</t>
  </si>
  <si>
    <t xml:space="preserve">TKO 2026E BASE MODEL</t>
  </si>
  <si>
    <t xml:space="preserve">Bernstein 2026E Revenue ($M)</t>
  </si>
  <si>
    <t xml:space="preserve">Bernstein 2026E Adj. EBITDA ($M)</t>
  </si>
  <si>
    <t xml:space="preserve">Source: Bernstein Feb 26, 2026 model. Guide midpoints: Revenue $5,725M, EBITDA $2,265M.</t>
  </si>
  <si>
    <t xml:space="preserve">SCENARIO ANALYSIS</t>
  </si>
  <si>
    <t xml:space="preserve">Status Quo
(both held)</t>
  </si>
  <si>
    <t xml:space="preserve">Both events
relocated to US</t>
  </si>
  <si>
    <t xml:space="preserve">Both cancelled,
no replacement</t>
  </si>
  <si>
    <t xml:space="preserve">Only WWE moved
(UFC held)*</t>
  </si>
  <si>
    <t xml:space="preserve">Only UFC moved
(WWE held)</t>
  </si>
  <si>
    <t xml:space="preserve">REVENUE ($M)</t>
  </si>
  <si>
    <t xml:space="preserve">  WWE Night of Champions - Saudi site fee</t>
  </si>
  <si>
    <t xml:space="preserve">  WWE Night of Champions - US replacement</t>
  </si>
  <si>
    <t xml:space="preserve">  UFC Fight Night - Abu Dhabi site fee</t>
  </si>
  <si>
    <t xml:space="preserve">  UFC Fight Night - US replacement</t>
  </si>
  <si>
    <t xml:space="preserve">Total revenue from both events</t>
  </si>
  <si>
    <t xml:space="preserve">Revenue delta vs. Status Quo</t>
  </si>
  <si>
    <t xml:space="preserve">EBITDA ($M)</t>
  </si>
  <si>
    <t xml:space="preserve">Total EBITDA from both events</t>
  </si>
  <si>
    <t xml:space="preserve">EBITDA delta vs. Status Quo</t>
  </si>
  <si>
    <t xml:space="preserve">CONSOLIDATED 2026E IMPACT</t>
  </si>
  <si>
    <t xml:space="preserve">Adjusted 2026E Revenue ($M)</t>
  </si>
  <si>
    <t xml:space="preserve">Adjusted 2026E Adj. EBITDA ($M)</t>
  </si>
  <si>
    <t xml:space="preserve">Implied 2026E EBITDA margin</t>
  </si>
  <si>
    <t xml:space="preserve">EBITDA impact vs. base ($M)</t>
  </si>
  <si>
    <t xml:space="preserve">EBITDA impact as % of base</t>
  </si>
  <si>
    <t xml:space="preserve">KEY TAKEAWAYS</t>
  </si>
  <si>
    <t xml:space="preserve">1. Across all four disruption scenarios, the 2026E EBITDA hit is bounded at ~0.5-3% of base, or roughly $16M to $63M.</t>
  </si>
  <si>
    <t xml:space="preserve">2. The most realistic case - both events relocated to US - drives a ~2% EBITDA hit. Management has a proven playbook here (Crown Jewel moved from Riyadh to Perth in 2025).</t>
  </si>
  <si>
    <t xml:space="preserve">3. The PIF-specific scenario (WWE moved, UFC Abu Dhabi held) drives a ~1.5% hit. Abu Dhabi's UFC partnership flows through UAE's Dept. of Culture &amp; Tourism, not PIF, so the LIV read-across technically should not affect the Jul 26 event.</t>
  </si>
  <si>
    <t xml:space="preserve">4. The inverse (UFC moved, WWE held) is the smallest impact at ~0.5%. This is the least likely scenario given Saudi is the larger and more politically-sensitive exposure, but it bookends the range.</t>
  </si>
  <si>
    <t xml:space="preserve">5. Context: even the 'both cancelled' tail is dwarfed by the Feb 26 Iran scenario work, which sized full-ME loss at $88-226M of EBITDA. Ian's narrower scenario captures the realistic May 6 announcement risk.</t>
  </si>
  <si>
    <t xml:space="preserve">SOURCES</t>
  </si>
  <si>
    <t xml:space="preserve">Night of Champions Jun 27, 2026 Riyadh: WWE corporate press release, Apr 23, 2026; confirmed by SI, Wrestletalk, F4W, 411Mania</t>
  </si>
  <si>
    <t xml:space="preserve">UFC Fight Night Jul 26, 2026 Abu Dhabi (Etihad Arena): Experience Abu Dhabi, Etihad Arena, Yas Island official event listings</t>
  </si>
  <si>
    <t xml:space="preserve">WWE $55M site fee: Shapiro Q4 25 earnings call (per WON/411Mania Feb 28, 2026); same rate as Royal Rumble 2026</t>
  </si>
  <si>
    <t xml:space="preserve">UFC Abu Dhabi site fee: DCT-Abu Dhabi partnership extended through 2028; forum sources cite ~$25M/event; we use $20M conservative for Fight Night</t>
  </si>
  <si>
    <t xml:space="preserve">TKO 2026E Revenue $5,773M / EBITDA $2,281M: Bernstein Feb 26, 2026 note; guide midpoints $5,725M / $2,265M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</si>
</sst>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;&quot;($&quot;#,##0.0\);\-"/>
    <numFmt numFmtId="166" formatCode="0.0%;\(0.0%\);\-"/>
    <numFmt numFmtId="167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  <fill>
      <patternFill patternType="solid">
        <fgColor rgb="FFFFF2CC"/>
        <bgColor rgb="FFE7E6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0" width="46"/>
    <col collapsed="false" customWidth="true" hidden="false" outlineLevel="0" max="7" min="3" style="0" width="14"/>
    <col collapsed="false" customWidth="true" hidden="false" outlineLevel="0" max="8" min="8" style="0" width="2"/>
  </cols>
  <sheetData>
    <row r="2" customFormat="false" ht="17.3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true" outlineLevel="0" collapsed="false">
      <c r="B3" s="2" t="s">
        <v>1</v>
      </c>
      <c r="C3" s="2"/>
      <c r="D3" s="2"/>
      <c r="E3" s="2"/>
      <c r="F3" s="2"/>
      <c r="G3" s="2"/>
    </row>
    <row r="5" customFormat="false" ht="15" hidden="false" customHeight="true" outlineLevel="0" collapsed="false">
      <c r="B5" s="3" t="s">
        <v>2</v>
      </c>
      <c r="C5" s="3"/>
      <c r="D5" s="3"/>
      <c r="E5" s="3"/>
      <c r="F5" s="3"/>
      <c r="G5" s="3"/>
    </row>
    <row r="6" customFormat="false" ht="31.5" hidden="false" customHeight="true" outlineLevel="0" collapsed="false">
      <c r="C6" s="4" t="s">
        <v>3</v>
      </c>
      <c r="D6" s="4"/>
      <c r="E6" s="4" t="s">
        <v>4</v>
      </c>
      <c r="F6" s="4"/>
    </row>
    <row r="7" customFormat="false" ht="15" hidden="false" customHeight="false" outlineLevel="0" collapsed="false">
      <c r="B7" s="5" t="s">
        <v>5</v>
      </c>
      <c r="C7" s="6" t="n">
        <v>55</v>
      </c>
      <c r="D7" s="6"/>
      <c r="E7" s="6" t="n">
        <v>20</v>
      </c>
      <c r="F7" s="6"/>
    </row>
    <row r="8" customFormat="false" ht="15" hidden="false" customHeight="false" outlineLevel="0" collapsed="false">
      <c r="B8" s="5" t="s">
        <v>6</v>
      </c>
      <c r="C8" s="7" t="n">
        <v>0.85</v>
      </c>
      <c r="D8" s="7"/>
      <c r="E8" s="7" t="n">
        <v>0.8</v>
      </c>
      <c r="F8" s="7"/>
    </row>
    <row r="9" customFormat="false" ht="15" hidden="false" customHeight="false" outlineLevel="0" collapsed="false">
      <c r="B9" s="5" t="s">
        <v>7</v>
      </c>
      <c r="C9" s="6" t="n">
        <v>22</v>
      </c>
      <c r="D9" s="6"/>
      <c r="E9" s="6" t="n">
        <v>8</v>
      </c>
      <c r="F9" s="6"/>
    </row>
    <row r="10" customFormat="false" ht="15" hidden="false" customHeight="false" outlineLevel="0" collapsed="false">
      <c r="B10" s="5" t="s">
        <v>8</v>
      </c>
      <c r="C10" s="7" t="n">
        <v>0.55</v>
      </c>
      <c r="D10" s="7"/>
      <c r="E10" s="7" t="n">
        <v>0.45</v>
      </c>
      <c r="F10" s="7"/>
    </row>
    <row r="11" customFormat="false" ht="13.5" hidden="false" customHeight="true" outlineLevel="0" collapsed="false">
      <c r="B11" s="8" t="s">
        <v>9</v>
      </c>
      <c r="C11" s="8"/>
      <c r="D11" s="8"/>
      <c r="E11" s="8"/>
      <c r="F11" s="8"/>
      <c r="G11" s="8"/>
    </row>
    <row r="12" customFormat="false" ht="13.5" hidden="false" customHeight="true" outlineLevel="0" collapsed="false">
      <c r="B12" s="8" t="s">
        <v>10</v>
      </c>
      <c r="C12" s="8"/>
      <c r="D12" s="8"/>
      <c r="E12" s="8"/>
      <c r="F12" s="8"/>
      <c r="G12" s="8"/>
    </row>
    <row r="14" customFormat="false" ht="15" hidden="false" customHeight="true" outlineLevel="0" collapsed="false">
      <c r="B14" s="3" t="s">
        <v>11</v>
      </c>
      <c r="C14" s="3"/>
      <c r="D14" s="3"/>
      <c r="E14" s="3"/>
      <c r="F14" s="3"/>
      <c r="G14" s="3"/>
    </row>
    <row r="15" customFormat="false" ht="15" hidden="false" customHeight="false" outlineLevel="0" collapsed="false">
      <c r="B15" s="5" t="s">
        <v>12</v>
      </c>
      <c r="C15" s="9" t="n">
        <v>5773</v>
      </c>
      <c r="D15" s="9"/>
    </row>
    <row r="16" customFormat="false" ht="15" hidden="false" customHeight="false" outlineLevel="0" collapsed="false">
      <c r="B16" s="5" t="s">
        <v>13</v>
      </c>
      <c r="C16" s="9" t="n">
        <v>2281</v>
      </c>
      <c r="D16" s="9"/>
    </row>
    <row r="17" customFormat="false" ht="13.5" hidden="false" customHeight="true" outlineLevel="0" collapsed="false">
      <c r="B17" s="8" t="s">
        <v>14</v>
      </c>
      <c r="C17" s="8"/>
      <c r="D17" s="8"/>
      <c r="E17" s="8"/>
      <c r="F17" s="8"/>
      <c r="G17" s="8"/>
    </row>
    <row r="19" customFormat="false" ht="15" hidden="false" customHeight="true" outlineLevel="0" collapsed="false">
      <c r="B19" s="3" t="s">
        <v>15</v>
      </c>
      <c r="C19" s="3"/>
      <c r="D19" s="3"/>
      <c r="E19" s="3"/>
      <c r="F19" s="3"/>
      <c r="G19" s="3"/>
    </row>
    <row r="20" customFormat="false" ht="45" hidden="false" customHeight="true" outlineLevel="0" collapsed="false">
      <c r="B20" s="10"/>
      <c r="C20" s="11" t="s">
        <v>16</v>
      </c>
      <c r="D20" s="11" t="s">
        <v>17</v>
      </c>
      <c r="E20" s="11" t="s">
        <v>18</v>
      </c>
      <c r="F20" s="11" t="s">
        <v>19</v>
      </c>
      <c r="G20" s="11" t="s">
        <v>20</v>
      </c>
    </row>
    <row r="21" customFormat="false" ht="15" hidden="false" customHeight="false" outlineLevel="0" collapsed="false">
      <c r="B21" s="12" t="s">
        <v>21</v>
      </c>
      <c r="C21" s="13"/>
      <c r="D21" s="13"/>
      <c r="E21" s="13"/>
      <c r="F21" s="13"/>
      <c r="G21" s="13"/>
    </row>
    <row r="22" customFormat="false" ht="15" hidden="false" customHeight="false" outlineLevel="0" collapsed="false">
      <c r="B22" s="5" t="s">
        <v>22</v>
      </c>
      <c r="C22" s="14" t="n">
        <f aca="false">C7</f>
        <v>55</v>
      </c>
      <c r="D22" s="14" t="n">
        <v>0</v>
      </c>
      <c r="E22" s="14" t="n">
        <v>0</v>
      </c>
      <c r="F22" s="14" t="n">
        <v>0</v>
      </c>
      <c r="G22" s="14" t="n">
        <f aca="false">C7</f>
        <v>55</v>
      </c>
    </row>
    <row r="23" customFormat="false" ht="15" hidden="false" customHeight="false" outlineLevel="0" collapsed="false">
      <c r="B23" s="5" t="s">
        <v>23</v>
      </c>
      <c r="C23" s="14" t="n">
        <v>0</v>
      </c>
      <c r="D23" s="14" t="n">
        <f aca="false">C9</f>
        <v>22</v>
      </c>
      <c r="E23" s="14" t="n">
        <v>0</v>
      </c>
      <c r="F23" s="14" t="n">
        <f aca="false">C9</f>
        <v>22</v>
      </c>
      <c r="G23" s="14" t="n">
        <v>0</v>
      </c>
    </row>
    <row r="24" customFormat="false" ht="15" hidden="false" customHeight="false" outlineLevel="0" collapsed="false">
      <c r="B24" s="5" t="s">
        <v>24</v>
      </c>
      <c r="C24" s="14" t="n">
        <f aca="false">E7</f>
        <v>20</v>
      </c>
      <c r="D24" s="14" t="n">
        <v>0</v>
      </c>
      <c r="E24" s="14" t="n">
        <v>0</v>
      </c>
      <c r="F24" s="14" t="n">
        <f aca="false">E7</f>
        <v>20</v>
      </c>
      <c r="G24" s="14" t="n">
        <v>0</v>
      </c>
    </row>
    <row r="25" customFormat="false" ht="15" hidden="false" customHeight="false" outlineLevel="0" collapsed="false">
      <c r="B25" s="5" t="s">
        <v>25</v>
      </c>
      <c r="C25" s="14" t="n">
        <v>0</v>
      </c>
      <c r="D25" s="14" t="n">
        <f aca="false">E9</f>
        <v>8</v>
      </c>
      <c r="E25" s="14" t="n">
        <v>0</v>
      </c>
      <c r="F25" s="14" t="n">
        <v>0</v>
      </c>
      <c r="G25" s="14" t="n">
        <f aca="false">E9</f>
        <v>8</v>
      </c>
    </row>
    <row r="26" customFormat="false" ht="15" hidden="false" customHeight="false" outlineLevel="0" collapsed="false">
      <c r="B26" s="12" t="s">
        <v>26</v>
      </c>
      <c r="C26" s="15" t="n">
        <f aca="false">SUM(C22:C25)</f>
        <v>75</v>
      </c>
      <c r="D26" s="15" t="n">
        <f aca="false">SUM(D22:D25)</f>
        <v>30</v>
      </c>
      <c r="E26" s="15" t="n">
        <f aca="false">SUM(E22:E25)</f>
        <v>0</v>
      </c>
      <c r="F26" s="15" t="n">
        <f aca="false">SUM(F22:F25)</f>
        <v>42</v>
      </c>
      <c r="G26" s="15" t="n">
        <f aca="false">SUM(G22:G25)</f>
        <v>63</v>
      </c>
    </row>
    <row r="27" customFormat="false" ht="15" hidden="false" customHeight="false" outlineLevel="0" collapsed="false">
      <c r="B27" s="16" t="s">
        <v>27</v>
      </c>
      <c r="C27" s="17" t="n">
        <f aca="false">C26-$C$26</f>
        <v>0</v>
      </c>
      <c r="D27" s="17" t="n">
        <f aca="false">D26-$C$26</f>
        <v>-45</v>
      </c>
      <c r="E27" s="17" t="n">
        <f aca="false">E26-$C$26</f>
        <v>-75</v>
      </c>
      <c r="F27" s="17" t="n">
        <f aca="false">F26-$C$26</f>
        <v>-33</v>
      </c>
      <c r="G27" s="17" t="n">
        <f aca="false">G26-$C$26</f>
        <v>-12</v>
      </c>
    </row>
    <row r="29" customFormat="false" ht="15" hidden="false" customHeight="false" outlineLevel="0" collapsed="false">
      <c r="B29" s="12" t="s">
        <v>28</v>
      </c>
      <c r="C29" s="13"/>
      <c r="D29" s="13"/>
      <c r="E29" s="13"/>
      <c r="F29" s="13"/>
      <c r="G29" s="13"/>
    </row>
    <row r="30" customFormat="false" ht="15" hidden="false" customHeight="false" outlineLevel="0" collapsed="false">
      <c r="B30" s="5" t="s">
        <v>22</v>
      </c>
      <c r="C30" s="14" t="n">
        <f aca="false">C22*$C$8</f>
        <v>46.75</v>
      </c>
      <c r="D30" s="14" t="n">
        <f aca="false">D22*$C$8</f>
        <v>0</v>
      </c>
      <c r="E30" s="14" t="n">
        <f aca="false">E22*$C$8</f>
        <v>0</v>
      </c>
      <c r="F30" s="14" t="n">
        <f aca="false">F22*$C$8</f>
        <v>0</v>
      </c>
      <c r="G30" s="14" t="n">
        <f aca="false">G22*$C$8</f>
        <v>46.75</v>
      </c>
    </row>
    <row r="31" customFormat="false" ht="15" hidden="false" customHeight="false" outlineLevel="0" collapsed="false">
      <c r="B31" s="5" t="s">
        <v>23</v>
      </c>
      <c r="C31" s="14" t="n">
        <f aca="false">C23*$C$10</f>
        <v>0</v>
      </c>
      <c r="D31" s="14" t="n">
        <f aca="false">D23*$C$10</f>
        <v>12.1</v>
      </c>
      <c r="E31" s="14" t="n">
        <f aca="false">E23*$C$10</f>
        <v>0</v>
      </c>
      <c r="F31" s="14" t="n">
        <f aca="false">F23*$C$10</f>
        <v>12.1</v>
      </c>
      <c r="G31" s="14" t="n">
        <f aca="false">G23*$C$10</f>
        <v>0</v>
      </c>
    </row>
    <row r="32" customFormat="false" ht="15" hidden="false" customHeight="false" outlineLevel="0" collapsed="false">
      <c r="B32" s="5" t="s">
        <v>24</v>
      </c>
      <c r="C32" s="14" t="n">
        <f aca="false">C24*$E$8</f>
        <v>16</v>
      </c>
      <c r="D32" s="14" t="n">
        <f aca="false">D24*$E$8</f>
        <v>0</v>
      </c>
      <c r="E32" s="14" t="n">
        <f aca="false">E24*$E$8</f>
        <v>0</v>
      </c>
      <c r="F32" s="14" t="n">
        <f aca="false">F24*$E$8</f>
        <v>16</v>
      </c>
      <c r="G32" s="14" t="n">
        <f aca="false">G24*$E$8</f>
        <v>0</v>
      </c>
    </row>
    <row r="33" customFormat="false" ht="15" hidden="false" customHeight="false" outlineLevel="0" collapsed="false">
      <c r="B33" s="5" t="s">
        <v>25</v>
      </c>
      <c r="C33" s="14" t="n">
        <f aca="false">C25*$E$10</f>
        <v>0</v>
      </c>
      <c r="D33" s="14" t="n">
        <f aca="false">D25*$E$10</f>
        <v>3.6</v>
      </c>
      <c r="E33" s="14" t="n">
        <f aca="false">E25*$E$10</f>
        <v>0</v>
      </c>
      <c r="F33" s="14" t="n">
        <f aca="false">F25*$E$10</f>
        <v>0</v>
      </c>
      <c r="G33" s="14" t="n">
        <f aca="false">G25*$E$10</f>
        <v>3.6</v>
      </c>
    </row>
    <row r="34" customFormat="false" ht="15" hidden="false" customHeight="false" outlineLevel="0" collapsed="false">
      <c r="B34" s="12" t="s">
        <v>29</v>
      </c>
      <c r="C34" s="15" t="n">
        <f aca="false">SUM(C30:C33)</f>
        <v>62.75</v>
      </c>
      <c r="D34" s="15" t="n">
        <f aca="false">SUM(D30:D33)</f>
        <v>15.7</v>
      </c>
      <c r="E34" s="15" t="n">
        <f aca="false">SUM(E30:E33)</f>
        <v>0</v>
      </c>
      <c r="F34" s="15" t="n">
        <f aca="false">SUM(F30:F33)</f>
        <v>28.1</v>
      </c>
      <c r="G34" s="15" t="n">
        <f aca="false">SUM(G30:G33)</f>
        <v>50.35</v>
      </c>
    </row>
    <row r="35" customFormat="false" ht="15" hidden="false" customHeight="false" outlineLevel="0" collapsed="false">
      <c r="B35" s="16" t="s">
        <v>30</v>
      </c>
      <c r="C35" s="17" t="n">
        <f aca="false">C34-$C$34</f>
        <v>0</v>
      </c>
      <c r="D35" s="17" t="n">
        <f aca="false">D34-$C$34</f>
        <v>-47.05</v>
      </c>
      <c r="E35" s="17" t="n">
        <f aca="false">E34-$C$34</f>
        <v>-62.75</v>
      </c>
      <c r="F35" s="17" t="n">
        <f aca="false">F34-$C$34</f>
        <v>-34.65</v>
      </c>
      <c r="G35" s="17" t="n">
        <f aca="false">G34-$C$34</f>
        <v>-12.4</v>
      </c>
    </row>
    <row r="37" customFormat="false" ht="15" hidden="false" customHeight="true" outlineLevel="0" collapsed="false">
      <c r="B37" s="3" t="s">
        <v>31</v>
      </c>
      <c r="C37" s="3"/>
      <c r="D37" s="3"/>
      <c r="E37" s="3"/>
      <c r="F37" s="3"/>
      <c r="G37" s="3"/>
    </row>
    <row r="38" customFormat="false" ht="15" hidden="false" customHeight="false" outlineLevel="0" collapsed="false">
      <c r="B38" s="5" t="s">
        <v>32</v>
      </c>
      <c r="C38" s="18" t="n">
        <f aca="false">$C$15+C27</f>
        <v>5773</v>
      </c>
      <c r="D38" s="18" t="n">
        <f aca="false">$C$15+D27</f>
        <v>5728</v>
      </c>
      <c r="E38" s="18" t="n">
        <f aca="false">$C$15+E27</f>
        <v>5698</v>
      </c>
      <c r="F38" s="18" t="n">
        <f aca="false">$C$15+F27</f>
        <v>5740</v>
      </c>
      <c r="G38" s="18" t="n">
        <f aca="false">$C$15+G27</f>
        <v>5761</v>
      </c>
    </row>
    <row r="39" customFormat="false" ht="15" hidden="false" customHeight="false" outlineLevel="0" collapsed="false">
      <c r="B39" s="5" t="s">
        <v>33</v>
      </c>
      <c r="C39" s="18" t="n">
        <f aca="false">$C$16+C35</f>
        <v>2281</v>
      </c>
      <c r="D39" s="18" t="n">
        <f aca="false">$C$16+D35</f>
        <v>2233.95</v>
      </c>
      <c r="E39" s="18" t="n">
        <f aca="false">$C$16+E35</f>
        <v>2218.25</v>
      </c>
      <c r="F39" s="18" t="n">
        <f aca="false">$C$16+F35</f>
        <v>2246.35</v>
      </c>
      <c r="G39" s="18" t="n">
        <f aca="false">$C$16+G35</f>
        <v>2268.6</v>
      </c>
    </row>
    <row r="40" customFormat="false" ht="15" hidden="false" customHeight="false" outlineLevel="0" collapsed="false">
      <c r="B40" s="5" t="s">
        <v>34</v>
      </c>
      <c r="C40" s="19" t="n">
        <f aca="false">C39/C38</f>
        <v>0.39511519140828</v>
      </c>
      <c r="D40" s="19" t="n">
        <f aca="false">D39/D38</f>
        <v>0.390005237430168</v>
      </c>
      <c r="E40" s="19" t="n">
        <f aca="false">E39/E38</f>
        <v>0.389303264303264</v>
      </c>
      <c r="F40" s="19" t="n">
        <f aca="false">F39/F38</f>
        <v>0.391350174216028</v>
      </c>
      <c r="G40" s="19" t="n">
        <f aca="false">G39/G38</f>
        <v>0.393785801076202</v>
      </c>
    </row>
    <row r="41" customFormat="false" ht="15" hidden="false" customHeight="false" outlineLevel="0" collapsed="false">
      <c r="B41" s="20" t="s">
        <v>35</v>
      </c>
      <c r="C41" s="21" t="n">
        <f aca="false">C39-$C$16</f>
        <v>0</v>
      </c>
      <c r="D41" s="21" t="n">
        <f aca="false">D39-$C$16</f>
        <v>-47.0500000000002</v>
      </c>
      <c r="E41" s="21" t="n">
        <f aca="false">E39-$C$16</f>
        <v>-62.75</v>
      </c>
      <c r="F41" s="21" t="n">
        <f aca="false">F39-$C$16</f>
        <v>-34.6500000000001</v>
      </c>
      <c r="G41" s="21" t="n">
        <f aca="false">G39-$C$16</f>
        <v>-12.4000000000001</v>
      </c>
    </row>
    <row r="42" customFormat="false" ht="15" hidden="false" customHeight="false" outlineLevel="0" collapsed="false">
      <c r="B42" s="20" t="s">
        <v>36</v>
      </c>
      <c r="C42" s="22" t="n">
        <f aca="false">C41/$C$16</f>
        <v>0</v>
      </c>
      <c r="D42" s="22" t="n">
        <f aca="false">D41/$C$16</f>
        <v>-0.0206269180184131</v>
      </c>
      <c r="E42" s="22" t="n">
        <f aca="false">E41/$C$16</f>
        <v>-0.0275098640946953</v>
      </c>
      <c r="F42" s="22" t="n">
        <f aca="false">F41/$C$16</f>
        <v>-0.015190705830776</v>
      </c>
      <c r="G42" s="22" t="n">
        <f aca="false">G41/$C$16</f>
        <v>-0.00543621218763704</v>
      </c>
    </row>
    <row r="44" customFormat="false" ht="15" hidden="false" customHeight="true" outlineLevel="0" collapsed="false">
      <c r="B44" s="3" t="s">
        <v>37</v>
      </c>
      <c r="C44" s="3"/>
      <c r="D44" s="3"/>
      <c r="E44" s="3"/>
      <c r="F44" s="3"/>
      <c r="G44" s="3"/>
    </row>
    <row r="45" customFormat="false" ht="31.5" hidden="false" customHeight="true" outlineLevel="0" collapsed="false">
      <c r="B45" s="23" t="s">
        <v>38</v>
      </c>
      <c r="C45" s="23"/>
      <c r="D45" s="23"/>
      <c r="E45" s="23"/>
      <c r="F45" s="23"/>
      <c r="G45" s="23"/>
    </row>
    <row r="46" customFormat="false" ht="31.5" hidden="false" customHeight="true" outlineLevel="0" collapsed="false">
      <c r="B46" s="23" t="s">
        <v>39</v>
      </c>
      <c r="C46" s="23"/>
      <c r="D46" s="23"/>
      <c r="E46" s="23"/>
      <c r="F46" s="23"/>
      <c r="G46" s="23"/>
    </row>
    <row r="47" customFormat="false" ht="31.5" hidden="false" customHeight="true" outlineLevel="0" collapsed="false">
      <c r="B47" s="23" t="s">
        <v>40</v>
      </c>
      <c r="C47" s="23"/>
      <c r="D47" s="23"/>
      <c r="E47" s="23"/>
      <c r="F47" s="23"/>
      <c r="G47" s="23"/>
    </row>
    <row r="48" customFormat="false" ht="31.5" hidden="false" customHeight="true" outlineLevel="0" collapsed="false">
      <c r="B48" s="23" t="s">
        <v>41</v>
      </c>
      <c r="C48" s="23"/>
      <c r="D48" s="23"/>
      <c r="E48" s="23"/>
      <c r="F48" s="23"/>
      <c r="G48" s="23"/>
    </row>
    <row r="49" customFormat="false" ht="31.5" hidden="false" customHeight="true" outlineLevel="0" collapsed="false">
      <c r="B49" s="23" t="s">
        <v>42</v>
      </c>
      <c r="C49" s="23"/>
      <c r="D49" s="23"/>
      <c r="E49" s="23"/>
      <c r="F49" s="23"/>
      <c r="G49" s="23"/>
    </row>
    <row r="51" customFormat="false" ht="15" hidden="false" customHeight="true" outlineLevel="0" collapsed="false">
      <c r="B51" s="24" t="s">
        <v>43</v>
      </c>
      <c r="C51" s="24"/>
      <c r="D51" s="24"/>
      <c r="E51" s="24"/>
      <c r="F51" s="24"/>
      <c r="G51" s="24"/>
    </row>
    <row r="52" customFormat="false" ht="18" hidden="false" customHeight="true" outlineLevel="0" collapsed="false">
      <c r="B52" s="8" t="s">
        <v>44</v>
      </c>
      <c r="C52" s="8"/>
      <c r="D52" s="8"/>
      <c r="E52" s="8"/>
      <c r="F52" s="8"/>
      <c r="G52" s="8"/>
    </row>
    <row r="53" customFormat="false" ht="18" hidden="false" customHeight="true" outlineLevel="0" collapsed="false">
      <c r="B53" s="8" t="s">
        <v>45</v>
      </c>
      <c r="C53" s="8"/>
      <c r="D53" s="8"/>
      <c r="E53" s="8"/>
      <c r="F53" s="8"/>
      <c r="G53" s="8"/>
    </row>
    <row r="54" customFormat="false" ht="18" hidden="false" customHeight="true" outlineLevel="0" collapsed="false">
      <c r="B54" s="8" t="s">
        <v>46</v>
      </c>
      <c r="C54" s="8"/>
      <c r="D54" s="8"/>
      <c r="E54" s="8"/>
      <c r="F54" s="8"/>
      <c r="G54" s="8"/>
    </row>
    <row r="55" customFormat="false" ht="18" hidden="false" customHeight="true" outlineLevel="0" collapsed="false">
      <c r="B55" s="8" t="s">
        <v>47</v>
      </c>
      <c r="C55" s="8"/>
      <c r="D55" s="8"/>
      <c r="E55" s="8"/>
      <c r="F55" s="8"/>
      <c r="G55" s="8"/>
    </row>
    <row r="56" customFormat="false" ht="18" hidden="false" customHeight="true" outlineLevel="0" collapsed="false">
      <c r="B56" s="8" t="s">
        <v>48</v>
      </c>
      <c r="C56" s="8"/>
      <c r="D56" s="8"/>
      <c r="E56" s="8"/>
      <c r="F56" s="8"/>
      <c r="G56" s="8"/>
    </row>
  </sheetData>
  <mergeCells count="33">
    <mergeCell ref="B2:G2"/>
    <mergeCell ref="B3:G3"/>
    <mergeCell ref="B5:G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B11:G11"/>
    <mergeCell ref="B12:G12"/>
    <mergeCell ref="B14:G14"/>
    <mergeCell ref="C15:D15"/>
    <mergeCell ref="C16:D16"/>
    <mergeCell ref="B17:G17"/>
    <mergeCell ref="B19:G19"/>
    <mergeCell ref="B37:G37"/>
    <mergeCell ref="B44:G44"/>
    <mergeCell ref="B45:G45"/>
    <mergeCell ref="B46:G46"/>
    <mergeCell ref="B47:G47"/>
    <mergeCell ref="B48:G48"/>
    <mergeCell ref="B49:G49"/>
    <mergeCell ref="B51:G51"/>
    <mergeCell ref="B52:G52"/>
    <mergeCell ref="B53:G53"/>
    <mergeCell ref="B54:G54"/>
    <mergeCell ref="B55:G55"/>
    <mergeCell ref="B56:G56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2026-04-23T19:45:56Z</dcterms:created>
  <dc:creator>openpyxl</dc:creator>
  <dc:description/>
  <dc:language>en-US</dc:language>
  <cp:lastModifiedBy/>
  <dcterms:modified xsi:type="dcterms:W3CDTF">2026-04-23T19:45:56Z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