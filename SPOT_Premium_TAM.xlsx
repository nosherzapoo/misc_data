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M Summary" sheetId="1" state="visible" r:id="rId3"/>
    <sheet name="Country Build" sheetId="2" state="visible" r:id="rId4"/>
    <sheet name="Pricing" sheetId="3" state="visible" r:id="rId5"/>
    <sheet name="Top 20" sheetId="4" state="visible" r:id="rId6"/>
    <sheet name="Assumptions" sheetId="5" state="visible" r:id="rId7"/>
    <sheet name="Sources &amp; 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<sst xmlns="http://schemas.openxmlformats.org/spreadsheetml/2006/main" count="812" uniqueCount="450">
  <si>
    <t xml:space="preserve">SPOTIFY PREMIUM — GLOBAL SUBSCRIBER TAM</t>
  </si>
  <si>
    <t xml:space="preserve">Bottoms-up across 130 priced markets. Proxy = online adults. Ceiling = continuous GDP-per-capita curve. Spotify-addressable = industry × Spotify share.</t>
  </si>
  <si>
    <t xml:space="preserve">Headline — Spotify-addressable (subscribers, M)</t>
  </si>
  <si>
    <t xml:space="preserve">By Spotify region — base case</t>
  </si>
  <si>
    <t xml:space="preserve">Current Premium subscribers (FY2025)</t>
  </si>
  <si>
    <t xml:space="preserve">Region</t>
  </si>
  <si>
    <t xml:space="preserve">Proxy (M)</t>
  </si>
  <si>
    <t xml:space="preserve">Current</t>
  </si>
  <si>
    <t xml:space="preserve">Cur pen</t>
  </si>
  <si>
    <t xml:space="preserve">Max base</t>
  </si>
  <si>
    <t xml:space="preserve">Incr.</t>
  </si>
  <si>
    <t xml:space="preserve">Max pen</t>
  </si>
  <si>
    <t xml:space="preserve">Rev $M</t>
  </si>
  <si>
    <t xml:space="preserve">Realistic max — Low (bearish ceiling)</t>
  </si>
  <si>
    <t xml:space="preserve">Europe</t>
  </si>
  <si>
    <t xml:space="preserve">Realistic max — Base</t>
  </si>
  <si>
    <t xml:space="preserve">North America</t>
  </si>
  <si>
    <t xml:space="preserve">Realistic max — High (bullish ceiling)</t>
  </si>
  <si>
    <t xml:space="preserve">Latin America</t>
  </si>
  <si>
    <t xml:space="preserve">Incremental TAM — Base (max − current)</t>
  </si>
  <si>
    <t xml:space="preserve">Rest of World</t>
  </si>
  <si>
    <t xml:space="preserve">Upside vs current — Base</t>
  </si>
  <si>
    <t xml:space="preserve">Total</t>
  </si>
  <si>
    <t xml:space="preserve">Penetration of online adults</t>
  </si>
  <si>
    <t xml:space="preserve">By income tier — base case</t>
  </si>
  <si>
    <t xml:space="preserve">Tier</t>
  </si>
  <si>
    <t xml:space="preserve">At base ceiling</t>
  </si>
  <si>
    <t xml:space="preserve">1  &gt;$35k</t>
  </si>
  <si>
    <t xml:space="preserve">Online adults in scope (M, ex-China/Russia)</t>
  </si>
  <si>
    <t xml:space="preserve">2  $12–35k</t>
  </si>
  <si>
    <t xml:space="preserve">3  $4–12k</t>
  </si>
  <si>
    <t xml:space="preserve">Revenue TAM (base max, current pricing)</t>
  </si>
  <si>
    <t xml:space="preserve">4  &lt;$4k</t>
  </si>
  <si>
    <t xml:space="preserve">Spotify-addressable revenue TAM ($M/yr)</t>
  </si>
  <si>
    <t xml:space="preserve">Implied current ARPU ($/mo, check)</t>
  </si>
  <si>
    <t xml:space="preserve">Sensitivity — Base-max subscribers (M):  x0 shift (rows) × Spotify-share multiplier (cols)</t>
  </si>
  <si>
    <t xml:space="preserve">Lower x0 / higher multiplier = more bullish.</t>
  </si>
  <si>
    <t xml:space="preserve">x0 shift ↓ / mult →</t>
  </si>
  <si>
    <t xml:space="preserve">Read me</t>
  </si>
  <si>
    <t xml:space="preserve">• Proxy = population × 15+ share × internet% (all editable on Country Build).</t>
  </si>
  <si>
    <t xml:space="preserve">• Ceiling = continuous logistic curve in ln(GDP/cap): max share of online adults paying for music.</t>
  </si>
  <si>
    <t xml:space="preserve">• Spotify share = Spotify's cut of that ceiling, net of Apple/YouTube/local players (col K, per country).</t>
  </si>
  <si>
    <t xml:space="preserve">• Current subs allocated from Bernstein regional control totals; ties out exactly.</t>
  </si>
  <si>
    <t xml:space="preserve">• China &amp; Russia excluded. Subs = paid ACCOUNTS (×~1.3–1.5 for individuals via Family/Duo).</t>
  </si>
  <si>
    <t xml:space="preserve">• Prices from your Feb-2026 file; FX ECB 16-Jun-2026. All on the Pricing tab, fully editable.</t>
  </si>
  <si>
    <t xml:space="preserve">Bottoms-up Premium subscriber TAM — every priced Spotify market (subscribers in millions)</t>
  </si>
  <si>
    <t xml:space="preserve">Proxy = online adults (pop × 15+ share × internet%). Ceiling = continuous GDP curve. Blue=input, Green=link, Black=formula.</t>
  </si>
  <si>
    <t xml:space="preserve">Country</t>
  </si>
  <si>
    <t xml:space="preserve">ISO</t>
  </si>
  <si>
    <t xml:space="preserve">Segment</t>
  </si>
  <si>
    <t xml:space="preserve">GDP/cap $</t>
  </si>
  <si>
    <t xml:space="preserve">Pop (M)</t>
  </si>
  <si>
    <t xml:space="preserve">15+ %</t>
  </si>
  <si>
    <t xml:space="preserve">Int %</t>
  </si>
  <si>
    <t xml:space="preserve">Adults 15+ (M)</t>
  </si>
  <si>
    <t xml:space="preserve">Online-adult proxy (M)</t>
  </si>
  <si>
    <t xml:space="preserve">Ceiling % base</t>
  </si>
  <si>
    <t xml:space="preserve">Spotify share %</t>
  </si>
  <si>
    <t xml:space="preserve">Wt</t>
  </si>
  <si>
    <t xml:space="preserve">Current subs (M)</t>
  </si>
  <si>
    <t xml:space="preserve">Current pen.</t>
  </si>
  <si>
    <t xml:space="preserve">Max subs base (M)</t>
  </si>
  <si>
    <t xml:space="preserve">Incremental (M)</t>
  </si>
  <si>
    <t xml:space="preserve">Ceiling % low</t>
  </si>
  <si>
    <t xml:space="preserve">Max low (M)</t>
  </si>
  <si>
    <t xml:space="preserve">Ceiling % high</t>
  </si>
  <si>
    <t xml:space="preserve">Max high (M)</t>
  </si>
  <si>
    <t xml:space="preserve">Blended ARPU $</t>
  </si>
  <si>
    <t xml:space="preserve">Realized ARPU $</t>
  </si>
  <si>
    <t xml:space="preserve">Rev TAM base $M</t>
  </si>
  <si>
    <t xml:space="preserve">Germany</t>
  </si>
  <si>
    <t xml:space="preserve">DEU</t>
  </si>
  <si>
    <t xml:space="preserve">United Kingdom</t>
  </si>
  <si>
    <t xml:space="preserve">GBR</t>
  </si>
  <si>
    <t xml:space="preserve">France</t>
  </si>
  <si>
    <t xml:space="preserve">FRA</t>
  </si>
  <si>
    <t xml:space="preserve">Italy</t>
  </si>
  <si>
    <t xml:space="preserve">ITA</t>
  </si>
  <si>
    <t xml:space="preserve">Spain</t>
  </si>
  <si>
    <t xml:space="preserve">ESP</t>
  </si>
  <si>
    <t xml:space="preserve">Ukraine</t>
  </si>
  <si>
    <t xml:space="preserve">UKR</t>
  </si>
  <si>
    <t xml:space="preserve">Poland</t>
  </si>
  <si>
    <t xml:space="preserve">POL</t>
  </si>
  <si>
    <t xml:space="preserve">Romania</t>
  </si>
  <si>
    <t xml:space="preserve">ROU</t>
  </si>
  <si>
    <t xml:space="preserve">Netherlands</t>
  </si>
  <si>
    <t xml:space="preserve">NLD</t>
  </si>
  <si>
    <t xml:space="preserve">Belgium</t>
  </si>
  <si>
    <t xml:space="preserve">BEL</t>
  </si>
  <si>
    <t xml:space="preserve">Czech Republic</t>
  </si>
  <si>
    <t xml:space="preserve">CZE</t>
  </si>
  <si>
    <t xml:space="preserve">Portugal</t>
  </si>
  <si>
    <t xml:space="preserve">PRT</t>
  </si>
  <si>
    <t xml:space="preserve">Sweden</t>
  </si>
  <si>
    <t xml:space="preserve">SWE</t>
  </si>
  <si>
    <t xml:space="preserve">Greece</t>
  </si>
  <si>
    <t xml:space="preserve">GRC</t>
  </si>
  <si>
    <t xml:space="preserve">Hungary</t>
  </si>
  <si>
    <t xml:space="preserve">HUN</t>
  </si>
  <si>
    <t xml:space="preserve">Austria</t>
  </si>
  <si>
    <t xml:space="preserve">AUT</t>
  </si>
  <si>
    <t xml:space="preserve">Belarus</t>
  </si>
  <si>
    <t xml:space="preserve">BLR</t>
  </si>
  <si>
    <t xml:space="preserve">Switzerland</t>
  </si>
  <si>
    <t xml:space="preserve">CHE</t>
  </si>
  <si>
    <t xml:space="preserve">Bulgaria</t>
  </si>
  <si>
    <t xml:space="preserve">BGR</t>
  </si>
  <si>
    <t xml:space="preserve">Denmark</t>
  </si>
  <si>
    <t xml:space="preserve">DNK</t>
  </si>
  <si>
    <t xml:space="preserve">Finland</t>
  </si>
  <si>
    <t xml:space="preserve">FIN</t>
  </si>
  <si>
    <t xml:space="preserve">Norway</t>
  </si>
  <si>
    <t xml:space="preserve">NOR</t>
  </si>
  <si>
    <t xml:space="preserve">Slovakia</t>
  </si>
  <si>
    <t xml:space="preserve">SVK</t>
  </si>
  <si>
    <t xml:space="preserve">Ireland</t>
  </si>
  <si>
    <t xml:space="preserve">IRL</t>
  </si>
  <si>
    <t xml:space="preserve">Croatia</t>
  </si>
  <si>
    <t xml:space="preserve">HRV</t>
  </si>
  <si>
    <t xml:space="preserve">Lithuania</t>
  </si>
  <si>
    <t xml:space="preserve">LTU</t>
  </si>
  <si>
    <t xml:space="preserve">Moldova</t>
  </si>
  <si>
    <t xml:space="preserve">MDA</t>
  </si>
  <si>
    <t xml:space="preserve">Slovenia</t>
  </si>
  <si>
    <t xml:space="preserve">SVN</t>
  </si>
  <si>
    <t xml:space="preserve">Latvia</t>
  </si>
  <si>
    <t xml:space="preserve">LVA</t>
  </si>
  <si>
    <t xml:space="preserve">Estonia</t>
  </si>
  <si>
    <t xml:space="preserve">EST</t>
  </si>
  <si>
    <t xml:space="preserve">Luxembourg</t>
  </si>
  <si>
    <t xml:space="preserve">LUX</t>
  </si>
  <si>
    <t xml:space="preserve">Malta</t>
  </si>
  <si>
    <t xml:space="preserve">MLT</t>
  </si>
  <si>
    <t xml:space="preserve">Iceland</t>
  </si>
  <si>
    <t xml:space="preserve">ISL</t>
  </si>
  <si>
    <t xml:space="preserve">Brazil</t>
  </si>
  <si>
    <t xml:space="preserve">BRA</t>
  </si>
  <si>
    <t xml:space="preserve">Mexico</t>
  </si>
  <si>
    <t xml:space="preserve">MEX</t>
  </si>
  <si>
    <t xml:space="preserve">Colombia</t>
  </si>
  <si>
    <t xml:space="preserve">COL</t>
  </si>
  <si>
    <t xml:space="preserve">Argentina</t>
  </si>
  <si>
    <t xml:space="preserve">ARG</t>
  </si>
  <si>
    <t xml:space="preserve">Peru</t>
  </si>
  <si>
    <t xml:space="preserve">PER</t>
  </si>
  <si>
    <t xml:space="preserve">Venezuela</t>
  </si>
  <si>
    <t xml:space="preserve">VEN</t>
  </si>
  <si>
    <t xml:space="preserve">Chile</t>
  </si>
  <si>
    <t xml:space="preserve">CHL</t>
  </si>
  <si>
    <t xml:space="preserve">Guatemala</t>
  </si>
  <si>
    <t xml:space="preserve">GTM</t>
  </si>
  <si>
    <t xml:space="preserve">Ecuador</t>
  </si>
  <si>
    <t xml:space="preserve">ECU</t>
  </si>
  <si>
    <t xml:space="preserve">Bolivia</t>
  </si>
  <si>
    <t xml:space="preserve">BOL</t>
  </si>
  <si>
    <t xml:space="preserve">Haiti</t>
  </si>
  <si>
    <t xml:space="preserve">HTI</t>
  </si>
  <si>
    <t xml:space="preserve">Dominican Republic</t>
  </si>
  <si>
    <t xml:space="preserve">DOM</t>
  </si>
  <si>
    <t xml:space="preserve">Honduras</t>
  </si>
  <si>
    <t xml:space="preserve">HND</t>
  </si>
  <si>
    <t xml:space="preserve">Paraguay</t>
  </si>
  <si>
    <t xml:space="preserve">PRY</t>
  </si>
  <si>
    <t xml:space="preserve">Nicaragua</t>
  </si>
  <si>
    <t xml:space="preserve">NIC</t>
  </si>
  <si>
    <t xml:space="preserve">El Salvador</t>
  </si>
  <si>
    <t xml:space="preserve">SLV</t>
  </si>
  <si>
    <t xml:space="preserve">Costa Rica</t>
  </si>
  <si>
    <t xml:space="preserve">CRI</t>
  </si>
  <si>
    <t xml:space="preserve">Panama</t>
  </si>
  <si>
    <t xml:space="preserve">PAN</t>
  </si>
  <si>
    <t xml:space="preserve">Uruguay</t>
  </si>
  <si>
    <t xml:space="preserve">URY</t>
  </si>
  <si>
    <t xml:space="preserve">Jamaica</t>
  </si>
  <si>
    <t xml:space="preserve">JAM</t>
  </si>
  <si>
    <t xml:space="preserve">Trinidad and Tobago</t>
  </si>
  <si>
    <t xml:space="preserve">TTO</t>
  </si>
  <si>
    <t xml:space="preserve">Guyana</t>
  </si>
  <si>
    <t xml:space="preserve">GUY</t>
  </si>
  <si>
    <t xml:space="preserve">Suriname</t>
  </si>
  <si>
    <t xml:space="preserve">SUR</t>
  </si>
  <si>
    <t xml:space="preserve">Belize</t>
  </si>
  <si>
    <t xml:space="preserve">BLZ</t>
  </si>
  <si>
    <t xml:space="preserve">Bahamas</t>
  </si>
  <si>
    <t xml:space="preserve">BHS</t>
  </si>
  <si>
    <t xml:space="preserve">Barbados</t>
  </si>
  <si>
    <t xml:space="preserve">BRB</t>
  </si>
  <si>
    <t xml:space="preserve">Saint Lucia</t>
  </si>
  <si>
    <t xml:space="preserve">LCA</t>
  </si>
  <si>
    <t xml:space="preserve">Curaçao</t>
  </si>
  <si>
    <t xml:space="preserve">CUW</t>
  </si>
  <si>
    <t xml:space="preserve">Grenada</t>
  </si>
  <si>
    <t xml:space="preserve">GRD</t>
  </si>
  <si>
    <t xml:space="preserve">Saint Vincent and the Grenadines</t>
  </si>
  <si>
    <t xml:space="preserve">VCT</t>
  </si>
  <si>
    <t xml:space="preserve">Antigua and Barbuda</t>
  </si>
  <si>
    <t xml:space="preserve">ATG</t>
  </si>
  <si>
    <t xml:space="preserve">Dominica</t>
  </si>
  <si>
    <t xml:space="preserve">DMA</t>
  </si>
  <si>
    <t xml:space="preserve">Saint Kitts and Nevis</t>
  </si>
  <si>
    <t xml:space="preserve">KNA</t>
  </si>
  <si>
    <t xml:space="preserve">United States</t>
  </si>
  <si>
    <t xml:space="preserve">USA</t>
  </si>
  <si>
    <t xml:space="preserve">Canada</t>
  </si>
  <si>
    <t xml:space="preserve">CAN</t>
  </si>
  <si>
    <t xml:space="preserve">India</t>
  </si>
  <si>
    <t xml:space="preserve">IND</t>
  </si>
  <si>
    <t xml:space="preserve">Indonesia</t>
  </si>
  <si>
    <t xml:space="preserve">IDN</t>
  </si>
  <si>
    <t xml:space="preserve">Pakistan</t>
  </si>
  <si>
    <t xml:space="preserve">PAK</t>
  </si>
  <si>
    <t xml:space="preserve">Nigeria</t>
  </si>
  <si>
    <t xml:space="preserve">NGA</t>
  </si>
  <si>
    <t xml:space="preserve">Bangladesh</t>
  </si>
  <si>
    <t xml:space="preserve">BGD</t>
  </si>
  <si>
    <t xml:space="preserve">Ethiopia</t>
  </si>
  <si>
    <t xml:space="preserve">ETH</t>
  </si>
  <si>
    <t xml:space="preserve">Japan</t>
  </si>
  <si>
    <t xml:space="preserve">JPN</t>
  </si>
  <si>
    <t xml:space="preserve">Egypt</t>
  </si>
  <si>
    <t xml:space="preserve">EGY</t>
  </si>
  <si>
    <t xml:space="preserve">Philippines</t>
  </si>
  <si>
    <t xml:space="preserve">PHL</t>
  </si>
  <si>
    <t xml:space="preserve">Vietnam</t>
  </si>
  <si>
    <t xml:space="preserve">VNM</t>
  </si>
  <si>
    <t xml:space="preserve">Turkey</t>
  </si>
  <si>
    <t xml:space="preserve">TUR</t>
  </si>
  <si>
    <t xml:space="preserve">Thailand</t>
  </si>
  <si>
    <t xml:space="preserve">THA</t>
  </si>
  <si>
    <t xml:space="preserve">Tanzania</t>
  </si>
  <si>
    <t xml:space="preserve">TZA</t>
  </si>
  <si>
    <t xml:space="preserve">South Africa</t>
  </si>
  <si>
    <t xml:space="preserve">ZAF</t>
  </si>
  <si>
    <t xml:space="preserve">Kenya</t>
  </si>
  <si>
    <t xml:space="preserve">KEN</t>
  </si>
  <si>
    <t xml:space="preserve">South Korea</t>
  </si>
  <si>
    <t xml:space="preserve">KOR</t>
  </si>
  <si>
    <t xml:space="preserve">Uganda</t>
  </si>
  <si>
    <t xml:space="preserve">UGA</t>
  </si>
  <si>
    <t xml:space="preserve">Algeria</t>
  </si>
  <si>
    <t xml:space="preserve">DZA</t>
  </si>
  <si>
    <t xml:space="preserve">Morocco</t>
  </si>
  <si>
    <t xml:space="preserve">MAR</t>
  </si>
  <si>
    <t xml:space="preserve">Uzbekistan</t>
  </si>
  <si>
    <t xml:space="preserve">UZB</t>
  </si>
  <si>
    <t xml:space="preserve">Malaysia</t>
  </si>
  <si>
    <t xml:space="preserve">MYS</t>
  </si>
  <si>
    <t xml:space="preserve">Saudi Arabia</t>
  </si>
  <si>
    <t xml:space="preserve">SAU</t>
  </si>
  <si>
    <t xml:space="preserve">Ghana</t>
  </si>
  <si>
    <t xml:space="preserve">GHA</t>
  </si>
  <si>
    <t xml:space="preserve">Nepal</t>
  </si>
  <si>
    <t xml:space="preserve">NPL</t>
  </si>
  <si>
    <t xml:space="preserve">Australia</t>
  </si>
  <si>
    <t xml:space="preserve">AUS</t>
  </si>
  <si>
    <t xml:space="preserve">Taiwan</t>
  </si>
  <si>
    <t xml:space="preserve">TWN</t>
  </si>
  <si>
    <t xml:space="preserve">Sri Lanka</t>
  </si>
  <si>
    <t xml:space="preserve">LKA</t>
  </si>
  <si>
    <t xml:space="preserve">Kazakhstan</t>
  </si>
  <si>
    <t xml:space="preserve">KAZ</t>
  </si>
  <si>
    <t xml:space="preserve">Cambodia</t>
  </si>
  <si>
    <t xml:space="preserve">KHM</t>
  </si>
  <si>
    <t xml:space="preserve">Tunisia</t>
  </si>
  <si>
    <t xml:space="preserve">TUN</t>
  </si>
  <si>
    <t xml:space="preserve">Jordan</t>
  </si>
  <si>
    <t xml:space="preserve">JOR</t>
  </si>
  <si>
    <t xml:space="preserve">United Arab Emirates</t>
  </si>
  <si>
    <t xml:space="preserve">ARE</t>
  </si>
  <si>
    <t xml:space="preserve">Tajikistan</t>
  </si>
  <si>
    <t xml:space="preserve">TJK</t>
  </si>
  <si>
    <t xml:space="preserve">Papua New Guinea</t>
  </si>
  <si>
    <t xml:space="preserve">PNG</t>
  </si>
  <si>
    <t xml:space="preserve">Azerbaijan</t>
  </si>
  <si>
    <t xml:space="preserve">AZE</t>
  </si>
  <si>
    <t xml:space="preserve">Laos</t>
  </si>
  <si>
    <t xml:space="preserve">LAO</t>
  </si>
  <si>
    <t xml:space="preserve">Hong Kong</t>
  </si>
  <si>
    <t xml:space="preserve">HKG</t>
  </si>
  <si>
    <t xml:space="preserve">Kyrgyzstan</t>
  </si>
  <si>
    <t xml:space="preserve">KGZ</t>
  </si>
  <si>
    <t xml:space="preserve">Singapore</t>
  </si>
  <si>
    <t xml:space="preserve">SGP</t>
  </si>
  <si>
    <t xml:space="preserve">Lebanon</t>
  </si>
  <si>
    <t xml:space="preserve">LBN</t>
  </si>
  <si>
    <t xml:space="preserve">New Zealand</t>
  </si>
  <si>
    <t xml:space="preserve">NZL</t>
  </si>
  <si>
    <t xml:space="preserve">Oman</t>
  </si>
  <si>
    <t xml:space="preserve">OMN</t>
  </si>
  <si>
    <t xml:space="preserve">Kuwait</t>
  </si>
  <si>
    <t xml:space="preserve">KWT</t>
  </si>
  <si>
    <t xml:space="preserve">Georgia</t>
  </si>
  <si>
    <t xml:space="preserve">GEO</t>
  </si>
  <si>
    <t xml:space="preserve">Mongolia</t>
  </si>
  <si>
    <t xml:space="preserve">MNG</t>
  </si>
  <si>
    <t xml:space="preserve">Armenia</t>
  </si>
  <si>
    <t xml:space="preserve">ARM</t>
  </si>
  <si>
    <t xml:space="preserve">Qatar</t>
  </si>
  <si>
    <t xml:space="preserve">QAT</t>
  </si>
  <si>
    <t xml:space="preserve">Bahrain</t>
  </si>
  <si>
    <t xml:space="preserve">BHR</t>
  </si>
  <si>
    <t xml:space="preserve">Timor-Leste</t>
  </si>
  <si>
    <t xml:space="preserve">TLS</t>
  </si>
  <si>
    <t xml:space="preserve">Cyprus</t>
  </si>
  <si>
    <t xml:space="preserve">CYP</t>
  </si>
  <si>
    <t xml:space="preserve">Fiji</t>
  </si>
  <si>
    <t xml:space="preserve">FJI</t>
  </si>
  <si>
    <t xml:space="preserve">Solomon Islands</t>
  </si>
  <si>
    <t xml:space="preserve">SLB</t>
  </si>
  <si>
    <t xml:space="preserve">Brunei</t>
  </si>
  <si>
    <t xml:space="preserve">BRN</t>
  </si>
  <si>
    <t xml:space="preserve">Vanuatu</t>
  </si>
  <si>
    <t xml:space="preserve">VUT</t>
  </si>
  <si>
    <t xml:space="preserve">Samoa</t>
  </si>
  <si>
    <t xml:space="preserve">WSM</t>
  </si>
  <si>
    <t xml:space="preserve">Kiribati</t>
  </si>
  <si>
    <t xml:space="preserve">KIR</t>
  </si>
  <si>
    <t xml:space="preserve">Micronesia</t>
  </si>
  <si>
    <t xml:space="preserve">FSM</t>
  </si>
  <si>
    <t xml:space="preserve">Tonga</t>
  </si>
  <si>
    <t xml:space="preserve">TON</t>
  </si>
  <si>
    <t xml:space="preserve">Marshall Islands</t>
  </si>
  <si>
    <t xml:space="preserve">MHL</t>
  </si>
  <si>
    <t xml:space="preserve">Palau</t>
  </si>
  <si>
    <t xml:space="preserve">PLW</t>
  </si>
  <si>
    <t xml:space="preserve">Nauru</t>
  </si>
  <si>
    <t xml:space="preserve">NRU</t>
  </si>
  <si>
    <t xml:space="preserve">Tuvalu</t>
  </si>
  <si>
    <t xml:space="preserve">TUV</t>
  </si>
  <si>
    <t xml:space="preserve">TOTAL</t>
  </si>
  <si>
    <t xml:space="preserve">Spotify pricing by country — local → USD (blue = input; paste local prices / FX to refresh)</t>
  </si>
  <si>
    <t xml:space="preserve">Source: user-supplied Spotify pricing file (Feb-2026). FX: ECB ref 16-Jun-2026 + embedded for minors. USD-billed markets shown as USD, FX=1.</t>
  </si>
  <si>
    <t xml:space="preserve">Currency</t>
  </si>
  <si>
    <t xml:space="preserve">FX (per $)</t>
  </si>
  <si>
    <t xml:space="preserve">Individual</t>
  </si>
  <si>
    <t xml:space="preserve">Student</t>
  </si>
  <si>
    <t xml:space="preserve">Duo</t>
  </si>
  <si>
    <t xml:space="preserve">Family</t>
  </si>
  <si>
    <t xml:space="preserve">Indiv $</t>
  </si>
  <si>
    <t xml:space="preserve">Student $</t>
  </si>
  <si>
    <t xml:space="preserve">Duo $</t>
  </si>
  <si>
    <t xml:space="preserve">Family $</t>
  </si>
  <si>
    <t xml:space="preserve">Blended $/mo</t>
  </si>
  <si>
    <t xml:space="preserve">EUR</t>
  </si>
  <si>
    <t xml:space="preserve">GBP</t>
  </si>
  <si>
    <t xml:space="preserve">USD</t>
  </si>
  <si>
    <t xml:space="preserve">PLN</t>
  </si>
  <si>
    <t xml:space="preserve">RON</t>
  </si>
  <si>
    <t xml:space="preserve">CZK</t>
  </si>
  <si>
    <t xml:space="preserve">SEK</t>
  </si>
  <si>
    <t xml:space="preserve">HUF</t>
  </si>
  <si>
    <t xml:space="preserve">BYN</t>
  </si>
  <si>
    <t xml:space="preserve">CHF</t>
  </si>
  <si>
    <t xml:space="preserve">BGN</t>
  </si>
  <si>
    <t xml:space="preserve">DKK</t>
  </si>
  <si>
    <t xml:space="preserve">NOK</t>
  </si>
  <si>
    <t xml:space="preserve">BRL</t>
  </si>
  <si>
    <t xml:space="preserve">MXN</t>
  </si>
  <si>
    <t xml:space="preserve">COP</t>
  </si>
  <si>
    <t xml:space="preserve">ARS</t>
  </si>
  <si>
    <t xml:space="preserve">PEN</t>
  </si>
  <si>
    <t xml:space="preserve">CLP</t>
  </si>
  <si>
    <t xml:space="preserve">GTQ</t>
  </si>
  <si>
    <t xml:space="preserve">BOB</t>
  </si>
  <si>
    <t xml:space="preserve">PAB</t>
  </si>
  <si>
    <t xml:space="preserve">TTD</t>
  </si>
  <si>
    <t xml:space="preserve">BZD</t>
  </si>
  <si>
    <t xml:space="preserve">BSD</t>
  </si>
  <si>
    <t xml:space="preserve">BBD</t>
  </si>
  <si>
    <t xml:space="preserve">XCD</t>
  </si>
  <si>
    <t xml:space="preserve">ANG</t>
  </si>
  <si>
    <t xml:space="preserve">CAD</t>
  </si>
  <si>
    <t xml:space="preserve">INR</t>
  </si>
  <si>
    <t xml:space="preserve">IDR</t>
  </si>
  <si>
    <t xml:space="preserve">PKR</t>
  </si>
  <si>
    <t xml:space="preserve">NGN</t>
  </si>
  <si>
    <t xml:space="preserve">BDT</t>
  </si>
  <si>
    <t xml:space="preserve">JPY</t>
  </si>
  <si>
    <t xml:space="preserve">EGP</t>
  </si>
  <si>
    <t xml:space="preserve">PHP</t>
  </si>
  <si>
    <t xml:space="preserve">VND</t>
  </si>
  <si>
    <t xml:space="preserve">THB</t>
  </si>
  <si>
    <t xml:space="preserve">TZS</t>
  </si>
  <si>
    <t xml:space="preserve">ZAR</t>
  </si>
  <si>
    <t xml:space="preserve">KES</t>
  </si>
  <si>
    <t xml:space="preserve">KRW</t>
  </si>
  <si>
    <t xml:space="preserve">UGX</t>
  </si>
  <si>
    <t xml:space="preserve">MAD</t>
  </si>
  <si>
    <t xml:space="preserve">MYR</t>
  </si>
  <si>
    <t xml:space="preserve">SAR</t>
  </si>
  <si>
    <t xml:space="preserve">GHS</t>
  </si>
  <si>
    <t xml:space="preserve">AUD</t>
  </si>
  <si>
    <t xml:space="preserve">TWD</t>
  </si>
  <si>
    <t xml:space="preserve">LKR</t>
  </si>
  <si>
    <t xml:space="preserve">TND</t>
  </si>
  <si>
    <t xml:space="preserve">JOD</t>
  </si>
  <si>
    <t xml:space="preserve">AED</t>
  </si>
  <si>
    <t xml:space="preserve">PGK</t>
  </si>
  <si>
    <t xml:space="preserve">AZN</t>
  </si>
  <si>
    <t xml:space="preserve">HKD</t>
  </si>
  <si>
    <t xml:space="preserve">SGD</t>
  </si>
  <si>
    <t xml:space="preserve">NZD</t>
  </si>
  <si>
    <t xml:space="preserve">OMR</t>
  </si>
  <si>
    <t xml:space="preserve">KWD</t>
  </si>
  <si>
    <t xml:space="preserve">GEL</t>
  </si>
  <si>
    <t xml:space="preserve">QAR</t>
  </si>
  <si>
    <t xml:space="preserve">BHD</t>
  </si>
  <si>
    <t xml:space="preserve">FJD</t>
  </si>
  <si>
    <t xml:space="preserve">BND</t>
  </si>
  <si>
    <t xml:space="preserve">WST</t>
  </si>
  <si>
    <t xml:space="preserve">TOP</t>
  </si>
  <si>
    <t xml:space="preserve">Top 20 markets by base-case Spotify-addressable max subscribers (values live; order = base case)</t>
  </si>
  <si>
    <t xml:space="preserve">#</t>
  </si>
  <si>
    <t xml:space="preserve">Max base (M)</t>
  </si>
  <si>
    <t xml:space="preserve">Rev TAM $M</t>
  </si>
  <si>
    <t xml:space="preserve">Spotify Premium — Global Subscriber TAM  |  Assumptions</t>
  </si>
  <si>
    <t xml:space="preserve">1. Ceiling curve   ceiling% = L / (1 + e^(−k·(ln(GDPpc) − x0)))   — share of ONLINE ADULTS who pay for any music service</t>
  </si>
  <si>
    <t xml:space="preserve">L  (max penetration ceiling)</t>
  </si>
  <si>
    <t xml:space="preserve">k  (curve steepness)</t>
  </si>
  <si>
    <t xml:space="preserve">x0  (ln GDP/cap midpoint;  e^x0 = $)</t>
  </si>
  <si>
    <t xml:space="preserve">scenario shift (± on x0 for low/high)</t>
  </si>
  <si>
    <t xml:space="preserve">midpoint income</t>
  </si>
  <si>
    <t xml:space="preserve">2. Plan mix  (share of paying ACCOUNTS — used to blend ARPU)</t>
  </si>
  <si>
    <t xml:space="preserve">Sum</t>
  </si>
  <si>
    <t xml:space="preserve">3. ARPU realization  (realized ARPU ÷ blended list; captures promos, trials, VAT)</t>
  </si>
  <si>
    <t xml:space="preserve">Tunes blended list price to reported ARPU (~$5.1/mo).</t>
  </si>
  <si>
    <t xml:space="preserve">4. Current Premium subs by region — control totals, FY2025 EOP (M)</t>
  </si>
  <si>
    <t xml:space="preserve">Source: Bernstein SPOT model regional mix × 290M.</t>
  </si>
  <si>
    <t xml:space="preserve">Excluded (memo): China — Spotify absent (~1.1bn online); Russia — exited 2022.</t>
  </si>
  <si>
    <t xml:space="preserve">Sources, Methodology &amp; Caveats</t>
  </si>
  <si>
    <t xml:space="preserve">Methodology</t>
  </si>
  <si>
    <t xml:space="preserve">Proxy (online adults) = Population × 15+ share × Internet penetration.</t>
  </si>
  <si>
    <t xml:space="preserve">Ceiling% = L/(1+e^(−k(ln GDPpc − x0))) — continuous curve, share of online adults paying for ANY music service.</t>
  </si>
  <si>
    <t xml:space="preserve">Industry max = proxy × ceiling%. Spotify-addressable = industry × Spotify share (per country).</t>
  </si>
  <si>
    <t xml:space="preserve">Current subs allocated from Bernstein regional totals by (proxy × ceiling), reconciled within each region.</t>
  </si>
  <si>
    <t xml:space="preserve">Revenue TAM = max subs × realized ARPU × 12. Realized ARPU = blended plan list × realization factor.</t>
  </si>
  <si>
    <t xml:space="preserve">Data sources</t>
  </si>
  <si>
    <t xml:space="preserve">Pricing: user-supplied Spotify global pricing file, dated Feb-2026 (Individual/Standard/Duo/Family/Student, local currency).</t>
  </si>
  <si>
    <t xml:space="preserve">FX: ECB reference rates 16-Jun-2026 (42 currencies) + embedded estimates for minor currencies (override on Pricing tab).</t>
  </si>
  <si>
    <t xml:space="preserve">Population (2024) &amp; GDP (→ per-capita): World Bank via datahub mirrors. Region/segment: ISO-3166. Taiwan added manually.</t>
  </si>
  <si>
    <t xml:space="preserve">15+ share and internet% are estimates by sub-region / income band — editable per country (override columns).</t>
  </si>
  <si>
    <t xml:space="preserve">Current subs / regional mix: Bernstein SPOT model, FY2025 EOP = 290M.</t>
  </si>
  <si>
    <t xml:space="preserve">Caveats</t>
  </si>
  <si>
    <t xml:space="preserve">1. Subs = paid ACCOUNTS (P&amp;L metric). Paying individuals are ~1.3–1.5× higher via Family/Duo plans.</t>
  </si>
  <si>
    <t xml:space="preserve">2. Spotify share is the key judgement in low-share markets (Japan 18%, Korea 12%) — flex on Country Build col K.</t>
  </si>
  <si>
    <t xml:space="preserve">3. CIS / small markets billed in USD despite local currency labels are auto-detected and shown as USD.</t>
  </si>
  <si>
    <t xml:space="preserve">4. Turkey not in the pricing file — added with an estimated price (override on Pricing tab).</t>
  </si>
  <si>
    <t xml:space="preserve">5. China &amp; Russia excluded from Spotify-addressable TAM.</t>
  </si>
  <si>
    <t xml:space="preserve">6. Realization factor (0.57) ties blended list price to reported ARPU; revisit if plan mix or coverage changes.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</si>
</sst>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,##0.0"/>
    <numFmt numFmtId="167" formatCode="0.0%"/>
    <numFmt numFmtId="168" formatCode="\$#,##0"/>
    <numFmt numFmtId="169" formatCode="\$#,##0.00"/>
    <numFmt numFmtId="170" formatCode="0.0\x"/>
    <numFmt numFmtId="171" formatCode="\+0.00;\-0.00;0.00"/>
    <numFmt numFmtId="172" formatCode="0%"/>
    <numFmt numFmtId="173" formatCode="#,##0.00"/>
    <numFmt numFmtId="174" formatCode="0"/>
    <numFmt numFmtId="175" formatCode="#,##0.0000"/>
    <numFmt numFmtId="17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sz val="9"/>
      <color rgb="FF30303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03030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0D0D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404040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3"/>
    <col collapsed="false" customWidth="true" hidden="false" outlineLevel="0" max="5" min="5" style="1" width="15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1" min="10" style="1" width="8"/>
    <col collapsed="false" customWidth="true" hidden="false" outlineLevel="0" max="12" min="12" style="1" width="9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E5" s="4" t="s">
        <v>3</v>
      </c>
    </row>
    <row r="6" customFormat="false" ht="15" hidden="false" customHeight="true" outlineLevel="0" collapsed="false">
      <c r="B6" s="5" t="s">
        <v>4</v>
      </c>
      <c r="C6" s="6" t="n">
        <f aca="false">'Country Build'!M135</f>
        <v>290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</row>
    <row r="7" customFormat="false" ht="15" hidden="false" customHeight="true" outlineLevel="0" collapsed="false">
      <c r="B7" s="5" t="s">
        <v>13</v>
      </c>
      <c r="C7" s="6" t="n">
        <f aca="false">'Country Build'!R135</f>
        <v>333.326274775462</v>
      </c>
      <c r="E7" s="5" t="s">
        <v>14</v>
      </c>
      <c r="F7" s="6" t="n">
        <f aca="false">SUMIF('Country Build'!$C$5:$C$134,E7,'Country Build'!$I$5:$I$134)</f>
        <v>443.039644</v>
      </c>
      <c r="G7" s="8" t="n">
        <f aca="false">SUMIF('Country Build'!$C$5:$C$134,E7,'Country Build'!$M$5:$M$134)</f>
        <v>108</v>
      </c>
      <c r="H7" s="9" t="n">
        <f aca="false">G7/F7</f>
        <v>0.243770510072006</v>
      </c>
      <c r="I7" s="8" t="n">
        <f aca="false">SUMIF('Country Build'!$C$5:$C$134,E7,'Country Build'!$O$5:$O$134)</f>
        <v>118.076945825974</v>
      </c>
      <c r="J7" s="8" t="n">
        <f aca="false">I7-G7</f>
        <v>10.0769458259743</v>
      </c>
      <c r="K7" s="9" t="n">
        <f aca="false">I7/F7</f>
        <v>0.266515530664281</v>
      </c>
      <c r="L7" s="10" t="n">
        <f aca="false">SUMIF('Country Build'!$C$5:$C$134,E7,'Country Build'!$W$5:$W$134)</f>
        <v>9490.38609741073</v>
      </c>
    </row>
    <row r="8" customFormat="false" ht="15" hidden="false" customHeight="true" outlineLevel="0" collapsed="false">
      <c r="B8" s="11" t="s">
        <v>15</v>
      </c>
      <c r="C8" s="12" t="n">
        <f aca="false">'Country Build'!O135</f>
        <v>395.624486197153</v>
      </c>
      <c r="E8" s="5" t="s">
        <v>16</v>
      </c>
      <c r="F8" s="6" t="n">
        <f aca="false">SUMIF('Country Build'!$C$5:$C$134,E8,'Country Build'!$I$5:$I$134)</f>
        <v>292.9152</v>
      </c>
      <c r="G8" s="8" t="n">
        <f aca="false">SUMIF('Country Build'!$C$5:$C$134,E8,'Country Build'!$M$5:$M$134)</f>
        <v>74</v>
      </c>
      <c r="H8" s="9" t="n">
        <f aca="false">G8/F8</f>
        <v>0.252632843908408</v>
      </c>
      <c r="I8" s="8" t="n">
        <f aca="false">SUMIF('Country Build'!$C$5:$C$134,E8,'Country Build'!$O$5:$O$134)</f>
        <v>75.4371748022986</v>
      </c>
      <c r="J8" s="8" t="n">
        <f aca="false">I8-G8</f>
        <v>1.43717480229857</v>
      </c>
      <c r="K8" s="9" t="n">
        <f aca="false">I8/F8</f>
        <v>0.257539297388113</v>
      </c>
      <c r="L8" s="10" t="n">
        <f aca="false">SUMIF('Country Build'!$C$5:$C$134,E8,'Country Build'!$W$5:$W$134)</f>
        <v>5711.82068122823</v>
      </c>
    </row>
    <row r="9" customFormat="false" ht="15" hidden="false" customHeight="true" outlineLevel="0" collapsed="false">
      <c r="B9" s="5" t="s">
        <v>17</v>
      </c>
      <c r="C9" s="6" t="n">
        <f aca="false">'Country Build'!T135</f>
        <v>457.0255900299</v>
      </c>
      <c r="E9" s="5" t="s">
        <v>18</v>
      </c>
      <c r="F9" s="6" t="n">
        <f aca="false">SUMIF('Country Build'!$C$5:$C$134,E9,'Country Build'!$I$5:$I$134)</f>
        <v>383.484524</v>
      </c>
      <c r="G9" s="8" t="n">
        <f aca="false">SUMIF('Country Build'!$C$5:$C$134,E9,'Country Build'!$M$5:$M$134)</f>
        <v>67</v>
      </c>
      <c r="H9" s="9" t="n">
        <f aca="false">G9/F9</f>
        <v>0.174713699789356</v>
      </c>
      <c r="I9" s="8" t="n">
        <f aca="false">SUMIF('Country Build'!$C$5:$C$134,E9,'Country Build'!$O$5:$O$134)</f>
        <v>72.7096151088352</v>
      </c>
      <c r="J9" s="8" t="n">
        <f aca="false">I9-G9</f>
        <v>5.70961510883517</v>
      </c>
      <c r="K9" s="9" t="n">
        <f aca="false">I9/F9</f>
        <v>0.189602475610815</v>
      </c>
      <c r="L9" s="10" t="n">
        <f aca="false">SUMIF('Country Build'!$C$5:$C$134,E9,'Country Build'!$W$5:$W$134)</f>
        <v>2451.58509356786</v>
      </c>
    </row>
    <row r="10" customFormat="false" ht="15" hidden="false" customHeight="true" outlineLevel="0" collapsed="false">
      <c r="B10" s="5" t="s">
        <v>19</v>
      </c>
      <c r="C10" s="6" t="n">
        <f aca="false">C8-C6</f>
        <v>105.624486197153</v>
      </c>
      <c r="E10" s="5" t="s">
        <v>20</v>
      </c>
      <c r="F10" s="6" t="n">
        <f aca="false">SUMIF('Country Build'!$C$5:$C$134,E10,'Country Build'!$I$5:$I$134)</f>
        <v>1473.469494</v>
      </c>
      <c r="G10" s="8" t="n">
        <f aca="false">SUMIF('Country Build'!$C$5:$C$134,E10,'Country Build'!$M$5:$M$134)</f>
        <v>41</v>
      </c>
      <c r="H10" s="9" t="n">
        <f aca="false">G10/F10</f>
        <v>0.0278254827581792</v>
      </c>
      <c r="I10" s="8" t="n">
        <f aca="false">SUMIF('Country Build'!$C$5:$C$134,E10,'Country Build'!$O$5:$O$134)</f>
        <v>129.400750460045</v>
      </c>
      <c r="J10" s="8" t="n">
        <f aca="false">I10-G10</f>
        <v>88.4007504600448</v>
      </c>
      <c r="K10" s="9" t="n">
        <f aca="false">I10/F10</f>
        <v>0.0878204475810103</v>
      </c>
      <c r="L10" s="10" t="n">
        <f aca="false">SUMIF('Country Build'!$C$5:$C$134,E10,'Country Build'!$W$5:$W$134)</f>
        <v>3245.59425947505</v>
      </c>
    </row>
    <row r="11" customFormat="false" ht="15" hidden="false" customHeight="true" outlineLevel="0" collapsed="false">
      <c r="B11" s="13" t="s">
        <v>21</v>
      </c>
      <c r="C11" s="14" t="n">
        <f aca="false">C8/C6-1</f>
        <v>0.364222366197079</v>
      </c>
      <c r="E11" s="13" t="s">
        <v>22</v>
      </c>
      <c r="F11" s="15" t="n">
        <f aca="false">SUM(F7:F10)</f>
        <v>2592.908862</v>
      </c>
      <c r="G11" s="15" t="n">
        <f aca="false">SUM(G7:G10)</f>
        <v>290</v>
      </c>
      <c r="H11" s="14" t="n">
        <f aca="false">G11/F11</f>
        <v>0.111843499110228</v>
      </c>
      <c r="I11" s="15" t="n">
        <f aca="false">SUM(I7:I10)</f>
        <v>395.624486197153</v>
      </c>
      <c r="J11" s="15" t="n">
        <f aca="false">SUM(J7:J10)</f>
        <v>105.624486197153</v>
      </c>
      <c r="K11" s="14" t="n">
        <f aca="false">I11/F11</f>
        <v>0.152579402999916</v>
      </c>
      <c r="L11" s="16" t="n">
        <f aca="false">SUM(L7:L10)</f>
        <v>20899.3861316819</v>
      </c>
    </row>
    <row r="13" customFormat="false" ht="15" hidden="false" customHeight="true" outlineLevel="0" collapsed="false">
      <c r="B13" s="4" t="s">
        <v>23</v>
      </c>
      <c r="E13" s="4" t="s">
        <v>24</v>
      </c>
    </row>
    <row r="14" customFormat="false" ht="15" hidden="false" customHeight="true" outlineLevel="0" collapsed="false">
      <c r="B14" s="5" t="s">
        <v>7</v>
      </c>
      <c r="C14" s="9" t="n">
        <f aca="false">C6/'Country Build'!I135</f>
        <v>0.111843499110228</v>
      </c>
      <c r="E14" s="7" t="s">
        <v>25</v>
      </c>
      <c r="F14" s="7" t="s">
        <v>7</v>
      </c>
      <c r="G14" s="7" t="s">
        <v>9</v>
      </c>
      <c r="H14" s="7" t="s">
        <v>10</v>
      </c>
      <c r="I14" s="7" t="s">
        <v>12</v>
      </c>
    </row>
    <row r="15" customFormat="false" ht="15" hidden="false" customHeight="true" outlineLevel="0" collapsed="false">
      <c r="B15" s="5" t="s">
        <v>26</v>
      </c>
      <c r="C15" s="9" t="n">
        <f aca="false">C8/'Country Build'!I135</f>
        <v>0.152579402999916</v>
      </c>
      <c r="E15" s="5" t="s">
        <v>27</v>
      </c>
      <c r="F15" s="8" t="n">
        <f aca="false">SUMIF('Country Build'!$X$5:$X$134,1,'Country Build'!$M$5:$M$134)</f>
        <v>152.316424462478</v>
      </c>
      <c r="G15" s="8" t="n">
        <f aca="false">SUMIF('Country Build'!$X$5:$X$134,1,'Country Build'!$O$5:$O$134)</f>
        <v>167.462806971441</v>
      </c>
      <c r="H15" s="8" t="n">
        <f aca="false">G15-F15</f>
        <v>15.1463825089639</v>
      </c>
      <c r="I15" s="10" t="n">
        <f aca="false">SUMIF('Country Build'!$X$5:$X$134,1,'Country Build'!$W$5:$W$134)</f>
        <v>13795.143747385</v>
      </c>
    </row>
    <row r="16" customFormat="false" ht="15" hidden="false" customHeight="true" outlineLevel="0" collapsed="false">
      <c r="B16" s="5" t="s">
        <v>28</v>
      </c>
      <c r="C16" s="6" t="n">
        <f aca="false">'Country Build'!I135</f>
        <v>2592.908862</v>
      </c>
      <c r="E16" s="5" t="s">
        <v>29</v>
      </c>
      <c r="F16" s="8" t="n">
        <f aca="false">SUMIF('Country Build'!$X$5:$X$134,2,'Country Build'!$M$5:$M$134)</f>
        <v>74.5312945989311</v>
      </c>
      <c r="G16" s="8" t="n">
        <f aca="false">SUMIF('Country Build'!$X$5:$X$134,2,'Country Build'!$O$5:$O$134)</f>
        <v>98.0551212986047</v>
      </c>
      <c r="H16" s="8" t="n">
        <f aca="false">G16-F16</f>
        <v>23.5238266996736</v>
      </c>
      <c r="I16" s="10" t="n">
        <f aca="false">SUMIF('Country Build'!$X$5:$X$134,2,'Country Build'!$W$5:$W$134)</f>
        <v>4356.26554411221</v>
      </c>
    </row>
    <row r="17" customFormat="false" ht="15" hidden="false" customHeight="true" outlineLevel="0" collapsed="false">
      <c r="E17" s="5" t="s">
        <v>30</v>
      </c>
      <c r="F17" s="8" t="n">
        <f aca="false">SUMIF('Country Build'!$X$5:$X$134,3,'Country Build'!$M$5:$M$134)</f>
        <v>46.3134476101913</v>
      </c>
      <c r="G17" s="8" t="n">
        <f aca="false">SUMIF('Country Build'!$X$5:$X$134,3,'Country Build'!$O$5:$O$134)</f>
        <v>80.7695129710627</v>
      </c>
      <c r="H17" s="8" t="n">
        <f aca="false">G17-F17</f>
        <v>34.4560653608713</v>
      </c>
      <c r="I17" s="10" t="n">
        <f aca="false">SUMIF('Country Build'!$X$5:$X$134,3,'Country Build'!$W$5:$W$134)</f>
        <v>2096.77994656996</v>
      </c>
    </row>
    <row r="18" customFormat="false" ht="15" hidden="false" customHeight="true" outlineLevel="0" collapsed="false">
      <c r="B18" s="4" t="s">
        <v>31</v>
      </c>
      <c r="E18" s="5" t="s">
        <v>32</v>
      </c>
      <c r="F18" s="8" t="n">
        <f aca="false">SUMIF('Country Build'!$X$5:$X$134,4,'Country Build'!$M$5:$M$134)</f>
        <v>16.8388333284</v>
      </c>
      <c r="G18" s="8" t="n">
        <f aca="false">SUMIF('Country Build'!$X$5:$X$134,4,'Country Build'!$O$5:$O$134)</f>
        <v>49.3370449560441</v>
      </c>
      <c r="H18" s="8" t="n">
        <f aca="false">G18-F18</f>
        <v>32.4982116276441</v>
      </c>
      <c r="I18" s="10" t="n">
        <f aca="false">SUMIF('Country Build'!$X$5:$X$134,4,'Country Build'!$W$5:$W$134)</f>
        <v>651.196893614738</v>
      </c>
    </row>
    <row r="19" customFormat="false" ht="15" hidden="false" customHeight="true" outlineLevel="0" collapsed="false">
      <c r="B19" s="11" t="s">
        <v>33</v>
      </c>
      <c r="C19" s="17" t="n">
        <f aca="false">'Country Build'!W135</f>
        <v>20899.3861316819</v>
      </c>
    </row>
    <row r="20" customFormat="false" ht="15" hidden="false" customHeight="true" outlineLevel="0" collapsed="false">
      <c r="B20" s="5" t="s">
        <v>34</v>
      </c>
      <c r="C20" s="18" t="n">
        <f aca="false">SUMPRODUCT('Country Build'!M5:M134,'Country Build'!V5:V134)/C6</f>
        <v>5.06067663088637</v>
      </c>
    </row>
    <row r="23" customFormat="false" ht="15" hidden="false" customHeight="true" outlineLevel="0" collapsed="false">
      <c r="B23" s="4" t="s">
        <v>35</v>
      </c>
    </row>
    <row r="24" customFormat="false" ht="15" hidden="false" customHeight="true" outlineLevel="0" collapsed="false">
      <c r="B24" s="3" t="s">
        <v>36</v>
      </c>
    </row>
    <row r="25" customFormat="false" ht="15" hidden="false" customHeight="true" outlineLevel="0" collapsed="false">
      <c r="B25" s="19" t="s">
        <v>37</v>
      </c>
      <c r="C25" s="20" t="n">
        <v>0.8</v>
      </c>
      <c r="D25" s="20" t="n">
        <v>0.9</v>
      </c>
      <c r="E25" s="20" t="n">
        <v>1</v>
      </c>
      <c r="F25" s="20" t="n">
        <v>1.1</v>
      </c>
      <c r="G25" s="20" t="n">
        <v>1.2</v>
      </c>
    </row>
    <row r="26" customFormat="false" ht="15" hidden="false" customHeight="true" outlineLevel="0" collapsed="false">
      <c r="B26" s="21" t="n">
        <v>0.5</v>
      </c>
      <c r="C26" s="22" t="n">
        <f aca="false">SUMPRODUCT('Country Build'!$I$5:$I$134,(Assumptions!$C$5/(1+EXP(-Assumptions!$C$6*(LN('Country Build'!$D$5:$D$134)-(Assumptions!$C$7+$B26))))),'Country Build'!$K$5:$K$134*C$25)</f>
        <v>266.661019820369</v>
      </c>
      <c r="D26" s="22" t="n">
        <f aca="false">SUMPRODUCT('Country Build'!$I$5:$I$134,(Assumptions!$C$5/(1+EXP(-Assumptions!$C$6*(LN('Country Build'!$D$5:$D$134)-(Assumptions!$C$7+$B26))))),'Country Build'!$K$5:$K$134*D$25)</f>
        <v>299.993647297916</v>
      </c>
      <c r="E26" s="22" t="n">
        <f aca="false">SUMPRODUCT('Country Build'!$I$5:$I$134,(Assumptions!$C$5/(1+EXP(-Assumptions!$C$6*(LN('Country Build'!$D$5:$D$134)-(Assumptions!$C$7+$B26))))),'Country Build'!$K$5:$K$134*E$25)</f>
        <v>333.326274775462</v>
      </c>
      <c r="F26" s="22" t="n">
        <f aca="false">SUMPRODUCT('Country Build'!$I$5:$I$134,(Assumptions!$C$5/(1+EXP(-Assumptions!$C$6*(LN('Country Build'!$D$5:$D$134)-(Assumptions!$C$7+$B26))))),'Country Build'!$K$5:$K$134*F$25)</f>
        <v>366.658902253008</v>
      </c>
      <c r="G26" s="22" t="n">
        <f aca="false">SUMPRODUCT('Country Build'!$I$5:$I$134,(Assumptions!$C$5/(1+EXP(-Assumptions!$C$6*(LN('Country Build'!$D$5:$D$134)-(Assumptions!$C$7+$B26))))),'Country Build'!$K$5:$K$134*G$25)</f>
        <v>399.991529730554</v>
      </c>
    </row>
    <row r="27" customFormat="false" ht="15" hidden="false" customHeight="true" outlineLevel="0" collapsed="false">
      <c r="B27" s="21" t="n">
        <v>0.25</v>
      </c>
      <c r="C27" s="22" t="n">
        <f aca="false">SUMPRODUCT('Country Build'!$I$5:$I$134,(Assumptions!$C$5/(1+EXP(-Assumptions!$C$6*(LN('Country Build'!$D$5:$D$134)-(Assumptions!$C$7+$B27))))),'Country Build'!$K$5:$K$134*C$25)</f>
        <v>291.540709179115</v>
      </c>
      <c r="D27" s="22" t="n">
        <f aca="false">SUMPRODUCT('Country Build'!$I$5:$I$134,(Assumptions!$C$5/(1+EXP(-Assumptions!$C$6*(LN('Country Build'!$D$5:$D$134)-(Assumptions!$C$7+$B27))))),'Country Build'!$K$5:$K$134*D$25)</f>
        <v>327.983297826504</v>
      </c>
      <c r="E27" s="22" t="n">
        <f aca="false">SUMPRODUCT('Country Build'!$I$5:$I$134,(Assumptions!$C$5/(1+EXP(-Assumptions!$C$6*(LN('Country Build'!$D$5:$D$134)-(Assumptions!$C$7+$B27))))),'Country Build'!$K$5:$K$134*E$25)</f>
        <v>364.425886473893</v>
      </c>
      <c r="F27" s="22" t="n">
        <f aca="false">SUMPRODUCT('Country Build'!$I$5:$I$134,(Assumptions!$C$5/(1+EXP(-Assumptions!$C$6*(LN('Country Build'!$D$5:$D$134)-(Assumptions!$C$7+$B27))))),'Country Build'!$K$5:$K$134*F$25)</f>
        <v>400.868475121283</v>
      </c>
      <c r="G27" s="22" t="n">
        <f aca="false">SUMPRODUCT('Country Build'!$I$5:$I$134,(Assumptions!$C$5/(1+EXP(-Assumptions!$C$6*(LN('Country Build'!$D$5:$D$134)-(Assumptions!$C$7+$B27))))),'Country Build'!$K$5:$K$134*G$25)</f>
        <v>437.311063768672</v>
      </c>
    </row>
    <row r="28" customFormat="false" ht="15" hidden="false" customHeight="true" outlineLevel="0" collapsed="false">
      <c r="B28" s="21" t="n">
        <v>0</v>
      </c>
      <c r="C28" s="22" t="n">
        <f aca="false">SUMPRODUCT('Country Build'!$I$5:$I$134,(Assumptions!$C$5/(1+EXP(-Assumptions!$C$6*(LN('Country Build'!$D$5:$D$134)-(Assumptions!$C$7+$B28))))),'Country Build'!$K$5:$K$134*C$25)</f>
        <v>316.499588957722</v>
      </c>
      <c r="D28" s="22" t="n">
        <f aca="false">SUMPRODUCT('Country Build'!$I$5:$I$134,(Assumptions!$C$5/(1+EXP(-Assumptions!$C$6*(LN('Country Build'!$D$5:$D$134)-(Assumptions!$C$7+$B28))))),'Country Build'!$K$5:$K$134*D$25)</f>
        <v>356.062037577438</v>
      </c>
      <c r="E28" s="23" t="n">
        <f aca="false">SUMPRODUCT('Country Build'!$I$5:$I$134,(Assumptions!$C$5/(1+EXP(-Assumptions!$C$6*(LN('Country Build'!$D$5:$D$134)-(Assumptions!$C$7+$B28))))),'Country Build'!$K$5:$K$134*E$25)</f>
        <v>395.624486197153</v>
      </c>
      <c r="F28" s="22" t="n">
        <f aca="false">SUMPRODUCT('Country Build'!$I$5:$I$134,(Assumptions!$C$5/(1+EXP(-Assumptions!$C$6*(LN('Country Build'!$D$5:$D$134)-(Assumptions!$C$7+$B28))))),'Country Build'!$K$5:$K$134*F$25)</f>
        <v>435.186934816868</v>
      </c>
      <c r="G28" s="22" t="n">
        <f aca="false">SUMPRODUCT('Country Build'!$I$5:$I$134,(Assumptions!$C$5/(1+EXP(-Assumptions!$C$6*(LN('Country Build'!$D$5:$D$134)-(Assumptions!$C$7+$B28))))),'Country Build'!$K$5:$K$134*G$25)</f>
        <v>474.749383436583</v>
      </c>
    </row>
    <row r="29" customFormat="false" ht="15" hidden="false" customHeight="true" outlineLevel="0" collapsed="false">
      <c r="B29" s="21" t="n">
        <v>-0.25</v>
      </c>
      <c r="C29" s="22" t="n">
        <f aca="false">SUMPRODUCT('Country Build'!$I$5:$I$134,(Assumptions!$C$5/(1+EXP(-Assumptions!$C$6*(LN('Country Build'!$D$5:$D$134)-(Assumptions!$C$7+$B29))))),'Country Build'!$K$5:$K$134*C$25)</f>
        <v>341.283481188751</v>
      </c>
      <c r="D29" s="22" t="n">
        <f aca="false">SUMPRODUCT('Country Build'!$I$5:$I$134,(Assumptions!$C$5/(1+EXP(-Assumptions!$C$6*(LN('Country Build'!$D$5:$D$134)-(Assumptions!$C$7+$B29))))),'Country Build'!$K$5:$K$134*D$25)</f>
        <v>383.943916337345</v>
      </c>
      <c r="E29" s="22" t="n">
        <f aca="false">SUMPRODUCT('Country Build'!$I$5:$I$134,(Assumptions!$C$5/(1+EXP(-Assumptions!$C$6*(LN('Country Build'!$D$5:$D$134)-(Assumptions!$C$7+$B29))))),'Country Build'!$K$5:$K$134*E$25)</f>
        <v>426.604351485939</v>
      </c>
      <c r="F29" s="22" t="n">
        <f aca="false">SUMPRODUCT('Country Build'!$I$5:$I$134,(Assumptions!$C$5/(1+EXP(-Assumptions!$C$6*(LN('Country Build'!$D$5:$D$134)-(Assumptions!$C$7+$B29))))),'Country Build'!$K$5:$K$134*F$25)</f>
        <v>469.264786634532</v>
      </c>
      <c r="G29" s="22" t="n">
        <f aca="false">SUMPRODUCT('Country Build'!$I$5:$I$134,(Assumptions!$C$5/(1+EXP(-Assumptions!$C$6*(LN('Country Build'!$D$5:$D$134)-(Assumptions!$C$7+$B29))))),'Country Build'!$K$5:$K$134*G$25)</f>
        <v>511.925221783126</v>
      </c>
    </row>
    <row r="30" customFormat="false" ht="15" hidden="false" customHeight="true" outlineLevel="0" collapsed="false">
      <c r="B30" s="21" t="n">
        <v>-0.5</v>
      </c>
      <c r="C30" s="22" t="n">
        <f aca="false">SUMPRODUCT('Country Build'!$I$5:$I$134,(Assumptions!$C$5/(1+EXP(-Assumptions!$C$6*(LN('Country Build'!$D$5:$D$134)-(Assumptions!$C$7+$B30))))),'Country Build'!$K$5:$K$134*C$25)</f>
        <v>365.62047202392</v>
      </c>
      <c r="D30" s="22" t="n">
        <f aca="false">SUMPRODUCT('Country Build'!$I$5:$I$134,(Assumptions!$C$5/(1+EXP(-Assumptions!$C$6*(LN('Country Build'!$D$5:$D$134)-(Assumptions!$C$7+$B30))))),'Country Build'!$K$5:$K$134*D$25)</f>
        <v>411.32303102691</v>
      </c>
      <c r="E30" s="22" t="n">
        <f aca="false">SUMPRODUCT('Country Build'!$I$5:$I$134,(Assumptions!$C$5/(1+EXP(-Assumptions!$C$6*(LN('Country Build'!$D$5:$D$134)-(Assumptions!$C$7+$B30))))),'Country Build'!$K$5:$K$134*E$25)</f>
        <v>457.0255900299</v>
      </c>
      <c r="F30" s="22" t="n">
        <f aca="false">SUMPRODUCT('Country Build'!$I$5:$I$134,(Assumptions!$C$5/(1+EXP(-Assumptions!$C$6*(LN('Country Build'!$D$5:$D$134)-(Assumptions!$C$7+$B30))))),'Country Build'!$K$5:$K$134*F$25)</f>
        <v>502.72814903289</v>
      </c>
      <c r="G30" s="22" t="n">
        <f aca="false">SUMPRODUCT('Country Build'!$I$5:$I$134,(Assumptions!$C$5/(1+EXP(-Assumptions!$C$6*(LN('Country Build'!$D$5:$D$134)-(Assumptions!$C$7+$B30))))),'Country Build'!$K$5:$K$134*G$25)</f>
        <v>548.43070803588</v>
      </c>
    </row>
    <row r="33" customFormat="false" ht="15" hidden="false" customHeight="true" outlineLevel="0" collapsed="false">
      <c r="B33" s="4" t="s">
        <v>38</v>
      </c>
    </row>
    <row r="34" customFormat="false" ht="15" hidden="false" customHeight="true" outlineLevel="0" collapsed="false">
      <c r="B34" s="24" t="s">
        <v>39</v>
      </c>
    </row>
    <row r="35" customFormat="false" ht="15" hidden="false" customHeight="true" outlineLevel="0" collapsed="false">
      <c r="B35" s="24" t="s">
        <v>40</v>
      </c>
    </row>
    <row r="36" customFormat="false" ht="15" hidden="false" customHeight="true" outlineLevel="0" collapsed="false">
      <c r="B36" s="24" t="s">
        <v>41</v>
      </c>
    </row>
    <row r="37" customFormat="false" ht="15" hidden="false" customHeight="true" outlineLevel="0" collapsed="false">
      <c r="B37" s="24" t="s">
        <v>42</v>
      </c>
    </row>
    <row r="38" customFormat="false" ht="15" hidden="false" customHeight="true" outlineLevel="0" collapsed="false">
      <c r="B38" s="24" t="s">
        <v>43</v>
      </c>
    </row>
    <row r="39" customFormat="false" ht="15" hidden="false" customHeight="true" outlineLevel="0" collapsed="false">
      <c r="B39" s="2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7" min="6" style="1" width="6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1" min="10" style="1" width="10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9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20" min="17" style="1" width="9"/>
    <col collapsed="false" customWidth="true" hidden="false" outlineLevel="0" max="21" min="21" style="1" width="10"/>
    <col collapsed="false" customWidth="true" hidden="false" outlineLevel="0" max="23" min="22" style="1" width="11"/>
    <col collapsed="false" customWidth="true" hidden="false" outlineLevel="0" max="24" min="24" style="1" width="5"/>
  </cols>
  <sheetData>
    <row r="1" customFormat="false" ht="15" hidden="false" customHeight="true" outlineLevel="0" collapsed="false">
      <c r="A1" s="25" t="s">
        <v>45</v>
      </c>
    </row>
    <row r="2" customFormat="false" ht="15" hidden="false" customHeight="true" outlineLevel="0" collapsed="false">
      <c r="A2" s="3" t="s">
        <v>46</v>
      </c>
    </row>
    <row r="4" customFormat="false" ht="39.75" hidden="false" customHeight="true" outlineLevel="0" collapsed="false">
      <c r="A4" s="26" t="s">
        <v>47</v>
      </c>
      <c r="B4" s="26" t="s">
        <v>48</v>
      </c>
      <c r="C4" s="26" t="s">
        <v>49</v>
      </c>
      <c r="D4" s="26" t="s">
        <v>50</v>
      </c>
      <c r="E4" s="26" t="s">
        <v>51</v>
      </c>
      <c r="F4" s="26" t="s">
        <v>52</v>
      </c>
      <c r="G4" s="26" t="s">
        <v>53</v>
      </c>
      <c r="H4" s="26" t="s">
        <v>54</v>
      </c>
      <c r="I4" s="26" t="s">
        <v>55</v>
      </c>
      <c r="J4" s="26" t="s">
        <v>56</v>
      </c>
      <c r="K4" s="26" t="s">
        <v>57</v>
      </c>
      <c r="L4" s="26" t="s">
        <v>58</v>
      </c>
      <c r="M4" s="26" t="s">
        <v>59</v>
      </c>
      <c r="N4" s="26" t="s">
        <v>60</v>
      </c>
      <c r="O4" s="26" t="s">
        <v>61</v>
      </c>
      <c r="P4" s="26" t="s">
        <v>62</v>
      </c>
      <c r="Q4" s="26" t="s">
        <v>63</v>
      </c>
      <c r="R4" s="26" t="s">
        <v>64</v>
      </c>
      <c r="S4" s="26" t="s">
        <v>65</v>
      </c>
      <c r="T4" s="26" t="s">
        <v>66</v>
      </c>
      <c r="U4" s="26" t="s">
        <v>67</v>
      </c>
      <c r="V4" s="26" t="s">
        <v>68</v>
      </c>
      <c r="W4" s="26" t="s">
        <v>69</v>
      </c>
      <c r="X4" s="26" t="s">
        <v>25</v>
      </c>
    </row>
    <row r="5" customFormat="false" ht="15" hidden="false" customHeight="true" outlineLevel="0" collapsed="false">
      <c r="A5" s="5" t="s">
        <v>70</v>
      </c>
      <c r="B5" s="27" t="s">
        <v>71</v>
      </c>
      <c r="C5" s="5" t="s">
        <v>14</v>
      </c>
      <c r="D5" s="28" t="n">
        <v>53356</v>
      </c>
      <c r="E5" s="29" t="n">
        <v>83.52</v>
      </c>
      <c r="F5" s="30" t="n">
        <v>0.83</v>
      </c>
      <c r="G5" s="30" t="n">
        <v>0.96</v>
      </c>
      <c r="H5" s="8" t="n">
        <f aca="false">E5*F5</f>
        <v>69.3216</v>
      </c>
      <c r="I5" s="8" t="n">
        <f aca="false">H5*G5</f>
        <v>66.548736</v>
      </c>
      <c r="J5" s="31" t="n">
        <f aca="false">Assumptions!$C$5/(1+EXP(-Assumptions!$C$6*(LN(D5)-Assumptions!$C$7)))</f>
        <v>0.531333263344492</v>
      </c>
      <c r="K5" s="30" t="n">
        <v>0.55</v>
      </c>
      <c r="L5" s="32" t="n">
        <f aca="false">I5*J5</f>
        <v>35.3595570703311</v>
      </c>
      <c r="M5" s="33" t="n">
        <f aca="false">VLOOKUP(C5,Assumptions!$B$20:$C$23,2,FALSE())*L5/SUMIF($C$5:$C$134,C5,$L$5:$L$134)</f>
        <v>17.5778968842762</v>
      </c>
      <c r="N5" s="31" t="n">
        <f aca="false">IF(I5=0,0,M5/I5)</f>
        <v>0.264135698749803</v>
      </c>
      <c r="O5" s="32" t="n">
        <f aca="false">I5*J5*K5</f>
        <v>19.4477563886821</v>
      </c>
      <c r="P5" s="32" t="n">
        <f aca="false">O5-M5</f>
        <v>1.86985950440589</v>
      </c>
      <c r="Q5" s="31" t="n">
        <f aca="false">Assumptions!$C$5/(1+EXP(-Assumptions!$C$6*(LN(D5)-(Assumptions!$C$7+Assumptions!$C$8))))</f>
        <v>0.488828349481296</v>
      </c>
      <c r="R5" s="32" t="n">
        <f aca="false">I5*Q5*K5</f>
        <v>17.8919998284206</v>
      </c>
      <c r="S5" s="31" t="n">
        <f aca="false">Assumptions!$C$5/(1+EXP(-Assumptions!$C$6*(LN(D5)-(Assumptions!$C$7-Assumptions!$C$8))))</f>
        <v>0.561707331945482</v>
      </c>
      <c r="T5" s="32" t="n">
        <f aca="false">I5*S5*K5</f>
        <v>20.5595021185973</v>
      </c>
      <c r="U5" s="34" t="n">
        <f aca="false">VLOOKUP(A5,Pricing!$A$5:$L$134,12,FALSE())</f>
        <v>16.3014492753623</v>
      </c>
      <c r="V5" s="18" t="n">
        <f aca="false">U5*Assumptions!$C$17</f>
        <v>7.49866666666667</v>
      </c>
      <c r="W5" s="10" t="n">
        <f aca="false">O5*V5*12</f>
        <v>1749.98691087917</v>
      </c>
      <c r="X5" s="35" t="n">
        <f aca="false">IF(D5&gt;=35000,1,IF(D5&gt;=12000,2,IF(D5&gt;=4000,3,4)))</f>
        <v>1</v>
      </c>
    </row>
    <row r="6" customFormat="false" ht="15" hidden="false" customHeight="true" outlineLevel="0" collapsed="false">
      <c r="A6" s="5" t="s">
        <v>72</v>
      </c>
      <c r="B6" s="27" t="s">
        <v>73</v>
      </c>
      <c r="C6" s="5" t="s">
        <v>14</v>
      </c>
      <c r="D6" s="28" t="n">
        <v>48248</v>
      </c>
      <c r="E6" s="29" t="n">
        <v>69.23</v>
      </c>
      <c r="F6" s="30" t="n">
        <v>0.83</v>
      </c>
      <c r="G6" s="30" t="n">
        <v>0.96</v>
      </c>
      <c r="H6" s="8" t="n">
        <f aca="false">E6*F6</f>
        <v>57.4609</v>
      </c>
      <c r="I6" s="8" t="n">
        <f aca="false">H6*G6</f>
        <v>55.162464</v>
      </c>
      <c r="J6" s="31" t="n">
        <f aca="false">Assumptions!$C$5/(1+EXP(-Assumptions!$C$6*(LN(D6)-Assumptions!$C$7)))</f>
        <v>0.523818171185029</v>
      </c>
      <c r="K6" s="30" t="n">
        <v>0.55</v>
      </c>
      <c r="L6" s="32" t="n">
        <f aca="false">I6*J6</f>
        <v>28.89510101054</v>
      </c>
      <c r="M6" s="33" t="n">
        <f aca="false">VLOOKUP(C6,Assumptions!$B$20:$C$23,2,FALSE())*L6/SUMIF($C$5:$C$134,C6,$L$5:$L$134)</f>
        <v>14.364294920713</v>
      </c>
      <c r="N6" s="31" t="n">
        <f aca="false">IF(I6=0,0,M6/I6)</f>
        <v>0.260399805938926</v>
      </c>
      <c r="O6" s="32" t="n">
        <f aca="false">I6*J6*K6</f>
        <v>15.892305555797</v>
      </c>
      <c r="P6" s="32" t="n">
        <f aca="false">O6-M6</f>
        <v>1.52801063508402</v>
      </c>
      <c r="Q6" s="31" t="n">
        <f aca="false">Assumptions!$C$5/(1+EXP(-Assumptions!$C$6*(LN(D6)-(Assumptions!$C$7+Assumptions!$C$8))))</f>
        <v>0.478668944765093</v>
      </c>
      <c r="R6" s="32" t="n">
        <f aca="false">I6*Q6*K6</f>
        <v>14.5225071384373</v>
      </c>
      <c r="S6" s="31" t="n">
        <f aca="false">Assumptions!$C$5/(1+EXP(-Assumptions!$C$6*(LN(D6)-(Assumptions!$C$7-Assumptions!$C$8))))</f>
        <v>0.556458774504873</v>
      </c>
      <c r="T6" s="32" t="n">
        <f aca="false">I6*S6*K6</f>
        <v>16.88260041386</v>
      </c>
      <c r="U6" s="34" t="n">
        <f aca="false">VLOOKUP(A6,Pricing!$A$5:$L$134,12,FALSE())</f>
        <v>18.6511128989005</v>
      </c>
      <c r="V6" s="18" t="n">
        <f aca="false">U6*Assumptions!$C$17</f>
        <v>8.57951193349423</v>
      </c>
      <c r="W6" s="10" t="n">
        <f aca="false">O6*V6*12</f>
        <v>1636.17870200036</v>
      </c>
      <c r="X6" s="35" t="n">
        <f aca="false">IF(D6&gt;=35000,1,IF(D6&gt;=12000,2,IF(D6&gt;=4000,3,4)))</f>
        <v>1</v>
      </c>
    </row>
    <row r="7" customFormat="false" ht="15" hidden="false" customHeight="true" outlineLevel="0" collapsed="false">
      <c r="A7" s="5" t="s">
        <v>74</v>
      </c>
      <c r="B7" s="27" t="s">
        <v>75</v>
      </c>
      <c r="C7" s="5" t="s">
        <v>14</v>
      </c>
      <c r="D7" s="28" t="n">
        <v>44213</v>
      </c>
      <c r="E7" s="29" t="n">
        <v>68.55</v>
      </c>
      <c r="F7" s="30" t="n">
        <v>0.83</v>
      </c>
      <c r="G7" s="30" t="n">
        <v>0.96</v>
      </c>
      <c r="H7" s="8" t="n">
        <f aca="false">E7*F7</f>
        <v>56.8965</v>
      </c>
      <c r="I7" s="8" t="n">
        <f aca="false">H7*G7</f>
        <v>54.62064</v>
      </c>
      <c r="J7" s="31" t="n">
        <f aca="false">Assumptions!$C$5/(1+EXP(-Assumptions!$C$6*(LN(D7)-Assumptions!$C$7)))</f>
        <v>0.516881552134085</v>
      </c>
      <c r="K7" s="30" t="n">
        <v>0.5</v>
      </c>
      <c r="L7" s="32" t="n">
        <f aca="false">I7*J7</f>
        <v>28.2324011817571</v>
      </c>
      <c r="M7" s="33" t="n">
        <f aca="false">VLOOKUP(C7,Assumptions!$B$20:$C$23,2,FALSE())*L7/SUMIF($C$5:$C$134,C7,$L$5:$L$134)</f>
        <v>14.03485444632</v>
      </c>
      <c r="N7" s="31" t="n">
        <f aca="false">IF(I7=0,0,M7/I7)</f>
        <v>0.256951482925137</v>
      </c>
      <c r="O7" s="32" t="n">
        <f aca="false">I7*J7*K7</f>
        <v>14.1162005908785</v>
      </c>
      <c r="P7" s="32" t="n">
        <f aca="false">O7-M7</f>
        <v>0.0813461445584895</v>
      </c>
      <c r="Q7" s="31" t="n">
        <f aca="false">Assumptions!$C$5/(1+EXP(-Assumptions!$C$6*(LN(D7)-(Assumptions!$C$7+Assumptions!$C$8))))</f>
        <v>0.469412252950592</v>
      </c>
      <c r="R7" s="32" t="n">
        <f aca="false">I7*Q7*K7</f>
        <v>12.8197988400016</v>
      </c>
      <c r="S7" s="31" t="n">
        <f aca="false">Assumptions!$C$5/(1+EXP(-Assumptions!$C$6*(LN(D7)-(Assumptions!$C$7-Assumptions!$C$8))))</f>
        <v>0.551568660876729</v>
      </c>
      <c r="T7" s="32" t="n">
        <f aca="false">I7*S7*K7</f>
        <v>15.0635166305149</v>
      </c>
      <c r="U7" s="34" t="n">
        <f aca="false">VLOOKUP(A7,Pricing!$A$5:$L$134,12,FALSE())</f>
        <v>15.5034202898551</v>
      </c>
      <c r="V7" s="18" t="n">
        <f aca="false">U7*Assumptions!$C$17</f>
        <v>7.13157333333333</v>
      </c>
      <c r="W7" s="10" t="n">
        <f aca="false">O7*V7*12</f>
        <v>1208.04863642272</v>
      </c>
      <c r="X7" s="35" t="n">
        <f aca="false">IF(D7&gt;=35000,1,IF(D7&gt;=12000,2,IF(D7&gt;=4000,3,4)))</f>
        <v>1</v>
      </c>
    </row>
    <row r="8" customFormat="false" ht="15" hidden="false" customHeight="true" outlineLevel="0" collapsed="false">
      <c r="A8" s="5" t="s">
        <v>76</v>
      </c>
      <c r="B8" s="27" t="s">
        <v>77</v>
      </c>
      <c r="C8" s="5" t="s">
        <v>14</v>
      </c>
      <c r="D8" s="28" t="n">
        <v>38248</v>
      </c>
      <c r="E8" s="29" t="n">
        <v>58.95</v>
      </c>
      <c r="F8" s="30" t="n">
        <v>0.84</v>
      </c>
      <c r="G8" s="30" t="n">
        <v>0.93</v>
      </c>
      <c r="H8" s="8" t="n">
        <f aca="false">E8*F8</f>
        <v>49.518</v>
      </c>
      <c r="I8" s="8" t="n">
        <f aca="false">H8*G8</f>
        <v>46.05174</v>
      </c>
      <c r="J8" s="31" t="n">
        <f aca="false">Assumptions!$C$5/(1+EXP(-Assumptions!$C$6*(LN(D8)-Assumptions!$C$7)))</f>
        <v>0.50449595047572</v>
      </c>
      <c r="K8" s="30" t="n">
        <v>0.55</v>
      </c>
      <c r="L8" s="32" t="n">
        <f aca="false">I8*J8</f>
        <v>23.2329163423607</v>
      </c>
      <c r="M8" s="33" t="n">
        <f aca="false">VLOOKUP(C8,Assumptions!$B$20:$C$23,2,FALSE())*L8/SUMIF($C$5:$C$134,C8,$L$5:$L$134)</f>
        <v>11.5495170647851</v>
      </c>
      <c r="N8" s="31" t="n">
        <f aca="false">IF(I8=0,0,M8/I8)</f>
        <v>0.250794368785742</v>
      </c>
      <c r="O8" s="32" t="n">
        <f aca="false">I8*J8*K8</f>
        <v>12.7781039882984</v>
      </c>
      <c r="P8" s="32" t="n">
        <f aca="false">O8-M8</f>
        <v>1.22858692351327</v>
      </c>
      <c r="Q8" s="31" t="n">
        <f aca="false">Assumptions!$C$5/(1+EXP(-Assumptions!$C$6*(LN(D8)-(Assumptions!$C$7+Assumptions!$C$8))))</f>
        <v>0.453165393293387</v>
      </c>
      <c r="R8" s="32" t="n">
        <f aca="false">I8*Q8*K8</f>
        <v>11.4779801779196</v>
      </c>
      <c r="S8" s="31" t="n">
        <f aca="false">Assumptions!$C$5/(1+EXP(-Assumptions!$C$6*(LN(D8)-(Assumptions!$C$7-Assumptions!$C$8))))</f>
        <v>0.542726485769697</v>
      </c>
      <c r="T8" s="32" t="n">
        <f aca="false">I8*S8*K8</f>
        <v>13.7464244575789</v>
      </c>
      <c r="U8" s="34" t="n">
        <f aca="false">VLOOKUP(A8,Pricing!$A$5:$L$134,12,FALSE())</f>
        <v>15.2289855072464</v>
      </c>
      <c r="V8" s="18" t="n">
        <f aca="false">U8*Assumptions!$C$17</f>
        <v>7.00533333333333</v>
      </c>
      <c r="W8" s="10" t="n">
        <f aca="false">O8*V8*12</f>
        <v>1074.17853367232</v>
      </c>
      <c r="X8" s="35" t="n">
        <f aca="false">IF(D8&gt;=35000,1,IF(D8&gt;=12000,2,IF(D8&gt;=4000,3,4)))</f>
        <v>1</v>
      </c>
    </row>
    <row r="9" customFormat="false" ht="15" hidden="false" customHeight="true" outlineLevel="0" collapsed="false">
      <c r="A9" s="5" t="s">
        <v>78</v>
      </c>
      <c r="B9" s="27" t="s">
        <v>79</v>
      </c>
      <c r="C9" s="5" t="s">
        <v>14</v>
      </c>
      <c r="D9" s="28" t="n">
        <v>32359</v>
      </c>
      <c r="E9" s="29" t="n">
        <v>48.85</v>
      </c>
      <c r="F9" s="30" t="n">
        <v>0.84</v>
      </c>
      <c r="G9" s="30" t="n">
        <v>0.93</v>
      </c>
      <c r="H9" s="8" t="n">
        <f aca="false">E9*F9</f>
        <v>41.034</v>
      </c>
      <c r="I9" s="8" t="n">
        <f aca="false">H9*G9</f>
        <v>38.16162</v>
      </c>
      <c r="J9" s="31" t="n">
        <f aca="false">Assumptions!$C$5/(1+EXP(-Assumptions!$C$6*(LN(D9)-Assumptions!$C$7)))</f>
        <v>0.488819089573964</v>
      </c>
      <c r="K9" s="30" t="n">
        <v>0.55</v>
      </c>
      <c r="L9" s="32" t="n">
        <f aca="false">I9*J9</f>
        <v>18.6541283450676</v>
      </c>
      <c r="M9" s="33" t="n">
        <f aca="false">VLOOKUP(C9,Assumptions!$B$20:$C$23,2,FALSE())*L9/SUMIF($C$5:$C$134,C9,$L$5:$L$134)</f>
        <v>9.2733159485977</v>
      </c>
      <c r="N9" s="31" t="n">
        <f aca="false">IF(I9=0,0,M9/I9)</f>
        <v>0.24300110814472</v>
      </c>
      <c r="O9" s="32" t="n">
        <f aca="false">I9*J9*K9</f>
        <v>10.2597705897872</v>
      </c>
      <c r="P9" s="32" t="n">
        <f aca="false">O9-M9</f>
        <v>0.986454641189466</v>
      </c>
      <c r="Q9" s="31" t="n">
        <f aca="false">Assumptions!$C$5/(1+EXP(-Assumptions!$C$6*(LN(D9)-(Assumptions!$C$7+Assumptions!$C$8))))</f>
        <v>0.433102632205476</v>
      </c>
      <c r="R9" s="32" t="n">
        <f aca="false">I9*Q9*K9</f>
        <v>9.09034393917383</v>
      </c>
      <c r="S9" s="31" t="n">
        <f aca="false">Assumptions!$C$5/(1+EXP(-Assumptions!$C$6*(LN(D9)-(Assumptions!$C$7-Assumptions!$C$8))))</f>
        <v>0.531326459714794</v>
      </c>
      <c r="T9" s="32" t="n">
        <f aca="false">I9*S9*K9</f>
        <v>11.1519531483697</v>
      </c>
      <c r="U9" s="34" t="n">
        <f aca="false">VLOOKUP(A9,Pricing!$A$5:$L$134,12,FALSE())</f>
        <v>15.2289855072464</v>
      </c>
      <c r="V9" s="18" t="n">
        <f aca="false">U9*Assumptions!$C$17</f>
        <v>7.00533333333333</v>
      </c>
      <c r="W9" s="10" t="n">
        <f aca="false">O9*V9*12</f>
        <v>862.477354859869</v>
      </c>
      <c r="X9" s="35" t="n">
        <f aca="false">IF(D9&gt;=35000,1,IF(D9&gt;=12000,2,IF(D9&gt;=4000,3,4)))</f>
        <v>2</v>
      </c>
    </row>
    <row r="10" customFormat="false" ht="15" hidden="false" customHeight="true" outlineLevel="0" collapsed="false">
      <c r="A10" s="5" t="s">
        <v>80</v>
      </c>
      <c r="B10" s="27" t="s">
        <v>81</v>
      </c>
      <c r="C10" s="5" t="s">
        <v>14</v>
      </c>
      <c r="D10" s="28" t="n">
        <v>4721</v>
      </c>
      <c r="E10" s="29" t="n">
        <v>37.86</v>
      </c>
      <c r="F10" s="30" t="n">
        <v>0.84</v>
      </c>
      <c r="G10" s="30" t="n">
        <v>0.63</v>
      </c>
      <c r="H10" s="8" t="n">
        <f aca="false">E10*F10</f>
        <v>31.8024</v>
      </c>
      <c r="I10" s="8" t="n">
        <f aca="false">H10*G10</f>
        <v>20.035512</v>
      </c>
      <c r="J10" s="31" t="n">
        <f aca="false">Assumptions!$C$5/(1+EXP(-Assumptions!$C$6*(LN(D10)-Assumptions!$C$7)))</f>
        <v>0.232153206135387</v>
      </c>
      <c r="K10" s="30" t="n">
        <v>0.55</v>
      </c>
      <c r="L10" s="32" t="n">
        <f aca="false">I10*J10</f>
        <v>4.65130834736402</v>
      </c>
      <c r="M10" s="33" t="n">
        <f aca="false">VLOOKUP(C10,Assumptions!$B$20:$C$23,2,FALSE())*L10/SUMIF($C$5:$C$134,C10,$L$5:$L$134)</f>
        <v>2.31225233801189</v>
      </c>
      <c r="N10" s="31" t="n">
        <f aca="false">IF(I10=0,0,M10/I10)</f>
        <v>0.115407698990267</v>
      </c>
      <c r="O10" s="32" t="n">
        <f aca="false">I10*J10*K10</f>
        <v>2.55821959105021</v>
      </c>
      <c r="P10" s="32" t="n">
        <f aca="false">O10-M10</f>
        <v>0.24596725303832</v>
      </c>
      <c r="Q10" s="31" t="n">
        <f aca="false">Assumptions!$C$5/(1+EXP(-Assumptions!$C$6*(LN(D10)-(Assumptions!$C$7+Assumptions!$C$8))))</f>
        <v>0.168184431866288</v>
      </c>
      <c r="R10" s="32" t="n">
        <f aca="false">I10*Q10*K10</f>
        <v>1.85331366157861</v>
      </c>
      <c r="S10" s="31" t="n">
        <f aca="false">Assumptions!$C$5/(1+EXP(-Assumptions!$C$6*(LN(D10)-(Assumptions!$C$7-Assumptions!$C$8))))</f>
        <v>0.304077724936845</v>
      </c>
      <c r="T10" s="32" t="n">
        <f aca="false">I10*S10*K10</f>
        <v>3.35079409879767</v>
      </c>
      <c r="U10" s="34" t="n">
        <f aca="false">VLOOKUP(A10,Pricing!$A$5:$L$134,12,FALSE())</f>
        <v>5.26</v>
      </c>
      <c r="V10" s="18" t="n">
        <f aca="false">U10*Assumptions!$C$17</f>
        <v>2.4196</v>
      </c>
      <c r="W10" s="10" t="n">
        <f aca="false">O10*V10*12</f>
        <v>74.2784174700611</v>
      </c>
      <c r="X10" s="35" t="n">
        <f aca="false">IF(D10&gt;=35000,1,IF(D10&gt;=12000,2,IF(D10&gt;=4000,3,4)))</f>
        <v>3</v>
      </c>
    </row>
    <row r="11" customFormat="false" ht="15" hidden="false" customHeight="true" outlineLevel="0" collapsed="false">
      <c r="A11" s="5" t="s">
        <v>82</v>
      </c>
      <c r="B11" s="27" t="s">
        <v>83</v>
      </c>
      <c r="C11" s="5" t="s">
        <v>14</v>
      </c>
      <c r="D11" s="28" t="n">
        <v>22189</v>
      </c>
      <c r="E11" s="29" t="n">
        <v>36.56</v>
      </c>
      <c r="F11" s="30" t="n">
        <v>0.84</v>
      </c>
      <c r="G11" s="30" t="n">
        <v>0.86</v>
      </c>
      <c r="H11" s="8" t="n">
        <f aca="false">E11*F11</f>
        <v>30.7104</v>
      </c>
      <c r="I11" s="8" t="n">
        <f aca="false">H11*G11</f>
        <v>26.410944</v>
      </c>
      <c r="J11" s="31" t="n">
        <f aca="false">Assumptions!$C$5/(1+EXP(-Assumptions!$C$6*(LN(D11)-Assumptions!$C$7)))</f>
        <v>0.447960921979941</v>
      </c>
      <c r="K11" s="30" t="n">
        <v>0.55</v>
      </c>
      <c r="L11" s="32" t="n">
        <f aca="false">I11*J11</f>
        <v>11.8310708246006</v>
      </c>
      <c r="M11" s="33" t="n">
        <f aca="false">VLOOKUP(C11,Assumptions!$B$20:$C$23,2,FALSE())*L11/SUMIF($C$5:$C$134,C11,$L$5:$L$134)</f>
        <v>5.88144649469871</v>
      </c>
      <c r="N11" s="31" t="n">
        <f aca="false">IF(I11=0,0,M11/I11)</f>
        <v>0.222689749169841</v>
      </c>
      <c r="O11" s="32" t="n">
        <f aca="false">I11*J11*K11</f>
        <v>6.50708895353033</v>
      </c>
      <c r="P11" s="32" t="n">
        <f aca="false">O11-M11</f>
        <v>0.625642458831611</v>
      </c>
      <c r="Q11" s="31" t="n">
        <f aca="false">Assumptions!$C$5/(1+EXP(-Assumptions!$C$6*(LN(D11)-(Assumptions!$C$7+Assumptions!$C$8))))</f>
        <v>0.383294131423916</v>
      </c>
      <c r="R11" s="32" t="n">
        <f aca="false">I11*Q11*K11</f>
        <v>5.56773791231113</v>
      </c>
      <c r="S11" s="31" t="n">
        <f aca="false">Assumptions!$C$5/(1+EXP(-Assumptions!$C$6*(LN(D11)-(Assumptions!$C$7-Assumptions!$C$8))))</f>
        <v>0.50047039376558</v>
      </c>
      <c r="T11" s="32" t="n">
        <f aca="false">I11*S11*K11</f>
        <v>7.26984254887037</v>
      </c>
      <c r="U11" s="34" t="n">
        <f aca="false">VLOOKUP(A11,Pricing!$A$5:$L$134,12,FALSE())</f>
        <v>7.98857798666521</v>
      </c>
      <c r="V11" s="18" t="n">
        <f aca="false">U11*Assumptions!$C$17</f>
        <v>3.674745873866</v>
      </c>
      <c r="W11" s="10" t="n">
        <f aca="false">O11*V11*12</f>
        <v>286.942779394375</v>
      </c>
      <c r="X11" s="35" t="n">
        <f aca="false">IF(D11&gt;=35000,1,IF(D11&gt;=12000,2,IF(D11&gt;=4000,3,4)))</f>
        <v>2</v>
      </c>
    </row>
    <row r="12" customFormat="false" ht="15" hidden="false" customHeight="true" outlineLevel="0" collapsed="false">
      <c r="A12" s="5" t="s">
        <v>84</v>
      </c>
      <c r="B12" s="27" t="s">
        <v>85</v>
      </c>
      <c r="C12" s="5" t="s">
        <v>14</v>
      </c>
      <c r="D12" s="28" t="n">
        <v>18424</v>
      </c>
      <c r="E12" s="29" t="n">
        <v>19.05</v>
      </c>
      <c r="F12" s="30" t="n">
        <v>0.84</v>
      </c>
      <c r="G12" s="30" t="n">
        <v>0.86</v>
      </c>
      <c r="H12" s="8" t="n">
        <f aca="false">E12*F12</f>
        <v>16.002</v>
      </c>
      <c r="I12" s="8" t="n">
        <f aca="false">H12*G12</f>
        <v>13.76172</v>
      </c>
      <c r="J12" s="31" t="n">
        <f aca="false">Assumptions!$C$5/(1+EXP(-Assumptions!$C$6*(LN(D12)-Assumptions!$C$7)))</f>
        <v>0.42516696230727</v>
      </c>
      <c r="K12" s="30" t="n">
        <v>0.55</v>
      </c>
      <c r="L12" s="32" t="n">
        <f aca="false">I12*J12</f>
        <v>5.8510286885232</v>
      </c>
      <c r="M12" s="33" t="n">
        <f aca="false">VLOOKUP(C12,Assumptions!$B$20:$C$23,2,FALSE())*L12/SUMIF($C$5:$C$134,C12,$L$5:$L$134)</f>
        <v>2.90865574897428</v>
      </c>
      <c r="N12" s="31" t="n">
        <f aca="false">IF(I12=0,0,M12/I12)</f>
        <v>0.211358445672073</v>
      </c>
      <c r="O12" s="32" t="n">
        <f aca="false">I12*J12*K12</f>
        <v>3.21806577868776</v>
      </c>
      <c r="P12" s="32" t="n">
        <f aca="false">O12-M12</f>
        <v>0.309410029713479</v>
      </c>
      <c r="Q12" s="31" t="n">
        <f aca="false">Assumptions!$C$5/(1+EXP(-Assumptions!$C$6*(LN(D12)-(Assumptions!$C$7+Assumptions!$C$8))))</f>
        <v>0.356963233398452</v>
      </c>
      <c r="R12" s="32" t="n">
        <f aca="false">I12*Q12*K12</f>
        <v>2.70183543757828</v>
      </c>
      <c r="S12" s="31" t="n">
        <f aca="false">Assumptions!$C$5/(1+EXP(-Assumptions!$C$6*(LN(D12)-(Assumptions!$C$7-Assumptions!$C$8))))</f>
        <v>0.482498070216819</v>
      </c>
      <c r="T12" s="32" t="n">
        <f aca="false">I12*S12*K12</f>
        <v>3.65200183857531</v>
      </c>
      <c r="U12" s="34" t="n">
        <f aca="false">VLOOKUP(A12,Pricing!$A$5:$L$134,12,FALSE())</f>
        <v>6.1399038355011</v>
      </c>
      <c r="V12" s="18" t="n">
        <f aca="false">U12*Assumptions!$C$17</f>
        <v>2.82435576433051</v>
      </c>
      <c r="W12" s="10" t="n">
        <f aca="false">O12*V12*12</f>
        <v>109.067551584378</v>
      </c>
      <c r="X12" s="35" t="n">
        <f aca="false">IF(D12&gt;=35000,1,IF(D12&gt;=12000,2,IF(D12&gt;=4000,3,4)))</f>
        <v>2</v>
      </c>
    </row>
    <row r="13" customFormat="false" ht="15" hidden="false" customHeight="true" outlineLevel="0" collapsed="false">
      <c r="A13" s="5" t="s">
        <v>86</v>
      </c>
      <c r="B13" s="27" t="s">
        <v>87</v>
      </c>
      <c r="C13" s="5" t="s">
        <v>14</v>
      </c>
      <c r="D13" s="28" t="n">
        <v>62141</v>
      </c>
      <c r="E13" s="29" t="n">
        <v>17.99</v>
      </c>
      <c r="F13" s="30" t="n">
        <v>0.83</v>
      </c>
      <c r="G13" s="30" t="n">
        <v>0.96</v>
      </c>
      <c r="H13" s="8" t="n">
        <f aca="false">E13*F13</f>
        <v>14.9317</v>
      </c>
      <c r="I13" s="8" t="n">
        <f aca="false">H13*G13</f>
        <v>14.334432</v>
      </c>
      <c r="J13" s="31" t="n">
        <f aca="false">Assumptions!$C$5/(1+EXP(-Assumptions!$C$6*(LN(D13)-Assumptions!$C$7)))</f>
        <v>0.541777851414292</v>
      </c>
      <c r="K13" s="30" t="n">
        <v>0.55</v>
      </c>
      <c r="L13" s="32" t="n">
        <f aca="false">I13*J13</f>
        <v>7.76607777020427</v>
      </c>
      <c r="M13" s="33" t="n">
        <f aca="false">VLOOKUP(C13,Assumptions!$B$20:$C$23,2,FALSE())*L13/SUMIF($C$5:$C$134,C13,$L$5:$L$134)</f>
        <v>3.86066245027888</v>
      </c>
      <c r="N13" s="31" t="n">
        <f aca="false">IF(I13=0,0,M13/I13)</f>
        <v>0.269327898746102</v>
      </c>
      <c r="O13" s="32" t="n">
        <f aca="false">I13*J13*K13</f>
        <v>4.27134277361235</v>
      </c>
      <c r="P13" s="32" t="n">
        <f aca="false">O13-M13</f>
        <v>0.410680323333467</v>
      </c>
      <c r="Q13" s="31" t="n">
        <f aca="false">Assumptions!$C$5/(1+EXP(-Assumptions!$C$6*(LN(D13)-(Assumptions!$C$7+Assumptions!$C$8))))</f>
        <v>0.503179008426994</v>
      </c>
      <c r="R13" s="32" t="n">
        <f aca="false">I13*Q13*K13</f>
        <v>3.9670319040683</v>
      </c>
      <c r="S13" s="31" t="n">
        <f aca="false">Assumptions!$C$5/(1+EXP(-Assumptions!$C$6*(LN(D13)-(Assumptions!$C$7-Assumptions!$C$8))))</f>
        <v>0.568917957117369</v>
      </c>
      <c r="T13" s="32" t="n">
        <f aca="false">I13*S13*K13</f>
        <v>4.48531367343281</v>
      </c>
      <c r="U13" s="34" t="n">
        <f aca="false">VLOOKUP(A13,Pricing!$A$5:$L$134,12,FALSE())</f>
        <v>16.3014492753623</v>
      </c>
      <c r="V13" s="18" t="n">
        <f aca="false">U13*Assumptions!$C$17</f>
        <v>7.49866666666667</v>
      </c>
      <c r="W13" s="10" t="n">
        <f aca="false">O13*V13*12</f>
        <v>384.352508140734</v>
      </c>
      <c r="X13" s="35" t="n">
        <f aca="false">IF(D13&gt;=35000,1,IF(D13&gt;=12000,2,IF(D13&gt;=4000,3,4)))</f>
        <v>1</v>
      </c>
    </row>
    <row r="14" customFormat="false" ht="15" hidden="false" customHeight="true" outlineLevel="0" collapsed="false">
      <c r="A14" s="5" t="s">
        <v>88</v>
      </c>
      <c r="B14" s="27" t="s">
        <v>89</v>
      </c>
      <c r="C14" s="5" t="s">
        <v>14</v>
      </c>
      <c r="D14" s="28" t="n">
        <v>53313</v>
      </c>
      <c r="E14" s="29" t="n">
        <v>11.86</v>
      </c>
      <c r="F14" s="30" t="n">
        <v>0.83</v>
      </c>
      <c r="G14" s="30" t="n">
        <v>0.96</v>
      </c>
      <c r="H14" s="8" t="n">
        <f aca="false">E14*F14</f>
        <v>9.8438</v>
      </c>
      <c r="I14" s="8" t="n">
        <f aca="false">H14*G14</f>
        <v>9.450048</v>
      </c>
      <c r="J14" s="31" t="n">
        <f aca="false">Assumptions!$C$5/(1+EXP(-Assumptions!$C$6*(LN(D14)-Assumptions!$C$7)))</f>
        <v>0.531275047843554</v>
      </c>
      <c r="K14" s="30" t="n">
        <v>0.55</v>
      </c>
      <c r="L14" s="32" t="n">
        <f aca="false">I14*J14</f>
        <v>5.02057470332388</v>
      </c>
      <c r="M14" s="33" t="n">
        <f aca="false">VLOOKUP(C14,Assumptions!$B$20:$C$23,2,FALSE())*L14/SUMIF($C$5:$C$134,C14,$L$5:$L$134)</f>
        <v>2.49582154717886</v>
      </c>
      <c r="N14" s="31" t="n">
        <f aca="false">IF(I14=0,0,M14/I14)</f>
        <v>0.264106758735919</v>
      </c>
      <c r="O14" s="32" t="n">
        <f aca="false">I14*J14*K14</f>
        <v>2.76131608682814</v>
      </c>
      <c r="P14" s="32" t="n">
        <f aca="false">O14-M14</f>
        <v>0.265494539649278</v>
      </c>
      <c r="Q14" s="31" t="n">
        <f aca="false">Assumptions!$C$5/(1+EXP(-Assumptions!$C$6*(LN(D14)-(Assumptions!$C$7+Assumptions!$C$8))))</f>
        <v>0.488749120427896</v>
      </c>
      <c r="R14" s="32" t="n">
        <f aca="false">I14*Q14*K14</f>
        <v>2.54028645640077</v>
      </c>
      <c r="S14" s="31" t="n">
        <f aca="false">Assumptions!$C$5/(1+EXP(-Assumptions!$C$6*(LN(D14)-(Assumptions!$C$7-Assumptions!$C$8))))</f>
        <v>0.561666869583048</v>
      </c>
      <c r="T14" s="32" t="n">
        <f aca="false">I14*S14*K14</f>
        <v>2.91927838266325</v>
      </c>
      <c r="U14" s="34" t="n">
        <f aca="false">VLOOKUP(A14,Pricing!$A$5:$L$134,12,FALSE())</f>
        <v>15.3159420289855</v>
      </c>
      <c r="V14" s="18" t="n">
        <f aca="false">U14*Assumptions!$C$17</f>
        <v>7.04533333333333</v>
      </c>
      <c r="W14" s="10" t="n">
        <f aca="false">O14*V14*12</f>
        <v>233.452707244798</v>
      </c>
      <c r="X14" s="35" t="n">
        <f aca="false">IF(D14&gt;=35000,1,IF(D14&gt;=12000,2,IF(D14&gt;=4000,3,4)))</f>
        <v>1</v>
      </c>
    </row>
    <row r="15" customFormat="false" ht="15" hidden="false" customHeight="true" outlineLevel="0" collapsed="false">
      <c r="A15" s="5" t="s">
        <v>90</v>
      </c>
      <c r="B15" s="27" t="s">
        <v>91</v>
      </c>
      <c r="C15" s="5" t="s">
        <v>14</v>
      </c>
      <c r="D15" s="28" t="n">
        <v>30340</v>
      </c>
      <c r="E15" s="29" t="n">
        <v>10.9</v>
      </c>
      <c r="F15" s="30" t="n">
        <v>0.84</v>
      </c>
      <c r="G15" s="30" t="n">
        <v>0.93</v>
      </c>
      <c r="H15" s="8" t="n">
        <f aca="false">E15*F15</f>
        <v>9.156</v>
      </c>
      <c r="I15" s="8" t="n">
        <f aca="false">H15*G15</f>
        <v>8.51508</v>
      </c>
      <c r="J15" s="31" t="n">
        <f aca="false">Assumptions!$C$5/(1+EXP(-Assumptions!$C$6*(LN(D15)-Assumptions!$C$7)))</f>
        <v>0.482377346594406</v>
      </c>
      <c r="K15" s="30" t="n">
        <v>0.55</v>
      </c>
      <c r="L15" s="32" t="n">
        <f aca="false">I15*J15</f>
        <v>4.1074816964391</v>
      </c>
      <c r="M15" s="33" t="n">
        <f aca="false">VLOOKUP(C15,Assumptions!$B$20:$C$23,2,FALSE())*L15/SUMIF($C$5:$C$134,C15,$L$5:$L$134)</f>
        <v>2.04190594272572</v>
      </c>
      <c r="N15" s="31" t="n">
        <f aca="false">IF(I15=0,0,M15/I15)</f>
        <v>0.239798797277973</v>
      </c>
      <c r="O15" s="32" t="n">
        <f aca="false">I15*J15*K15</f>
        <v>2.2591149330415</v>
      </c>
      <c r="P15" s="32" t="n">
        <f aca="false">O15-M15</f>
        <v>0.217208990315782</v>
      </c>
      <c r="Q15" s="31" t="n">
        <f aca="false">Assumptions!$C$5/(1+EXP(-Assumptions!$C$6*(LN(D15)-(Assumptions!$C$7+Assumptions!$C$8))))</f>
        <v>0.425016244456689</v>
      </c>
      <c r="R15" s="32" t="n">
        <f aca="false">I15*Q15*K15</f>
        <v>1.99047602756655</v>
      </c>
      <c r="S15" s="31" t="n">
        <f aca="false">Assumptions!$C$5/(1+EXP(-Assumptions!$C$6*(LN(D15)-(Assumptions!$C$7-Assumptions!$C$8))))</f>
        <v>0.526573122951485</v>
      </c>
      <c r="T15" s="32" t="n">
        <f aca="false">I15*S15*K15</f>
        <v>2.46609674727995</v>
      </c>
      <c r="U15" s="34" t="n">
        <f aca="false">VLOOKUP(A15,Pricing!$A$5:$L$134,12,FALSE())</f>
        <v>9.44881889763779</v>
      </c>
      <c r="V15" s="18" t="n">
        <f aca="false">U15*Assumptions!$C$17</f>
        <v>4.34645669291339</v>
      </c>
      <c r="W15" s="10" t="n">
        <f aca="false">O15*V15*12</f>
        <v>117.829742649346</v>
      </c>
      <c r="X15" s="35" t="n">
        <f aca="false">IF(D15&gt;=35000,1,IF(D15&gt;=12000,2,IF(D15&gt;=4000,3,4)))</f>
        <v>2</v>
      </c>
    </row>
    <row r="16" customFormat="false" ht="15" hidden="false" customHeight="true" outlineLevel="0" collapsed="false">
      <c r="A16" s="5" t="s">
        <v>92</v>
      </c>
      <c r="B16" s="27" t="s">
        <v>93</v>
      </c>
      <c r="C16" s="5" t="s">
        <v>14</v>
      </c>
      <c r="D16" s="28" t="n">
        <v>26843</v>
      </c>
      <c r="E16" s="29" t="n">
        <v>10.7</v>
      </c>
      <c r="F16" s="30" t="n">
        <v>0.84</v>
      </c>
      <c r="G16" s="30" t="n">
        <v>0.93</v>
      </c>
      <c r="H16" s="8" t="n">
        <f aca="false">E16*F16</f>
        <v>8.988</v>
      </c>
      <c r="I16" s="8" t="n">
        <f aca="false">H16*G16</f>
        <v>8.35884</v>
      </c>
      <c r="J16" s="31" t="n">
        <f aca="false">Assumptions!$C$5/(1+EXP(-Assumptions!$C$6*(LN(D16)-Assumptions!$C$7)))</f>
        <v>0.469519046079335</v>
      </c>
      <c r="K16" s="30" t="n">
        <v>0.55</v>
      </c>
      <c r="L16" s="32" t="n">
        <f aca="false">I16*J16</f>
        <v>3.92463458312979</v>
      </c>
      <c r="M16" s="33" t="n">
        <f aca="false">VLOOKUP(C16,Assumptions!$B$20:$C$23,2,FALSE())*L16/SUMIF($C$5:$C$134,C16,$L$5:$L$134)</f>
        <v>1.95100922428138</v>
      </c>
      <c r="N16" s="31" t="n">
        <f aca="false">IF(I16=0,0,M16/I16)</f>
        <v>0.233406695699568</v>
      </c>
      <c r="O16" s="32" t="n">
        <f aca="false">I16*J16*K16</f>
        <v>2.15854902072138</v>
      </c>
      <c r="P16" s="32" t="n">
        <f aca="false">O16-M16</f>
        <v>0.207539796440005</v>
      </c>
      <c r="Q16" s="31" t="n">
        <f aca="false">Assumptions!$C$5/(1+EXP(-Assumptions!$C$6*(LN(D16)-(Assumptions!$C$7+Assumptions!$C$8))))</f>
        <v>0.409141301133475</v>
      </c>
      <c r="R16" s="32" t="n">
        <f aca="false">I16*Q16*K16</f>
        <v>1.88097067046159</v>
      </c>
      <c r="S16" s="31" t="n">
        <f aca="false">Assumptions!$C$5/(1+EXP(-Assumptions!$C$6*(LN(D16)-(Assumptions!$C$7-Assumptions!$C$8))))</f>
        <v>0.516962070602976</v>
      </c>
      <c r="T16" s="32" t="n">
        <f aca="false">I16*S16*K16</f>
        <v>2.37666177883144</v>
      </c>
      <c r="U16" s="34" t="n">
        <f aca="false">VLOOKUP(A16,Pricing!$A$5:$L$134,12,FALSE())</f>
        <v>11.3275362318841</v>
      </c>
      <c r="V16" s="18" t="n">
        <f aca="false">U16*Assumptions!$C$17</f>
        <v>5.21066666666667</v>
      </c>
      <c r="W16" s="10" t="n">
        <f aca="false">O16*V16*12</f>
        <v>134.969753167667</v>
      </c>
      <c r="X16" s="35" t="n">
        <f aca="false">IF(D16&gt;=35000,1,IF(D16&gt;=12000,2,IF(D16&gt;=4000,3,4)))</f>
        <v>2</v>
      </c>
    </row>
    <row r="17" customFormat="false" ht="15" hidden="false" customHeight="true" outlineLevel="0" collapsed="false">
      <c r="A17" s="5" t="s">
        <v>94</v>
      </c>
      <c r="B17" s="27" t="s">
        <v>95</v>
      </c>
      <c r="C17" s="5" t="s">
        <v>14</v>
      </c>
      <c r="D17" s="28" t="n">
        <v>56129</v>
      </c>
      <c r="E17" s="29" t="n">
        <v>10.57</v>
      </c>
      <c r="F17" s="30" t="n">
        <v>0.83</v>
      </c>
      <c r="G17" s="30" t="n">
        <v>0.96</v>
      </c>
      <c r="H17" s="8" t="n">
        <f aca="false">E17*F17</f>
        <v>8.7731</v>
      </c>
      <c r="I17" s="8" t="n">
        <f aca="false">H17*G17</f>
        <v>8.422176</v>
      </c>
      <c r="J17" s="31" t="n">
        <f aca="false">Assumptions!$C$5/(1+EXP(-Assumptions!$C$6*(LN(D17)-Assumptions!$C$7)))</f>
        <v>0.534928241904909</v>
      </c>
      <c r="K17" s="30" t="n">
        <v>0.55</v>
      </c>
      <c r="L17" s="32" t="n">
        <f aca="false">I17*J17</f>
        <v>4.50525980069372</v>
      </c>
      <c r="M17" s="33" t="n">
        <f aca="false">VLOOKUP(C17,Assumptions!$B$20:$C$23,2,FALSE())*L17/SUMIF($C$5:$C$134,C17,$L$5:$L$134)</f>
        <v>2.23964887501141</v>
      </c>
      <c r="N17" s="31" t="n">
        <f aca="false">IF(I17=0,0,M17/I17)</f>
        <v>0.26592282980211</v>
      </c>
      <c r="O17" s="32" t="n">
        <f aca="false">I17*J17*K17</f>
        <v>2.47789289038154</v>
      </c>
      <c r="P17" s="32" t="n">
        <f aca="false">O17-M17</f>
        <v>0.238244015370129</v>
      </c>
      <c r="Q17" s="31" t="n">
        <f aca="false">Assumptions!$C$5/(1+EXP(-Assumptions!$C$6*(LN(D17)-(Assumptions!$C$7+Assumptions!$C$8))))</f>
        <v>0.493737155227278</v>
      </c>
      <c r="R17" s="32" t="n">
        <f aca="false">I17*Q17*K17</f>
        <v>2.2870876704849</v>
      </c>
      <c r="S17" s="31" t="n">
        <f aca="false">Assumptions!$C$5/(1+EXP(-Assumptions!$C$6*(LN(D17)-(Assumptions!$C$7-Assumptions!$C$8))))</f>
        <v>0.564200130408556</v>
      </c>
      <c r="T17" s="32" t="n">
        <f aca="false">I17*S17*K17</f>
        <v>2.6134860386381</v>
      </c>
      <c r="U17" s="34" t="n">
        <f aca="false">VLOOKUP(A17,Pricing!$A$5:$L$134,12,FALSE())</f>
        <v>14.9540366855343</v>
      </c>
      <c r="V17" s="18" t="n">
        <f aca="false">U17*Assumptions!$C$17</f>
        <v>6.87885687534579</v>
      </c>
      <c r="W17" s="10" t="n">
        <f aca="false">O17*V17*12</f>
        <v>204.540846544458</v>
      </c>
      <c r="X17" s="35" t="n">
        <f aca="false">IF(D17&gt;=35000,1,IF(D17&gt;=12000,2,IF(D17&gt;=4000,3,4)))</f>
        <v>1</v>
      </c>
    </row>
    <row r="18" customFormat="false" ht="15" hidden="false" customHeight="true" outlineLevel="0" collapsed="false">
      <c r="A18" s="5" t="s">
        <v>96</v>
      </c>
      <c r="B18" s="27" t="s">
        <v>97</v>
      </c>
      <c r="C18" s="5" t="s">
        <v>14</v>
      </c>
      <c r="D18" s="28" t="n">
        <v>22893</v>
      </c>
      <c r="E18" s="29" t="n">
        <v>10.4</v>
      </c>
      <c r="F18" s="30" t="n">
        <v>0.84</v>
      </c>
      <c r="G18" s="30" t="n">
        <v>0.86</v>
      </c>
      <c r="H18" s="8" t="n">
        <f aca="false">E18*F18</f>
        <v>8.736</v>
      </c>
      <c r="I18" s="8" t="n">
        <f aca="false">H18*G18</f>
        <v>7.51296</v>
      </c>
      <c r="J18" s="31" t="n">
        <f aca="false">Assumptions!$C$5/(1+EXP(-Assumptions!$C$6*(LN(D18)-Assumptions!$C$7)))</f>
        <v>0.451624826810107</v>
      </c>
      <c r="K18" s="30" t="n">
        <v>0.55</v>
      </c>
      <c r="L18" s="32" t="n">
        <f aca="false">I18*J18</f>
        <v>3.39303925883127</v>
      </c>
      <c r="M18" s="33" t="n">
        <f aca="false">VLOOKUP(C18,Assumptions!$B$20:$C$23,2,FALSE())*L18/SUMIF($C$5:$C$134,C18,$L$5:$L$134)</f>
        <v>1.68674325013197</v>
      </c>
      <c r="N18" s="31" t="n">
        <f aca="false">IF(I18=0,0,M18/I18)</f>
        <v>0.224511144759451</v>
      </c>
      <c r="O18" s="32" t="n">
        <f aca="false">I18*J18*K18</f>
        <v>1.8661715923572</v>
      </c>
      <c r="P18" s="32" t="n">
        <f aca="false">O18-M18</f>
        <v>0.179428342225231</v>
      </c>
      <c r="Q18" s="31" t="n">
        <f aca="false">Assumptions!$C$5/(1+EXP(-Assumptions!$C$6*(LN(D18)-(Assumptions!$C$7+Assumptions!$C$8))))</f>
        <v>0.387620817524547</v>
      </c>
      <c r="R18" s="32" t="n">
        <f aca="false">I18*Q18*K18</f>
        <v>1.60169883347607</v>
      </c>
      <c r="S18" s="31" t="n">
        <f aca="false">Assumptions!$C$5/(1+EXP(-Assumptions!$C$6*(LN(D18)-(Assumptions!$C$7-Assumptions!$C$8))))</f>
        <v>0.503307319750222</v>
      </c>
      <c r="T18" s="32" t="n">
        <f aca="false">I18*S18*K18</f>
        <v>2.07973026854485</v>
      </c>
      <c r="U18" s="34" t="n">
        <f aca="false">VLOOKUP(A18,Pricing!$A$5:$L$134,12,FALSE())</f>
        <v>11.2231884057971</v>
      </c>
      <c r="V18" s="18" t="n">
        <f aca="false">U18*Assumptions!$C$17</f>
        <v>5.16266666666667</v>
      </c>
      <c r="W18" s="10" t="n">
        <f aca="false">O18*V18*12</f>
        <v>115.613062489713</v>
      </c>
      <c r="X18" s="35" t="n">
        <f aca="false">IF(D18&gt;=35000,1,IF(D18&gt;=12000,2,IF(D18&gt;=4000,3,4)))</f>
        <v>2</v>
      </c>
    </row>
    <row r="19" customFormat="false" ht="15" hidden="false" customHeight="true" outlineLevel="0" collapsed="false">
      <c r="A19" s="5" t="s">
        <v>98</v>
      </c>
      <c r="B19" s="27" t="s">
        <v>99</v>
      </c>
      <c r="C19" s="5" t="s">
        <v>14</v>
      </c>
      <c r="D19" s="28" t="n">
        <v>22212</v>
      </c>
      <c r="E19" s="29" t="n">
        <v>9.56</v>
      </c>
      <c r="F19" s="30" t="n">
        <v>0.84</v>
      </c>
      <c r="G19" s="30" t="n">
        <v>0.86</v>
      </c>
      <c r="H19" s="8" t="n">
        <f aca="false">E19*F19</f>
        <v>8.0304</v>
      </c>
      <c r="I19" s="8" t="n">
        <f aca="false">H19*G19</f>
        <v>6.906144</v>
      </c>
      <c r="J19" s="31" t="n">
        <f aca="false">Assumptions!$C$5/(1+EXP(-Assumptions!$C$6*(LN(D19)-Assumptions!$C$7)))</f>
        <v>0.448083233998649</v>
      </c>
      <c r="K19" s="30" t="n">
        <v>0.55</v>
      </c>
      <c r="L19" s="32" t="n">
        <f aca="false">I19*J19</f>
        <v>3.09452733798037</v>
      </c>
      <c r="M19" s="33" t="n">
        <f aca="false">VLOOKUP(C19,Assumptions!$B$20:$C$23,2,FALSE())*L19/SUMIF($C$5:$C$134,C19,$L$5:$L$134)</f>
        <v>1.53834739344724</v>
      </c>
      <c r="N19" s="31" t="n">
        <f aca="false">IF(I19=0,0,M19/I19)</f>
        <v>0.222750552761025</v>
      </c>
      <c r="O19" s="32" t="n">
        <f aca="false">I19*J19*K19</f>
        <v>1.7019900358892</v>
      </c>
      <c r="P19" s="32" t="n">
        <f aca="false">O19-M19</f>
        <v>0.163642642441965</v>
      </c>
      <c r="Q19" s="31" t="n">
        <f aca="false">Assumptions!$C$5/(1+EXP(-Assumptions!$C$6*(LN(D19)-(Assumptions!$C$7+Assumptions!$C$8))))</f>
        <v>0.383438139771759</v>
      </c>
      <c r="R19" s="32" t="n">
        <f aca="false">I19*Q19*K19</f>
        <v>1.45644345459574</v>
      </c>
      <c r="S19" s="31" t="n">
        <f aca="false">Assumptions!$C$5/(1+EXP(-Assumptions!$C$6*(LN(D19)-(Assumptions!$C$7-Assumptions!$C$8))))</f>
        <v>0.500565327286036</v>
      </c>
      <c r="T19" s="32" t="n">
        <f aca="false">I19*S19*K19</f>
        <v>1.90133692740447</v>
      </c>
      <c r="U19" s="34" t="n">
        <f aca="false">VLOOKUP(A19,Pricing!$A$5:$L$134,12,FALSE())</f>
        <v>7.87130205532865</v>
      </c>
      <c r="V19" s="18" t="n">
        <f aca="false">U19*Assumptions!$C$17</f>
        <v>3.62079894545118</v>
      </c>
      <c r="W19" s="10" t="n">
        <f aca="false">O19*V19*12</f>
        <v>73.9507647253925</v>
      </c>
      <c r="X19" s="35" t="n">
        <f aca="false">IF(D19&gt;=35000,1,IF(D19&gt;=12000,2,IF(D19&gt;=4000,3,4)))</f>
        <v>2</v>
      </c>
    </row>
    <row r="20" customFormat="false" ht="15" hidden="false" customHeight="true" outlineLevel="0" collapsed="false">
      <c r="A20" s="5" t="s">
        <v>100</v>
      </c>
      <c r="B20" s="27" t="s">
        <v>101</v>
      </c>
      <c r="C20" s="5" t="s">
        <v>14</v>
      </c>
      <c r="D20" s="28" t="n">
        <v>56225</v>
      </c>
      <c r="E20" s="29" t="n">
        <v>9.18</v>
      </c>
      <c r="F20" s="30" t="n">
        <v>0.83</v>
      </c>
      <c r="G20" s="30" t="n">
        <v>0.96</v>
      </c>
      <c r="H20" s="8" t="n">
        <f aca="false">E20*F20</f>
        <v>7.6194</v>
      </c>
      <c r="I20" s="8" t="n">
        <f aca="false">H20*G20</f>
        <v>7.314624</v>
      </c>
      <c r="J20" s="31" t="n">
        <f aca="false">Assumptions!$C$5/(1+EXP(-Assumptions!$C$6*(LN(D20)-Assumptions!$C$7)))</f>
        <v>0.535047330409855</v>
      </c>
      <c r="K20" s="30" t="n">
        <v>0.55</v>
      </c>
      <c r="L20" s="32" t="n">
        <f aca="false">I20*J20</f>
        <v>3.91367004415185</v>
      </c>
      <c r="M20" s="33" t="n">
        <f aca="false">VLOOKUP(C20,Assumptions!$B$20:$C$23,2,FALSE())*L20/SUMIF($C$5:$C$134,C20,$L$5:$L$134)</f>
        <v>1.9455585469679</v>
      </c>
      <c r="N20" s="31" t="n">
        <f aca="false">IF(I20=0,0,M20/I20)</f>
        <v>0.265982030924338</v>
      </c>
      <c r="O20" s="32" t="n">
        <f aca="false">I20*J20*K20</f>
        <v>2.15251852428352</v>
      </c>
      <c r="P20" s="32" t="n">
        <f aca="false">O20-M20</f>
        <v>0.206959977315616</v>
      </c>
      <c r="Q20" s="31" t="n">
        <f aca="false">Assumptions!$C$5/(1+EXP(-Assumptions!$C$6*(LN(D20)-(Assumptions!$C$7+Assumptions!$C$8))))</f>
        <v>0.493900312750778</v>
      </c>
      <c r="R20" s="32" t="n">
        <f aca="false">I20*Q20*K20</f>
        <v>1.98698229468989</v>
      </c>
      <c r="S20" s="31" t="n">
        <f aca="false">Assumptions!$C$5/(1+EXP(-Assumptions!$C$6*(LN(D20)-(Assumptions!$C$7-Assumptions!$C$8))))</f>
        <v>0.564282510450232</v>
      </c>
      <c r="T20" s="32" t="n">
        <f aca="false">I20*S20*K20</f>
        <v>2.27013291654574</v>
      </c>
      <c r="U20" s="34" t="n">
        <f aca="false">VLOOKUP(A20,Pricing!$A$5:$L$134,12,FALSE())</f>
        <v>16.0115942028986</v>
      </c>
      <c r="V20" s="18" t="n">
        <f aca="false">U20*Assumptions!$C$17</f>
        <v>7.36533333333333</v>
      </c>
      <c r="W20" s="10" t="n">
        <f aca="false">O20*V20*12</f>
        <v>190.248197250275</v>
      </c>
      <c r="X20" s="35" t="n">
        <f aca="false">IF(D20&gt;=35000,1,IF(D20&gt;=12000,2,IF(D20&gt;=4000,3,4)))</f>
        <v>1</v>
      </c>
    </row>
    <row r="21" customFormat="false" ht="15" hidden="false" customHeight="true" outlineLevel="0" collapsed="false">
      <c r="A21" s="5" t="s">
        <v>102</v>
      </c>
      <c r="B21" s="27" t="s">
        <v>103</v>
      </c>
      <c r="C21" s="5" t="s">
        <v>14</v>
      </c>
      <c r="D21" s="28" t="n">
        <v>7868</v>
      </c>
      <c r="E21" s="29" t="n">
        <v>9.13</v>
      </c>
      <c r="F21" s="30" t="n">
        <v>0.84</v>
      </c>
      <c r="G21" s="30" t="n">
        <v>0.76</v>
      </c>
      <c r="H21" s="8" t="n">
        <f aca="false">E21*F21</f>
        <v>7.6692</v>
      </c>
      <c r="I21" s="8" t="n">
        <f aca="false">H21*G21</f>
        <v>5.828592</v>
      </c>
      <c r="J21" s="31" t="n">
        <f aca="false">Assumptions!$C$5/(1+EXP(-Assumptions!$C$6*(LN(D21)-Assumptions!$C$7)))</f>
        <v>0.305665121759832</v>
      </c>
      <c r="K21" s="30" t="n">
        <v>0.55</v>
      </c>
      <c r="L21" s="32" t="n">
        <f aca="false">I21*J21</f>
        <v>1.78159728336838</v>
      </c>
      <c r="M21" s="33" t="n">
        <f aca="false">VLOOKUP(C21,Assumptions!$B$20:$C$23,2,FALSE())*L21/SUMIF($C$5:$C$134,C21,$L$5:$L$134)</f>
        <v>0.885665317415212</v>
      </c>
      <c r="N21" s="31" t="n">
        <f aca="false">IF(I21=0,0,M21/I21)</f>
        <v>0.15195184658923</v>
      </c>
      <c r="O21" s="32" t="n">
        <f aca="false">I21*J21*K21</f>
        <v>0.979878505852611</v>
      </c>
      <c r="P21" s="32" t="n">
        <f aca="false">O21-M21</f>
        <v>0.0942131884373995</v>
      </c>
      <c r="Q21" s="31" t="n">
        <f aca="false">Assumptions!$C$5/(1+EXP(-Assumptions!$C$6*(LN(D21)-(Assumptions!$C$7+Assumptions!$C$8))))</f>
        <v>0.233642814172576</v>
      </c>
      <c r="R21" s="32" t="n">
        <f aca="false">I21*Q21*K21</f>
        <v>0.748994750649071</v>
      </c>
      <c r="S21" s="31" t="n">
        <f aca="false">Assumptions!$C$5/(1+EXP(-Assumptions!$C$6*(LN(D21)-(Assumptions!$C$7-Assumptions!$C$8))))</f>
        <v>0.378158552148377</v>
      </c>
      <c r="T21" s="32" t="n">
        <f aca="false">I21*S21*K21</f>
        <v>1.21227255148099</v>
      </c>
      <c r="U21" s="34" t="n">
        <f aca="false">VLOOKUP(A21,Pricing!$A$5:$L$134,12,FALSE())</f>
        <v>1.81060606060606</v>
      </c>
      <c r="V21" s="18" t="n">
        <f aca="false">U21*Assumptions!$C$17</f>
        <v>0.832878787878788</v>
      </c>
      <c r="W21" s="10" t="n">
        <f aca="false">O21*V21*12</f>
        <v>9.79344026667601</v>
      </c>
      <c r="X21" s="35" t="n">
        <f aca="false">IF(D21&gt;=35000,1,IF(D21&gt;=12000,2,IF(D21&gt;=4000,3,4)))</f>
        <v>3</v>
      </c>
    </row>
    <row r="22" customFormat="false" ht="15" hidden="false" customHeight="true" outlineLevel="0" collapsed="false">
      <c r="A22" s="5" t="s">
        <v>104</v>
      </c>
      <c r="B22" s="27" t="s">
        <v>105</v>
      </c>
      <c r="C22" s="5" t="s">
        <v>14</v>
      </c>
      <c r="D22" s="28" t="n">
        <v>98266</v>
      </c>
      <c r="E22" s="29" t="n">
        <v>9.01</v>
      </c>
      <c r="F22" s="30" t="n">
        <v>0.83</v>
      </c>
      <c r="G22" s="30" t="n">
        <v>0.96</v>
      </c>
      <c r="H22" s="8" t="n">
        <f aca="false">E22*F22</f>
        <v>7.4783</v>
      </c>
      <c r="I22" s="8" t="n">
        <f aca="false">H22*G22</f>
        <v>7.179168</v>
      </c>
      <c r="J22" s="31" t="n">
        <f aca="false">Assumptions!$C$5/(1+EXP(-Assumptions!$C$6*(LN(D22)-Assumptions!$C$7)))</f>
        <v>0.567028798622805</v>
      </c>
      <c r="K22" s="30" t="n">
        <v>0.55</v>
      </c>
      <c r="L22" s="32" t="n">
        <f aca="false">I22*J22</f>
        <v>4.07079500615129</v>
      </c>
      <c r="M22" s="33" t="n">
        <f aca="false">VLOOKUP(C22,Assumptions!$B$20:$C$23,2,FALSE())*L22/SUMIF($C$5:$C$134,C22,$L$5:$L$134)</f>
        <v>2.02366830310762</v>
      </c>
      <c r="N22" s="31" t="n">
        <f aca="false">IF(I22=0,0,M22/I22)</f>
        <v>0.281880616682548</v>
      </c>
      <c r="O22" s="32" t="n">
        <f aca="false">I22*J22*K22</f>
        <v>2.23893725338321</v>
      </c>
      <c r="P22" s="32" t="n">
        <f aca="false">O22-M22</f>
        <v>0.215268950275591</v>
      </c>
      <c r="Q22" s="31" t="n">
        <f aca="false">Assumptions!$C$5/(1+EXP(-Assumptions!$C$6*(LN(D22)-(Assumptions!$C$7+Assumptions!$C$8))))</f>
        <v>0.539027830787573</v>
      </c>
      <c r="R22" s="32" t="n">
        <f aca="false">I22*Q22*K22</f>
        <v>2.12837424464476</v>
      </c>
      <c r="S22" s="31" t="n">
        <f aca="false">Assumptions!$C$5/(1+EXP(-Assumptions!$C$6*(LN(D22)-(Assumptions!$C$7-Assumptions!$C$8))))</f>
        <v>0.585958277964868</v>
      </c>
      <c r="T22" s="32" t="n">
        <f aca="false">I22*S22*K22</f>
        <v>2.31368110517527</v>
      </c>
      <c r="U22" s="34" t="n">
        <f aca="false">VLOOKUP(A22,Pricing!$A$5:$L$134,12,FALSE())</f>
        <v>21.744595274007</v>
      </c>
      <c r="V22" s="18" t="n">
        <f aca="false">U22*Assumptions!$C$17</f>
        <v>10.0025138260432</v>
      </c>
      <c r="W22" s="10" t="n">
        <f aca="false">O22*V22*12</f>
        <v>268.740009991306</v>
      </c>
      <c r="X22" s="35" t="n">
        <f aca="false">IF(D22&gt;=35000,1,IF(D22&gt;=12000,2,IF(D22&gt;=4000,3,4)))</f>
        <v>1</v>
      </c>
    </row>
    <row r="23" customFormat="false" ht="15" hidden="false" customHeight="true" outlineLevel="0" collapsed="false">
      <c r="A23" s="5" t="s">
        <v>106</v>
      </c>
      <c r="B23" s="27" t="s">
        <v>107</v>
      </c>
      <c r="C23" s="5" t="s">
        <v>14</v>
      </c>
      <c r="D23" s="28" t="n">
        <v>15770</v>
      </c>
      <c r="E23" s="29" t="n">
        <v>6.44</v>
      </c>
      <c r="F23" s="30" t="n">
        <v>0.84</v>
      </c>
      <c r="G23" s="30" t="n">
        <v>0.86</v>
      </c>
      <c r="H23" s="8" t="n">
        <f aca="false">E23*F23</f>
        <v>5.4096</v>
      </c>
      <c r="I23" s="8" t="n">
        <f aca="false">H23*G23</f>
        <v>4.652256</v>
      </c>
      <c r="J23" s="31" t="n">
        <f aca="false">Assumptions!$C$5/(1+EXP(-Assumptions!$C$6*(LN(D23)-Assumptions!$C$7)))</f>
        <v>0.404904826554242</v>
      </c>
      <c r="K23" s="30" t="n">
        <v>0.55</v>
      </c>
      <c r="L23" s="32" t="n">
        <f aca="false">I23*J23</f>
        <v>1.88372090876593</v>
      </c>
      <c r="M23" s="33" t="n">
        <f aca="false">VLOOKUP(C23,Assumptions!$B$20:$C$23,2,FALSE())*L23/SUMIF($C$5:$C$134,C23,$L$5:$L$134)</f>
        <v>0.936432880852616</v>
      </c>
      <c r="N23" s="31" t="n">
        <f aca="false">IF(I23=0,0,M23/I23)</f>
        <v>0.201285759178475</v>
      </c>
      <c r="O23" s="32" t="n">
        <f aca="false">I23*J23*K23</f>
        <v>1.03604649982126</v>
      </c>
      <c r="P23" s="32" t="n">
        <f aca="false">O23-M23</f>
        <v>0.0996136189686465</v>
      </c>
      <c r="Q23" s="31" t="n">
        <f aca="false">Assumptions!$C$5/(1+EXP(-Assumptions!$C$6*(LN(D23)-(Assumptions!$C$7+Assumptions!$C$8))))</f>
        <v>0.334373165355833</v>
      </c>
      <c r="R23" s="32" t="n">
        <f aca="false">I23*Q23*K23</f>
        <v>0.855574260621116</v>
      </c>
      <c r="S23" s="31" t="n">
        <f aca="false">Assumptions!$C$5/(1+EXP(-Assumptions!$C$6*(LN(D23)-(Assumptions!$C$7-Assumptions!$C$8))))</f>
        <v>0.466039167567817</v>
      </c>
      <c r="T23" s="32" t="n">
        <f aca="false">I23*S23*K23</f>
        <v>1.19247343245381</v>
      </c>
      <c r="U23" s="34" t="n">
        <f aca="false">VLOOKUP(A23,Pricing!$A$5:$L$134,12,FALSE())</f>
        <v>3.63461538461538</v>
      </c>
      <c r="V23" s="18" t="n">
        <f aca="false">U23*Assumptions!$C$17</f>
        <v>1.67192307692308</v>
      </c>
      <c r="W23" s="10" t="n">
        <f aca="false">O23*V23*12</f>
        <v>20.7862806217986</v>
      </c>
      <c r="X23" s="35" t="n">
        <f aca="false">IF(D23&gt;=35000,1,IF(D23&gt;=12000,2,IF(D23&gt;=4000,3,4)))</f>
        <v>2</v>
      </c>
    </row>
    <row r="24" customFormat="false" ht="15" hidden="false" customHeight="true" outlineLevel="0" collapsed="false">
      <c r="A24" s="5" t="s">
        <v>108</v>
      </c>
      <c r="B24" s="27" t="s">
        <v>109</v>
      </c>
      <c r="C24" s="5" t="s">
        <v>14</v>
      </c>
      <c r="D24" s="28" t="n">
        <v>67626</v>
      </c>
      <c r="E24" s="29" t="n">
        <v>5.98</v>
      </c>
      <c r="F24" s="30" t="n">
        <v>0.83</v>
      </c>
      <c r="G24" s="30" t="n">
        <v>0.96</v>
      </c>
      <c r="H24" s="8" t="n">
        <f aca="false">E24*F24</f>
        <v>4.9634</v>
      </c>
      <c r="I24" s="8" t="n">
        <f aca="false">H24*G24</f>
        <v>4.764864</v>
      </c>
      <c r="J24" s="31" t="n">
        <f aca="false">Assumptions!$C$5/(1+EXP(-Assumptions!$C$6*(LN(D24)-Assumptions!$C$7)))</f>
        <v>0.54710755510768</v>
      </c>
      <c r="K24" s="30" t="n">
        <v>0.55</v>
      </c>
      <c r="L24" s="32" t="n">
        <f aca="false">I24*J24</f>
        <v>2.6068930934606</v>
      </c>
      <c r="M24" s="33" t="n">
        <f aca="false">VLOOKUP(C24,Assumptions!$B$20:$C$23,2,FALSE())*L24/SUMIF($C$5:$C$134,C24,$L$5:$L$134)</f>
        <v>1.29593529393023</v>
      </c>
      <c r="N24" s="31" t="n">
        <f aca="false">IF(I24=0,0,M24/I24)</f>
        <v>0.271977394093563</v>
      </c>
      <c r="O24" s="32" t="n">
        <f aca="false">I24*J24*K24</f>
        <v>1.43379120140333</v>
      </c>
      <c r="P24" s="32" t="n">
        <f aca="false">O24-M24</f>
        <v>0.1378559074731</v>
      </c>
      <c r="Q24" s="31" t="n">
        <f aca="false">Assumptions!$C$5/(1+EXP(-Assumptions!$C$6*(LN(D24)-(Assumptions!$C$7+Assumptions!$C$8))))</f>
        <v>0.510607639810394</v>
      </c>
      <c r="R24" s="32" t="n">
        <f aca="false">I24*Q24*K24</f>
        <v>1.33813677858163</v>
      </c>
      <c r="S24" s="31" t="n">
        <f aca="false">Assumptions!$C$5/(1+EXP(-Assumptions!$C$6*(LN(D24)-(Assumptions!$C$7-Assumptions!$C$8))))</f>
        <v>0.572560378279151</v>
      </c>
      <c r="T24" s="32" t="n">
        <f aca="false">I24*S24*K24</f>
        <v>1.50049478385879</v>
      </c>
      <c r="U24" s="34" t="n">
        <f aca="false">VLOOKUP(A24,Pricing!$A$5:$L$134,12,FALSE())</f>
        <v>19.9782844733985</v>
      </c>
      <c r="V24" s="18" t="n">
        <f aca="false">U24*Assumptions!$C$17</f>
        <v>9.1900108577633</v>
      </c>
      <c r="W24" s="10" t="n">
        <f aca="false">O24*V24*12</f>
        <v>158.118680503945</v>
      </c>
      <c r="X24" s="35" t="n">
        <f aca="false">IF(D24&gt;=35000,1,IF(D24&gt;=12000,2,IF(D24&gt;=4000,3,4)))</f>
        <v>1</v>
      </c>
    </row>
    <row r="25" customFormat="false" ht="15" hidden="false" customHeight="true" outlineLevel="0" collapsed="false">
      <c r="A25" s="5" t="s">
        <v>110</v>
      </c>
      <c r="B25" s="27" t="s">
        <v>111</v>
      </c>
      <c r="C25" s="5" t="s">
        <v>14</v>
      </c>
      <c r="D25" s="28" t="n">
        <v>53415</v>
      </c>
      <c r="E25" s="29" t="n">
        <v>5.62</v>
      </c>
      <c r="F25" s="30" t="n">
        <v>0.83</v>
      </c>
      <c r="G25" s="30" t="n">
        <v>0.96</v>
      </c>
      <c r="H25" s="8" t="n">
        <f aca="false">E25*F25</f>
        <v>4.6646</v>
      </c>
      <c r="I25" s="8" t="n">
        <f aca="false">H25*G25</f>
        <v>4.478016</v>
      </c>
      <c r="J25" s="31" t="n">
        <f aca="false">Assumptions!$C$5/(1+EXP(-Assumptions!$C$6*(LN(D25)-Assumptions!$C$7)))</f>
        <v>0.531413012409684</v>
      </c>
      <c r="K25" s="30" t="n">
        <v>0.55</v>
      </c>
      <c r="L25" s="32" t="n">
        <f aca="false">I25*J25</f>
        <v>2.37967597217876</v>
      </c>
      <c r="M25" s="33" t="n">
        <f aca="false">VLOOKUP(C25,Assumptions!$B$20:$C$23,2,FALSE())*L25/SUMIF($C$5:$C$134,C25,$L$5:$L$134)</f>
        <v>1.18298141500324</v>
      </c>
      <c r="N25" s="31" t="n">
        <f aca="false">IF(I25=0,0,M25/I25)</f>
        <v>0.264175343501059</v>
      </c>
      <c r="O25" s="32" t="n">
        <f aca="false">I25*J25*K25</f>
        <v>1.30882178469832</v>
      </c>
      <c r="P25" s="32" t="n">
        <f aca="false">O25-M25</f>
        <v>0.125840369695081</v>
      </c>
      <c r="Q25" s="31" t="n">
        <f aca="false">Assumptions!$C$5/(1+EXP(-Assumptions!$C$6*(LN(D25)-(Assumptions!$C$7+Assumptions!$C$8))))</f>
        <v>0.488936898396652</v>
      </c>
      <c r="R25" s="32" t="n">
        <f aca="false">I25*Q25*K25</f>
        <v>1.20420698970582</v>
      </c>
      <c r="S25" s="31" t="n">
        <f aca="false">Assumptions!$C$5/(1+EXP(-Assumptions!$C$6*(LN(D25)-(Assumptions!$C$7-Assumptions!$C$8))))</f>
        <v>0.561762756162701</v>
      </c>
      <c r="T25" s="32" t="n">
        <f aca="false">I25*S25*K25</f>
        <v>1.38357043566537</v>
      </c>
      <c r="U25" s="34" t="n">
        <f aca="false">VLOOKUP(A25,Pricing!$A$5:$L$134,12,FALSE())</f>
        <v>16.4289855072464</v>
      </c>
      <c r="V25" s="18" t="n">
        <f aca="false">U25*Assumptions!$C$17</f>
        <v>7.55733333333333</v>
      </c>
      <c r="W25" s="10" t="n">
        <f aca="false">O25*V25*12</f>
        <v>118.694430010721</v>
      </c>
      <c r="X25" s="35" t="n">
        <f aca="false">IF(D25&gt;=35000,1,IF(D25&gt;=12000,2,IF(D25&gt;=4000,3,4)))</f>
        <v>1</v>
      </c>
    </row>
    <row r="26" customFormat="false" ht="15" hidden="false" customHeight="true" outlineLevel="0" collapsed="false">
      <c r="A26" s="5" t="s">
        <v>112</v>
      </c>
      <c r="B26" s="27" t="s">
        <v>113</v>
      </c>
      <c r="C26" s="5" t="s">
        <v>14</v>
      </c>
      <c r="D26" s="28" t="n">
        <v>87130</v>
      </c>
      <c r="E26" s="29" t="n">
        <v>5.57</v>
      </c>
      <c r="F26" s="30" t="n">
        <v>0.83</v>
      </c>
      <c r="G26" s="30" t="n">
        <v>0.96</v>
      </c>
      <c r="H26" s="8" t="n">
        <f aca="false">E26*F26</f>
        <v>4.6231</v>
      </c>
      <c r="I26" s="8" t="n">
        <f aca="false">H26*G26</f>
        <v>4.438176</v>
      </c>
      <c r="J26" s="31" t="n">
        <f aca="false">Assumptions!$C$5/(1+EXP(-Assumptions!$C$6*(LN(D26)-Assumptions!$C$7)))</f>
        <v>0.561224649297008</v>
      </c>
      <c r="K26" s="30" t="n">
        <v>0.55</v>
      </c>
      <c r="L26" s="32" t="n">
        <f aca="false">I26*J26</f>
        <v>2.4908137691184</v>
      </c>
      <c r="M26" s="33" t="n">
        <f aca="false">VLOOKUP(C26,Assumptions!$B$20:$C$23,2,FALSE())*L26/SUMIF($C$5:$C$134,C26,$L$5:$L$134)</f>
        <v>1.23823009163866</v>
      </c>
      <c r="N26" s="31" t="n">
        <f aca="false">IF(I26=0,0,M26/I26)</f>
        <v>0.278995265541218</v>
      </c>
      <c r="O26" s="32" t="n">
        <f aca="false">I26*J26*K26</f>
        <v>1.36994757301512</v>
      </c>
      <c r="P26" s="32" t="n">
        <f aca="false">O26-M26</f>
        <v>0.131717481376456</v>
      </c>
      <c r="Q26" s="31" t="n">
        <f aca="false">Assumptions!$C$5/(1+EXP(-Assumptions!$C$6*(LN(D26)-(Assumptions!$C$7+Assumptions!$C$8))))</f>
        <v>0.530639085135403</v>
      </c>
      <c r="R26" s="32" t="n">
        <f aca="false">I26*Q26*K26</f>
        <v>1.29528830877045</v>
      </c>
      <c r="S26" s="31" t="n">
        <f aca="false">Assumptions!$C$5/(1+EXP(-Assumptions!$C$6*(LN(D26)-(Assumptions!$C$7-Assumptions!$C$8))))</f>
        <v>0.582089592933862</v>
      </c>
      <c r="T26" s="32" t="n">
        <f aca="false">I26*S26*K26</f>
        <v>1.42087883366486</v>
      </c>
      <c r="U26" s="34" t="n">
        <f aca="false">VLOOKUP(A26,Pricing!$A$5:$L$134,12,FALSE())</f>
        <v>15.460022250677</v>
      </c>
      <c r="V26" s="18" t="n">
        <f aca="false">U26*Assumptions!$C$17</f>
        <v>7.11161023531141</v>
      </c>
      <c r="W26" s="10" t="n">
        <f aca="false">O26*V26*12</f>
        <v>116.910398185132</v>
      </c>
      <c r="X26" s="35" t="n">
        <f aca="false">IF(D26&gt;=35000,1,IF(D26&gt;=12000,2,IF(D26&gt;=4000,3,4)))</f>
        <v>1</v>
      </c>
    </row>
    <row r="27" customFormat="false" ht="15" hidden="false" customHeight="true" outlineLevel="0" collapsed="false">
      <c r="A27" s="5" t="s">
        <v>114</v>
      </c>
      <c r="B27" s="27" t="s">
        <v>115</v>
      </c>
      <c r="C27" s="5" t="s">
        <v>14</v>
      </c>
      <c r="D27" s="28" t="n">
        <v>24491</v>
      </c>
      <c r="E27" s="29" t="n">
        <v>5.42</v>
      </c>
      <c r="F27" s="30" t="n">
        <v>0.84</v>
      </c>
      <c r="G27" s="30" t="n">
        <v>0.86</v>
      </c>
      <c r="H27" s="8" t="n">
        <f aca="false">E27*F27</f>
        <v>4.5528</v>
      </c>
      <c r="I27" s="8" t="n">
        <f aca="false">H27*G27</f>
        <v>3.915408</v>
      </c>
      <c r="J27" s="31" t="n">
        <f aca="false">Assumptions!$C$5/(1+EXP(-Assumptions!$C$6*(LN(D27)-Assumptions!$C$7)))</f>
        <v>0.459370658266763</v>
      </c>
      <c r="K27" s="30" t="n">
        <v>0.55</v>
      </c>
      <c r="L27" s="32" t="n">
        <f aca="false">I27*J27</f>
        <v>1.79862355034295</v>
      </c>
      <c r="M27" s="33" t="n">
        <f aca="false">VLOOKUP(C27,Assumptions!$B$20:$C$23,2,FALSE())*L27/SUMIF($C$5:$C$134,C27,$L$5:$L$134)</f>
        <v>0.89412939304285</v>
      </c>
      <c r="N27" s="31" t="n">
        <f aca="false">IF(I27=0,0,M27/I27)</f>
        <v>0.22836174238875</v>
      </c>
      <c r="O27" s="32" t="n">
        <f aca="false">I27*J27*K27</f>
        <v>0.989242952688622</v>
      </c>
      <c r="P27" s="32" t="n">
        <f aca="false">O27-M27</f>
        <v>0.0951135596457722</v>
      </c>
      <c r="Q27" s="31" t="n">
        <f aca="false">Assumptions!$C$5/(1+EXP(-Assumptions!$C$6*(LN(D27)-(Assumptions!$C$7+Assumptions!$C$8))))</f>
        <v>0.396856248740311</v>
      </c>
      <c r="R27" s="32" t="n">
        <f aca="false">I27*Q27*K27</f>
        <v>0.854619772142292</v>
      </c>
      <c r="S27" s="31" t="n">
        <f aca="false">Assumptions!$C$5/(1+EXP(-Assumptions!$C$6*(LN(D27)-(Assumptions!$C$7-Assumptions!$C$8))))</f>
        <v>0.509258576713557</v>
      </c>
      <c r="T27" s="32" t="n">
        <f aca="false">I27*S27*K27</f>
        <v>1.09667530793308</v>
      </c>
      <c r="U27" s="34" t="n">
        <f aca="false">VLOOKUP(A27,Pricing!$A$5:$L$134,12,FALSE())</f>
        <v>8.8695652173913</v>
      </c>
      <c r="V27" s="18" t="n">
        <f aca="false">U27*Assumptions!$C$17</f>
        <v>4.08</v>
      </c>
      <c r="W27" s="10" t="n">
        <f aca="false">O27*V27*12</f>
        <v>48.4333349636349</v>
      </c>
      <c r="X27" s="35" t="n">
        <f aca="false">IF(D27&gt;=35000,1,IF(D27&gt;=12000,2,IF(D27&gt;=4000,3,4)))</f>
        <v>2</v>
      </c>
    </row>
    <row r="28" customFormat="false" ht="15" hidden="false" customHeight="true" outlineLevel="0" collapsed="false">
      <c r="A28" s="5" t="s">
        <v>116</v>
      </c>
      <c r="B28" s="27" t="s">
        <v>117</v>
      </c>
      <c r="C28" s="5" t="s">
        <v>14</v>
      </c>
      <c r="D28" s="28" t="n">
        <v>101121</v>
      </c>
      <c r="E28" s="29" t="n">
        <v>5.4</v>
      </c>
      <c r="F28" s="30" t="n">
        <v>0.83</v>
      </c>
      <c r="G28" s="30" t="n">
        <v>0.96</v>
      </c>
      <c r="H28" s="8" t="n">
        <f aca="false">E28*F28</f>
        <v>4.482</v>
      </c>
      <c r="I28" s="8" t="n">
        <f aca="false">H28*G28</f>
        <v>4.30272</v>
      </c>
      <c r="J28" s="31" t="n">
        <f aca="false">Assumptions!$C$5/(1+EXP(-Assumptions!$C$6*(LN(D28)-Assumptions!$C$7)))</f>
        <v>0.568332110022703</v>
      </c>
      <c r="K28" s="30" t="n">
        <v>0.55</v>
      </c>
      <c r="L28" s="32" t="n">
        <f aca="false">I28*J28</f>
        <v>2.44537393643688</v>
      </c>
      <c r="M28" s="33" t="n">
        <f aca="false">VLOOKUP(C28,Assumptions!$B$20:$C$23,2,FALSE())*L28/SUMIF($C$5:$C$134,C28,$L$5:$L$134)</f>
        <v>1.21564110129227</v>
      </c>
      <c r="N28" s="31" t="n">
        <f aca="false">IF(I28=0,0,M28/I28)</f>
        <v>0.282528517145496</v>
      </c>
      <c r="O28" s="32" t="n">
        <f aca="false">I28*J28*K28</f>
        <v>1.34495566504029</v>
      </c>
      <c r="P28" s="32" t="n">
        <f aca="false">O28-M28</f>
        <v>0.129314563748016</v>
      </c>
      <c r="Q28" s="31" t="n">
        <f aca="false">Assumptions!$C$5/(1+EXP(-Assumptions!$C$6*(LN(D28)-(Assumptions!$C$7+Assumptions!$C$8))))</f>
        <v>0.540924004870088</v>
      </c>
      <c r="R28" s="32" t="n">
        <f aca="false">I28*Q28*K28</f>
        <v>1.28009449382904</v>
      </c>
      <c r="S28" s="31" t="n">
        <f aca="false">Assumptions!$C$5/(1+EXP(-Assumptions!$C$6*(LN(D28)-(Assumptions!$C$7-Assumptions!$C$8))))</f>
        <v>0.58682309631713</v>
      </c>
      <c r="T28" s="32" t="n">
        <f aca="false">I28*S28*K28</f>
        <v>1.3887145101421</v>
      </c>
      <c r="U28" s="34" t="n">
        <f aca="false">VLOOKUP(A28,Pricing!$A$5:$L$134,12,FALSE())</f>
        <v>15.1072463768116</v>
      </c>
      <c r="V28" s="18" t="n">
        <f aca="false">U28*Assumptions!$C$17</f>
        <v>6.94933333333333</v>
      </c>
      <c r="W28" s="10" t="n">
        <f aca="false">O28*V28*12</f>
        <v>112.15854281904</v>
      </c>
      <c r="X28" s="35" t="n">
        <f aca="false">IF(D28&gt;=35000,1,IF(D28&gt;=12000,2,IF(D28&gt;=4000,3,4)))</f>
        <v>1</v>
      </c>
    </row>
    <row r="29" customFormat="false" ht="15" hidden="false" customHeight="true" outlineLevel="0" collapsed="false">
      <c r="A29" s="5" t="s">
        <v>118</v>
      </c>
      <c r="B29" s="27" t="s">
        <v>119</v>
      </c>
      <c r="C29" s="5" t="s">
        <v>14</v>
      </c>
      <c r="D29" s="28" t="n">
        <v>21388</v>
      </c>
      <c r="E29" s="29" t="n">
        <v>3.87</v>
      </c>
      <c r="F29" s="30" t="n">
        <v>0.84</v>
      </c>
      <c r="G29" s="30" t="n">
        <v>0.86</v>
      </c>
      <c r="H29" s="8" t="n">
        <f aca="false">E29*F29</f>
        <v>3.2508</v>
      </c>
      <c r="I29" s="8" t="n">
        <f aca="false">H29*G29</f>
        <v>2.795688</v>
      </c>
      <c r="J29" s="31" t="n">
        <f aca="false">Assumptions!$C$5/(1+EXP(-Assumptions!$C$6*(LN(D29)-Assumptions!$C$7)))</f>
        <v>0.443585727591669</v>
      </c>
      <c r="K29" s="30" t="n">
        <v>0.55</v>
      </c>
      <c r="L29" s="32" t="n">
        <f aca="false">I29*J29</f>
        <v>1.2401272955993</v>
      </c>
      <c r="M29" s="33" t="n">
        <f aca="false">VLOOKUP(C29,Assumptions!$B$20:$C$23,2,FALSE())*L29/SUMIF($C$5:$C$134,C29,$L$5:$L$134)</f>
        <v>0.616490463442807</v>
      </c>
      <c r="N29" s="31" t="n">
        <f aca="false">IF(I29=0,0,M29/I29)</f>
        <v>0.220514758242982</v>
      </c>
      <c r="O29" s="32" t="n">
        <f aca="false">I29*J29*K29</f>
        <v>0.682070012579614</v>
      </c>
      <c r="P29" s="32" t="n">
        <f aca="false">O29-M29</f>
        <v>0.0655795491368072</v>
      </c>
      <c r="Q29" s="31" t="n">
        <f aca="false">Assumptions!$C$5/(1+EXP(-Assumptions!$C$6*(LN(D29)-(Assumptions!$C$7+Assumptions!$C$8))))</f>
        <v>0.378162211897866</v>
      </c>
      <c r="R29" s="32" t="n">
        <f aca="false">I29*Q29*K29</f>
        <v>0.581472956820977</v>
      </c>
      <c r="S29" s="31" t="n">
        <f aca="false">Assumptions!$C$5/(1+EXP(-Assumptions!$C$6*(LN(D29)-(Assumptions!$C$7-Assumptions!$C$8))))</f>
        <v>0.497064111922102</v>
      </c>
      <c r="T29" s="32" t="n">
        <f aca="false">I29*S29*K29</f>
        <v>0.764299895112202</v>
      </c>
      <c r="U29" s="34" t="n">
        <f aca="false">VLOOKUP(A29,Pricing!$A$5:$L$134,12,FALSE())</f>
        <v>8.97391304347826</v>
      </c>
      <c r="V29" s="18" t="n">
        <f aca="false">U29*Assumptions!$C$17</f>
        <v>4.128</v>
      </c>
      <c r="W29" s="10" t="n">
        <f aca="false">O29*V29*12</f>
        <v>33.7870201431438</v>
      </c>
      <c r="X29" s="35" t="n">
        <f aca="false">IF(D29&gt;=35000,1,IF(D29&gt;=12000,2,IF(D29&gt;=4000,3,4)))</f>
        <v>2</v>
      </c>
    </row>
    <row r="30" customFormat="false" ht="15" hidden="false" customHeight="true" outlineLevel="0" collapsed="false">
      <c r="A30" s="5" t="s">
        <v>120</v>
      </c>
      <c r="B30" s="27" t="s">
        <v>121</v>
      </c>
      <c r="C30" s="5" t="s">
        <v>14</v>
      </c>
      <c r="D30" s="28" t="n">
        <v>26949</v>
      </c>
      <c r="E30" s="29" t="n">
        <v>2.89</v>
      </c>
      <c r="F30" s="30" t="n">
        <v>0.83</v>
      </c>
      <c r="G30" s="30" t="n">
        <v>0.93</v>
      </c>
      <c r="H30" s="8" t="n">
        <f aca="false">E30*F30</f>
        <v>2.3987</v>
      </c>
      <c r="I30" s="8" t="n">
        <f aca="false">H30*G30</f>
        <v>2.230791</v>
      </c>
      <c r="J30" s="31" t="n">
        <f aca="false">Assumptions!$C$5/(1+EXP(-Assumptions!$C$6*(LN(D30)-Assumptions!$C$7)))</f>
        <v>0.469945298377903</v>
      </c>
      <c r="K30" s="30" t="n">
        <v>0.55</v>
      </c>
      <c r="L30" s="32" t="n">
        <f aca="false">I30*J30</f>
        <v>1.04834974211374</v>
      </c>
      <c r="M30" s="33" t="n">
        <f aca="false">VLOOKUP(C30,Assumptions!$B$20:$C$23,2,FALSE())*L30/SUMIF($C$5:$C$134,C30,$L$5:$L$134)</f>
        <v>0.521154256227801</v>
      </c>
      <c r="N30" s="31" t="n">
        <f aca="false">IF(I30=0,0,M30/I30)</f>
        <v>0.233618593686186</v>
      </c>
      <c r="O30" s="32" t="n">
        <f aca="false">I30*J30*K30</f>
        <v>0.576592358162557</v>
      </c>
      <c r="P30" s="32" t="n">
        <f aca="false">O30-M30</f>
        <v>0.0554381019347561</v>
      </c>
      <c r="Q30" s="31" t="n">
        <f aca="false">Assumptions!$C$5/(1+EXP(-Assumptions!$C$6*(LN(D30)-(Assumptions!$C$7+Assumptions!$C$8))))</f>
        <v>0.409661962138594</v>
      </c>
      <c r="R30" s="32" t="n">
        <f aca="false">I30*Q30*K30</f>
        <v>0.502628619999614</v>
      </c>
      <c r="S30" s="31" t="n">
        <f aca="false">Assumptions!$C$5/(1+EXP(-Assumptions!$C$6*(LN(D30)-(Assumptions!$C$7-Assumptions!$C$8))))</f>
        <v>0.517283335666322</v>
      </c>
      <c r="T30" s="32" t="n">
        <f aca="false">I30*S30*K30</f>
        <v>0.634673055309926</v>
      </c>
      <c r="U30" s="34" t="n">
        <f aca="false">VLOOKUP(A30,Pricing!$A$5:$L$134,12,FALSE())</f>
        <v>11.2231884057971</v>
      </c>
      <c r="V30" s="18" t="n">
        <f aca="false">U30*Assumptions!$C$17</f>
        <v>5.16266666666667</v>
      </c>
      <c r="W30" s="10" t="n">
        <f aca="false">O30*V30*12</f>
        <v>35.7210497728867</v>
      </c>
      <c r="X30" s="35" t="n">
        <f aca="false">IF(D30&gt;=35000,1,IF(D30&gt;=12000,2,IF(D30&gt;=4000,3,4)))</f>
        <v>2</v>
      </c>
    </row>
    <row r="31" customFormat="false" ht="15" hidden="false" customHeight="true" outlineLevel="0" collapsed="false">
      <c r="A31" s="5" t="s">
        <v>122</v>
      </c>
      <c r="B31" s="27" t="s">
        <v>123</v>
      </c>
      <c r="C31" s="5" t="s">
        <v>14</v>
      </c>
      <c r="D31" s="28" t="n">
        <v>6885</v>
      </c>
      <c r="E31" s="29" t="n">
        <v>2.4</v>
      </c>
      <c r="F31" s="30" t="n">
        <v>0.84</v>
      </c>
      <c r="G31" s="30" t="n">
        <v>0.76</v>
      </c>
      <c r="H31" s="8" t="n">
        <f aca="false">E31*F31</f>
        <v>2.016</v>
      </c>
      <c r="I31" s="8" t="n">
        <f aca="false">H31*G31</f>
        <v>1.53216</v>
      </c>
      <c r="J31" s="31" t="n">
        <f aca="false">Assumptions!$C$5/(1+EXP(-Assumptions!$C$6*(LN(D31)-Assumptions!$C$7)))</f>
        <v>0.286060793134956</v>
      </c>
      <c r="K31" s="30" t="n">
        <v>0.55</v>
      </c>
      <c r="L31" s="32" t="n">
        <f aca="false">I31*J31</f>
        <v>0.438290904809654</v>
      </c>
      <c r="M31" s="33" t="n">
        <f aca="false">VLOOKUP(C31,Assumptions!$B$20:$C$23,2,FALSE())*L31/SUMIF($C$5:$C$134,C31,$L$5:$L$134)</f>
        <v>0.217882602848681</v>
      </c>
      <c r="N31" s="31" t="n">
        <f aca="false">IF(I31=0,0,M31/I31)</f>
        <v>0.142206168317069</v>
      </c>
      <c r="O31" s="32" t="n">
        <f aca="false">I31*J31*K31</f>
        <v>0.24105999764531</v>
      </c>
      <c r="P31" s="32" t="n">
        <f aca="false">O31-M31</f>
        <v>0.0231773947966287</v>
      </c>
      <c r="Q31" s="31" t="n">
        <f aca="false">Assumptions!$C$5/(1+EXP(-Assumptions!$C$6*(LN(D31)-(Assumptions!$C$7+Assumptions!$C$8))))</f>
        <v>0.215491032507497</v>
      </c>
      <c r="R31" s="32" t="n">
        <f aca="false">I31*Q31*K31</f>
        <v>0.181591707201677</v>
      </c>
      <c r="S31" s="31" t="n">
        <f aca="false">Assumptions!$C$5/(1+EXP(-Assumptions!$C$6*(LN(D31)-(Assumptions!$C$7-Assumptions!$C$8))))</f>
        <v>0.359218113824192</v>
      </c>
      <c r="T31" s="32" t="n">
        <f aca="false">I31*S31*K31</f>
        <v>0.302708793902281</v>
      </c>
      <c r="U31" s="34" t="n">
        <f aca="false">VLOOKUP(A31,Pricing!$A$5:$L$134,12,FALSE())</f>
        <v>5.975</v>
      </c>
      <c r="V31" s="18" t="n">
        <f aca="false">U31*Assumptions!$C$17</f>
        <v>2.7485</v>
      </c>
      <c r="W31" s="10" t="n">
        <f aca="false">O31*V31*12</f>
        <v>7.95064084233761</v>
      </c>
      <c r="X31" s="35" t="n">
        <f aca="false">IF(D31&gt;=35000,1,IF(D31&gt;=12000,2,IF(D31&gt;=4000,3,4)))</f>
        <v>3</v>
      </c>
    </row>
    <row r="32" customFormat="false" ht="15" hidden="false" customHeight="true" outlineLevel="0" collapsed="false">
      <c r="A32" s="5" t="s">
        <v>124</v>
      </c>
      <c r="B32" s="27" t="s">
        <v>125</v>
      </c>
      <c r="C32" s="5" t="s">
        <v>14</v>
      </c>
      <c r="D32" s="28" t="n">
        <v>32066</v>
      </c>
      <c r="E32" s="29" t="n">
        <v>2.13</v>
      </c>
      <c r="F32" s="30" t="n">
        <v>0.84</v>
      </c>
      <c r="G32" s="30" t="n">
        <v>0.93</v>
      </c>
      <c r="H32" s="8" t="n">
        <f aca="false">E32*F32</f>
        <v>1.7892</v>
      </c>
      <c r="I32" s="8" t="n">
        <f aca="false">H32*G32</f>
        <v>1.663956</v>
      </c>
      <c r="J32" s="31" t="n">
        <f aca="false">Assumptions!$C$5/(1+EXP(-Assumptions!$C$6*(LN(D32)-Assumptions!$C$7)))</f>
        <v>0.487923151669577</v>
      </c>
      <c r="K32" s="30" t="n">
        <v>0.55</v>
      </c>
      <c r="L32" s="32" t="n">
        <f aca="false">I32*J32</f>
        <v>0.811882655759503</v>
      </c>
      <c r="M32" s="33" t="n">
        <f aca="false">VLOOKUP(C32,Assumptions!$B$20:$C$23,2,FALSE())*L32/SUMIF($C$5:$C$134,C32,$L$5:$L$134)</f>
        <v>0.403602046730594</v>
      </c>
      <c r="N32" s="31" t="n">
        <f aca="false">IF(I32=0,0,M32/I32)</f>
        <v>0.242555720662442</v>
      </c>
      <c r="O32" s="32" t="n">
        <f aca="false">I32*J32*K32</f>
        <v>0.446535460667727</v>
      </c>
      <c r="P32" s="32" t="n">
        <f aca="false">O32-M32</f>
        <v>0.0429334139371329</v>
      </c>
      <c r="Q32" s="31" t="n">
        <f aca="false">Assumptions!$C$5/(1+EXP(-Assumptions!$C$6*(LN(D32)-(Assumptions!$C$7+Assumptions!$C$8))))</f>
        <v>0.431972536652292</v>
      </c>
      <c r="R32" s="32" t="n">
        <f aca="false">I32*Q32*K32</f>
        <v>0.395330811808791</v>
      </c>
      <c r="S32" s="31" t="n">
        <f aca="false">Assumptions!$C$5/(1+EXP(-Assumptions!$C$6*(LN(D32)-(Assumptions!$C$7-Assumptions!$C$8))))</f>
        <v>0.530667782539716</v>
      </c>
      <c r="T32" s="32" t="n">
        <f aca="false">I32*S32*K32</f>
        <v>0.48565431242001</v>
      </c>
      <c r="U32" s="34" t="n">
        <f aca="false">VLOOKUP(A32,Pricing!$A$5:$L$134,12,FALSE())</f>
        <v>8.97391304347826</v>
      </c>
      <c r="V32" s="18" t="n">
        <f aca="false">U32*Assumptions!$C$17</f>
        <v>4.128</v>
      </c>
      <c r="W32" s="10" t="n">
        <f aca="false">O32*V32*12</f>
        <v>22.1195805796365</v>
      </c>
      <c r="X32" s="35" t="n">
        <f aca="false">IF(D32&gt;=35000,1,IF(D32&gt;=12000,2,IF(D32&gt;=4000,3,4)))</f>
        <v>2</v>
      </c>
    </row>
    <row r="33" customFormat="false" ht="15" hidden="false" customHeight="true" outlineLevel="0" collapsed="false">
      <c r="A33" s="5" t="s">
        <v>126</v>
      </c>
      <c r="B33" s="27" t="s">
        <v>127</v>
      </c>
      <c r="C33" s="5" t="s">
        <v>14</v>
      </c>
      <c r="D33" s="28" t="n">
        <v>23378</v>
      </c>
      <c r="E33" s="29" t="n">
        <v>1.87</v>
      </c>
      <c r="F33" s="30" t="n">
        <v>0.83</v>
      </c>
      <c r="G33" s="30" t="n">
        <v>0.86</v>
      </c>
      <c r="H33" s="8" t="n">
        <f aca="false">E33*F33</f>
        <v>1.5521</v>
      </c>
      <c r="I33" s="8" t="n">
        <f aca="false">H33*G33</f>
        <v>1.334806</v>
      </c>
      <c r="J33" s="31" t="n">
        <f aca="false">Assumptions!$C$5/(1+EXP(-Assumptions!$C$6*(LN(D33)-Assumptions!$C$7)))</f>
        <v>0.454056364264272</v>
      </c>
      <c r="K33" s="30" t="n">
        <v>0.55</v>
      </c>
      <c r="L33" s="32" t="n">
        <f aca="false">I33*J33</f>
        <v>0.606077159358136</v>
      </c>
      <c r="M33" s="33" t="n">
        <f aca="false">VLOOKUP(C33,Assumptions!$B$20:$C$23,2,FALSE())*L33/SUMIF($C$5:$C$134,C33,$L$5:$L$134)</f>
        <v>0.301292286832727</v>
      </c>
      <c r="N33" s="31" t="n">
        <f aca="false">IF(I33=0,0,M33/I33)</f>
        <v>0.225719907486726</v>
      </c>
      <c r="O33" s="32" t="n">
        <f aca="false">I33*J33*K33</f>
        <v>0.333342437646975</v>
      </c>
      <c r="P33" s="32" t="n">
        <f aca="false">O33-M33</f>
        <v>0.0320501508142484</v>
      </c>
      <c r="Q33" s="31" t="n">
        <f aca="false">Assumptions!$C$5/(1+EXP(-Assumptions!$C$6*(LN(D33)-(Assumptions!$C$7+Assumptions!$C$8))))</f>
        <v>0.390506969190002</v>
      </c>
      <c r="R33" s="32" t="n">
        <f aca="false">I33*Q33*K33</f>
        <v>0.286688075034146</v>
      </c>
      <c r="S33" s="31" t="n">
        <f aca="false">Assumptions!$C$5/(1+EXP(-Assumptions!$C$6*(LN(D33)-(Assumptions!$C$7-Assumptions!$C$8))))</f>
        <v>0.505182248798633</v>
      </c>
      <c r="T33" s="32" t="n">
        <f aca="false">I33*S33*K33</f>
        <v>0.370876163234449</v>
      </c>
      <c r="U33" s="34" t="n">
        <f aca="false">VLOOKUP(A33,Pricing!$A$5:$L$134,12,FALSE())</f>
        <v>14.9391304347826</v>
      </c>
      <c r="V33" s="18" t="n">
        <f aca="false">U33*Assumptions!$C$17</f>
        <v>6.872</v>
      </c>
      <c r="W33" s="10" t="n">
        <f aca="false">O33*V33*12</f>
        <v>27.4887507781201</v>
      </c>
      <c r="X33" s="35" t="n">
        <f aca="false">IF(D33&gt;=35000,1,IF(D33&gt;=12000,2,IF(D33&gt;=4000,3,4)))</f>
        <v>2</v>
      </c>
    </row>
    <row r="34" customFormat="false" ht="15" hidden="false" customHeight="true" outlineLevel="0" collapsed="false">
      <c r="A34" s="5" t="s">
        <v>128</v>
      </c>
      <c r="B34" s="27" t="s">
        <v>129</v>
      </c>
      <c r="C34" s="5" t="s">
        <v>14</v>
      </c>
      <c r="D34" s="28" t="n">
        <v>29690</v>
      </c>
      <c r="E34" s="29" t="n">
        <v>1.37</v>
      </c>
      <c r="F34" s="30" t="n">
        <v>0.83</v>
      </c>
      <c r="G34" s="30" t="n">
        <v>0.93</v>
      </c>
      <c r="H34" s="8" t="n">
        <f aca="false">E34*F34</f>
        <v>1.1371</v>
      </c>
      <c r="I34" s="8" t="n">
        <f aca="false">H34*G34</f>
        <v>1.057503</v>
      </c>
      <c r="J34" s="31" t="n">
        <f aca="false">Assumptions!$C$5/(1+EXP(-Assumptions!$C$6*(LN(D34)-Assumptions!$C$7)))</f>
        <v>0.48016182154111</v>
      </c>
      <c r="K34" s="30" t="n">
        <v>0.55</v>
      </c>
      <c r="L34" s="32" t="n">
        <f aca="false">I34*J34</f>
        <v>0.507772566765189</v>
      </c>
      <c r="M34" s="33" t="n">
        <f aca="false">VLOOKUP(C34,Assumptions!$B$20:$C$23,2,FALSE())*L34/SUMIF($C$5:$C$134,C34,$L$5:$L$134)</f>
        <v>0.252423236001219</v>
      </c>
      <c r="N34" s="31" t="n">
        <f aca="false">IF(I34=0,0,M34/I34)</f>
        <v>0.23869741835363</v>
      </c>
      <c r="O34" s="32" t="n">
        <f aca="false">I34*J34*K34</f>
        <v>0.279274911720854</v>
      </c>
      <c r="P34" s="32" t="n">
        <f aca="false">O34-M34</f>
        <v>0.0268516757196351</v>
      </c>
      <c r="Q34" s="31" t="n">
        <f aca="false">Assumptions!$C$5/(1+EXP(-Assumptions!$C$6*(LN(D34)-(Assumptions!$C$7+Assumptions!$C$8))))</f>
        <v>0.422255836913597</v>
      </c>
      <c r="R34" s="32" t="n">
        <f aca="false">I34*Q34*K34</f>
        <v>0.245595247867002</v>
      </c>
      <c r="S34" s="31" t="n">
        <f aca="false">Assumptions!$C$5/(1+EXP(-Assumptions!$C$6*(LN(D34)-(Assumptions!$C$7-Assumptions!$C$8))))</f>
        <v>0.524928859531954</v>
      </c>
      <c r="T34" s="32" t="n">
        <f aca="false">I34*S34*K34</f>
        <v>0.305312614057891</v>
      </c>
      <c r="U34" s="34" t="n">
        <f aca="false">VLOOKUP(A34,Pricing!$A$5:$L$134,12,FALSE())</f>
        <v>14.9391304347826</v>
      </c>
      <c r="V34" s="18" t="n">
        <f aca="false">U34*Assumptions!$C$17</f>
        <v>6.872</v>
      </c>
      <c r="W34" s="10" t="n">
        <f aca="false">O34*V34*12</f>
        <v>23.0301263201485</v>
      </c>
      <c r="X34" s="35" t="n">
        <f aca="false">IF(D34&gt;=35000,1,IF(D34&gt;=12000,2,IF(D34&gt;=4000,3,4)))</f>
        <v>2</v>
      </c>
    </row>
    <row r="35" customFormat="false" ht="15" hidden="false" customHeight="true" outlineLevel="0" collapsed="false">
      <c r="A35" s="5" t="s">
        <v>130</v>
      </c>
      <c r="B35" s="27" t="s">
        <v>131</v>
      </c>
      <c r="C35" s="5" t="s">
        <v>14</v>
      </c>
      <c r="D35" s="28" t="n">
        <v>126667</v>
      </c>
      <c r="E35" s="29" t="n">
        <v>0.68</v>
      </c>
      <c r="F35" s="30" t="n">
        <v>0.83</v>
      </c>
      <c r="G35" s="30" t="n">
        <v>0.96</v>
      </c>
      <c r="H35" s="8" t="n">
        <f aca="false">E35*F35</f>
        <v>0.5644</v>
      </c>
      <c r="I35" s="8" t="n">
        <f aca="false">H35*G35</f>
        <v>0.541824</v>
      </c>
      <c r="J35" s="31" t="n">
        <f aca="false">Assumptions!$C$5/(1+EXP(-Assumptions!$C$6*(LN(D35)-Assumptions!$C$7)))</f>
        <v>0.577604653127782</v>
      </c>
      <c r="K35" s="30" t="n">
        <v>0.55</v>
      </c>
      <c r="L35" s="32" t="n">
        <f aca="false">I35*J35</f>
        <v>0.312960063576308</v>
      </c>
      <c r="M35" s="33" t="n">
        <f aca="false">VLOOKUP(C35,Assumptions!$B$20:$C$23,2,FALSE())*L35/SUMIF($C$5:$C$134,C35,$L$5:$L$134)</f>
        <v>0.155578298548788</v>
      </c>
      <c r="N35" s="31" t="n">
        <f aca="false">IF(I35=0,0,M35/I35)</f>
        <v>0.287138071677865</v>
      </c>
      <c r="O35" s="32" t="n">
        <f aca="false">I35*J35*K35</f>
        <v>0.172128034966969</v>
      </c>
      <c r="P35" s="32" t="n">
        <f aca="false">O35-M35</f>
        <v>0.0165497364181816</v>
      </c>
      <c r="Q35" s="31" t="n">
        <f aca="false">Assumptions!$C$5/(1+EXP(-Assumptions!$C$6*(LN(D35)-(Assumptions!$C$7+Assumptions!$C$8))))</f>
        <v>0.554548861324923</v>
      </c>
      <c r="R35" s="32" t="n">
        <f aca="false">I35*Q35*K35</f>
        <v>0.165257335231183</v>
      </c>
      <c r="S35" s="31" t="n">
        <f aca="false">Assumptions!$C$5/(1+EXP(-Assumptions!$C$6*(LN(D35)-(Assumptions!$C$7-Assumptions!$C$8))))</f>
        <v>0.592935197497863</v>
      </c>
      <c r="T35" s="32" t="n">
        <f aca="false">I35*S35*K35</f>
        <v>0.176696586246995</v>
      </c>
      <c r="U35" s="34" t="n">
        <f aca="false">VLOOKUP(A35,Pricing!$A$5:$L$134,12,FALSE())</f>
        <v>16.3014492753623</v>
      </c>
      <c r="V35" s="18" t="n">
        <f aca="false">U35*Assumptions!$C$17</f>
        <v>7.49866666666667</v>
      </c>
      <c r="W35" s="10" t="n">
        <f aca="false">O35*V35*12</f>
        <v>15.4887690984678</v>
      </c>
      <c r="X35" s="35" t="n">
        <f aca="false">IF(D35&gt;=35000,1,IF(D35&gt;=12000,2,IF(D35&gt;=4000,3,4)))</f>
        <v>1</v>
      </c>
    </row>
    <row r="36" customFormat="false" ht="15" hidden="false" customHeight="true" outlineLevel="0" collapsed="false">
      <c r="A36" s="5" t="s">
        <v>132</v>
      </c>
      <c r="B36" s="27" t="s">
        <v>133</v>
      </c>
      <c r="C36" s="5" t="s">
        <v>14</v>
      </c>
      <c r="D36" s="28" t="n">
        <v>36841</v>
      </c>
      <c r="E36" s="29" t="n">
        <v>0.57</v>
      </c>
      <c r="F36" s="30" t="n">
        <v>0.84</v>
      </c>
      <c r="G36" s="30" t="n">
        <v>0.93</v>
      </c>
      <c r="H36" s="8" t="n">
        <f aca="false">E36*F36</f>
        <v>0.4788</v>
      </c>
      <c r="I36" s="8" t="n">
        <f aca="false">H36*G36</f>
        <v>0.445284</v>
      </c>
      <c r="J36" s="31" t="n">
        <f aca="false">Assumptions!$C$5/(1+EXP(-Assumptions!$C$6*(LN(D36)-Assumptions!$C$7)))</f>
        <v>0.501112052575996</v>
      </c>
      <c r="K36" s="30" t="n">
        <v>0.55</v>
      </c>
      <c r="L36" s="32" t="n">
        <f aca="false">I36*J36</f>
        <v>0.22313717921925</v>
      </c>
      <c r="M36" s="33" t="n">
        <f aca="false">VLOOKUP(C36,Assumptions!$B$20:$C$23,2,FALSE())*L36/SUMIF($C$5:$C$134,C36,$L$5:$L$134)</f>
        <v>0.11092566345112</v>
      </c>
      <c r="N36" s="31" t="n">
        <f aca="false">IF(I36=0,0,M36/I36)</f>
        <v>0.249112169876125</v>
      </c>
      <c r="O36" s="32" t="n">
        <f aca="false">I36*J36*K36</f>
        <v>0.122725448570587</v>
      </c>
      <c r="P36" s="32" t="n">
        <f aca="false">O36-M36</f>
        <v>0.0117997851194669</v>
      </c>
      <c r="Q36" s="31" t="n">
        <f aca="false">Assumptions!$C$5/(1+EXP(-Assumptions!$C$6*(LN(D36)-(Assumptions!$C$7+Assumptions!$C$8))))</f>
        <v>0.448788029931416</v>
      </c>
      <c r="R36" s="32" t="n">
        <f aca="false">I36*Q36*K36</f>
        <v>0.109910971015989</v>
      </c>
      <c r="S36" s="31" t="n">
        <f aca="false">Assumptions!$C$5/(1+EXP(-Assumptions!$C$6*(LN(D36)-(Assumptions!$C$7-Assumptions!$C$8))))</f>
        <v>0.540285645921516</v>
      </c>
      <c r="T36" s="32" t="n">
        <f aca="false">I36*S36*K36</f>
        <v>0.132319304457184</v>
      </c>
      <c r="U36" s="34" t="n">
        <f aca="false">VLOOKUP(A36,Pricing!$A$5:$L$134,12,FALSE())</f>
        <v>11.2231884057971</v>
      </c>
      <c r="V36" s="18" t="n">
        <f aca="false">U36*Assumptions!$C$17</f>
        <v>5.16266666666667</v>
      </c>
      <c r="W36" s="10" t="n">
        <f aca="false">O36*V36*12</f>
        <v>7.60308698984503</v>
      </c>
      <c r="X36" s="35" t="n">
        <f aca="false">IF(D36&gt;=35000,1,IF(D36&gt;=12000,2,IF(D36&gt;=4000,3,4)))</f>
        <v>1</v>
      </c>
    </row>
    <row r="37" customFormat="false" ht="15" hidden="false" customHeight="true" outlineLevel="0" collapsed="false">
      <c r="A37" s="5" t="s">
        <v>134</v>
      </c>
      <c r="B37" s="27" t="s">
        <v>135</v>
      </c>
      <c r="C37" s="5" t="s">
        <v>14</v>
      </c>
      <c r="D37" s="28" t="n">
        <v>80258</v>
      </c>
      <c r="E37" s="29" t="n">
        <v>0.39</v>
      </c>
      <c r="F37" s="30" t="n">
        <v>0.83</v>
      </c>
      <c r="G37" s="30" t="n">
        <v>0.96</v>
      </c>
      <c r="H37" s="8" t="n">
        <f aca="false">E37*F37</f>
        <v>0.3237</v>
      </c>
      <c r="I37" s="8" t="n">
        <f aca="false">H37*G37</f>
        <v>0.310752</v>
      </c>
      <c r="J37" s="31" t="n">
        <f aca="false">Assumptions!$C$5/(1+EXP(-Assumptions!$C$6*(LN(D37)-Assumptions!$C$7)))</f>
        <v>0.556938911149541</v>
      </c>
      <c r="K37" s="30" t="n">
        <v>0.55</v>
      </c>
      <c r="L37" s="32" t="n">
        <f aca="false">I37*J37</f>
        <v>0.173069880517542</v>
      </c>
      <c r="M37" s="33" t="n">
        <f aca="false">VLOOKUP(C37,Assumptions!$B$20:$C$23,2,FALSE())*L37/SUMIF($C$5:$C$134,C37,$L$5:$L$134)</f>
        <v>0.0860362732332969</v>
      </c>
      <c r="N37" s="31" t="n">
        <f aca="false">IF(I37=0,0,M37/I37)</f>
        <v>0.276864744984093</v>
      </c>
      <c r="O37" s="32" t="n">
        <f aca="false">I37*J37*K37</f>
        <v>0.0951884342846482</v>
      </c>
      <c r="P37" s="32" t="n">
        <f aca="false">O37-M37</f>
        <v>0.0091521610513513</v>
      </c>
      <c r="Q37" s="31" t="n">
        <f aca="false">Assumptions!$C$5/(1+EXP(-Assumptions!$C$6*(LN(D37)-(Assumptions!$C$7+Assumptions!$C$8))))</f>
        <v>0.52450262224351</v>
      </c>
      <c r="R37" s="32" t="n">
        <f aca="false">I37*Q37*K37</f>
        <v>0.0896446313770784</v>
      </c>
      <c r="S37" s="31" t="n">
        <f aca="false">Assumptions!$C$5/(1+EXP(-Assumptions!$C$6*(LN(D37)-(Assumptions!$C$7-Assumptions!$C$8))))</f>
        <v>0.579214705336597</v>
      </c>
      <c r="T37" s="32" t="n">
        <f aca="false">I37*S37*K37</f>
        <v>0.098995670462017</v>
      </c>
      <c r="U37" s="34" t="n">
        <f aca="false">VLOOKUP(A37,Pricing!$A$5:$L$134,12,FALSE())</f>
        <v>14.17</v>
      </c>
      <c r="V37" s="18" t="n">
        <f aca="false">U37*Assumptions!$C$17</f>
        <v>6.5182</v>
      </c>
      <c r="W37" s="10" t="n">
        <f aca="false">O37*V37*12</f>
        <v>7.44548702825032</v>
      </c>
      <c r="X37" s="35" t="n">
        <f aca="false">IF(D37&gt;=35000,1,IF(D37&gt;=12000,2,IF(D37&gt;=4000,3,4)))</f>
        <v>1</v>
      </c>
    </row>
    <row r="38" customFormat="false" ht="15" hidden="false" customHeight="true" outlineLevel="0" collapsed="false">
      <c r="A38" s="5" t="s">
        <v>136</v>
      </c>
      <c r="B38" s="27" t="s">
        <v>137</v>
      </c>
      <c r="C38" s="5" t="s">
        <v>18</v>
      </c>
      <c r="D38" s="28" t="n">
        <v>10253</v>
      </c>
      <c r="E38" s="29" t="n">
        <v>212</v>
      </c>
      <c r="F38" s="30" t="n">
        <v>0.76</v>
      </c>
      <c r="G38" s="30" t="n">
        <v>0.76</v>
      </c>
      <c r="H38" s="8" t="n">
        <f aca="false">E38*F38</f>
        <v>161.12</v>
      </c>
      <c r="I38" s="8" t="n">
        <f aca="false">H38*G38</f>
        <v>122.4512</v>
      </c>
      <c r="J38" s="31" t="n">
        <f aca="false">Assumptions!$C$5/(1+EXP(-Assumptions!$C$6*(LN(D38)-Assumptions!$C$7)))</f>
        <v>0.344508095100601</v>
      </c>
      <c r="K38" s="30" t="n">
        <v>0.55</v>
      </c>
      <c r="L38" s="32" t="n">
        <f aca="false">I38*J38</f>
        <v>42.1854296547828</v>
      </c>
      <c r="M38" s="33" t="n">
        <f aca="false">VLOOKUP(C38,Assumptions!$B$20:$C$23,2,FALSE())*L38/SUMIF($C$5:$C$134,C38,$L$5:$L$134)</f>
        <v>21.380020791636</v>
      </c>
      <c r="N38" s="31" t="n">
        <f aca="false">IF(I38=0,0,M38/I38)</f>
        <v>0.174600337045582</v>
      </c>
      <c r="O38" s="32" t="n">
        <f aca="false">I38*J38*K38</f>
        <v>23.2019863101305</v>
      </c>
      <c r="P38" s="32" t="n">
        <f aca="false">O38-M38</f>
        <v>1.82196551849455</v>
      </c>
      <c r="Q38" s="31" t="n">
        <f aca="false">Assumptions!$C$5/(1+EXP(-Assumptions!$C$6*(LN(D38)-(Assumptions!$C$7+Assumptions!$C$8))))</f>
        <v>0.271230740477302</v>
      </c>
      <c r="R38" s="32" t="n">
        <f aca="false">I38*Q38*K38</f>
        <v>18.2668913065838</v>
      </c>
      <c r="S38" s="31" t="n">
        <f aca="false">Assumptions!$C$5/(1+EXP(-Assumptions!$C$6*(LN(D38)-(Assumptions!$C$7-Assumptions!$C$8))))</f>
        <v>0.414078335276953</v>
      </c>
      <c r="T38" s="32" t="n">
        <f aca="false">I38*S38*K38</f>
        <v>27.8874139767659</v>
      </c>
      <c r="U38" s="34" t="n">
        <f aca="false">VLOOKUP(A38,Pricing!$A$5:$L$134,12,FALSE())</f>
        <v>5.11234511787839</v>
      </c>
      <c r="V38" s="18" t="n">
        <f aca="false">U38*Assumptions!$C$17</f>
        <v>2.35167875422406</v>
      </c>
      <c r="W38" s="10" t="n">
        <f aca="false">O38*V38*12</f>
        <v>654.763419135977</v>
      </c>
      <c r="X38" s="35" t="n">
        <f aca="false">IF(D38&gt;=35000,1,IF(D38&gt;=12000,2,IF(D38&gt;=4000,3,4)))</f>
        <v>3</v>
      </c>
    </row>
    <row r="39" customFormat="false" ht="15" hidden="false" customHeight="true" outlineLevel="0" collapsed="false">
      <c r="A39" s="5" t="s">
        <v>138</v>
      </c>
      <c r="B39" s="27" t="s">
        <v>139</v>
      </c>
      <c r="C39" s="5" t="s">
        <v>18</v>
      </c>
      <c r="D39" s="28" t="n">
        <v>13670</v>
      </c>
      <c r="E39" s="29" t="n">
        <v>130.86</v>
      </c>
      <c r="F39" s="30" t="n">
        <v>0.76</v>
      </c>
      <c r="G39" s="30" t="n">
        <v>0.86</v>
      </c>
      <c r="H39" s="8" t="n">
        <f aca="false">E39*F39</f>
        <v>99.4536</v>
      </c>
      <c r="I39" s="8" t="n">
        <f aca="false">H39*G39</f>
        <v>85.530096</v>
      </c>
      <c r="J39" s="31" t="n">
        <f aca="false">Assumptions!$C$5/(1+EXP(-Assumptions!$C$6*(LN(D39)-Assumptions!$C$7)))</f>
        <v>0.385459957129298</v>
      </c>
      <c r="K39" s="30" t="n">
        <v>0.55</v>
      </c>
      <c r="L39" s="32" t="n">
        <f aca="false">I39*J39</f>
        <v>32.9684271374247</v>
      </c>
      <c r="M39" s="33" t="n">
        <f aca="false">VLOOKUP(C39,Assumptions!$B$20:$C$23,2,FALSE())*L39/SUMIF($C$5:$C$134,C39,$L$5:$L$134)</f>
        <v>16.7087466794536</v>
      </c>
      <c r="N39" s="31" t="n">
        <f aca="false">IF(I39=0,0,M39/I39)</f>
        <v>0.195355172750579</v>
      </c>
      <c r="O39" s="32" t="n">
        <f aca="false">I39*J39*K39</f>
        <v>18.1326349255836</v>
      </c>
      <c r="P39" s="32" t="n">
        <f aca="false">O39-M39</f>
        <v>1.42388824612997</v>
      </c>
      <c r="Q39" s="31" t="n">
        <f aca="false">Assumptions!$C$5/(1+EXP(-Assumptions!$C$6*(LN(D39)-(Assumptions!$C$7+Assumptions!$C$8))))</f>
        <v>0.313380568385323</v>
      </c>
      <c r="R39" s="32" t="n">
        <f aca="false">I39*Q39*K39</f>
        <v>14.7419085541922</v>
      </c>
      <c r="S39" s="31" t="n">
        <f aca="false">Assumptions!$C$5/(1+EXP(-Assumptions!$C$6*(LN(D39)-(Assumptions!$C$7-Assumptions!$C$8))))</f>
        <v>0.449797797136132</v>
      </c>
      <c r="T39" s="32" t="n">
        <f aca="false">I39*S39*K39</f>
        <v>21.159186823303</v>
      </c>
      <c r="U39" s="34" t="n">
        <f aca="false">VLOOKUP(A39,Pricing!$A$5:$L$134,12,FALSE())</f>
        <v>8.7631592715097</v>
      </c>
      <c r="V39" s="18" t="n">
        <f aca="false">U39*Assumptions!$C$17</f>
        <v>4.03105326489446</v>
      </c>
      <c r="W39" s="10" t="n">
        <f aca="false">O39*V39*12</f>
        <v>877.123406614958</v>
      </c>
      <c r="X39" s="35" t="n">
        <f aca="false">IF(D39&gt;=35000,1,IF(D39&gt;=12000,2,IF(D39&gt;=4000,3,4)))</f>
        <v>2</v>
      </c>
    </row>
    <row r="40" customFormat="false" ht="15" hidden="false" customHeight="true" outlineLevel="0" collapsed="false">
      <c r="A40" s="5" t="s">
        <v>140</v>
      </c>
      <c r="B40" s="27" t="s">
        <v>141</v>
      </c>
      <c r="C40" s="5" t="s">
        <v>18</v>
      </c>
      <c r="D40" s="28" t="n">
        <v>6874</v>
      </c>
      <c r="E40" s="29" t="n">
        <v>52.89</v>
      </c>
      <c r="F40" s="30" t="n">
        <v>0.76</v>
      </c>
      <c r="G40" s="30" t="n">
        <v>0.76</v>
      </c>
      <c r="H40" s="8" t="n">
        <f aca="false">E40*F40</f>
        <v>40.1964</v>
      </c>
      <c r="I40" s="8" t="n">
        <f aca="false">H40*G40</f>
        <v>30.549264</v>
      </c>
      <c r="J40" s="31" t="n">
        <f aca="false">Assumptions!$C$5/(1+EXP(-Assumptions!$C$6*(LN(D40)-Assumptions!$C$7)))</f>
        <v>0.285826765031268</v>
      </c>
      <c r="K40" s="30" t="n">
        <v>0.55</v>
      </c>
      <c r="L40" s="32" t="n">
        <f aca="false">I40*J40</f>
        <v>8.73179730320619</v>
      </c>
      <c r="M40" s="33" t="n">
        <f aca="false">VLOOKUP(C40,Assumptions!$B$20:$C$23,2,FALSE())*L40/SUMIF($C$5:$C$134,C40,$L$5:$L$134)</f>
        <v>4.42536699089264</v>
      </c>
      <c r="N40" s="31" t="n">
        <f aca="false">IF(I40=0,0,M40/I40)</f>
        <v>0.144860019897456</v>
      </c>
      <c r="O40" s="32" t="n">
        <f aca="false">I40*J40*K40</f>
        <v>4.8024885167634</v>
      </c>
      <c r="P40" s="32" t="n">
        <f aca="false">O40-M40</f>
        <v>0.377121525870761</v>
      </c>
      <c r="Q40" s="31" t="n">
        <f aca="false">Assumptions!$C$5/(1+EXP(-Assumptions!$C$6*(LN(D40)-(Assumptions!$C$7+Assumptions!$C$8))))</f>
        <v>0.21527751939941</v>
      </c>
      <c r="R40" s="32" t="n">
        <f aca="false">I40*Q40*K40</f>
        <v>3.61711337536874</v>
      </c>
      <c r="S40" s="31" t="n">
        <f aca="false">Assumptions!$C$5/(1+EXP(-Assumptions!$C$6*(LN(D40)-(Assumptions!$C$7-Assumptions!$C$8))))</f>
        <v>0.358988575208703</v>
      </c>
      <c r="T40" s="32" t="n">
        <f aca="false">I40*S40*K40</f>
        <v>6.03176021636899</v>
      </c>
      <c r="U40" s="34" t="n">
        <f aca="false">VLOOKUP(A40,Pricing!$A$5:$L$134,12,FALSE())</f>
        <v>4.83414634146341</v>
      </c>
      <c r="V40" s="18" t="n">
        <f aca="false">U40*Assumptions!$C$17</f>
        <v>2.22370731707317</v>
      </c>
      <c r="W40" s="10" t="n">
        <f aca="false">O40*V40*12</f>
        <v>128.15194625864</v>
      </c>
      <c r="X40" s="35" t="n">
        <f aca="false">IF(D40&gt;=35000,1,IF(D40&gt;=12000,2,IF(D40&gt;=4000,3,4)))</f>
        <v>3</v>
      </c>
    </row>
    <row r="41" customFormat="false" ht="15" hidden="false" customHeight="true" outlineLevel="0" collapsed="false">
      <c r="A41" s="5" t="s">
        <v>142</v>
      </c>
      <c r="B41" s="27" t="s">
        <v>143</v>
      </c>
      <c r="C41" s="5" t="s">
        <v>18</v>
      </c>
      <c r="D41" s="28" t="n">
        <v>14018</v>
      </c>
      <c r="E41" s="29" t="n">
        <v>45.7</v>
      </c>
      <c r="F41" s="30" t="n">
        <v>0.76</v>
      </c>
      <c r="G41" s="30" t="n">
        <v>0.86</v>
      </c>
      <c r="H41" s="8" t="n">
        <f aca="false">E41*F41</f>
        <v>34.732</v>
      </c>
      <c r="I41" s="8" t="n">
        <f aca="false">H41*G41</f>
        <v>29.86952</v>
      </c>
      <c r="J41" s="31" t="n">
        <f aca="false">Assumptions!$C$5/(1+EXP(-Assumptions!$C$6*(LN(D41)-Assumptions!$C$7)))</f>
        <v>0.388932020374985</v>
      </c>
      <c r="K41" s="30" t="n">
        <v>0.55</v>
      </c>
      <c r="L41" s="32" t="n">
        <f aca="false">I41*J41</f>
        <v>11.617212761231</v>
      </c>
      <c r="M41" s="33" t="n">
        <f aca="false">VLOOKUP(C41,Assumptions!$B$20:$C$23,2,FALSE())*L41/SUMIF($C$5:$C$134,C41,$L$5:$L$134)</f>
        <v>5.88772598521629</v>
      </c>
      <c r="N41" s="31" t="n">
        <f aca="false">IF(I41=0,0,M41/I41)</f>
        <v>0.197114851032634</v>
      </c>
      <c r="O41" s="32" t="n">
        <f aca="false">I41*J41*K41</f>
        <v>6.38946701867707</v>
      </c>
      <c r="P41" s="32" t="n">
        <f aca="false">O41-M41</f>
        <v>0.501741033460781</v>
      </c>
      <c r="Q41" s="31" t="n">
        <f aca="false">Assumptions!$C$5/(1+EXP(-Assumptions!$C$6*(LN(D41)-(Assumptions!$C$7+Assumptions!$C$8))))</f>
        <v>0.317081124478074</v>
      </c>
      <c r="R41" s="32" t="n">
        <f aca="false">I41*Q41*K41</f>
        <v>5.20908354407117</v>
      </c>
      <c r="S41" s="31" t="n">
        <f aca="false">Assumptions!$C$5/(1+EXP(-Assumptions!$C$6*(LN(D41)-(Assumptions!$C$7-Assumptions!$C$8))))</f>
        <v>0.452730729704747</v>
      </c>
      <c r="T41" s="32" t="n">
        <f aca="false">I41*S41*K41</f>
        <v>7.4375672720418</v>
      </c>
      <c r="U41" s="34" t="n">
        <f aca="false">VLOOKUP(A41,Pricing!$A$5:$L$134,12,FALSE())</f>
        <v>3.28425925925926</v>
      </c>
      <c r="V41" s="18" t="n">
        <f aca="false">U41*Assumptions!$C$17</f>
        <v>1.51075925925926</v>
      </c>
      <c r="W41" s="10" t="n">
        <f aca="false">O41*V41*12</f>
        <v>115.835357522376</v>
      </c>
      <c r="X41" s="35" t="n">
        <f aca="false">IF(D41&gt;=35000,1,IF(D41&gt;=12000,2,IF(D41&gt;=4000,3,4)))</f>
        <v>2</v>
      </c>
    </row>
    <row r="42" customFormat="false" ht="15" hidden="false" customHeight="true" outlineLevel="0" collapsed="false">
      <c r="A42" s="5" t="s">
        <v>144</v>
      </c>
      <c r="B42" s="27" t="s">
        <v>145</v>
      </c>
      <c r="C42" s="5" t="s">
        <v>18</v>
      </c>
      <c r="D42" s="28" t="n">
        <v>7821</v>
      </c>
      <c r="E42" s="29" t="n">
        <v>34.22</v>
      </c>
      <c r="F42" s="30" t="n">
        <v>0.76</v>
      </c>
      <c r="G42" s="30" t="n">
        <v>0.76</v>
      </c>
      <c r="H42" s="8" t="n">
        <f aca="false">E42*F42</f>
        <v>26.0072</v>
      </c>
      <c r="I42" s="8" t="n">
        <f aca="false">H42*G42</f>
        <v>19.765472</v>
      </c>
      <c r="J42" s="31" t="n">
        <f aca="false">Assumptions!$C$5/(1+EXP(-Assumptions!$C$6*(LN(D42)-Assumptions!$C$7)))</f>
        <v>0.304783086780405</v>
      </c>
      <c r="K42" s="30" t="n">
        <v>0.55</v>
      </c>
      <c r="L42" s="32" t="n">
        <f aca="false">I42*J42</f>
        <v>6.02418156783166</v>
      </c>
      <c r="M42" s="33" t="n">
        <f aca="false">VLOOKUP(C42,Assumptions!$B$20:$C$23,2,FALSE())*L42/SUMIF($C$5:$C$134,C42,$L$5:$L$134)</f>
        <v>3.05311877173755</v>
      </c>
      <c r="N42" s="31" t="n">
        <f aca="false">IF(I42=0,0,M42/I42)</f>
        <v>0.154467283742961</v>
      </c>
      <c r="O42" s="32" t="n">
        <f aca="false">I42*J42*K42</f>
        <v>3.31329986230742</v>
      </c>
      <c r="P42" s="32" t="n">
        <f aca="false">O42-M42</f>
        <v>0.260181090569866</v>
      </c>
      <c r="Q42" s="31" t="n">
        <f aca="false">Assumptions!$C$5/(1+EXP(-Assumptions!$C$6*(LN(D42)-(Assumptions!$C$7+Assumptions!$C$8))))</f>
        <v>0.232814678058108</v>
      </c>
      <c r="R42" s="32" t="n">
        <f aca="false">I42*Q42*K42</f>
        <v>2.5309306001906</v>
      </c>
      <c r="S42" s="31" t="n">
        <f aca="false">Assumptions!$C$5/(1+EXP(-Assumptions!$C$6*(LN(D42)-(Assumptions!$C$7-Assumptions!$C$8))))</f>
        <v>0.37731843252564</v>
      </c>
      <c r="T42" s="32" t="n">
        <f aca="false">I42*S42*K42</f>
        <v>4.10183230224319</v>
      </c>
      <c r="U42" s="34" t="n">
        <f aca="false">VLOOKUP(A42,Pricing!$A$5:$L$134,12,FALSE())</f>
        <v>5.90133333333333</v>
      </c>
      <c r="V42" s="18" t="n">
        <f aca="false">U42*Assumptions!$C$17</f>
        <v>2.71461333333333</v>
      </c>
      <c r="W42" s="10" t="n">
        <f aca="false">O42*V42*12</f>
        <v>107.931935802614</v>
      </c>
      <c r="X42" s="35" t="n">
        <f aca="false">IF(D42&gt;=35000,1,IF(D42&gt;=12000,2,IF(D42&gt;=4000,3,4)))</f>
        <v>3</v>
      </c>
    </row>
    <row r="43" customFormat="false" ht="15" hidden="false" customHeight="true" outlineLevel="0" collapsed="false">
      <c r="A43" s="5" t="s">
        <v>146</v>
      </c>
      <c r="B43" s="27" t="s">
        <v>147</v>
      </c>
      <c r="C43" s="5" t="s">
        <v>18</v>
      </c>
      <c r="D43" s="28" t="n">
        <v>16981</v>
      </c>
      <c r="E43" s="29" t="n">
        <v>28.41</v>
      </c>
      <c r="F43" s="30" t="n">
        <v>0.76</v>
      </c>
      <c r="G43" s="30" t="n">
        <v>0.86</v>
      </c>
      <c r="H43" s="8" t="n">
        <f aca="false">E43*F43</f>
        <v>21.5916</v>
      </c>
      <c r="I43" s="8" t="n">
        <f aca="false">H43*G43</f>
        <v>18.568776</v>
      </c>
      <c r="J43" s="31" t="n">
        <f aca="false">Assumptions!$C$5/(1+EXP(-Assumptions!$C$6*(LN(D43)-Assumptions!$C$7)))</f>
        <v>0.414669073188285</v>
      </c>
      <c r="K43" s="30" t="n">
        <v>0.55</v>
      </c>
      <c r="L43" s="32" t="n">
        <f aca="false">I43*J43</f>
        <v>7.69989713416087</v>
      </c>
      <c r="M43" s="33" t="n">
        <f aca="false">VLOOKUP(C43,Assumptions!$B$20:$C$23,2,FALSE())*L43/SUMIF($C$5:$C$134,C43,$L$5:$L$134)</f>
        <v>3.90238909900858</v>
      </c>
      <c r="N43" s="31" t="n">
        <f aca="false">IF(I43=0,0,M43/I43)</f>
        <v>0.210158660915969</v>
      </c>
      <c r="O43" s="32" t="n">
        <f aca="false">I43*J43*K43</f>
        <v>4.23494342378848</v>
      </c>
      <c r="P43" s="32" t="n">
        <f aca="false">O43-M43</f>
        <v>0.332554324779896</v>
      </c>
      <c r="Q43" s="31" t="n">
        <f aca="false">Assumptions!$C$5/(1+EXP(-Assumptions!$C$6*(LN(D43)-(Assumptions!$C$7+Assumptions!$C$8))))</f>
        <v>0.345165946709527</v>
      </c>
      <c r="R43" s="32" t="n">
        <f aca="false">I43*Q43*K43</f>
        <v>3.52512003100243</v>
      </c>
      <c r="S43" s="31" t="n">
        <f aca="false">Assumptions!$C$5/(1+EXP(-Assumptions!$C$6*(LN(D43)-(Assumptions!$C$7-Assumptions!$C$8))))</f>
        <v>0.474028699113427</v>
      </c>
      <c r="T43" s="32" t="n">
        <f aca="false">I43*S43*K43</f>
        <v>4.84117300227475</v>
      </c>
      <c r="U43" s="34" t="n">
        <f aca="false">VLOOKUP(A43,Pricing!$A$5:$L$134,12,FALSE())</f>
        <v>7.115</v>
      </c>
      <c r="V43" s="18" t="n">
        <f aca="false">U43*Assumptions!$C$17</f>
        <v>3.2729</v>
      </c>
      <c r="W43" s="10" t="n">
        <f aca="false">O43*V43*12</f>
        <v>166.326555980608</v>
      </c>
      <c r="X43" s="35" t="n">
        <f aca="false">IF(D43&gt;=35000,1,IF(D43&gt;=12000,2,IF(D43&gt;=4000,3,4)))</f>
        <v>2</v>
      </c>
    </row>
    <row r="44" customFormat="false" ht="15" hidden="false" customHeight="true" outlineLevel="0" collapsed="false">
      <c r="A44" s="5" t="s">
        <v>148</v>
      </c>
      <c r="B44" s="27" t="s">
        <v>149</v>
      </c>
      <c r="C44" s="5" t="s">
        <v>18</v>
      </c>
      <c r="D44" s="28" t="n">
        <v>16976</v>
      </c>
      <c r="E44" s="29" t="n">
        <v>19.77</v>
      </c>
      <c r="F44" s="30" t="n">
        <v>0.76</v>
      </c>
      <c r="G44" s="30" t="n">
        <v>0.86</v>
      </c>
      <c r="H44" s="8" t="n">
        <f aca="false">E44*F44</f>
        <v>15.0252</v>
      </c>
      <c r="I44" s="8" t="n">
        <f aca="false">H44*G44</f>
        <v>12.921672</v>
      </c>
      <c r="J44" s="31" t="n">
        <f aca="false">Assumptions!$C$5/(1+EXP(-Assumptions!$C$6*(LN(D44)-Assumptions!$C$7)))</f>
        <v>0.41463065126263</v>
      </c>
      <c r="K44" s="30" t="n">
        <v>0.55</v>
      </c>
      <c r="L44" s="32" t="n">
        <f aca="false">I44*J44</f>
        <v>5.35772127676209</v>
      </c>
      <c r="M44" s="33" t="n">
        <f aca="false">VLOOKUP(C44,Assumptions!$B$20:$C$23,2,FALSE())*L44/SUMIF($C$5:$C$134,C44,$L$5:$L$134)</f>
        <v>2.71534966528371</v>
      </c>
      <c r="N44" s="31" t="n">
        <f aca="false">IF(I44=0,0,M44/I44)</f>
        <v>0.210139188278708</v>
      </c>
      <c r="O44" s="32" t="n">
        <f aca="false">I44*J44*K44</f>
        <v>2.94674670221915</v>
      </c>
      <c r="P44" s="32" t="n">
        <f aca="false">O44-M44</f>
        <v>0.231397036935438</v>
      </c>
      <c r="Q44" s="31" t="n">
        <f aca="false">Assumptions!$C$5/(1+EXP(-Assumptions!$C$6*(LN(D44)-(Assumptions!$C$7+Assumptions!$C$8))))</f>
        <v>0.34512314038117</v>
      </c>
      <c r="R44" s="32" t="n">
        <f aca="false">I44*Q44*K44</f>
        <v>2.45276241078849</v>
      </c>
      <c r="S44" s="31" t="n">
        <f aca="false">Assumptions!$C$5/(1+EXP(-Assumptions!$C$6*(LN(D44)-(Assumptions!$C$7-Assumptions!$C$8))))</f>
        <v>0.473997473796031</v>
      </c>
      <c r="T44" s="32" t="n">
        <f aca="false">I44*S44*K44</f>
        <v>3.3686619368715</v>
      </c>
      <c r="U44" s="34" t="n">
        <f aca="false">VLOOKUP(A44,Pricing!$A$5:$L$134,12,FALSE())</f>
        <v>5.5546875</v>
      </c>
      <c r="V44" s="18" t="n">
        <f aca="false">U44*Assumptions!$C$17</f>
        <v>2.55515625</v>
      </c>
      <c r="W44" s="10" t="n">
        <f aca="false">O44*V44*12</f>
        <v>90.3527790401057</v>
      </c>
      <c r="X44" s="35" t="n">
        <f aca="false">IF(D44&gt;=35000,1,IF(D44&gt;=12000,2,IF(D44&gt;=4000,3,4)))</f>
        <v>2</v>
      </c>
    </row>
    <row r="45" customFormat="false" ht="15" hidden="false" customHeight="true" outlineLevel="0" collapsed="false">
      <c r="A45" s="5" t="s">
        <v>150</v>
      </c>
      <c r="B45" s="27" t="s">
        <v>151</v>
      </c>
      <c r="C45" s="5" t="s">
        <v>18</v>
      </c>
      <c r="D45" s="28" t="n">
        <v>5544</v>
      </c>
      <c r="E45" s="29" t="n">
        <v>18.41</v>
      </c>
      <c r="F45" s="30" t="n">
        <v>0.76</v>
      </c>
      <c r="G45" s="30" t="n">
        <v>0.63</v>
      </c>
      <c r="H45" s="8" t="n">
        <f aca="false">E45*F45</f>
        <v>13.9916</v>
      </c>
      <c r="I45" s="8" t="n">
        <f aca="false">H45*G45</f>
        <v>8.814708</v>
      </c>
      <c r="J45" s="31" t="n">
        <f aca="false">Assumptions!$C$5/(1+EXP(-Assumptions!$C$6*(LN(D45)-Assumptions!$C$7)))</f>
        <v>0.254712082875676</v>
      </c>
      <c r="K45" s="30" t="n">
        <v>0.55</v>
      </c>
      <c r="L45" s="32" t="n">
        <f aca="false">I45*J45</f>
        <v>2.24521263462088</v>
      </c>
      <c r="M45" s="33" t="n">
        <f aca="false">VLOOKUP(C45,Assumptions!$B$20:$C$23,2,FALSE())*L45/SUMIF($C$5:$C$134,C45,$L$5:$L$134)</f>
        <v>1.1378974494905</v>
      </c>
      <c r="N45" s="31" t="n">
        <f aca="false">IF(I45=0,0,M45/I45)</f>
        <v>0.129090770731203</v>
      </c>
      <c r="O45" s="32" t="n">
        <f aca="false">I45*J45*K45</f>
        <v>1.23486694904148</v>
      </c>
      <c r="P45" s="32" t="n">
        <f aca="false">O45-M45</f>
        <v>0.0969694995509844</v>
      </c>
      <c r="Q45" s="31" t="n">
        <f aca="false">Assumptions!$C$5/(1+EXP(-Assumptions!$C$6*(LN(D45)-(Assumptions!$C$7+Assumptions!$C$8))))</f>
        <v>0.18753288969954</v>
      </c>
      <c r="R45" s="32" t="n">
        <f aca="false">I45*Q45*K45</f>
        <v>0.909176214703709</v>
      </c>
      <c r="S45" s="31" t="n">
        <f aca="false">Assumptions!$C$5/(1+EXP(-Assumptions!$C$6*(LN(D45)-(Assumptions!$C$7-Assumptions!$C$8))))</f>
        <v>0.327720096631953</v>
      </c>
      <c r="T45" s="32" t="n">
        <f aca="false">I45*S45*K45</f>
        <v>1.58881632664835</v>
      </c>
      <c r="U45" s="34" t="n">
        <f aca="false">VLOOKUP(A45,Pricing!$A$5:$L$134,12,FALSE())</f>
        <v>0.87987012987013</v>
      </c>
      <c r="V45" s="18" t="n">
        <f aca="false">U45*Assumptions!$C$17</f>
        <v>0.40474025974026</v>
      </c>
      <c r="W45" s="10" t="n">
        <f aca="false">O45*V45*12</f>
        <v>5.99760443639655</v>
      </c>
      <c r="X45" s="35" t="n">
        <f aca="false">IF(D45&gt;=35000,1,IF(D45&gt;=12000,2,IF(D45&gt;=4000,3,4)))</f>
        <v>3</v>
      </c>
    </row>
    <row r="46" customFormat="false" ht="15" hidden="false" customHeight="true" outlineLevel="0" collapsed="false">
      <c r="A46" s="5" t="s">
        <v>152</v>
      </c>
      <c r="B46" s="27" t="s">
        <v>153</v>
      </c>
      <c r="C46" s="5" t="s">
        <v>18</v>
      </c>
      <c r="D46" s="28" t="n">
        <v>6553</v>
      </c>
      <c r="E46" s="29" t="n">
        <v>18.14</v>
      </c>
      <c r="F46" s="30" t="n">
        <v>0.76</v>
      </c>
      <c r="G46" s="30" t="n">
        <v>0.76</v>
      </c>
      <c r="H46" s="8" t="n">
        <f aca="false">E46*F46</f>
        <v>13.7864</v>
      </c>
      <c r="I46" s="8" t="n">
        <f aca="false">H46*G46</f>
        <v>10.477664</v>
      </c>
      <c r="J46" s="31" t="n">
        <f aca="false">Assumptions!$C$5/(1+EXP(-Assumptions!$C$6*(LN(D46)-Assumptions!$C$7)))</f>
        <v>0.278841190942613</v>
      </c>
      <c r="K46" s="30" t="n">
        <v>0.55</v>
      </c>
      <c r="L46" s="32" t="n">
        <f aca="false">I46*J46</f>
        <v>2.92160430805654</v>
      </c>
      <c r="M46" s="33" t="n">
        <f aca="false">VLOOKUP(C46,Assumptions!$B$20:$C$23,2,FALSE())*L46/SUMIF($C$5:$C$134,C46,$L$5:$L$134)</f>
        <v>1.48069988530033</v>
      </c>
      <c r="N46" s="31" t="n">
        <f aca="false">IF(I46=0,0,M46/I46)</f>
        <v>0.141319657253786</v>
      </c>
      <c r="O46" s="32" t="n">
        <f aca="false">I46*J46*K46</f>
        <v>1.6068823694311</v>
      </c>
      <c r="P46" s="32" t="n">
        <f aca="false">O46-M46</f>
        <v>0.126182484130766</v>
      </c>
      <c r="Q46" s="31" t="n">
        <f aca="false">Assumptions!$C$5/(1+EXP(-Assumptions!$C$6*(LN(D46)-(Assumptions!$C$7+Assumptions!$C$8))))</f>
        <v>0.208938114222198</v>
      </c>
      <c r="R46" s="32" t="n">
        <f aca="false">I46*Q46*K46</f>
        <v>1.2040508466876</v>
      </c>
      <c r="S46" s="31" t="n">
        <f aca="false">Assumptions!$C$5/(1+EXP(-Assumptions!$C$6*(LN(D46)-(Assumptions!$C$7-Assumptions!$C$8))))</f>
        <v>0.352098916369763</v>
      </c>
      <c r="T46" s="32" t="n">
        <f aca="false">I46*S46*K46</f>
        <v>2.02904577726756</v>
      </c>
      <c r="U46" s="34" t="n">
        <f aca="false">VLOOKUP(A46,Pricing!$A$5:$L$134,12,FALSE())</f>
        <v>7.4</v>
      </c>
      <c r="V46" s="18" t="n">
        <f aca="false">U46*Assumptions!$C$17</f>
        <v>3.404</v>
      </c>
      <c r="W46" s="10" t="n">
        <f aca="false">O46*V46*12</f>
        <v>65.6379310265216</v>
      </c>
      <c r="X46" s="35" t="n">
        <f aca="false">IF(D46&gt;=35000,1,IF(D46&gt;=12000,2,IF(D46&gt;=4000,3,4)))</f>
        <v>3</v>
      </c>
    </row>
    <row r="47" customFormat="false" ht="15" hidden="false" customHeight="true" outlineLevel="0" collapsed="false">
      <c r="A47" s="5" t="s">
        <v>154</v>
      </c>
      <c r="B47" s="27" t="s">
        <v>155</v>
      </c>
      <c r="C47" s="5" t="s">
        <v>18</v>
      </c>
      <c r="D47" s="28" t="n">
        <v>3694</v>
      </c>
      <c r="E47" s="29" t="n">
        <v>12.41</v>
      </c>
      <c r="F47" s="30" t="n">
        <v>0.76</v>
      </c>
      <c r="G47" s="30" t="n">
        <v>0.63</v>
      </c>
      <c r="H47" s="8" t="n">
        <f aca="false">E47*F47</f>
        <v>9.4316</v>
      </c>
      <c r="I47" s="8" t="n">
        <f aca="false">H47*G47</f>
        <v>5.941908</v>
      </c>
      <c r="J47" s="31" t="n">
        <f aca="false">Assumptions!$C$5/(1+EXP(-Assumptions!$C$6*(LN(D47)-Assumptions!$C$7)))</f>
        <v>0.199415057037711</v>
      </c>
      <c r="K47" s="30" t="n">
        <v>0.55</v>
      </c>
      <c r="L47" s="32" t="n">
        <f aca="false">I47*J47</f>
        <v>1.18490592273283</v>
      </c>
      <c r="M47" s="33" t="n">
        <f aca="false">VLOOKUP(C47,Assumptions!$B$20:$C$23,2,FALSE())*L47/SUMIF($C$5:$C$134,C47,$L$5:$L$134)</f>
        <v>0.600522822013936</v>
      </c>
      <c r="N47" s="31" t="n">
        <f aca="false">IF(I47=0,0,M47/I47)</f>
        <v>0.101065654670846</v>
      </c>
      <c r="O47" s="32" t="n">
        <f aca="false">I47*J47*K47</f>
        <v>0.651698257503056</v>
      </c>
      <c r="P47" s="32" t="n">
        <f aca="false">O47-M47</f>
        <v>0.0511754354891208</v>
      </c>
      <c r="Q47" s="31" t="n">
        <f aca="false">Assumptions!$C$5/(1+EXP(-Assumptions!$C$6*(LN(D47)-(Assumptions!$C$7+Assumptions!$C$8))))</f>
        <v>0.141183377255965</v>
      </c>
      <c r="R47" s="32" t="n">
        <f aca="false">I47*Q47*K47</f>
        <v>0.461394251331331</v>
      </c>
      <c r="S47" s="31" t="n">
        <f aca="false">Assumptions!$C$5/(1+EXP(-Assumptions!$C$6*(LN(D47)-(Assumptions!$C$7-Assumptions!$C$8))))</f>
        <v>0.268210921259576</v>
      </c>
      <c r="T47" s="32" t="n">
        <f aca="false">I47*S47*K47</f>
        <v>0.876526540295805</v>
      </c>
      <c r="U47" s="34" t="n">
        <f aca="false">VLOOKUP(A47,Pricing!$A$5:$L$134,12,FALSE())</f>
        <v>1.03115942028986</v>
      </c>
      <c r="V47" s="18" t="n">
        <f aca="false">U47*Assumptions!$C$17</f>
        <v>0.474333333333333</v>
      </c>
      <c r="W47" s="10" t="n">
        <f aca="false">O47*V47*12</f>
        <v>3.7094664817074</v>
      </c>
      <c r="X47" s="35" t="n">
        <f aca="false">IF(D47&gt;=35000,1,IF(D47&gt;=12000,2,IF(D47&gt;=4000,3,4)))</f>
        <v>4</v>
      </c>
    </row>
    <row r="48" customFormat="false" ht="15" hidden="false" customHeight="true" outlineLevel="0" collapsed="false">
      <c r="A48" s="5" t="s">
        <v>156</v>
      </c>
      <c r="B48" s="27" t="s">
        <v>157</v>
      </c>
      <c r="C48" s="5" t="s">
        <v>18</v>
      </c>
      <c r="D48" s="28" t="n">
        <v>1686</v>
      </c>
      <c r="E48" s="29" t="n">
        <v>11.77</v>
      </c>
      <c r="F48" s="30" t="n">
        <v>0.76</v>
      </c>
      <c r="G48" s="30" t="n">
        <v>0.47</v>
      </c>
      <c r="H48" s="8" t="n">
        <f aca="false">E48*F48</f>
        <v>8.9452</v>
      </c>
      <c r="I48" s="8" t="n">
        <f aca="false">H48*G48</f>
        <v>4.204244</v>
      </c>
      <c r="J48" s="31" t="n">
        <f aca="false">Assumptions!$C$5/(1+EXP(-Assumptions!$C$6*(LN(D48)-Assumptions!$C$7)))</f>
        <v>0.113902030542513</v>
      </c>
      <c r="K48" s="30" t="n">
        <v>0.55</v>
      </c>
      <c r="L48" s="32" t="n">
        <f aca="false">I48*J48</f>
        <v>0.478871928496176</v>
      </c>
      <c r="M48" s="33" t="n">
        <f aca="false">VLOOKUP(C48,Assumptions!$B$20:$C$23,2,FALSE())*L48/SUMIF($C$5:$C$134,C48,$L$5:$L$134)</f>
        <v>0.242697345305295</v>
      </c>
      <c r="N48" s="31" t="n">
        <f aca="false">IF(I48=0,0,M48/I48)</f>
        <v>0.0577267507084021</v>
      </c>
      <c r="O48" s="32" t="n">
        <f aca="false">I48*J48*K48</f>
        <v>0.263379560672897</v>
      </c>
      <c r="P48" s="32" t="n">
        <f aca="false">O48-M48</f>
        <v>0.0206822153676015</v>
      </c>
      <c r="Q48" s="31" t="n">
        <f aca="false">Assumptions!$C$5/(1+EXP(-Assumptions!$C$6*(LN(D48)-(Assumptions!$C$7+Assumptions!$C$8))))</f>
        <v>0.0761217377209449</v>
      </c>
      <c r="R48" s="32" t="n">
        <f aca="false">I48*Q48*K48</f>
        <v>0.176018897495571</v>
      </c>
      <c r="S48" s="31" t="n">
        <f aca="false">Assumptions!$C$5/(1+EXP(-Assumptions!$C$6*(LN(D48)-(Assumptions!$C$7-Assumptions!$C$8))))</f>
        <v>0.164753142483204</v>
      </c>
      <c r="T48" s="32" t="n">
        <f aca="false">I48*S48*K48</f>
        <v>0.380964325921385</v>
      </c>
      <c r="U48" s="34" t="n">
        <f aca="false">VLOOKUP(A48,Pricing!$A$5:$L$134,12,FALSE())</f>
        <v>3.584</v>
      </c>
      <c r="V48" s="18" t="n">
        <f aca="false">U48*Assumptions!$C$17</f>
        <v>1.64864</v>
      </c>
      <c r="W48" s="10" t="n">
        <f aca="false">O48*V48*12</f>
        <v>5.21061694689317</v>
      </c>
      <c r="X48" s="35" t="n">
        <f aca="false">IF(D48&gt;=35000,1,IF(D48&gt;=12000,2,IF(D48&gt;=4000,3,4)))</f>
        <v>4</v>
      </c>
    </row>
    <row r="49" customFormat="false" ht="15" hidden="false" customHeight="true" outlineLevel="0" collapsed="false">
      <c r="A49" s="5" t="s">
        <v>158</v>
      </c>
      <c r="B49" s="27" t="s">
        <v>159</v>
      </c>
      <c r="C49" s="5" t="s">
        <v>18</v>
      </c>
      <c r="D49" s="28" t="n">
        <v>10627</v>
      </c>
      <c r="E49" s="29" t="n">
        <v>11.43</v>
      </c>
      <c r="F49" s="30" t="n">
        <v>0.76</v>
      </c>
      <c r="G49" s="30" t="n">
        <v>0.76</v>
      </c>
      <c r="H49" s="8" t="n">
        <f aca="false">E49*F49</f>
        <v>8.6868</v>
      </c>
      <c r="I49" s="8" t="n">
        <f aca="false">H49*G49</f>
        <v>6.601968</v>
      </c>
      <c r="J49" s="31" t="n">
        <f aca="false">Assumptions!$C$5/(1+EXP(-Assumptions!$C$6*(LN(D49)-Assumptions!$C$7)))</f>
        <v>0.349707982672504</v>
      </c>
      <c r="K49" s="30" t="n">
        <v>0.55</v>
      </c>
      <c r="L49" s="32" t="n">
        <f aca="false">I49*J49</f>
        <v>2.30876091094842</v>
      </c>
      <c r="M49" s="33" t="n">
        <f aca="false">VLOOKUP(C49,Assumptions!$B$20:$C$23,2,FALSE())*L49/SUMIF($C$5:$C$134,C49,$L$5:$L$134)</f>
        <v>1.17010438634699</v>
      </c>
      <c r="N49" s="31" t="n">
        <f aca="false">IF(I49=0,0,M49/I49)</f>
        <v>0.177235694924148</v>
      </c>
      <c r="O49" s="32" t="n">
        <f aca="false">I49*J49*K49</f>
        <v>1.26981850102163</v>
      </c>
      <c r="P49" s="32" t="n">
        <f aca="false">O49-M49</f>
        <v>0.099714114674643</v>
      </c>
      <c r="Q49" s="31" t="n">
        <f aca="false">Assumptions!$C$5/(1+EXP(-Assumptions!$C$6*(LN(D49)-(Assumptions!$C$7+Assumptions!$C$8))))</f>
        <v>0.276434411952878</v>
      </c>
      <c r="R49" s="32" t="n">
        <f aca="false">I49*Q49*K49</f>
        <v>1.00375612799645</v>
      </c>
      <c r="S49" s="31" t="n">
        <f aca="false">Assumptions!$C$5/(1+EXP(-Assumptions!$C$6*(LN(D49)-(Assumptions!$C$7-Assumptions!$C$8))))</f>
        <v>0.418732245621664</v>
      </c>
      <c r="T49" s="32" t="n">
        <f aca="false">I49*S49*K49</f>
        <v>1.5204512873893</v>
      </c>
      <c r="U49" s="34" t="n">
        <f aca="false">VLOOKUP(A49,Pricing!$A$5:$L$134,12,FALSE())</f>
        <v>7.025</v>
      </c>
      <c r="V49" s="18" t="n">
        <f aca="false">U49*Assumptions!$C$17</f>
        <v>3.2315</v>
      </c>
      <c r="W49" s="10" t="n">
        <f aca="false">O49*V49*12</f>
        <v>49.2410218326169</v>
      </c>
      <c r="X49" s="35" t="n">
        <f aca="false">IF(D49&gt;=35000,1,IF(D49&gt;=12000,2,IF(D49&gt;=4000,3,4)))</f>
        <v>3</v>
      </c>
    </row>
    <row r="50" customFormat="false" ht="15" hidden="false" customHeight="true" outlineLevel="0" collapsed="false">
      <c r="A50" s="5" t="s">
        <v>160</v>
      </c>
      <c r="B50" s="27" t="s">
        <v>161</v>
      </c>
      <c r="C50" s="5" t="s">
        <v>18</v>
      </c>
      <c r="D50" s="28" t="n">
        <v>3178</v>
      </c>
      <c r="E50" s="29" t="n">
        <v>10.83</v>
      </c>
      <c r="F50" s="30" t="n">
        <v>0.76</v>
      </c>
      <c r="G50" s="30" t="n">
        <v>0.63</v>
      </c>
      <c r="H50" s="8" t="n">
        <f aca="false">E50*F50</f>
        <v>8.2308</v>
      </c>
      <c r="I50" s="8" t="n">
        <f aca="false">H50*G50</f>
        <v>5.185404</v>
      </c>
      <c r="J50" s="31" t="n">
        <f aca="false">Assumptions!$C$5/(1+EXP(-Assumptions!$C$6*(LN(D50)-Assumptions!$C$7)))</f>
        <v>0.180591360431215</v>
      </c>
      <c r="K50" s="30" t="n">
        <v>0.55</v>
      </c>
      <c r="L50" s="32" t="n">
        <f aca="false">I50*J50</f>
        <v>0.936439162745466</v>
      </c>
      <c r="M50" s="33" t="n">
        <f aca="false">VLOOKUP(C50,Assumptions!$B$20:$C$23,2,FALSE())*L50/SUMIF($C$5:$C$134,C50,$L$5:$L$134)</f>
        <v>0.474597246808659</v>
      </c>
      <c r="N50" s="31" t="n">
        <f aca="false">IF(I50=0,0,M50/I50)</f>
        <v>0.0915256066467837</v>
      </c>
      <c r="O50" s="32" t="n">
        <f aca="false">I50*J50*K50</f>
        <v>0.515041539510007</v>
      </c>
      <c r="P50" s="32" t="n">
        <f aca="false">O50-M50</f>
        <v>0.0404442927013476</v>
      </c>
      <c r="Q50" s="31" t="n">
        <f aca="false">Assumptions!$C$5/(1+EXP(-Assumptions!$C$6*(LN(D50)-(Assumptions!$C$7+Assumptions!$C$8))))</f>
        <v>0.126206996450972</v>
      </c>
      <c r="R50" s="32" t="n">
        <f aca="false">I50*Q50*K50</f>
        <v>0.35993884532367</v>
      </c>
      <c r="S50" s="31" t="n">
        <f aca="false">Assumptions!$C$5/(1+EXP(-Assumptions!$C$6*(LN(D50)-(Assumptions!$C$7-Assumptions!$C$8))))</f>
        <v>0.246702427419057</v>
      </c>
      <c r="T50" s="32" t="n">
        <f aca="false">I50*S50*K50</f>
        <v>0.703588464671669</v>
      </c>
      <c r="U50" s="34" t="n">
        <f aca="false">VLOOKUP(A50,Pricing!$A$5:$L$134,12,FALSE())</f>
        <v>7.115</v>
      </c>
      <c r="V50" s="18" t="n">
        <f aca="false">U50*Assumptions!$C$17</f>
        <v>3.2729</v>
      </c>
      <c r="W50" s="10" t="n">
        <f aca="false">O50*V50*12</f>
        <v>20.2281534559476</v>
      </c>
      <c r="X50" s="35" t="n">
        <f aca="false">IF(D50&gt;=35000,1,IF(D50&gt;=12000,2,IF(D50&gt;=4000,3,4)))</f>
        <v>4</v>
      </c>
    </row>
    <row r="51" customFormat="false" ht="15" hidden="false" customHeight="true" outlineLevel="0" collapsed="false">
      <c r="A51" s="5" t="s">
        <v>162</v>
      </c>
      <c r="B51" s="27" t="s">
        <v>163</v>
      </c>
      <c r="C51" s="5" t="s">
        <v>18</v>
      </c>
      <c r="D51" s="28" t="n">
        <v>6199</v>
      </c>
      <c r="E51" s="29" t="n">
        <v>6.93</v>
      </c>
      <c r="F51" s="30" t="n">
        <v>0.76</v>
      </c>
      <c r="G51" s="30" t="n">
        <v>0.76</v>
      </c>
      <c r="H51" s="8" t="n">
        <f aca="false">E51*F51</f>
        <v>5.2668</v>
      </c>
      <c r="I51" s="8" t="n">
        <f aca="false">H51*G51</f>
        <v>4.002768</v>
      </c>
      <c r="J51" s="31" t="n">
        <f aca="false">Assumptions!$C$5/(1+EXP(-Assumptions!$C$6*(LN(D51)-Assumptions!$C$7)))</f>
        <v>0.270769555137736</v>
      </c>
      <c r="K51" s="30" t="n">
        <v>0.55</v>
      </c>
      <c r="L51" s="32" t="n">
        <f aca="false">I51*J51</f>
        <v>1.08382771067957</v>
      </c>
      <c r="M51" s="33" t="n">
        <f aca="false">VLOOKUP(C51,Assumptions!$B$20:$C$23,2,FALSE())*L51/SUMIF($C$5:$C$134,C51,$L$5:$L$134)</f>
        <v>0.549295317803008</v>
      </c>
      <c r="N51" s="31" t="n">
        <f aca="false">IF(I51=0,0,M51/I51)</f>
        <v>0.137228867074736</v>
      </c>
      <c r="O51" s="32" t="n">
        <f aca="false">I51*J51*K51</f>
        <v>0.596105240873761</v>
      </c>
      <c r="P51" s="32" t="n">
        <f aca="false">O51-M51</f>
        <v>0.0468099230707532</v>
      </c>
      <c r="Q51" s="31" t="n">
        <f aca="false">Assumptions!$C$5/(1+EXP(-Assumptions!$C$6*(LN(D51)-(Assumptions!$C$7+Assumptions!$C$8))))</f>
        <v>0.201693677362636</v>
      </c>
      <c r="R51" s="32" t="n">
        <f aca="false">I51*Q51*K51</f>
        <v>0.444033148652215</v>
      </c>
      <c r="S51" s="31" t="n">
        <f aca="false">Assumptions!$C$5/(1+EXP(-Assumptions!$C$6*(LN(D51)-(Assumptions!$C$7-Assumptions!$C$8))))</f>
        <v>0.344045222114489</v>
      </c>
      <c r="T51" s="32" t="n">
        <f aca="false">I51*S51*K51</f>
        <v>0.757423263098024</v>
      </c>
      <c r="U51" s="34" t="n">
        <f aca="false">VLOOKUP(A51,Pricing!$A$5:$L$134,12,FALSE())</f>
        <v>6.4</v>
      </c>
      <c r="V51" s="18" t="n">
        <f aca="false">U51*Assumptions!$C$17</f>
        <v>2.944</v>
      </c>
      <c r="W51" s="10" t="n">
        <f aca="false">O51*V51*12</f>
        <v>21.0592059495882</v>
      </c>
      <c r="X51" s="35" t="n">
        <f aca="false">IF(D51&gt;=35000,1,IF(D51&gt;=12000,2,IF(D51&gt;=4000,3,4)))</f>
        <v>3</v>
      </c>
    </row>
    <row r="52" customFormat="false" ht="15" hidden="false" customHeight="true" outlineLevel="0" collapsed="false">
      <c r="A52" s="5" t="s">
        <v>164</v>
      </c>
      <c r="B52" s="27" t="s">
        <v>165</v>
      </c>
      <c r="C52" s="5" t="s">
        <v>18</v>
      </c>
      <c r="D52" s="28" t="n">
        <v>2578</v>
      </c>
      <c r="E52" s="29" t="n">
        <v>6.92</v>
      </c>
      <c r="F52" s="30" t="n">
        <v>0.76</v>
      </c>
      <c r="G52" s="30" t="n">
        <v>0.47</v>
      </c>
      <c r="H52" s="8" t="n">
        <f aca="false">E52*F52</f>
        <v>5.2592</v>
      </c>
      <c r="I52" s="8" t="n">
        <f aca="false">H52*G52</f>
        <v>2.471824</v>
      </c>
      <c r="J52" s="31" t="n">
        <f aca="false">Assumptions!$C$5/(1+EXP(-Assumptions!$C$6*(LN(D52)-Assumptions!$C$7)))</f>
        <v>0.156240539319356</v>
      </c>
      <c r="K52" s="30" t="n">
        <v>0.55</v>
      </c>
      <c r="L52" s="32" t="n">
        <f aca="false">I52*J52</f>
        <v>0.386199114862528</v>
      </c>
      <c r="M52" s="33" t="n">
        <f aca="false">VLOOKUP(C52,Assumptions!$B$20:$C$23,2,FALSE())*L52/SUMIF($C$5:$C$134,C52,$L$5:$L$134)</f>
        <v>0.195729785687655</v>
      </c>
      <c r="N52" s="31" t="n">
        <f aca="false">IF(I52=0,0,M52/I52)</f>
        <v>0.0791843536140335</v>
      </c>
      <c r="O52" s="32" t="n">
        <f aca="false">I52*J52*K52</f>
        <v>0.21240951317439</v>
      </c>
      <c r="P52" s="32" t="n">
        <f aca="false">O52-M52</f>
        <v>0.0166797274867359</v>
      </c>
      <c r="Q52" s="31" t="n">
        <f aca="false">Assumptions!$C$5/(1+EXP(-Assumptions!$C$6*(LN(D52)-(Assumptions!$C$7+Assumptions!$C$8))))</f>
        <v>0.107397012611342</v>
      </c>
      <c r="R52" s="32" t="n">
        <f aca="false">I52*Q52*K52</f>
        <v>0.14600658231556</v>
      </c>
      <c r="S52" s="31" t="n">
        <f aca="false">Assumptions!$C$5/(1+EXP(-Assumptions!$C$6*(LN(D52)-(Assumptions!$C$7-Assumptions!$C$8))))</f>
        <v>0.217856941617218</v>
      </c>
      <c r="T52" s="32" t="n">
        <f aca="false">I52*S52*K52</f>
        <v>0.296177209270821</v>
      </c>
      <c r="U52" s="34" t="n">
        <f aca="false">VLOOKUP(A52,Pricing!$A$5:$L$134,12,FALSE())</f>
        <v>7.115</v>
      </c>
      <c r="V52" s="18" t="n">
        <f aca="false">U52*Assumptions!$C$17</f>
        <v>3.2729</v>
      </c>
      <c r="W52" s="10" t="n">
        <f aca="false">O52*V52*12</f>
        <v>8.34234114802155</v>
      </c>
      <c r="X52" s="35" t="n">
        <f aca="false">IF(D52&gt;=35000,1,IF(D52&gt;=12000,2,IF(D52&gt;=4000,3,4)))</f>
        <v>4</v>
      </c>
    </row>
    <row r="53" customFormat="false" ht="15" hidden="false" customHeight="true" outlineLevel="0" collapsed="false">
      <c r="A53" s="5" t="s">
        <v>166</v>
      </c>
      <c r="B53" s="27" t="s">
        <v>167</v>
      </c>
      <c r="C53" s="5" t="s">
        <v>18</v>
      </c>
      <c r="D53" s="28" t="n">
        <v>5367</v>
      </c>
      <c r="E53" s="29" t="n">
        <v>6.34</v>
      </c>
      <c r="F53" s="30" t="n">
        <v>0.76</v>
      </c>
      <c r="G53" s="30" t="n">
        <v>0.63</v>
      </c>
      <c r="H53" s="8" t="n">
        <f aca="false">E53*F53</f>
        <v>4.8184</v>
      </c>
      <c r="I53" s="8" t="n">
        <f aca="false">H53*G53</f>
        <v>3.035592</v>
      </c>
      <c r="J53" s="31" t="n">
        <f aca="false">Assumptions!$C$5/(1+EXP(-Assumptions!$C$6*(LN(D53)-Assumptions!$C$7)))</f>
        <v>0.250099256102915</v>
      </c>
      <c r="K53" s="30" t="n">
        <v>0.55</v>
      </c>
      <c r="L53" s="32" t="n">
        <f aca="false">I53*J53</f>
        <v>0.75919930103196</v>
      </c>
      <c r="M53" s="33" t="n">
        <f aca="false">VLOOKUP(C53,Assumptions!$B$20:$C$23,2,FALSE())*L53/SUMIF($C$5:$C$134,C53,$L$5:$L$134)</f>
        <v>0.384770215069234</v>
      </c>
      <c r="N53" s="31" t="n">
        <f aca="false">IF(I53=0,0,M53/I53)</f>
        <v>0.126752941458942</v>
      </c>
      <c r="O53" s="32" t="n">
        <f aca="false">I53*J53*K53</f>
        <v>0.417559615567578</v>
      </c>
      <c r="P53" s="32" t="n">
        <f aca="false">O53-M53</f>
        <v>0.0327894004983441</v>
      </c>
      <c r="Q53" s="31" t="n">
        <f aca="false">Assumptions!$C$5/(1+EXP(-Assumptions!$C$6*(LN(D53)-(Assumptions!$C$7+Assumptions!$C$8))))</f>
        <v>0.183525433523803</v>
      </c>
      <c r="R53" s="32" t="n">
        <f aca="false">I53*Q53*K53</f>
        <v>0.306409585790764</v>
      </c>
      <c r="S53" s="31" t="n">
        <f aca="false">Assumptions!$C$5/(1+EXP(-Assumptions!$C$6*(LN(D53)-(Assumptions!$C$7-Assumptions!$C$8))))</f>
        <v>0.322954040896908</v>
      </c>
      <c r="T53" s="32" t="n">
        <f aca="false">I53*S53*K53</f>
        <v>0.539196186602879</v>
      </c>
      <c r="U53" s="34" t="n">
        <f aca="false">VLOOKUP(A53,Pricing!$A$5:$L$134,12,FALSE())</f>
        <v>7.205</v>
      </c>
      <c r="V53" s="18" t="n">
        <f aca="false">U53*Assumptions!$C$17</f>
        <v>3.3143</v>
      </c>
      <c r="W53" s="10" t="n">
        <f aca="false">O53*V53*12</f>
        <v>16.6070140065075</v>
      </c>
      <c r="X53" s="35" t="n">
        <f aca="false">IF(D53&gt;=35000,1,IF(D53&gt;=12000,2,IF(D53&gt;=4000,3,4)))</f>
        <v>3</v>
      </c>
    </row>
    <row r="54" customFormat="false" ht="15" hidden="false" customHeight="true" outlineLevel="0" collapsed="false">
      <c r="A54" s="5" t="s">
        <v>168</v>
      </c>
      <c r="B54" s="27" t="s">
        <v>169</v>
      </c>
      <c r="C54" s="5" t="s">
        <v>18</v>
      </c>
      <c r="D54" s="28" t="n">
        <v>16861</v>
      </c>
      <c r="E54" s="29" t="n">
        <v>5.13</v>
      </c>
      <c r="F54" s="30" t="n">
        <v>0.76</v>
      </c>
      <c r="G54" s="30" t="n">
        <v>0.86</v>
      </c>
      <c r="H54" s="8" t="n">
        <f aca="false">E54*F54</f>
        <v>3.8988</v>
      </c>
      <c r="I54" s="8" t="n">
        <f aca="false">H54*G54</f>
        <v>3.352968</v>
      </c>
      <c r="J54" s="31" t="n">
        <f aca="false">Assumptions!$C$5/(1+EXP(-Assumptions!$C$6*(LN(D54)-Assumptions!$C$7)))</f>
        <v>0.413742803256353</v>
      </c>
      <c r="K54" s="30" t="n">
        <v>0.55</v>
      </c>
      <c r="L54" s="32" t="n">
        <f aca="false">I54*J54</f>
        <v>1.38726637954885</v>
      </c>
      <c r="M54" s="33" t="n">
        <f aca="false">VLOOKUP(C54,Assumptions!$B$20:$C$23,2,FALSE())*L54/SUMIF($C$5:$C$134,C54,$L$5:$L$134)</f>
        <v>0.703081236365439</v>
      </c>
      <c r="N54" s="31" t="n">
        <f aca="false">IF(I54=0,0,M54/I54)</f>
        <v>0.209689217542619</v>
      </c>
      <c r="O54" s="32" t="n">
        <f aca="false">I54*J54*K54</f>
        <v>0.762996508751866</v>
      </c>
      <c r="P54" s="32" t="n">
        <f aca="false">O54-M54</f>
        <v>0.0599152723864271</v>
      </c>
      <c r="Q54" s="31" t="n">
        <f aca="false">Assumptions!$C$5/(1+EXP(-Assumptions!$C$6*(LN(D54)-(Assumptions!$C$7+Assumptions!$C$8))))</f>
        <v>0.344134725616873</v>
      </c>
      <c r="R54" s="32" t="n">
        <f aca="false">I54*Q54*K54</f>
        <v>0.634629997475186</v>
      </c>
      <c r="S54" s="31" t="n">
        <f aca="false">Assumptions!$C$5/(1+EXP(-Assumptions!$C$6*(LN(D54)-(Assumptions!$C$7-Assumptions!$C$8))))</f>
        <v>0.473275457666507</v>
      </c>
      <c r="T54" s="32" t="n">
        <f aca="false">I54*S54*K54</f>
        <v>0.872782605607635</v>
      </c>
      <c r="U54" s="34" t="n">
        <f aca="false">VLOOKUP(A54,Pricing!$A$5:$L$134,12,FALSE())</f>
        <v>7.4</v>
      </c>
      <c r="V54" s="18" t="n">
        <f aca="false">U54*Assumptions!$C$17</f>
        <v>3.404</v>
      </c>
      <c r="W54" s="10" t="n">
        <f aca="false">O54*V54*12</f>
        <v>31.1668813894962</v>
      </c>
      <c r="X54" s="35" t="n">
        <f aca="false">IF(D54&gt;=35000,1,IF(D54&gt;=12000,2,IF(D54&gt;=4000,3,4)))</f>
        <v>2</v>
      </c>
    </row>
    <row r="55" customFormat="false" ht="15" hidden="false" customHeight="true" outlineLevel="0" collapsed="false">
      <c r="A55" s="5" t="s">
        <v>170</v>
      </c>
      <c r="B55" s="27" t="s">
        <v>171</v>
      </c>
      <c r="C55" s="5" t="s">
        <v>18</v>
      </c>
      <c r="D55" s="28" t="n">
        <v>18466</v>
      </c>
      <c r="E55" s="29" t="n">
        <v>4.52</v>
      </c>
      <c r="F55" s="30" t="n">
        <v>0.76</v>
      </c>
      <c r="G55" s="30" t="n">
        <v>0.86</v>
      </c>
      <c r="H55" s="8" t="n">
        <f aca="false">E55*F55</f>
        <v>3.4352</v>
      </c>
      <c r="I55" s="8" t="n">
        <f aca="false">H55*G55</f>
        <v>2.954272</v>
      </c>
      <c r="J55" s="31" t="n">
        <f aca="false">Assumptions!$C$5/(1+EXP(-Assumptions!$C$6*(LN(D55)-Assumptions!$C$7)))</f>
        <v>0.42545586407831</v>
      </c>
      <c r="K55" s="30" t="n">
        <v>0.55</v>
      </c>
      <c r="L55" s="32" t="n">
        <f aca="false">I55*J55</f>
        <v>1.25691234648236</v>
      </c>
      <c r="M55" s="33" t="n">
        <f aca="false">VLOOKUP(C55,Assumptions!$B$20:$C$23,2,FALSE())*L55/SUMIF($C$5:$C$134,C55,$L$5:$L$134)</f>
        <v>0.637016437214597</v>
      </c>
      <c r="N55" s="31" t="n">
        <f aca="false">IF(I55=0,0,M55/I55)</f>
        <v>0.215625520336177</v>
      </c>
      <c r="O55" s="32" t="n">
        <f aca="false">I55*J55*K55</f>
        <v>0.691301790565296</v>
      </c>
      <c r="P55" s="32" t="n">
        <f aca="false">O55-M55</f>
        <v>0.0542853533506987</v>
      </c>
      <c r="Q55" s="31" t="n">
        <f aca="false">Assumptions!$C$5/(1+EXP(-Assumptions!$C$6*(LN(D55)-(Assumptions!$C$7+Assumptions!$C$8))))</f>
        <v>0.357290778684394</v>
      </c>
      <c r="R55" s="32" t="n">
        <f aca="false">I55*Q55*K55</f>
        <v>0.580543778829026</v>
      </c>
      <c r="S55" s="31" t="n">
        <f aca="false">Assumptions!$C$5/(1+EXP(-Assumptions!$C$6*(LN(D55)-(Assumptions!$C$7-Assumptions!$C$8))))</f>
        <v>0.482729407503943</v>
      </c>
      <c r="T55" s="32" t="n">
        <f aca="false">I55*S55*K55</f>
        <v>0.784362684691019</v>
      </c>
      <c r="U55" s="34" t="n">
        <f aca="false">VLOOKUP(A55,Pricing!$A$5:$L$134,12,FALSE())</f>
        <v>7.83</v>
      </c>
      <c r="V55" s="18" t="n">
        <f aca="false">U55*Assumptions!$C$17</f>
        <v>3.6018</v>
      </c>
      <c r="W55" s="10" t="n">
        <f aca="false">O55*V55*12</f>
        <v>29.879169471097</v>
      </c>
      <c r="X55" s="35" t="n">
        <f aca="false">IF(D55&gt;=35000,1,IF(D55&gt;=12000,2,IF(D55&gt;=4000,3,4)))</f>
        <v>2</v>
      </c>
    </row>
    <row r="56" customFormat="false" ht="15" hidden="false" customHeight="true" outlineLevel="0" collapsed="false">
      <c r="A56" s="5" t="s">
        <v>172</v>
      </c>
      <c r="B56" s="27" t="s">
        <v>173</v>
      </c>
      <c r="C56" s="5" t="s">
        <v>18</v>
      </c>
      <c r="D56" s="28" t="n">
        <v>22808</v>
      </c>
      <c r="E56" s="29" t="n">
        <v>3.39</v>
      </c>
      <c r="F56" s="30" t="n">
        <v>0.76</v>
      </c>
      <c r="G56" s="30" t="n">
        <v>0.86</v>
      </c>
      <c r="H56" s="8" t="n">
        <f aca="false">E56*F56</f>
        <v>2.5764</v>
      </c>
      <c r="I56" s="8" t="n">
        <f aca="false">H56*G56</f>
        <v>2.215704</v>
      </c>
      <c r="J56" s="31" t="n">
        <f aca="false">Assumptions!$C$5/(1+EXP(-Assumptions!$C$6*(LN(D56)-Assumptions!$C$7)))</f>
        <v>0.451191054564004</v>
      </c>
      <c r="K56" s="30" t="n">
        <v>0.55</v>
      </c>
      <c r="L56" s="32" t="n">
        <f aca="false">I56*J56</f>
        <v>0.999705824361683</v>
      </c>
      <c r="M56" s="33" t="n">
        <f aca="false">VLOOKUP(C56,Assumptions!$B$20:$C$23,2,FALSE())*L56/SUMIF($C$5:$C$134,C56,$L$5:$L$134)</f>
        <v>0.506661458358505</v>
      </c>
      <c r="N56" s="31" t="n">
        <f aca="false">IF(I56=0,0,M56/I56)</f>
        <v>0.228668386372234</v>
      </c>
      <c r="O56" s="32" t="n">
        <f aca="false">I56*J56*K56</f>
        <v>0.549838203398926</v>
      </c>
      <c r="P56" s="32" t="n">
        <f aca="false">O56-M56</f>
        <v>0.0431767450404206</v>
      </c>
      <c r="Q56" s="31" t="n">
        <f aca="false">Assumptions!$C$5/(1+EXP(-Assumptions!$C$6*(LN(D56)-(Assumptions!$C$7+Assumptions!$C$8))))</f>
        <v>0.38710718599175</v>
      </c>
      <c r="R56" s="32" t="n">
        <f aca="false">I56*Q56*K56</f>
        <v>0.471743217236866</v>
      </c>
      <c r="S56" s="31" t="n">
        <f aca="false">Assumptions!$C$5/(1+EXP(-Assumptions!$C$6*(LN(D56)-(Assumptions!$C$7-Assumptions!$C$8))))</f>
        <v>0.502972191673105</v>
      </c>
      <c r="T56" s="32" t="n">
        <f aca="false">I56*S56*K56</f>
        <v>0.612940623338376</v>
      </c>
      <c r="U56" s="34" t="n">
        <f aca="false">VLOOKUP(A56,Pricing!$A$5:$L$134,12,FALSE())</f>
        <v>9.68</v>
      </c>
      <c r="V56" s="18" t="n">
        <f aca="false">U56*Assumptions!$C$17</f>
        <v>4.4528</v>
      </c>
      <c r="W56" s="10" t="n">
        <f aca="false">O56*V56*12</f>
        <v>29.3798346251368</v>
      </c>
      <c r="X56" s="35" t="n">
        <f aca="false">IF(D56&gt;=35000,1,IF(D56&gt;=12000,2,IF(D56&gt;=4000,3,4)))</f>
        <v>2</v>
      </c>
    </row>
    <row r="57" customFormat="false" ht="15" hidden="false" customHeight="true" outlineLevel="0" collapsed="false">
      <c r="A57" s="5" t="s">
        <v>174</v>
      </c>
      <c r="B57" s="27" t="s">
        <v>175</v>
      </c>
      <c r="C57" s="5" t="s">
        <v>18</v>
      </c>
      <c r="D57" s="28" t="n">
        <v>6841</v>
      </c>
      <c r="E57" s="29" t="n">
        <v>2.84</v>
      </c>
      <c r="F57" s="30" t="n">
        <v>0.76</v>
      </c>
      <c r="G57" s="30" t="n">
        <v>0.76</v>
      </c>
      <c r="H57" s="8" t="n">
        <f aca="false">E57*F57</f>
        <v>2.1584</v>
      </c>
      <c r="I57" s="8" t="n">
        <f aca="false">H57*G57</f>
        <v>1.640384</v>
      </c>
      <c r="J57" s="31" t="n">
        <f aca="false">Assumptions!$C$5/(1+EXP(-Assumptions!$C$6*(LN(D57)-Assumptions!$C$7)))</f>
        <v>0.285122595427228</v>
      </c>
      <c r="K57" s="30" t="n">
        <v>0.55</v>
      </c>
      <c r="L57" s="32" t="n">
        <f aca="false">I57*J57</f>
        <v>0.467710543577298</v>
      </c>
      <c r="M57" s="33" t="n">
        <f aca="false">VLOOKUP(C57,Assumptions!$B$20:$C$23,2,FALSE())*L57/SUMIF($C$5:$C$134,C57,$L$5:$L$134)</f>
        <v>0.23704063767942</v>
      </c>
      <c r="N57" s="31" t="n">
        <f aca="false">IF(I57=0,0,M57/I57)</f>
        <v>0.144503139313368</v>
      </c>
      <c r="O57" s="32" t="n">
        <f aca="false">I57*J57*K57</f>
        <v>0.257240798967514</v>
      </c>
      <c r="P57" s="32" t="n">
        <f aca="false">O57-M57</f>
        <v>0.0202001612880946</v>
      </c>
      <c r="Q57" s="31" t="n">
        <f aca="false">Assumptions!$C$5/(1+EXP(-Assumptions!$C$6*(LN(D57)-(Assumptions!$C$7+Assumptions!$C$8))))</f>
        <v>0.21463552253895</v>
      </c>
      <c r="R57" s="32" t="n">
        <f aca="false">I57*Q57*K57</f>
        <v>0.193646572352493</v>
      </c>
      <c r="S57" s="31" t="n">
        <f aca="false">Assumptions!$C$5/(1+EXP(-Assumptions!$C$6*(LN(D57)-(Assumptions!$C$7-Assumptions!$C$8))))</f>
        <v>0.358297417476151</v>
      </c>
      <c r="T57" s="32" t="n">
        <f aca="false">I57*S57*K57</f>
        <v>0.323259942978059</v>
      </c>
      <c r="U57" s="34" t="n">
        <f aca="false">VLOOKUP(A57,Pricing!$A$5:$L$134,12,FALSE())</f>
        <v>7.115</v>
      </c>
      <c r="V57" s="18" t="n">
        <f aca="false">U57*Assumptions!$C$17</f>
        <v>3.2729</v>
      </c>
      <c r="W57" s="10" t="n">
        <f aca="false">O57*V57*12</f>
        <v>10.1030809312893</v>
      </c>
      <c r="X57" s="35" t="n">
        <f aca="false">IF(D57&gt;=35000,1,IF(D57&gt;=12000,2,IF(D57&gt;=4000,3,4)))</f>
        <v>3</v>
      </c>
    </row>
    <row r="58" customFormat="false" ht="15" hidden="false" customHeight="true" outlineLevel="0" collapsed="false">
      <c r="A58" s="5" t="s">
        <v>176</v>
      </c>
      <c r="B58" s="27" t="s">
        <v>177</v>
      </c>
      <c r="C58" s="5" t="s">
        <v>18</v>
      </c>
      <c r="D58" s="28" t="n">
        <v>20565</v>
      </c>
      <c r="E58" s="29" t="n">
        <v>1.37</v>
      </c>
      <c r="F58" s="30" t="n">
        <v>0.76</v>
      </c>
      <c r="G58" s="30" t="n">
        <v>0.86</v>
      </c>
      <c r="H58" s="8" t="n">
        <f aca="false">E58*F58</f>
        <v>1.0412</v>
      </c>
      <c r="I58" s="8" t="n">
        <f aca="false">H58*G58</f>
        <v>0.895432</v>
      </c>
      <c r="J58" s="31" t="n">
        <f aca="false">Assumptions!$C$5/(1+EXP(-Assumptions!$C$6*(LN(D58)-Assumptions!$C$7)))</f>
        <v>0.438843118877952</v>
      </c>
      <c r="K58" s="30" t="n">
        <v>0.55</v>
      </c>
      <c r="L58" s="32" t="n">
        <f aca="false">I58*J58</f>
        <v>0.392954171623123</v>
      </c>
      <c r="M58" s="33" t="n">
        <f aca="false">VLOOKUP(C58,Assumptions!$B$20:$C$23,2,FALSE())*L58/SUMIF($C$5:$C$134,C58,$L$5:$L$134)</f>
        <v>0.199153319717581</v>
      </c>
      <c r="N58" s="31" t="n">
        <f aca="false">IF(I58=0,0,M58/I58)</f>
        <v>0.222410322299829</v>
      </c>
      <c r="O58" s="32" t="n">
        <f aca="false">I58*J58*K58</f>
        <v>0.216124794392718</v>
      </c>
      <c r="P58" s="32" t="n">
        <f aca="false">O58-M58</f>
        <v>0.016971474675137</v>
      </c>
      <c r="Q58" s="31" t="n">
        <f aca="false">Assumptions!$C$5/(1+EXP(-Assumptions!$C$6*(LN(D58)-(Assumptions!$C$7+Assumptions!$C$8))))</f>
        <v>0.372641567870563</v>
      </c>
      <c r="R58" s="32" t="n">
        <f aca="false">I58*Q58*K58</f>
        <v>0.183521351420811</v>
      </c>
      <c r="S58" s="31" t="n">
        <f aca="false">Assumptions!$C$5/(1+EXP(-Assumptions!$C$6*(LN(D58)-(Assumptions!$C$7-Assumptions!$C$8))))</f>
        <v>0.493348700129119</v>
      </c>
      <c r="T58" s="32" t="n">
        <f aca="false">I58*S58*K58</f>
        <v>0.242968117289709</v>
      </c>
      <c r="U58" s="34" t="n">
        <f aca="false">VLOOKUP(A58,Pricing!$A$5:$L$134,12,FALSE())</f>
        <v>1.04632352941176</v>
      </c>
      <c r="V58" s="18" t="n">
        <f aca="false">U58*Assumptions!$C$17</f>
        <v>0.481308823529412</v>
      </c>
      <c r="W58" s="10" t="n">
        <f aca="false">O58*V58*12</f>
        <v>1.24827324629634</v>
      </c>
      <c r="X58" s="35" t="n">
        <f aca="false">IF(D58&gt;=35000,1,IF(D58&gt;=12000,2,IF(D58&gt;=4000,3,4)))</f>
        <v>2</v>
      </c>
    </row>
    <row r="59" customFormat="false" ht="15" hidden="false" customHeight="true" outlineLevel="0" collapsed="false">
      <c r="A59" s="5" t="s">
        <v>178</v>
      </c>
      <c r="B59" s="27" t="s">
        <v>179</v>
      </c>
      <c r="C59" s="5" t="s">
        <v>18</v>
      </c>
      <c r="D59" s="28" t="n">
        <v>20198</v>
      </c>
      <c r="E59" s="29" t="n">
        <v>0.83</v>
      </c>
      <c r="F59" s="30" t="n">
        <v>0.76</v>
      </c>
      <c r="G59" s="30" t="n">
        <v>0.86</v>
      </c>
      <c r="H59" s="8" t="n">
        <f aca="false">E59*F59</f>
        <v>0.6308</v>
      </c>
      <c r="I59" s="8" t="n">
        <f aca="false">H59*G59</f>
        <v>0.542488</v>
      </c>
      <c r="J59" s="31" t="n">
        <f aca="false">Assumptions!$C$5/(1+EXP(-Assumptions!$C$6*(LN(D59)-Assumptions!$C$7)))</f>
        <v>0.436641846815618</v>
      </c>
      <c r="K59" s="30" t="n">
        <v>0.55</v>
      </c>
      <c r="L59" s="32" t="n">
        <f aca="false">I59*J59</f>
        <v>0.236872962195311</v>
      </c>
      <c r="M59" s="33" t="n">
        <f aca="false">VLOOKUP(C59,Assumptions!$B$20:$C$23,2,FALSE())*L59/SUMIF($C$5:$C$134,C59,$L$5:$L$134)</f>
        <v>0.12004971617346</v>
      </c>
      <c r="N59" s="31" t="n">
        <f aca="false">IF(I59=0,0,M59/I59)</f>
        <v>0.221294694395932</v>
      </c>
      <c r="O59" s="32" t="n">
        <f aca="false">I59*J59*K59</f>
        <v>0.130280129207421</v>
      </c>
      <c r="P59" s="32" t="n">
        <f aca="false">O59-M59</f>
        <v>0.0102304130339606</v>
      </c>
      <c r="Q59" s="31" t="n">
        <f aca="false">Assumptions!$C$5/(1+EXP(-Assumptions!$C$6*(LN(D59)-(Assumptions!$C$7+Assumptions!$C$8))))</f>
        <v>0.370093961943526</v>
      </c>
      <c r="R59" s="32" t="n">
        <f aca="false">I59*Q59*K59</f>
        <v>0.110424343274751</v>
      </c>
      <c r="S59" s="31" t="n">
        <f aca="false">Assumptions!$C$5/(1+EXP(-Assumptions!$C$6*(LN(D59)-(Assumptions!$C$7-Assumptions!$C$8))))</f>
        <v>0.491615977004363</v>
      </c>
      <c r="T59" s="32" t="n">
        <f aca="false">I59*S59*K59</f>
        <v>0.146682672473229</v>
      </c>
      <c r="U59" s="34" t="n">
        <f aca="false">VLOOKUP(A59,Pricing!$A$5:$L$134,12,FALSE())</f>
        <v>7.115</v>
      </c>
      <c r="V59" s="18" t="n">
        <f aca="false">U59*Assumptions!$C$17</f>
        <v>3.2729</v>
      </c>
      <c r="W59" s="10" t="n">
        <f aca="false">O59*V59*12</f>
        <v>5.11672601859562</v>
      </c>
      <c r="X59" s="35" t="n">
        <f aca="false">IF(D59&gt;=35000,1,IF(D59&gt;=12000,2,IF(D59&gt;=4000,3,4)))</f>
        <v>2</v>
      </c>
    </row>
    <row r="60" customFormat="false" ht="15" hidden="false" customHeight="true" outlineLevel="0" collapsed="false">
      <c r="A60" s="5" t="s">
        <v>180</v>
      </c>
      <c r="B60" s="27" t="s">
        <v>181</v>
      </c>
      <c r="C60" s="5" t="s">
        <v>18</v>
      </c>
      <c r="D60" s="28" t="n">
        <v>5962</v>
      </c>
      <c r="E60" s="29" t="n">
        <v>0.63</v>
      </c>
      <c r="F60" s="30" t="n">
        <v>0.76</v>
      </c>
      <c r="G60" s="30" t="n">
        <v>0.63</v>
      </c>
      <c r="H60" s="8" t="n">
        <f aca="false">E60*F60</f>
        <v>0.4788</v>
      </c>
      <c r="I60" s="8" t="n">
        <f aca="false">H60*G60</f>
        <v>0.301644</v>
      </c>
      <c r="J60" s="31" t="n">
        <f aca="false">Assumptions!$C$5/(1+EXP(-Assumptions!$C$6*(LN(D60)-Assumptions!$C$7)))</f>
        <v>0.265135230021045</v>
      </c>
      <c r="K60" s="30" t="n">
        <v>0.55</v>
      </c>
      <c r="L60" s="32" t="n">
        <f aca="false">I60*J60</f>
        <v>0.0799764513244682</v>
      </c>
      <c r="M60" s="33" t="n">
        <f aca="false">VLOOKUP(C60,Assumptions!$B$20:$C$23,2,FALSE())*L60/SUMIF($C$5:$C$134,C60,$L$5:$L$134)</f>
        <v>0.0405329092568465</v>
      </c>
      <c r="N60" s="31" t="n">
        <f aca="false">IF(I60=0,0,M60/I60)</f>
        <v>0.134373331665296</v>
      </c>
      <c r="O60" s="32" t="n">
        <f aca="false">I60*J60*K60</f>
        <v>0.0439870482284575</v>
      </c>
      <c r="P60" s="32" t="n">
        <f aca="false">O60-M60</f>
        <v>0.00345413897161098</v>
      </c>
      <c r="Q60" s="31" t="n">
        <f aca="false">Assumptions!$C$5/(1+EXP(-Assumptions!$C$6*(LN(D60)-(Assumptions!$C$7+Assumptions!$C$8))))</f>
        <v>0.19668719283371</v>
      </c>
      <c r="R60" s="32" t="n">
        <f aca="false">I60*Q60*K60</f>
        <v>0.0326312313773224</v>
      </c>
      <c r="S60" s="31" t="n">
        <f aca="false">Assumptions!$C$5/(1+EXP(-Assumptions!$C$6*(LN(D60)-(Assumptions!$C$7-Assumptions!$C$8))))</f>
        <v>0.338363451044724</v>
      </c>
      <c r="T60" s="32" t="n">
        <f aca="false">I60*S60*K60</f>
        <v>0.0561359176548141</v>
      </c>
      <c r="U60" s="34" t="n">
        <f aca="false">VLOOKUP(A60,Pricing!$A$5:$L$134,12,FALSE())</f>
        <v>7.115</v>
      </c>
      <c r="V60" s="18" t="n">
        <f aca="false">U60*Assumptions!$C$17</f>
        <v>3.2729</v>
      </c>
      <c r="W60" s="10" t="n">
        <f aca="false">O60*V60*12</f>
        <v>1.72758252176302</v>
      </c>
      <c r="X60" s="35" t="n">
        <f aca="false">IF(D60&gt;=35000,1,IF(D60&gt;=12000,2,IF(D60&gt;=4000,3,4)))</f>
        <v>3</v>
      </c>
    </row>
    <row r="61" customFormat="false" ht="15" hidden="false" customHeight="true" outlineLevel="0" collapsed="false">
      <c r="A61" s="5" t="s">
        <v>182</v>
      </c>
      <c r="B61" s="27" t="s">
        <v>183</v>
      </c>
      <c r="C61" s="5" t="s">
        <v>18</v>
      </c>
      <c r="D61" s="28" t="n">
        <v>7868</v>
      </c>
      <c r="E61" s="29" t="n">
        <v>0.42</v>
      </c>
      <c r="F61" s="30" t="n">
        <v>0.76</v>
      </c>
      <c r="G61" s="30" t="n">
        <v>0.76</v>
      </c>
      <c r="H61" s="8" t="n">
        <f aca="false">E61*F61</f>
        <v>0.3192</v>
      </c>
      <c r="I61" s="8" t="n">
        <f aca="false">H61*G61</f>
        <v>0.242592</v>
      </c>
      <c r="J61" s="31" t="n">
        <f aca="false">Assumptions!$C$5/(1+EXP(-Assumptions!$C$6*(LN(D61)-Assumptions!$C$7)))</f>
        <v>0.305665121759832</v>
      </c>
      <c r="K61" s="30" t="n">
        <v>0.55</v>
      </c>
      <c r="L61" s="32" t="n">
        <f aca="false">I61*J61</f>
        <v>0.0741519132179612</v>
      </c>
      <c r="M61" s="33" t="n">
        <f aca="false">VLOOKUP(C61,Assumptions!$B$20:$C$23,2,FALSE())*L61/SUMIF($C$5:$C$134,C61,$L$5:$L$134)</f>
        <v>0.0375809718974821</v>
      </c>
      <c r="N61" s="31" t="n">
        <f aca="false">IF(I61=0,0,M61/I61)</f>
        <v>0.154914308375717</v>
      </c>
      <c r="O61" s="32" t="n">
        <f aca="false">I61*J61*K61</f>
        <v>0.0407835522698787</v>
      </c>
      <c r="P61" s="32" t="n">
        <f aca="false">O61-M61</f>
        <v>0.00320258037239662</v>
      </c>
      <c r="Q61" s="31" t="n">
        <f aca="false">Assumptions!$C$5/(1+EXP(-Assumptions!$C$6*(LN(D61)-(Assumptions!$C$7+Assumptions!$C$8))))</f>
        <v>0.233642814172576</v>
      </c>
      <c r="R61" s="32" t="n">
        <f aca="false">I61*Q61*K61</f>
        <v>0.0311739326666645</v>
      </c>
      <c r="S61" s="31" t="n">
        <f aca="false">Assumptions!$C$5/(1+EXP(-Assumptions!$C$6*(LN(D61)-(Assumptions!$C$7-Assumptions!$C$8))))</f>
        <v>0.378158552148377</v>
      </c>
      <c r="T61" s="32" t="n">
        <f aca="false">I61*S61*K61</f>
        <v>0.0504560317155285</v>
      </c>
      <c r="U61" s="34" t="n">
        <f aca="false">VLOOKUP(A61,Pricing!$A$5:$L$134,12,FALSE())</f>
        <v>3.5575</v>
      </c>
      <c r="V61" s="18" t="n">
        <f aca="false">U61*Assumptions!$C$17</f>
        <v>1.63645</v>
      </c>
      <c r="W61" s="10" t="n">
        <f aca="false">O61*V61*12</f>
        <v>0.800882929344515</v>
      </c>
      <c r="X61" s="35" t="n">
        <f aca="false">IF(D61&gt;=35000,1,IF(D61&gt;=12000,2,IF(D61&gt;=4000,3,4)))</f>
        <v>3</v>
      </c>
    </row>
    <row r="62" customFormat="false" ht="15" hidden="false" customHeight="true" outlineLevel="0" collapsed="false">
      <c r="A62" s="5" t="s">
        <v>184</v>
      </c>
      <c r="B62" s="27" t="s">
        <v>185</v>
      </c>
      <c r="C62" s="5" t="s">
        <v>18</v>
      </c>
      <c r="D62" s="28" t="n">
        <v>35732</v>
      </c>
      <c r="E62" s="29" t="n">
        <v>0.4</v>
      </c>
      <c r="F62" s="30" t="n">
        <v>0.76</v>
      </c>
      <c r="G62" s="30" t="n">
        <v>0.93</v>
      </c>
      <c r="H62" s="8" t="n">
        <f aca="false">E62*F62</f>
        <v>0.304</v>
      </c>
      <c r="I62" s="8" t="n">
        <f aca="false">H62*G62</f>
        <v>0.28272</v>
      </c>
      <c r="J62" s="31" t="n">
        <f aca="false">Assumptions!$C$5/(1+EXP(-Assumptions!$C$6*(LN(D62)-Assumptions!$C$7)))</f>
        <v>0.498296921187046</v>
      </c>
      <c r="K62" s="30" t="n">
        <v>0.55</v>
      </c>
      <c r="L62" s="32" t="n">
        <f aca="false">I62*J62</f>
        <v>0.140878505558002</v>
      </c>
      <c r="M62" s="33" t="n">
        <f aca="false">VLOOKUP(C62,Assumptions!$B$20:$C$23,2,FALSE())*L62/SUMIF($C$5:$C$134,C62,$L$5:$L$134)</f>
        <v>0.0713987128393085</v>
      </c>
      <c r="N62" s="31" t="n">
        <f aca="false">IF(I62=0,0,M62/I62)</f>
        <v>0.252542136528397</v>
      </c>
      <c r="O62" s="32" t="n">
        <f aca="false">I62*J62*K62</f>
        <v>0.077483178056901</v>
      </c>
      <c r="P62" s="32" t="n">
        <f aca="false">O62-M62</f>
        <v>0.00608446521759252</v>
      </c>
      <c r="Q62" s="31" t="n">
        <f aca="false">Assumptions!$C$5/(1+EXP(-Assumptions!$C$6*(LN(D62)-(Assumptions!$C$7+Assumptions!$C$8))))</f>
        <v>0.445166192639941</v>
      </c>
      <c r="R62" s="32" t="n">
        <f aca="false">I62*Q62*K62</f>
        <v>0.0692215622907403</v>
      </c>
      <c r="S62" s="31" t="n">
        <f aca="false">Assumptions!$C$5/(1+EXP(-Assumptions!$C$6*(LN(D62)-(Assumptions!$C$7-Assumptions!$C$8))))</f>
        <v>0.538246770921468</v>
      </c>
      <c r="T62" s="32" t="n">
        <f aca="false">I62*S62*K62</f>
        <v>0.0836952198912046</v>
      </c>
      <c r="U62" s="34" t="n">
        <f aca="false">VLOOKUP(A62,Pricing!$A$5:$L$134,12,FALSE())</f>
        <v>7.115</v>
      </c>
      <c r="V62" s="18" t="n">
        <f aca="false">U62*Assumptions!$C$17</f>
        <v>3.2729</v>
      </c>
      <c r="W62" s="10" t="n">
        <f aca="false">O62*V62*12</f>
        <v>3.04313632154918</v>
      </c>
      <c r="X62" s="35" t="n">
        <f aca="false">IF(D62&gt;=35000,1,IF(D62&gt;=12000,2,IF(D62&gt;=4000,3,4)))</f>
        <v>1</v>
      </c>
    </row>
    <row r="63" customFormat="false" ht="15" hidden="false" customHeight="true" outlineLevel="0" collapsed="false">
      <c r="A63" s="5" t="s">
        <v>186</v>
      </c>
      <c r="B63" s="27" t="s">
        <v>187</v>
      </c>
      <c r="C63" s="5" t="s">
        <v>18</v>
      </c>
      <c r="D63" s="28" t="n">
        <v>22635</v>
      </c>
      <c r="E63" s="29" t="n">
        <v>0.28</v>
      </c>
      <c r="F63" s="30" t="n">
        <v>0.76</v>
      </c>
      <c r="G63" s="30" t="n">
        <v>0.86</v>
      </c>
      <c r="H63" s="8" t="n">
        <f aca="false">E63*F63</f>
        <v>0.2128</v>
      </c>
      <c r="I63" s="8" t="n">
        <f aca="false">H63*G63</f>
        <v>0.183008</v>
      </c>
      <c r="J63" s="31" t="n">
        <f aca="false">Assumptions!$C$5/(1+EXP(-Assumptions!$C$6*(LN(D63)-Assumptions!$C$7)))</f>
        <v>0.450301007185617</v>
      </c>
      <c r="K63" s="30" t="n">
        <v>0.55</v>
      </c>
      <c r="L63" s="32" t="n">
        <f aca="false">I63*J63</f>
        <v>0.0824086867230254</v>
      </c>
      <c r="M63" s="33" t="n">
        <f aca="false">VLOOKUP(C63,Assumptions!$B$20:$C$23,2,FALSE())*L63/SUMIF($C$5:$C$134,C63,$L$5:$L$134)</f>
        <v>0.0417655918161294</v>
      </c>
      <c r="N63" s="31" t="n">
        <f aca="false">IF(I63=0,0,M63/I63)</f>
        <v>0.228217300971157</v>
      </c>
      <c r="O63" s="32" t="n">
        <f aca="false">I63*J63*K63</f>
        <v>0.045324777697664</v>
      </c>
      <c r="P63" s="32" t="n">
        <f aca="false">O63-M63</f>
        <v>0.00355918588153455</v>
      </c>
      <c r="Q63" s="31" t="n">
        <f aca="false">Assumptions!$C$5/(1+EXP(-Assumptions!$C$6*(LN(D63)-(Assumptions!$C$7+Assumptions!$C$8))))</f>
        <v>0.386054450168519</v>
      </c>
      <c r="R63" s="32" t="n">
        <f aca="false">I63*Q63*K63</f>
        <v>0.0388580790490421</v>
      </c>
      <c r="S63" s="31" t="n">
        <f aca="false">Assumptions!$C$5/(1+EXP(-Assumptions!$C$6*(LN(D63)-(Assumptions!$C$7-Assumptions!$C$8))))</f>
        <v>0.502283930760217</v>
      </c>
      <c r="T63" s="32" t="n">
        <f aca="false">I63*S63*K63</f>
        <v>0.0505570876803112</v>
      </c>
      <c r="U63" s="34" t="n">
        <f aca="false">VLOOKUP(A63,Pricing!$A$5:$L$134,12,FALSE())</f>
        <v>3.5575</v>
      </c>
      <c r="V63" s="18" t="n">
        <f aca="false">U63*Assumptions!$C$17</f>
        <v>1.63645</v>
      </c>
      <c r="W63" s="10" t="n">
        <f aca="false">O63*V63*12</f>
        <v>0.890060789560106</v>
      </c>
      <c r="X63" s="35" t="n">
        <f aca="false">IF(D63&gt;=35000,1,IF(D63&gt;=12000,2,IF(D63&gt;=4000,3,4)))</f>
        <v>2</v>
      </c>
    </row>
    <row r="64" customFormat="false" ht="15" hidden="false" customHeight="true" outlineLevel="0" collapsed="false">
      <c r="A64" s="5" t="s">
        <v>188</v>
      </c>
      <c r="B64" s="27" t="s">
        <v>189</v>
      </c>
      <c r="C64" s="5" t="s">
        <v>18</v>
      </c>
      <c r="D64" s="28" t="n">
        <v>14020</v>
      </c>
      <c r="E64" s="29" t="n">
        <v>0.18</v>
      </c>
      <c r="F64" s="30" t="n">
        <v>0.76</v>
      </c>
      <c r="G64" s="30" t="n">
        <v>0.86</v>
      </c>
      <c r="H64" s="8" t="n">
        <f aca="false">E64*F64</f>
        <v>0.1368</v>
      </c>
      <c r="I64" s="8" t="n">
        <f aca="false">H64*G64</f>
        <v>0.117648</v>
      </c>
      <c r="J64" s="31" t="n">
        <f aca="false">Assumptions!$C$5/(1+EXP(-Assumptions!$C$6*(LN(D64)-Assumptions!$C$7)))</f>
        <v>0.388951665321424</v>
      </c>
      <c r="K64" s="30" t="n">
        <v>0.55</v>
      </c>
      <c r="L64" s="32" t="n">
        <f aca="false">I64*J64</f>
        <v>0.0457593855217349</v>
      </c>
      <c r="M64" s="33" t="n">
        <f aca="false">VLOOKUP(C64,Assumptions!$B$20:$C$23,2,FALSE())*L64/SUMIF($C$5:$C$134,C64,$L$5:$L$134)</f>
        <v>0.0231913393290818</v>
      </c>
      <c r="N64" s="31" t="n">
        <f aca="false">IF(I64=0,0,M64/I64)</f>
        <v>0.197124807298737</v>
      </c>
      <c r="O64" s="32" t="n">
        <f aca="false">I64*J64*K64</f>
        <v>0.0251676620369542</v>
      </c>
      <c r="P64" s="32" t="n">
        <f aca="false">O64-M64</f>
        <v>0.00197632270787237</v>
      </c>
      <c r="Q64" s="31" t="n">
        <f aca="false">Assumptions!$C$5/(1+EXP(-Assumptions!$C$6*(LN(D64)-(Assumptions!$C$7+Assumptions!$C$8))))</f>
        <v>0.317102120689106</v>
      </c>
      <c r="R64" s="32" t="n">
        <f aca="false">I64*Q64*K64</f>
        <v>0.0205185366621576</v>
      </c>
      <c r="S64" s="31" t="n">
        <f aca="false">Assumptions!$C$5/(1+EXP(-Assumptions!$C$6*(LN(D64)-(Assumptions!$C$7-Assumptions!$C$8))))</f>
        <v>0.452747283114365</v>
      </c>
      <c r="T64" s="32" t="n">
        <f aca="false">I64*S64*K64</f>
        <v>0.0292956468001113</v>
      </c>
      <c r="U64" s="34" t="n">
        <f aca="false">VLOOKUP(A64,Pricing!$A$5:$L$134,12,FALSE())</f>
        <v>2.63518518518519</v>
      </c>
      <c r="V64" s="18" t="n">
        <f aca="false">U64*Assumptions!$C$17</f>
        <v>1.21218518518519</v>
      </c>
      <c r="W64" s="10" t="n">
        <f aca="false">O64*V64*12</f>
        <v>0.366094404803322</v>
      </c>
      <c r="X64" s="35" t="n">
        <f aca="false">IF(D64&gt;=35000,1,IF(D64&gt;=12000,2,IF(D64&gt;=4000,3,4)))</f>
        <v>2</v>
      </c>
    </row>
    <row r="65" customFormat="false" ht="15" hidden="false" customHeight="true" outlineLevel="0" collapsed="false">
      <c r="A65" s="5" t="s">
        <v>190</v>
      </c>
      <c r="B65" s="27" t="s">
        <v>191</v>
      </c>
      <c r="C65" s="5" t="s">
        <v>18</v>
      </c>
      <c r="D65" s="28" t="n">
        <v>19708</v>
      </c>
      <c r="E65" s="29" t="n">
        <v>0.16</v>
      </c>
      <c r="F65" s="30" t="n">
        <v>0.76</v>
      </c>
      <c r="G65" s="30" t="n">
        <v>0.86</v>
      </c>
      <c r="H65" s="8" t="n">
        <f aca="false">E65*F65</f>
        <v>0.1216</v>
      </c>
      <c r="I65" s="8" t="n">
        <f aca="false">H65*G65</f>
        <v>0.104576</v>
      </c>
      <c r="J65" s="31" t="n">
        <f aca="false">Assumptions!$C$5/(1+EXP(-Assumptions!$C$6*(LN(D65)-Assumptions!$C$7)))</f>
        <v>0.433614779802192</v>
      </c>
      <c r="K65" s="30" t="n">
        <v>0.55</v>
      </c>
      <c r="L65" s="32" t="n">
        <f aca="false">I65*J65</f>
        <v>0.045345699212594</v>
      </c>
      <c r="M65" s="33" t="n">
        <f aca="false">VLOOKUP(C65,Assumptions!$B$20:$C$23,2,FALSE())*L65/SUMIF($C$5:$C$134,C65,$L$5:$L$134)</f>
        <v>0.0229816787433529</v>
      </c>
      <c r="N65" s="31" t="n">
        <f aca="false">IF(I65=0,0,M65/I65)</f>
        <v>0.219760544898953</v>
      </c>
      <c r="O65" s="32" t="n">
        <f aca="false">I65*J65*K65</f>
        <v>0.0249401345669267</v>
      </c>
      <c r="P65" s="32" t="n">
        <f aca="false">O65-M65</f>
        <v>0.00195845582357379</v>
      </c>
      <c r="Q65" s="31" t="n">
        <f aca="false">Assumptions!$C$5/(1+EXP(-Assumptions!$C$6*(LN(D65)-(Assumptions!$C$7+Assumptions!$C$8))))</f>
        <v>0.366605822482791</v>
      </c>
      <c r="R65" s="32" t="n">
        <f aca="false">I65*Q65*K65</f>
        <v>0.0210859937705782</v>
      </c>
      <c r="S65" s="31" t="n">
        <f aca="false">Assumptions!$C$5/(1+EXP(-Assumptions!$C$6*(LN(D65)-(Assumptions!$C$7-Assumptions!$C$8))))</f>
        <v>0.489224660541338</v>
      </c>
      <c r="T65" s="32" t="n">
        <f aca="false">I65*S65*K65</f>
        <v>0.0281386369554241</v>
      </c>
      <c r="U65" s="34" t="n">
        <f aca="false">VLOOKUP(A65,Pricing!$A$5:$L$134,12,FALSE())</f>
        <v>3.97486033519553</v>
      </c>
      <c r="V65" s="18" t="n">
        <f aca="false">U65*Assumptions!$C$17</f>
        <v>1.82843575418994</v>
      </c>
      <c r="W65" s="10" t="n">
        <f aca="false">O65*V65*12</f>
        <v>0.547217205077728</v>
      </c>
      <c r="X65" s="35" t="n">
        <f aca="false">IF(D65&gt;=35000,1,IF(D65&gt;=12000,2,IF(D65&gt;=4000,3,4)))</f>
        <v>2</v>
      </c>
    </row>
    <row r="66" customFormat="false" ht="15" hidden="false" customHeight="true" outlineLevel="0" collapsed="false">
      <c r="A66" s="5" t="s">
        <v>192</v>
      </c>
      <c r="B66" s="27" t="s">
        <v>193</v>
      </c>
      <c r="C66" s="5" t="s">
        <v>18</v>
      </c>
      <c r="D66" s="28" t="n">
        <v>11265</v>
      </c>
      <c r="E66" s="29" t="n">
        <v>0.12</v>
      </c>
      <c r="F66" s="30" t="n">
        <v>0.76</v>
      </c>
      <c r="G66" s="30" t="n">
        <v>0.76</v>
      </c>
      <c r="H66" s="8" t="n">
        <f aca="false">E66*F66</f>
        <v>0.0912</v>
      </c>
      <c r="I66" s="8" t="n">
        <f aca="false">H66*G66</f>
        <v>0.069312</v>
      </c>
      <c r="J66" s="31" t="n">
        <f aca="false">Assumptions!$C$5/(1+EXP(-Assumptions!$C$6*(LN(D66)-Assumptions!$C$7)))</f>
        <v>0.358120199372134</v>
      </c>
      <c r="K66" s="30" t="n">
        <v>0.55</v>
      </c>
      <c r="L66" s="32" t="n">
        <f aca="false">I66*J66</f>
        <v>0.0248220272588813</v>
      </c>
      <c r="M66" s="33" t="n">
        <f aca="false">VLOOKUP(C66,Assumptions!$B$20:$C$23,2,FALSE())*L66/SUMIF($C$5:$C$134,C66,$L$5:$L$134)</f>
        <v>0.0125800652791329</v>
      </c>
      <c r="N66" s="31" t="n">
        <f aca="false">IF(I66=0,0,M66/I66)</f>
        <v>0.181499095093677</v>
      </c>
      <c r="O66" s="32" t="n">
        <f aca="false">I66*J66*K66</f>
        <v>0.0136521149923847</v>
      </c>
      <c r="P66" s="32" t="n">
        <f aca="false">O66-M66</f>
        <v>0.00107204971325179</v>
      </c>
      <c r="Q66" s="31" t="n">
        <f aca="false">Assumptions!$C$5/(1+EXP(-Assumptions!$C$6*(LN(D66)-(Assumptions!$C$7+Assumptions!$C$8))))</f>
        <v>0.28494216331957</v>
      </c>
      <c r="R66" s="32" t="n">
        <f aca="false">I66*Q66*K66</f>
        <v>0.0108624511732033</v>
      </c>
      <c r="S66" s="31" t="n">
        <f aca="false">Assumptions!$C$5/(1+EXP(-Assumptions!$C$6*(LN(D66)-(Assumptions!$C$7-Assumptions!$C$8))))</f>
        <v>0.42618681612116</v>
      </c>
      <c r="T66" s="32" t="n">
        <f aca="false">I66*S66*K66</f>
        <v>0.0162469233294444</v>
      </c>
      <c r="U66" s="34" t="n">
        <f aca="false">VLOOKUP(A66,Pricing!$A$5:$L$134,12,FALSE())</f>
        <v>2.63518518518519</v>
      </c>
      <c r="V66" s="18" t="n">
        <f aca="false">U66*Assumptions!$C$17</f>
        <v>1.21218518518519</v>
      </c>
      <c r="W66" s="10" t="n">
        <f aca="false">O66*V66*12</f>
        <v>0.19858669848256</v>
      </c>
      <c r="X66" s="35" t="n">
        <f aca="false">IF(D66&gt;=35000,1,IF(D66&gt;=12000,2,IF(D66&gt;=4000,3,4)))</f>
        <v>3</v>
      </c>
    </row>
    <row r="67" customFormat="false" ht="15" hidden="false" customHeight="true" outlineLevel="0" collapsed="false">
      <c r="A67" s="5" t="s">
        <v>194</v>
      </c>
      <c r="B67" s="27" t="s">
        <v>195</v>
      </c>
      <c r="C67" s="5" t="s">
        <v>18</v>
      </c>
      <c r="D67" s="28" t="n">
        <v>10594</v>
      </c>
      <c r="E67" s="29" t="n">
        <v>0.1</v>
      </c>
      <c r="F67" s="30" t="n">
        <v>0.76</v>
      </c>
      <c r="G67" s="30" t="n">
        <v>0.76</v>
      </c>
      <c r="H67" s="8" t="n">
        <f aca="false">E67*F67</f>
        <v>0.076</v>
      </c>
      <c r="I67" s="8" t="n">
        <f aca="false">H67*G67</f>
        <v>0.05776</v>
      </c>
      <c r="J67" s="31" t="n">
        <f aca="false">Assumptions!$C$5/(1+EXP(-Assumptions!$C$6*(LN(D67)-Assumptions!$C$7)))</f>
        <v>0.349257445120902</v>
      </c>
      <c r="K67" s="30" t="n">
        <v>0.55</v>
      </c>
      <c r="L67" s="32" t="n">
        <f aca="false">I67*J67</f>
        <v>0.0201731100301833</v>
      </c>
      <c r="M67" s="33" t="n">
        <f aca="false">VLOOKUP(C67,Assumptions!$B$20:$C$23,2,FALSE())*L67/SUMIF($C$5:$C$134,C67,$L$5:$L$134)</f>
        <v>0.0102239449830608</v>
      </c>
      <c r="N67" s="31" t="n">
        <f aca="false">IF(I67=0,0,M67/I67)</f>
        <v>0.177007357739972</v>
      </c>
      <c r="O67" s="32" t="n">
        <f aca="false">I67*J67*K67</f>
        <v>0.0110952105166008</v>
      </c>
      <c r="P67" s="32" t="n">
        <f aca="false">O67-M67</f>
        <v>0.000871265533540049</v>
      </c>
      <c r="Q67" s="31" t="n">
        <f aca="false">Assumptions!$C$5/(1+EXP(-Assumptions!$C$6*(LN(D67)-(Assumptions!$C$7+Assumptions!$C$8))))</f>
        <v>0.275981887199719</v>
      </c>
      <c r="R67" s="32" t="n">
        <f aca="false">I67*Q67*K67</f>
        <v>0.00876739259256067</v>
      </c>
      <c r="S67" s="31" t="n">
        <f aca="false">Assumptions!$C$5/(1+EXP(-Assumptions!$C$6*(LN(D67)-(Assumptions!$C$7-Assumptions!$C$8))))</f>
        <v>0.418330412489996</v>
      </c>
      <c r="T67" s="32" t="n">
        <f aca="false">I67*S67*K67</f>
        <v>0.0132895205439822</v>
      </c>
      <c r="U67" s="34" t="n">
        <f aca="false">VLOOKUP(A67,Pricing!$A$5:$L$134,12,FALSE())</f>
        <v>2.63518518518519</v>
      </c>
      <c r="V67" s="18" t="n">
        <f aca="false">U67*Assumptions!$C$17</f>
        <v>1.21218518518519</v>
      </c>
      <c r="W67" s="10" t="n">
        <f aca="false">O67*V67*12</f>
        <v>0.161393397776813</v>
      </c>
      <c r="X67" s="35" t="n">
        <f aca="false">IF(D67&gt;=35000,1,IF(D67&gt;=12000,2,IF(D67&gt;=4000,3,4)))</f>
        <v>3</v>
      </c>
    </row>
    <row r="68" customFormat="false" ht="15" hidden="false" customHeight="true" outlineLevel="0" collapsed="false">
      <c r="A68" s="5" t="s">
        <v>196</v>
      </c>
      <c r="B68" s="27" t="s">
        <v>197</v>
      </c>
      <c r="C68" s="5" t="s">
        <v>18</v>
      </c>
      <c r="D68" s="28" t="n">
        <v>21681</v>
      </c>
      <c r="E68" s="29" t="n">
        <v>0.09</v>
      </c>
      <c r="F68" s="30" t="n">
        <v>0.76</v>
      </c>
      <c r="G68" s="30" t="n">
        <v>0.86</v>
      </c>
      <c r="H68" s="8" t="n">
        <f aca="false">E68*F68</f>
        <v>0.0684</v>
      </c>
      <c r="I68" s="8" t="n">
        <f aca="false">H68*G68</f>
        <v>0.058824</v>
      </c>
      <c r="J68" s="31" t="n">
        <f aca="false">Assumptions!$C$5/(1+EXP(-Assumptions!$C$6*(LN(D68)-Assumptions!$C$7)))</f>
        <v>0.445212657523402</v>
      </c>
      <c r="K68" s="30" t="n">
        <v>0.55</v>
      </c>
      <c r="L68" s="32" t="n">
        <f aca="false">I68*J68</f>
        <v>0.0261891893661566</v>
      </c>
      <c r="M68" s="33" t="n">
        <f aca="false">VLOOKUP(C68,Assumptions!$B$20:$C$23,2,FALSE())*L68/SUMIF($C$5:$C$134,C68,$L$5:$L$134)</f>
        <v>0.0132729574582166</v>
      </c>
      <c r="N68" s="31" t="n">
        <f aca="false">IF(I68=0,0,M68/I68)</f>
        <v>0.225638471681908</v>
      </c>
      <c r="O68" s="32" t="n">
        <f aca="false">I68*J68*K68</f>
        <v>0.0144040541513861</v>
      </c>
      <c r="P68" s="32" t="n">
        <f aca="false">O68-M68</f>
        <v>0.00113109669316955</v>
      </c>
      <c r="Q68" s="31" t="n">
        <f aca="false">Assumptions!$C$5/(1+EXP(-Assumptions!$C$6*(LN(D68)-(Assumptions!$C$7+Assumptions!$C$8))))</f>
        <v>0.380066141879047</v>
      </c>
      <c r="R68" s="32" t="n">
        <f aca="false">I68*Q68*K68</f>
        <v>0.0122963559014412</v>
      </c>
      <c r="S68" s="31" t="n">
        <f aca="false">Assumptions!$C$5/(1+EXP(-Assumptions!$C$6*(LN(D68)-(Assumptions!$C$7-Assumptions!$C$8))))</f>
        <v>0.498333124911873</v>
      </c>
      <c r="T68" s="32" t="n">
        <f aca="false">I68*S68*K68</f>
        <v>0.0161226712568988</v>
      </c>
      <c r="U68" s="34" t="n">
        <f aca="false">VLOOKUP(A68,Pricing!$A$5:$L$134,12,FALSE())</f>
        <v>2.63518518518519</v>
      </c>
      <c r="V68" s="18" t="n">
        <f aca="false">U68*Assumptions!$C$17</f>
        <v>1.21218518518519</v>
      </c>
      <c r="W68" s="10" t="n">
        <f aca="false">O68*V68*12</f>
        <v>0.209524572586985</v>
      </c>
      <c r="X68" s="35" t="n">
        <f aca="false">IF(D68&gt;=35000,1,IF(D68&gt;=12000,2,IF(D68&gt;=4000,3,4)))</f>
        <v>2</v>
      </c>
    </row>
    <row r="69" customFormat="false" ht="15" hidden="false" customHeight="true" outlineLevel="0" collapsed="false">
      <c r="A69" s="5" t="s">
        <v>198</v>
      </c>
      <c r="B69" s="27" t="s">
        <v>199</v>
      </c>
      <c r="C69" s="5" t="s">
        <v>18</v>
      </c>
      <c r="D69" s="28" t="n">
        <v>9878</v>
      </c>
      <c r="E69" s="29" t="n">
        <v>0.07</v>
      </c>
      <c r="F69" s="30" t="n">
        <v>0.76</v>
      </c>
      <c r="G69" s="30" t="n">
        <v>0.76</v>
      </c>
      <c r="H69" s="8" t="n">
        <f aca="false">E69*F69</f>
        <v>0.0532</v>
      </c>
      <c r="I69" s="8" t="n">
        <f aca="false">H69*G69</f>
        <v>0.040432</v>
      </c>
      <c r="J69" s="31" t="n">
        <f aca="false">Assumptions!$C$5/(1+EXP(-Assumptions!$C$6*(LN(D69)-Assumptions!$C$7)))</f>
        <v>0.339079375868184</v>
      </c>
      <c r="K69" s="30" t="n">
        <v>0.55</v>
      </c>
      <c r="L69" s="32" t="n">
        <f aca="false">I69*J69</f>
        <v>0.0137096573251024</v>
      </c>
      <c r="M69" s="33" t="n">
        <f aca="false">VLOOKUP(C69,Assumptions!$B$20:$C$23,2,FALSE())*L69/SUMIF($C$5:$C$134,C69,$L$5:$L$134)</f>
        <v>0.00694819896479738</v>
      </c>
      <c r="N69" s="31" t="n">
        <f aca="false">IF(I69=0,0,M69/I69)</f>
        <v>0.171849004867367</v>
      </c>
      <c r="O69" s="32" t="n">
        <f aca="false">I69*J69*K69</f>
        <v>0.00754031152880633</v>
      </c>
      <c r="P69" s="32" t="n">
        <f aca="false">O69-M69</f>
        <v>0.000592112564008955</v>
      </c>
      <c r="Q69" s="31" t="n">
        <f aca="false">Assumptions!$C$5/(1+EXP(-Assumptions!$C$6*(LN(D69)-(Assumptions!$C$7+Assumptions!$C$8))))</f>
        <v>0.265842465883205</v>
      </c>
      <c r="R69" s="32" t="n">
        <f aca="false">I69*Q69*K69</f>
        <v>0.00591169841932436</v>
      </c>
      <c r="S69" s="31" t="n">
        <f aca="false">Assumptions!$C$5/(1+EXP(-Assumptions!$C$6*(LN(D69)-(Assumptions!$C$7-Assumptions!$C$8))))</f>
        <v>0.409181614769262</v>
      </c>
      <c r="T69" s="32" t="n">
        <f aca="false">I69*S69*K69</f>
        <v>0.00909921707659294</v>
      </c>
      <c r="U69" s="34" t="n">
        <f aca="false">VLOOKUP(A69,Pricing!$A$5:$L$134,12,FALSE())</f>
        <v>2.63518518518519</v>
      </c>
      <c r="V69" s="18" t="n">
        <f aca="false">U69*Assumptions!$C$17</f>
        <v>1.21218518518519</v>
      </c>
      <c r="W69" s="10" t="n">
        <f aca="false">O69*V69*12</f>
        <v>0.109683047122801</v>
      </c>
      <c r="X69" s="35" t="n">
        <f aca="false">IF(D69&gt;=35000,1,IF(D69&gt;=12000,2,IF(D69&gt;=4000,3,4)))</f>
        <v>3</v>
      </c>
    </row>
    <row r="70" customFormat="false" ht="15" hidden="false" customHeight="true" outlineLevel="0" collapsed="false">
      <c r="A70" s="5" t="s">
        <v>200</v>
      </c>
      <c r="B70" s="27" t="s">
        <v>201</v>
      </c>
      <c r="C70" s="5" t="s">
        <v>18</v>
      </c>
      <c r="D70" s="28" t="n">
        <v>22992</v>
      </c>
      <c r="E70" s="29" t="n">
        <v>0.05</v>
      </c>
      <c r="F70" s="30" t="n">
        <v>0.76</v>
      </c>
      <c r="G70" s="30" t="n">
        <v>0.86</v>
      </c>
      <c r="H70" s="8" t="n">
        <f aca="false">E70*F70</f>
        <v>0.038</v>
      </c>
      <c r="I70" s="8" t="n">
        <f aca="false">H70*G70</f>
        <v>0.03268</v>
      </c>
      <c r="J70" s="31" t="n">
        <f aca="false">Assumptions!$C$5/(1+EXP(-Assumptions!$C$6*(LN(D70)-Assumptions!$C$7)))</f>
        <v>0.452127141422461</v>
      </c>
      <c r="K70" s="30" t="n">
        <v>0.55</v>
      </c>
      <c r="L70" s="32" t="n">
        <f aca="false">I70*J70</f>
        <v>0.014775514981686</v>
      </c>
      <c r="M70" s="33" t="n">
        <f aca="false">VLOOKUP(C70,Assumptions!$B$20:$C$23,2,FALSE())*L70/SUMIF($C$5:$C$134,C70,$L$5:$L$134)</f>
        <v>0.00748838686960632</v>
      </c>
      <c r="N70" s="31" t="n">
        <f aca="false">IF(I70=0,0,M70/I70)</f>
        <v>0.229142805067513</v>
      </c>
      <c r="O70" s="32" t="n">
        <f aca="false">I70*J70*K70</f>
        <v>0.00812653323992732</v>
      </c>
      <c r="P70" s="32" t="n">
        <f aca="false">O70-M70</f>
        <v>0.000638146370321002</v>
      </c>
      <c r="Q70" s="31" t="n">
        <f aca="false">Assumptions!$C$5/(1+EXP(-Assumptions!$C$6*(LN(D70)-(Assumptions!$C$7+Assumptions!$C$8))))</f>
        <v>0.388216079191774</v>
      </c>
      <c r="R70" s="32" t="n">
        <f aca="false">I70*Q70*K70</f>
        <v>0.00697779580739295</v>
      </c>
      <c r="S70" s="31" t="n">
        <f aca="false">Assumptions!$C$5/(1+EXP(-Assumptions!$C$6*(LN(D70)-(Assumptions!$C$7-Assumptions!$C$8))))</f>
        <v>0.503695156150519</v>
      </c>
      <c r="T70" s="32" t="n">
        <f aca="false">I70*S70*K70</f>
        <v>0.00905341673664942</v>
      </c>
      <c r="U70" s="34" t="n">
        <f aca="false">VLOOKUP(A70,Pricing!$A$5:$L$134,12,FALSE())</f>
        <v>2.63518518518519</v>
      </c>
      <c r="V70" s="18" t="n">
        <f aca="false">U70*Assumptions!$C$17</f>
        <v>1.21218518518519</v>
      </c>
      <c r="W70" s="10" t="n">
        <f aca="false">O70*V70*12</f>
        <v>0.118210358404258</v>
      </c>
      <c r="X70" s="35" t="n">
        <f aca="false">IF(D70&gt;=35000,1,IF(D70&gt;=12000,2,IF(D70&gt;=4000,3,4)))</f>
        <v>2</v>
      </c>
    </row>
    <row r="71" customFormat="false" ht="15" hidden="false" customHeight="true" outlineLevel="0" collapsed="false">
      <c r="A71" s="5" t="s">
        <v>202</v>
      </c>
      <c r="B71" s="27" t="s">
        <v>203</v>
      </c>
      <c r="C71" s="5" t="s">
        <v>16</v>
      </c>
      <c r="D71" s="28" t="n">
        <v>80447</v>
      </c>
      <c r="E71" s="29" t="n">
        <v>340.11</v>
      </c>
      <c r="F71" s="30" t="n">
        <v>0.8</v>
      </c>
      <c r="G71" s="30" t="n">
        <v>0.96</v>
      </c>
      <c r="H71" s="8" t="n">
        <f aca="false">E71*F71</f>
        <v>272.088</v>
      </c>
      <c r="I71" s="8" t="n">
        <f aca="false">H71*G71</f>
        <v>261.20448</v>
      </c>
      <c r="J71" s="31" t="n">
        <f aca="false">Assumptions!$C$5/(1+EXP(-Assumptions!$C$6*(LN(D71)-Assumptions!$C$7)))</f>
        <v>0.55706537809463</v>
      </c>
      <c r="K71" s="30" t="n">
        <v>0.47</v>
      </c>
      <c r="L71" s="32" t="n">
        <f aca="false">I71*J71</f>
        <v>145.507972411211</v>
      </c>
      <c r="M71" s="33" t="n">
        <f aca="false">VLOOKUP(C71,Assumptions!$B$20:$C$23,2,FALSE())*L71/SUMIF($C$5:$C$134,C71,$L$5:$L$134)</f>
        <v>66.3478570523532</v>
      </c>
      <c r="N71" s="31" t="n">
        <f aca="false">IF(I71=0,0,M71/I71)</f>
        <v>0.254007347241338</v>
      </c>
      <c r="O71" s="32" t="n">
        <f aca="false">I71*J71*K71</f>
        <v>68.3887470332693</v>
      </c>
      <c r="P71" s="32" t="n">
        <f aca="false">O71-M71</f>
        <v>2.04088998091611</v>
      </c>
      <c r="Q71" s="31" t="n">
        <f aca="false">Assumptions!$C$5/(1+EXP(-Assumptions!$C$6*(LN(D71)-(Assumptions!$C$7+Assumptions!$C$8))))</f>
        <v>0.524683006171484</v>
      </c>
      <c r="R71" s="32" t="n">
        <f aca="false">I71*Q71*K71</f>
        <v>64.4132893421739</v>
      </c>
      <c r="S71" s="31" t="n">
        <f aca="false">Assumptions!$C$5/(1+EXP(-Assumptions!$C$6*(LN(D71)-(Assumptions!$C$7-Assumptions!$C$8))))</f>
        <v>0.579299763568452</v>
      </c>
      <c r="T71" s="32" t="n">
        <f aca="false">I71*S71*K71</f>
        <v>71.1183759482996</v>
      </c>
      <c r="U71" s="34" t="n">
        <f aca="false">VLOOKUP(A71,Pricing!$A$5:$L$134,12,FALSE())</f>
        <v>14.13</v>
      </c>
      <c r="V71" s="18" t="n">
        <f aca="false">U71*Assumptions!$C$17</f>
        <v>6.4998</v>
      </c>
      <c r="W71" s="10" t="n">
        <f aca="false">O71*V71*12</f>
        <v>5334.15813560212</v>
      </c>
      <c r="X71" s="35" t="n">
        <f aca="false">IF(D71&gt;=35000,1,IF(D71&gt;=12000,2,IF(D71&gt;=4000,3,4)))</f>
        <v>1</v>
      </c>
    </row>
    <row r="72" customFormat="false" ht="15" hidden="false" customHeight="true" outlineLevel="0" collapsed="false">
      <c r="A72" s="5" t="s">
        <v>204</v>
      </c>
      <c r="B72" s="27" t="s">
        <v>205</v>
      </c>
      <c r="C72" s="5" t="s">
        <v>16</v>
      </c>
      <c r="D72" s="28" t="n">
        <v>51832</v>
      </c>
      <c r="E72" s="29" t="n">
        <v>41.29</v>
      </c>
      <c r="F72" s="30" t="n">
        <v>0.8</v>
      </c>
      <c r="G72" s="30" t="n">
        <v>0.96</v>
      </c>
      <c r="H72" s="8" t="n">
        <f aca="false">E72*F72</f>
        <v>33.032</v>
      </c>
      <c r="I72" s="8" t="n">
        <f aca="false">H72*G72</f>
        <v>31.71072</v>
      </c>
      <c r="J72" s="31" t="n">
        <f aca="false">Assumptions!$C$5/(1+EXP(-Assumptions!$C$6*(LN(D72)-Assumptions!$C$7)))</f>
        <v>0.529220745496831</v>
      </c>
      <c r="K72" s="30" t="n">
        <v>0.42</v>
      </c>
      <c r="L72" s="32" t="n">
        <f aca="false">I72*J72</f>
        <v>16.7819708786413</v>
      </c>
      <c r="M72" s="33" t="n">
        <f aca="false">VLOOKUP(C72,Assumptions!$B$20:$C$23,2,FALSE())*L72/SUMIF($C$5:$C$134,C72,$L$5:$L$134)</f>
        <v>7.65214294764686</v>
      </c>
      <c r="N72" s="31" t="n">
        <f aca="false">IF(I72=0,0,M72/I72)</f>
        <v>0.241310917810976</v>
      </c>
      <c r="O72" s="32" t="n">
        <f aca="false">I72*J72*K72</f>
        <v>7.04842776902933</v>
      </c>
      <c r="P72" s="32" t="n">
        <f aca="false">O72-M72</f>
        <v>-0.603715178617532</v>
      </c>
      <c r="Q72" s="31" t="n">
        <f aca="false">Assumptions!$C$5/(1+EXP(-Assumptions!$C$6*(LN(D72)-(Assumptions!$C$7+Assumptions!$C$8))))</f>
        <v>0.485958612669915</v>
      </c>
      <c r="R72" s="32" t="n">
        <f aca="false">I72*Q72*K72</f>
        <v>6.47224094914494</v>
      </c>
      <c r="S72" s="31" t="n">
        <f aca="false">Assumptions!$C$5/(1+EXP(-Assumptions!$C$6*(LN(D72)-(Assumptions!$C$7-Assumptions!$C$8))))</f>
        <v>0.560237090729578</v>
      </c>
      <c r="T72" s="32" t="n">
        <f aca="false">I72*S72*K72</f>
        <v>7.4615190374509</v>
      </c>
      <c r="U72" s="34" t="n">
        <f aca="false">VLOOKUP(A72,Pricing!$A$5:$L$134,12,FALSE())</f>
        <v>9.70672184957899</v>
      </c>
      <c r="V72" s="18" t="n">
        <f aca="false">U72*Assumptions!$C$17</f>
        <v>4.46509205080634</v>
      </c>
      <c r="W72" s="10" t="n">
        <f aca="false">O72*V72*12</f>
        <v>377.662545626106</v>
      </c>
      <c r="X72" s="35" t="n">
        <f aca="false">IF(D72&gt;=35000,1,IF(D72&gt;=12000,2,IF(D72&gt;=4000,3,4)))</f>
        <v>1</v>
      </c>
    </row>
    <row r="73" customFormat="false" ht="15" hidden="false" customHeight="true" outlineLevel="0" collapsed="false">
      <c r="A73" s="5" t="s">
        <v>206</v>
      </c>
      <c r="B73" s="27" t="s">
        <v>207</v>
      </c>
      <c r="C73" s="5" t="s">
        <v>20</v>
      </c>
      <c r="D73" s="28" t="n">
        <v>2447</v>
      </c>
      <c r="E73" s="29" t="n">
        <v>1450.94</v>
      </c>
      <c r="F73" s="30" t="n">
        <v>0.69</v>
      </c>
      <c r="G73" s="30" t="n">
        <v>0.47</v>
      </c>
      <c r="H73" s="8" t="n">
        <f aca="false">E73*F73</f>
        <v>1001.1486</v>
      </c>
      <c r="I73" s="8" t="n">
        <f aca="false">H73*G73</f>
        <v>470.539842</v>
      </c>
      <c r="J73" s="31" t="n">
        <f aca="false">Assumptions!$C$5/(1+EXP(-Assumptions!$C$6*(LN(D73)-Assumptions!$C$7)))</f>
        <v>0.15052192552103</v>
      </c>
      <c r="K73" s="30" t="n">
        <v>0.28</v>
      </c>
      <c r="L73" s="32" t="n">
        <f aca="false">I73*J73</f>
        <v>70.8265630522012</v>
      </c>
      <c r="M73" s="33" t="n">
        <f aca="false">VLOOKUP(C73,Assumptions!$B$20:$C$23,2,FALSE())*L73/SUMIF($C$5:$C$134,C73,$L$5:$L$134)</f>
        <v>8.40740021970109</v>
      </c>
      <c r="N73" s="31" t="n">
        <f aca="false">IF(I73=0,0,M73/I73)</f>
        <v>0.0178675628910954</v>
      </c>
      <c r="O73" s="32" t="n">
        <f aca="false">I73*J73*K73</f>
        <v>19.8314376546163</v>
      </c>
      <c r="P73" s="32" t="n">
        <f aca="false">O73-M73</f>
        <v>11.4240374349152</v>
      </c>
      <c r="Q73" s="31" t="n">
        <f aca="false">Assumptions!$C$5/(1+EXP(-Assumptions!$C$6*(LN(D73)-(Assumptions!$C$7+Assumptions!$C$8))))</f>
        <v>0.103068819256281</v>
      </c>
      <c r="R73" s="32" t="n">
        <f aca="false">I73*Q73*K73</f>
        <v>13.5794360598336</v>
      </c>
      <c r="S73" s="31" t="n">
        <f aca="false">Assumptions!$C$5/(1+EXP(-Assumptions!$C$6*(LN(D73)-(Assumptions!$C$7-Assumptions!$C$8))))</f>
        <v>0.210908725101302</v>
      </c>
      <c r="T73" s="32" t="n">
        <f aca="false">I73*S73*K73</f>
        <v>27.7874682919646</v>
      </c>
      <c r="U73" s="34" t="n">
        <f aca="false">VLOOKUP(A73,Pricing!$A$5:$L$134,12,FALSE())</f>
        <v>1.94584419498628</v>
      </c>
      <c r="V73" s="18" t="n">
        <f aca="false">U73*Assumptions!$C$17</f>
        <v>0.895088329693688</v>
      </c>
      <c r="W73" s="10" t="n">
        <f aca="false">O73*V73*12</f>
        <v>213.010660868341</v>
      </c>
      <c r="X73" s="35" t="n">
        <f aca="false">IF(D73&gt;=35000,1,IF(D73&gt;=12000,2,IF(D73&gt;=4000,3,4)))</f>
        <v>4</v>
      </c>
    </row>
    <row r="74" customFormat="false" ht="15" hidden="false" customHeight="true" outlineLevel="0" collapsed="false">
      <c r="A74" s="5" t="s">
        <v>208</v>
      </c>
      <c r="B74" s="27" t="s">
        <v>209</v>
      </c>
      <c r="C74" s="5" t="s">
        <v>20</v>
      </c>
      <c r="D74" s="28" t="n">
        <v>4837</v>
      </c>
      <c r="E74" s="29" t="n">
        <v>283.49</v>
      </c>
      <c r="F74" s="30" t="n">
        <v>0.74</v>
      </c>
      <c r="G74" s="30" t="n">
        <v>0.63</v>
      </c>
      <c r="H74" s="8" t="n">
        <f aca="false">E74*F74</f>
        <v>209.7826</v>
      </c>
      <c r="I74" s="8" t="n">
        <f aca="false">H74*G74</f>
        <v>132.163038</v>
      </c>
      <c r="J74" s="31" t="n">
        <f aca="false">Assumptions!$C$5/(1+EXP(-Assumptions!$C$6*(LN(D74)-Assumptions!$C$7)))</f>
        <v>0.235511735020757</v>
      </c>
      <c r="K74" s="30" t="n">
        <v>0.58</v>
      </c>
      <c r="L74" s="32" t="n">
        <f aca="false">I74*J74</f>
        <v>31.1259463849943</v>
      </c>
      <c r="M74" s="33" t="n">
        <f aca="false">VLOOKUP(C74,Assumptions!$B$20:$C$23,2,FALSE())*L74/SUMIF($C$5:$C$134,C74,$L$5:$L$134)</f>
        <v>3.69477604444443</v>
      </c>
      <c r="N74" s="31" t="n">
        <f aca="false">IF(I74=0,0,M74/I74)</f>
        <v>0.027956197892821</v>
      </c>
      <c r="O74" s="32" t="n">
        <f aca="false">I74*J74*K74</f>
        <v>18.0530489032967</v>
      </c>
      <c r="P74" s="32" t="n">
        <f aca="false">O74-M74</f>
        <v>14.3582728588523</v>
      </c>
      <c r="Q74" s="31" t="n">
        <f aca="false">Assumptions!$C$5/(1+EXP(-Assumptions!$C$6*(LN(D74)-(Assumptions!$C$7+Assumptions!$C$8))))</f>
        <v>0.171025611370353</v>
      </c>
      <c r="R74" s="32" t="n">
        <f aca="false">I74*Q74*K74</f>
        <v>13.1098933372176</v>
      </c>
      <c r="S74" s="31" t="n">
        <f aca="false">Assumptions!$C$5/(1+EXP(-Assumptions!$C$6*(LN(D74)-(Assumptions!$C$7-Assumptions!$C$8))))</f>
        <v>0.307651403434305</v>
      </c>
      <c r="T74" s="32" t="n">
        <f aca="false">I74*S74*K74</f>
        <v>23.582883591248</v>
      </c>
      <c r="U74" s="34" t="n">
        <f aca="false">VLOOKUP(A74,Pricing!$A$5:$L$134,12,FALSE())</f>
        <v>4.17004081183393</v>
      </c>
      <c r="V74" s="18" t="n">
        <f aca="false">U74*Assumptions!$C$17</f>
        <v>1.91821877344361</v>
      </c>
      <c r="W74" s="10" t="n">
        <f aca="false">O74*V74*12</f>
        <v>415.556367890391</v>
      </c>
      <c r="X74" s="35" t="n">
        <f aca="false">IF(D74&gt;=35000,1,IF(D74&gt;=12000,2,IF(D74&gt;=4000,3,4)))</f>
        <v>3</v>
      </c>
    </row>
    <row r="75" customFormat="false" ht="15" hidden="false" customHeight="true" outlineLevel="0" collapsed="false">
      <c r="A75" s="5" t="s">
        <v>210</v>
      </c>
      <c r="B75" s="27" t="s">
        <v>211</v>
      </c>
      <c r="C75" s="5" t="s">
        <v>20</v>
      </c>
      <c r="D75" s="28" t="n">
        <v>1347</v>
      </c>
      <c r="E75" s="29" t="n">
        <v>251.27</v>
      </c>
      <c r="F75" s="30" t="n">
        <v>0.69</v>
      </c>
      <c r="G75" s="30" t="n">
        <v>0.3</v>
      </c>
      <c r="H75" s="8" t="n">
        <f aca="false">E75*F75</f>
        <v>173.3763</v>
      </c>
      <c r="I75" s="8" t="n">
        <f aca="false">H75*G75</f>
        <v>52.01289</v>
      </c>
      <c r="J75" s="31" t="n">
        <f aca="false">Assumptions!$C$5/(1+EXP(-Assumptions!$C$6*(LN(D75)-Assumptions!$C$7)))</f>
        <v>0.0953928085367457</v>
      </c>
      <c r="K75" s="30" t="n">
        <v>0.45</v>
      </c>
      <c r="L75" s="32" t="n">
        <f aca="false">I75*J75</f>
        <v>4.96165565721282</v>
      </c>
      <c r="M75" s="33" t="n">
        <f aca="false">VLOOKUP(C75,Assumptions!$B$20:$C$23,2,FALSE())*L75/SUMIF($C$5:$C$134,C75,$L$5:$L$134)</f>
        <v>0.588968644882392</v>
      </c>
      <c r="N75" s="31" t="n">
        <f aca="false">IF(I75=0,0,M75/I75)</f>
        <v>0.0113235131691854</v>
      </c>
      <c r="O75" s="32" t="n">
        <f aca="false">I75*J75*K75</f>
        <v>2.23274504574577</v>
      </c>
      <c r="P75" s="32" t="n">
        <f aca="false">O75-M75</f>
        <v>1.64377640086338</v>
      </c>
      <c r="Q75" s="31" t="n">
        <f aca="false">Assumptions!$C$5/(1+EXP(-Assumptions!$C$6*(LN(D75)-(Assumptions!$C$7+Assumptions!$C$8))))</f>
        <v>0.0629877719028376</v>
      </c>
      <c r="R75" s="32" t="n">
        <f aca="false">I75*Q75*K75</f>
        <v>1.47427922309732</v>
      </c>
      <c r="S75" s="31" t="n">
        <f aca="false">Assumptions!$C$5/(1+EXP(-Assumptions!$C$6*(LN(D75)-(Assumptions!$C$7-Assumptions!$C$8))))</f>
        <v>0.140270838597542</v>
      </c>
      <c r="T75" s="32" t="n">
        <f aca="false">I75*S75*K75</f>
        <v>3.28315126418177</v>
      </c>
      <c r="U75" s="34" t="n">
        <f aca="false">VLOOKUP(A75,Pricing!$A$5:$L$134,12,FALSE())</f>
        <v>1.49568345323741</v>
      </c>
      <c r="V75" s="18" t="n">
        <f aca="false">U75*Assumptions!$C$17</f>
        <v>0.688014388489209</v>
      </c>
      <c r="W75" s="10" t="n">
        <f aca="false">O75*V75*12</f>
        <v>18.433928607613</v>
      </c>
      <c r="X75" s="35" t="n">
        <f aca="false">IF(D75&gt;=35000,1,IF(D75&gt;=12000,2,IF(D75&gt;=4000,3,4)))</f>
        <v>4</v>
      </c>
    </row>
    <row r="76" customFormat="false" ht="15" hidden="false" customHeight="true" outlineLevel="0" collapsed="false">
      <c r="A76" s="5" t="s">
        <v>212</v>
      </c>
      <c r="B76" s="27" t="s">
        <v>213</v>
      </c>
      <c r="C76" s="5" t="s">
        <v>20</v>
      </c>
      <c r="D76" s="28" t="n">
        <v>1559</v>
      </c>
      <c r="E76" s="29" t="n">
        <v>232.68</v>
      </c>
      <c r="F76" s="30" t="n">
        <v>0.56</v>
      </c>
      <c r="G76" s="30" t="n">
        <v>0.47</v>
      </c>
      <c r="H76" s="8" t="n">
        <f aca="false">E76*F76</f>
        <v>130.3008</v>
      </c>
      <c r="I76" s="8" t="n">
        <f aca="false">H76*G76</f>
        <v>61.241376</v>
      </c>
      <c r="J76" s="31" t="n">
        <f aca="false">Assumptions!$C$5/(1+EXP(-Assumptions!$C$6*(LN(D76)-Assumptions!$C$7)))</f>
        <v>0.107146770147846</v>
      </c>
      <c r="K76" s="30" t="n">
        <v>0.45</v>
      </c>
      <c r="L76" s="32" t="n">
        <f aca="false">I76*J76</f>
        <v>6.56181563780982</v>
      </c>
      <c r="M76" s="33" t="n">
        <f aca="false">VLOOKUP(C76,Assumptions!$B$20:$C$23,2,FALSE())*L76/SUMIF($C$5:$C$134,C76,$L$5:$L$134)</f>
        <v>0.778914122859528</v>
      </c>
      <c r="N76" s="31" t="n">
        <f aca="false">IF(I76=0,0,M76/I76)</f>
        <v>0.0127187560720309</v>
      </c>
      <c r="O76" s="32" t="n">
        <f aca="false">I76*J76*K76</f>
        <v>2.95281703701442</v>
      </c>
      <c r="P76" s="32" t="n">
        <f aca="false">O76-M76</f>
        <v>2.17390291415489</v>
      </c>
      <c r="Q76" s="31" t="n">
        <f aca="false">Assumptions!$C$5/(1+EXP(-Assumptions!$C$6*(LN(D76)-(Assumptions!$C$7+Assumptions!$C$8))))</f>
        <v>0.0712915066238172</v>
      </c>
      <c r="R76" s="32" t="n">
        <f aca="false">I76*Q76*K76</f>
        <v>1.96469548324006</v>
      </c>
      <c r="S76" s="31" t="n">
        <f aca="false">Assumptions!$C$5/(1+EXP(-Assumptions!$C$6*(LN(D76)-(Assumptions!$C$7-Assumptions!$C$8))))</f>
        <v>0.155911103651764</v>
      </c>
      <c r="T76" s="32" t="n">
        <f aca="false">I76*S76*K76</f>
        <v>4.2966947345907</v>
      </c>
      <c r="U76" s="34" t="n">
        <f aca="false">VLOOKUP(A76,Pricing!$A$5:$L$134,12,FALSE())</f>
        <v>1.09607843137255</v>
      </c>
      <c r="V76" s="18" t="n">
        <f aca="false">U76*Assumptions!$C$17</f>
        <v>0.504196078431373</v>
      </c>
      <c r="W76" s="10" t="n">
        <f aca="false">O76*V76*12</f>
        <v>17.8655852446562</v>
      </c>
      <c r="X76" s="35" t="n">
        <f aca="false">IF(D76&gt;=35000,1,IF(D76&gt;=12000,2,IF(D76&gt;=4000,3,4)))</f>
        <v>4</v>
      </c>
    </row>
    <row r="77" customFormat="false" ht="15" hidden="false" customHeight="true" outlineLevel="0" collapsed="false">
      <c r="A77" s="5" t="s">
        <v>214</v>
      </c>
      <c r="B77" s="27" t="s">
        <v>215</v>
      </c>
      <c r="C77" s="5" t="s">
        <v>20</v>
      </c>
      <c r="D77" s="28" t="n">
        <v>2520</v>
      </c>
      <c r="E77" s="29" t="n">
        <v>173.56</v>
      </c>
      <c r="F77" s="30" t="n">
        <v>0.69</v>
      </c>
      <c r="G77" s="30" t="n">
        <v>0.47</v>
      </c>
      <c r="H77" s="8" t="n">
        <f aca="false">E77*F77</f>
        <v>119.7564</v>
      </c>
      <c r="I77" s="8" t="n">
        <f aca="false">H77*G77</f>
        <v>56.285508</v>
      </c>
      <c r="J77" s="31" t="n">
        <f aca="false">Assumptions!$C$5/(1+EXP(-Assumptions!$C$6*(LN(D77)-Assumptions!$C$7)))</f>
        <v>0.153727747885706</v>
      </c>
      <c r="K77" s="30" t="n">
        <v>0.45</v>
      </c>
      <c r="L77" s="32" t="n">
        <f aca="false">I77*J77</f>
        <v>8.65264438344291</v>
      </c>
      <c r="M77" s="33" t="n">
        <f aca="false">VLOOKUP(C77,Assumptions!$B$20:$C$23,2,FALSE())*L77/SUMIF($C$5:$C$134,C77,$L$5:$L$134)</f>
        <v>1.02710397279531</v>
      </c>
      <c r="N77" s="31" t="n">
        <f aca="false">IF(I77=0,0,M77/I77)</f>
        <v>0.018248107004654</v>
      </c>
      <c r="O77" s="32" t="n">
        <f aca="false">I77*J77*K77</f>
        <v>3.89368997254931</v>
      </c>
      <c r="P77" s="32" t="n">
        <f aca="false">O77-M77</f>
        <v>2.866585999754</v>
      </c>
      <c r="Q77" s="31" t="n">
        <f aca="false">Assumptions!$C$5/(1+EXP(-Assumptions!$C$6*(LN(D77)-(Assumptions!$C$7+Assumptions!$C$8))))</f>
        <v>0.105491076870025</v>
      </c>
      <c r="R77" s="32" t="n">
        <f aca="false">I77*Q77*K77</f>
        <v>2.67192848299338</v>
      </c>
      <c r="S77" s="31" t="n">
        <f aca="false">Assumptions!$C$5/(1+EXP(-Assumptions!$C$6*(LN(D77)-(Assumptions!$C$7-Assumptions!$C$8))))</f>
        <v>0.214812196738946</v>
      </c>
      <c r="T77" s="32" t="n">
        <f aca="false">I77*S77*K77</f>
        <v>5.44086612812139</v>
      </c>
      <c r="U77" s="34" t="n">
        <f aca="false">VLOOKUP(A77,Pricing!$A$5:$L$134,12,FALSE())</f>
        <v>1.97416666666667</v>
      </c>
      <c r="V77" s="18" t="n">
        <f aca="false">U77*Assumptions!$C$17</f>
        <v>0.908116666666667</v>
      </c>
      <c r="W77" s="10" t="n">
        <f aca="false">O77*V77*12</f>
        <v>42.4310971068588</v>
      </c>
      <c r="X77" s="35" t="n">
        <f aca="false">IF(D77&gt;=35000,1,IF(D77&gt;=12000,2,IF(D77&gt;=4000,3,4)))</f>
        <v>4</v>
      </c>
    </row>
    <row r="78" customFormat="false" ht="15" hidden="false" customHeight="true" outlineLevel="0" collapsed="false">
      <c r="A78" s="5" t="s">
        <v>216</v>
      </c>
      <c r="B78" s="27" t="s">
        <v>217</v>
      </c>
      <c r="C78" s="5" t="s">
        <v>20</v>
      </c>
      <c r="D78" s="28" t="n">
        <v>1240</v>
      </c>
      <c r="E78" s="29" t="n">
        <v>132.06</v>
      </c>
      <c r="F78" s="30" t="n">
        <v>0.56</v>
      </c>
      <c r="G78" s="30" t="n">
        <v>0.3</v>
      </c>
      <c r="H78" s="8" t="n">
        <f aca="false">E78*F78</f>
        <v>73.9536</v>
      </c>
      <c r="I78" s="8" t="n">
        <f aca="false">H78*G78</f>
        <v>22.18608</v>
      </c>
      <c r="J78" s="31" t="n">
        <f aca="false">Assumptions!$C$5/(1+EXP(-Assumptions!$C$6*(LN(D78)-Assumptions!$C$7)))</f>
        <v>0.0892173815967719</v>
      </c>
      <c r="K78" s="30" t="n">
        <v>0.45</v>
      </c>
      <c r="L78" s="32" t="n">
        <f aca="false">I78*J78</f>
        <v>1.97938396549651</v>
      </c>
      <c r="M78" s="33" t="n">
        <f aca="false">VLOOKUP(C78,Assumptions!$B$20:$C$23,2,FALSE())*L78/SUMIF($C$5:$C$134,C78,$L$5:$L$134)</f>
        <v>0.234960902650647</v>
      </c>
      <c r="N78" s="31" t="n">
        <f aca="false">IF(I78=0,0,M78/I78)</f>
        <v>0.0105904649514762</v>
      </c>
      <c r="O78" s="32" t="n">
        <f aca="false">I78*J78*K78</f>
        <v>0.890722784473429</v>
      </c>
      <c r="P78" s="32" t="n">
        <f aca="false">O78-M78</f>
        <v>0.655761881822782</v>
      </c>
      <c r="Q78" s="31" t="n">
        <f aca="false">Assumptions!$C$5/(1+EXP(-Assumptions!$C$6*(LN(D78)-(Assumptions!$C$7+Assumptions!$C$8))))</f>
        <v>0.0586755123308035</v>
      </c>
      <c r="R78" s="32" t="n">
        <f aca="false">I78*Q78*K78</f>
        <v>0.585800824775487</v>
      </c>
      <c r="S78" s="31" t="n">
        <f aca="false">Assumptions!$C$5/(1+EXP(-Assumptions!$C$6*(LN(D78)-(Assumptions!$C$7-Assumptions!$C$8))))</f>
        <v>0.131920724284273</v>
      </c>
      <c r="T78" s="32" t="n">
        <f aca="false">I78*S78*K78</f>
        <v>1.31706168418297</v>
      </c>
      <c r="U78" s="34" t="n">
        <f aca="false">VLOOKUP(A78,Pricing!$A$5:$L$134,12,FALSE())</f>
        <v>3.584</v>
      </c>
      <c r="V78" s="18" t="n">
        <f aca="false">U78*Assumptions!$C$17</f>
        <v>1.64864</v>
      </c>
      <c r="W78" s="10" t="n">
        <f aca="false">O78*V78*12</f>
        <v>17.6217745367313</v>
      </c>
      <c r="X78" s="35" t="n">
        <f aca="false">IF(D78&gt;=35000,1,IF(D78&gt;=12000,2,IF(D78&gt;=4000,3,4)))</f>
        <v>4</v>
      </c>
    </row>
    <row r="79" customFormat="false" ht="15" hidden="false" customHeight="true" outlineLevel="0" collapsed="false">
      <c r="A79" s="5" t="s">
        <v>218</v>
      </c>
      <c r="B79" s="27" t="s">
        <v>219</v>
      </c>
      <c r="C79" s="5" t="s">
        <v>20</v>
      </c>
      <c r="D79" s="28" t="n">
        <v>33982</v>
      </c>
      <c r="E79" s="29" t="n">
        <v>123.97</v>
      </c>
      <c r="F79" s="30" t="n">
        <v>0.85</v>
      </c>
      <c r="G79" s="30" t="n">
        <v>0.93</v>
      </c>
      <c r="H79" s="8" t="n">
        <f aca="false">E79*F79</f>
        <v>105.3745</v>
      </c>
      <c r="I79" s="8" t="n">
        <f aca="false">H79*G79</f>
        <v>97.998285</v>
      </c>
      <c r="J79" s="31" t="n">
        <f aca="false">Assumptions!$C$5/(1+EXP(-Assumptions!$C$6*(LN(D79)-Assumptions!$C$7)))</f>
        <v>0.493563059300524</v>
      </c>
      <c r="K79" s="30" t="n">
        <v>0.18</v>
      </c>
      <c r="L79" s="32" t="n">
        <f aca="false">I79*J79</f>
        <v>48.3683333508047</v>
      </c>
      <c r="M79" s="33" t="n">
        <f aca="false">VLOOKUP(C79,Assumptions!$B$20:$C$23,2,FALSE())*L79/SUMIF($C$5:$C$134,C79,$L$5:$L$134)</f>
        <v>5.74151729119507</v>
      </c>
      <c r="N79" s="31" t="n">
        <f aca="false">IF(I79=0,0,M79/I79)</f>
        <v>0.058587936423531</v>
      </c>
      <c r="O79" s="32" t="n">
        <f aca="false">I79*J79*K79</f>
        <v>8.70630000314485</v>
      </c>
      <c r="P79" s="32" t="n">
        <f aca="false">O79-M79</f>
        <v>2.96478271194977</v>
      </c>
      <c r="Q79" s="31" t="n">
        <f aca="false">Assumptions!$C$5/(1+EXP(-Assumptions!$C$6*(LN(D79)-(Assumptions!$C$7+Assumptions!$C$8))))</f>
        <v>0.439115905943761</v>
      </c>
      <c r="R79" s="32" t="n">
        <f aca="false">I79*Q79*K79</f>
        <v>7.74586902576778</v>
      </c>
      <c r="S79" s="31" t="n">
        <f aca="false">Assumptions!$C$5/(1+EXP(-Assumptions!$C$6*(LN(D79)-(Assumptions!$C$7-Assumptions!$C$8))))</f>
        <v>0.534801141151162</v>
      </c>
      <c r="T79" s="32" t="n">
        <f aca="false">I79*S79*K79</f>
        <v>9.43372703679422</v>
      </c>
      <c r="U79" s="34" t="n">
        <f aca="false">VLOOKUP(A79,Pricing!$A$5:$L$134,12,FALSE())</f>
        <v>7.33899876602561</v>
      </c>
      <c r="V79" s="18" t="n">
        <f aca="false">U79*Assumptions!$C$17</f>
        <v>3.37593943237178</v>
      </c>
      <c r="W79" s="10" t="n">
        <f aca="false">O79*V79*12</f>
        <v>352.703297888103</v>
      </c>
      <c r="X79" s="35" t="n">
        <f aca="false">IF(D79&gt;=35000,1,IF(D79&gt;=12000,2,IF(D79&gt;=4000,3,4)))</f>
        <v>2</v>
      </c>
    </row>
    <row r="80" customFormat="false" ht="15" hidden="false" customHeight="true" outlineLevel="0" collapsed="false">
      <c r="A80" s="5" t="s">
        <v>220</v>
      </c>
      <c r="B80" s="27" t="s">
        <v>221</v>
      </c>
      <c r="C80" s="5" t="s">
        <v>20</v>
      </c>
      <c r="D80" s="28" t="n">
        <v>3397</v>
      </c>
      <c r="E80" s="29" t="n">
        <v>116.54</v>
      </c>
      <c r="F80" s="30" t="n">
        <v>0.66</v>
      </c>
      <c r="G80" s="30" t="n">
        <v>0.63</v>
      </c>
      <c r="H80" s="8" t="n">
        <f aca="false">E80*F80</f>
        <v>76.9164</v>
      </c>
      <c r="I80" s="8" t="n">
        <f aca="false">H80*G80</f>
        <v>48.457332</v>
      </c>
      <c r="J80" s="31" t="n">
        <f aca="false">Assumptions!$C$5/(1+EXP(-Assumptions!$C$6*(LN(D80)-Assumptions!$C$7)))</f>
        <v>0.188799912764124</v>
      </c>
      <c r="K80" s="30" t="n">
        <v>0.45</v>
      </c>
      <c r="L80" s="32" t="n">
        <f aca="false">I80*J80</f>
        <v>9.14874005438221</v>
      </c>
      <c r="M80" s="33" t="n">
        <f aca="false">VLOOKUP(C80,Assumptions!$B$20:$C$23,2,FALSE())*L80/SUMIF($C$5:$C$134,C80,$L$5:$L$134)</f>
        <v>1.08599254048952</v>
      </c>
      <c r="N80" s="31" t="n">
        <f aca="false">IF(I80=0,0,M80/I80)</f>
        <v>0.0224113151852752</v>
      </c>
      <c r="O80" s="32" t="n">
        <f aca="false">I80*J80*K80</f>
        <v>4.11693302447199</v>
      </c>
      <c r="P80" s="32" t="n">
        <f aca="false">O80-M80</f>
        <v>3.03094048398247</v>
      </c>
      <c r="Q80" s="31" t="n">
        <f aca="false">Assumptions!$C$5/(1+EXP(-Assumptions!$C$6*(LN(D80)-(Assumptions!$C$7+Assumptions!$C$8))))</f>
        <v>0.132690047983032</v>
      </c>
      <c r="R80" s="32" t="n">
        <f aca="false">I80*Q80*K80</f>
        <v>2.89341256869438</v>
      </c>
      <c r="S80" s="31" t="n">
        <f aca="false">Assumptions!$C$5/(1+EXP(-Assumptions!$C$6*(LN(D80)-(Assumptions!$C$7-Assumptions!$C$8))))</f>
        <v>0.256164138606533</v>
      </c>
      <c r="T80" s="32" t="n">
        <f aca="false">I80*S80*K80</f>
        <v>5.58586381992786</v>
      </c>
      <c r="U80" s="34" t="n">
        <f aca="false">VLOOKUP(A80,Pricing!$A$5:$L$134,12,FALSE())</f>
        <v>1.73535353535354</v>
      </c>
      <c r="V80" s="18" t="n">
        <f aca="false">U80*Assumptions!$C$17</f>
        <v>0.798262626262626</v>
      </c>
      <c r="W80" s="10" t="n">
        <f aca="false">O80*V80*12</f>
        <v>39.4367252191482</v>
      </c>
      <c r="X80" s="35" t="n">
        <f aca="false">IF(D80&gt;=35000,1,IF(D80&gt;=12000,2,IF(D80&gt;=4000,3,4)))</f>
        <v>4</v>
      </c>
    </row>
    <row r="81" customFormat="false" ht="15" hidden="false" customHeight="true" outlineLevel="0" collapsed="false">
      <c r="A81" s="5" t="s">
        <v>222</v>
      </c>
      <c r="B81" s="27" t="s">
        <v>223</v>
      </c>
      <c r="C81" s="5" t="s">
        <v>20</v>
      </c>
      <c r="D81" s="28" t="n">
        <v>3774</v>
      </c>
      <c r="E81" s="29" t="n">
        <v>115.84</v>
      </c>
      <c r="F81" s="30" t="n">
        <v>0.74</v>
      </c>
      <c r="G81" s="30" t="n">
        <v>0.63</v>
      </c>
      <c r="H81" s="8" t="n">
        <f aca="false">E81*F81</f>
        <v>85.7216</v>
      </c>
      <c r="I81" s="8" t="n">
        <f aca="false">H81*G81</f>
        <v>54.004608</v>
      </c>
      <c r="J81" s="31" t="n">
        <f aca="false">Assumptions!$C$5/(1+EXP(-Assumptions!$C$6*(LN(D81)-Assumptions!$C$7)))</f>
        <v>0.202178435539446</v>
      </c>
      <c r="K81" s="30" t="n">
        <v>0.6</v>
      </c>
      <c r="L81" s="32" t="n">
        <f aca="false">I81*J81</f>
        <v>10.9185671573611</v>
      </c>
      <c r="M81" s="33" t="n">
        <f aca="false">VLOOKUP(C81,Assumptions!$B$20:$C$23,2,FALSE())*L81/SUMIF($C$5:$C$134,C81,$L$5:$L$134)</f>
        <v>1.2960781938545</v>
      </c>
      <c r="N81" s="31" t="n">
        <f aca="false">IF(I81=0,0,M81/I81)</f>
        <v>0.0239994000855352</v>
      </c>
      <c r="O81" s="32" t="n">
        <f aca="false">I81*J81*K81</f>
        <v>6.55114029441663</v>
      </c>
      <c r="P81" s="32" t="n">
        <f aca="false">O81-M81</f>
        <v>5.25506210056214</v>
      </c>
      <c r="Q81" s="31" t="n">
        <f aca="false">Assumptions!$C$5/(1+EXP(-Assumptions!$C$6*(LN(D81)-(Assumptions!$C$7+Assumptions!$C$8))))</f>
        <v>0.143414973063999</v>
      </c>
      <c r="R81" s="32" t="n">
        <f aca="false">I81*Q81*K81</f>
        <v>4.6470416409911</v>
      </c>
      <c r="S81" s="31" t="n">
        <f aca="false">Assumptions!$C$5/(1+EXP(-Assumptions!$C$6*(LN(D81)-(Assumptions!$C$7-Assumptions!$C$8))))</f>
        <v>0.271312652918274</v>
      </c>
      <c r="T81" s="32" t="n">
        <f aca="false">I81*S81*K81</f>
        <v>8.79128007977486</v>
      </c>
      <c r="U81" s="34" t="n">
        <f aca="false">VLOOKUP(A81,Pricing!$A$5:$L$134,12,FALSE())</f>
        <v>2.99114263638384</v>
      </c>
      <c r="V81" s="18" t="n">
        <f aca="false">U81*Assumptions!$C$17</f>
        <v>1.37592561273656</v>
      </c>
      <c r="W81" s="10" t="n">
        <f aca="false">O81*V81*12</f>
        <v>108.166580684621</v>
      </c>
      <c r="X81" s="35" t="n">
        <f aca="false">IF(D81&gt;=35000,1,IF(D81&gt;=12000,2,IF(D81&gt;=4000,3,4)))</f>
        <v>4</v>
      </c>
    </row>
    <row r="82" customFormat="false" ht="15" hidden="false" customHeight="true" outlineLevel="0" collapsed="false">
      <c r="A82" s="5" t="s">
        <v>224</v>
      </c>
      <c r="B82" s="27" t="s">
        <v>225</v>
      </c>
      <c r="C82" s="5" t="s">
        <v>20</v>
      </c>
      <c r="D82" s="28" t="n">
        <v>4255</v>
      </c>
      <c r="E82" s="29" t="n">
        <v>100.99</v>
      </c>
      <c r="F82" s="30" t="n">
        <v>0.74</v>
      </c>
      <c r="G82" s="30" t="n">
        <v>0.63</v>
      </c>
      <c r="H82" s="8" t="n">
        <f aca="false">E82*F82</f>
        <v>74.7326</v>
      </c>
      <c r="I82" s="8" t="n">
        <f aca="false">H82*G82</f>
        <v>47.081538</v>
      </c>
      <c r="J82" s="31" t="n">
        <f aca="false">Assumptions!$C$5/(1+EXP(-Assumptions!$C$6*(LN(D82)-Assumptions!$C$7)))</f>
        <v>0.218002058713605</v>
      </c>
      <c r="K82" s="30" t="n">
        <v>0.55</v>
      </c>
      <c r="L82" s="32" t="n">
        <f aca="false">I82*J82</f>
        <v>10.2638722114028</v>
      </c>
      <c r="M82" s="33" t="n">
        <f aca="false">VLOOKUP(C82,Assumptions!$B$20:$C$23,2,FALSE())*L82/SUMIF($C$5:$C$134,C82,$L$5:$L$134)</f>
        <v>1.218363249132</v>
      </c>
      <c r="N82" s="31" t="n">
        <f aca="false">IF(I82=0,0,M82/I82)</f>
        <v>0.0258777283174563</v>
      </c>
      <c r="O82" s="32" t="n">
        <f aca="false">I82*J82*K82</f>
        <v>5.64512971627155</v>
      </c>
      <c r="P82" s="32" t="n">
        <f aca="false">O82-M82</f>
        <v>4.42676646713955</v>
      </c>
      <c r="Q82" s="31" t="n">
        <f aca="false">Assumptions!$C$5/(1+EXP(-Assumptions!$C$6*(LN(D82)-(Assumptions!$C$7+Assumptions!$C$8))))</f>
        <v>0.156360571429207</v>
      </c>
      <c r="R82" s="32" t="n">
        <f aca="false">I82*Q82*K82</f>
        <v>4.04893290199527</v>
      </c>
      <c r="S82" s="31" t="n">
        <f aca="false">Assumptions!$C$5/(1+EXP(-Assumptions!$C$6*(LN(D82)-(Assumptions!$C$7-Assumptions!$C$8))))</f>
        <v>0.288807027928056</v>
      </c>
      <c r="T82" s="32" t="n">
        <f aca="false">I82*S82*K82</f>
        <v>7.47861348303402</v>
      </c>
      <c r="U82" s="34" t="n">
        <f aca="false">VLOOKUP(A82,Pricing!$A$5:$L$134,12,FALSE())</f>
        <v>2.37007874015748</v>
      </c>
      <c r="V82" s="18" t="n">
        <f aca="false">U82*Assumptions!$C$17</f>
        <v>1.09023622047244</v>
      </c>
      <c r="W82" s="10" t="n">
        <f aca="false">O82*V82*12</f>
        <v>73.8542986313347</v>
      </c>
      <c r="X82" s="35" t="n">
        <f aca="false">IF(D82&gt;=35000,1,IF(D82&gt;=12000,2,IF(D82&gt;=4000,3,4)))</f>
        <v>3</v>
      </c>
    </row>
    <row r="83" customFormat="false" ht="15" hidden="false" customHeight="true" outlineLevel="0" collapsed="false">
      <c r="A83" s="5" t="s">
        <v>226</v>
      </c>
      <c r="B83" s="27" t="s">
        <v>227</v>
      </c>
      <c r="C83" s="5" t="s">
        <v>20</v>
      </c>
      <c r="D83" s="28" t="n">
        <v>12956</v>
      </c>
      <c r="E83" s="29" t="n">
        <v>85.52</v>
      </c>
      <c r="F83" s="30" t="n">
        <v>0.72</v>
      </c>
      <c r="G83" s="30" t="n">
        <v>0.86</v>
      </c>
      <c r="H83" s="8" t="n">
        <f aca="false">E83*F83</f>
        <v>61.5744</v>
      </c>
      <c r="I83" s="8" t="n">
        <f aca="false">H83*G83</f>
        <v>52.953984</v>
      </c>
      <c r="J83" s="31" t="n">
        <f aca="false">Assumptions!$C$5/(1+EXP(-Assumptions!$C$6*(LN(D83)-Assumptions!$C$7)))</f>
        <v>0.377984079566661</v>
      </c>
      <c r="K83" s="30" t="n">
        <v>0.45</v>
      </c>
      <c r="L83" s="32" t="n">
        <f aca="false">I83*J83</f>
        <v>20.0157629016277</v>
      </c>
      <c r="M83" s="33" t="n">
        <f aca="false">VLOOKUP(C83,Assumptions!$B$20:$C$23,2,FALSE())*L83/SUMIF($C$5:$C$134,C83,$L$5:$L$134)</f>
        <v>2.37595221573299</v>
      </c>
      <c r="N83" s="31" t="n">
        <f aca="false">IF(I83=0,0,M83/I83)</f>
        <v>0.0448682428829716</v>
      </c>
      <c r="O83" s="32" t="n">
        <f aca="false">I83*J83*K83</f>
        <v>9.00709330573247</v>
      </c>
      <c r="P83" s="32" t="n">
        <f aca="false">O83-M83</f>
        <v>6.63114108999948</v>
      </c>
      <c r="Q83" s="31" t="n">
        <f aca="false">Assumptions!$C$5/(1+EXP(-Assumptions!$C$6*(LN(D83)-(Assumptions!$C$7+Assumptions!$C$8))))</f>
        <v>0.305481847731126</v>
      </c>
      <c r="R83" s="32" t="n">
        <f aca="false">I83*Q83*K83</f>
        <v>7.27941639467001</v>
      </c>
      <c r="S83" s="31" t="n">
        <f aca="false">Assumptions!$C$5/(1+EXP(-Assumptions!$C$6*(LN(D83)-(Assumptions!$C$7-Assumptions!$C$8))))</f>
        <v>0.443433284731657</v>
      </c>
      <c r="T83" s="32" t="n">
        <f aca="false">I83*S83*K83</f>
        <v>10.5667015791364</v>
      </c>
      <c r="U83" s="34" t="n">
        <f aca="false">VLOOKUP(A83,Pricing!$A$5:$L$134,12,FALSE())</f>
        <v>2.749</v>
      </c>
      <c r="V83" s="18" t="n">
        <f aca="false">U83*Assumptions!$C$17</f>
        <v>1.26454</v>
      </c>
      <c r="W83" s="10" t="n">
        <f aca="false">O83*V83*12</f>
        <v>136.677957225971</v>
      </c>
      <c r="X83" s="35" t="n">
        <f aca="false">IF(D83&gt;=35000,1,IF(D83&gt;=12000,2,IF(D83&gt;=4000,3,4)))</f>
        <v>2</v>
      </c>
    </row>
    <row r="84" customFormat="false" ht="15" hidden="false" customHeight="true" outlineLevel="0" collapsed="false">
      <c r="A84" s="5" t="s">
        <v>228</v>
      </c>
      <c r="B84" s="27" t="s">
        <v>229</v>
      </c>
      <c r="C84" s="5" t="s">
        <v>20</v>
      </c>
      <c r="D84" s="28" t="n">
        <v>7185</v>
      </c>
      <c r="E84" s="29" t="n">
        <v>71.67</v>
      </c>
      <c r="F84" s="30" t="n">
        <v>0.74</v>
      </c>
      <c r="G84" s="30" t="n">
        <v>0.76</v>
      </c>
      <c r="H84" s="8" t="n">
        <f aca="false">E84*F84</f>
        <v>53.0358</v>
      </c>
      <c r="I84" s="8" t="n">
        <f aca="false">H84*G84</f>
        <v>40.307208</v>
      </c>
      <c r="J84" s="31" t="n">
        <f aca="false">Assumptions!$C$5/(1+EXP(-Assumptions!$C$6*(LN(D84)-Assumptions!$C$7)))</f>
        <v>0.292312536064499</v>
      </c>
      <c r="K84" s="30" t="n">
        <v>0.5</v>
      </c>
      <c r="L84" s="32" t="n">
        <f aca="false">I84*J84</f>
        <v>11.7823021921593</v>
      </c>
      <c r="M84" s="33" t="n">
        <f aca="false">VLOOKUP(C84,Assumptions!$B$20:$C$23,2,FALSE())*L84/SUMIF($C$5:$C$134,C84,$L$5:$L$134)</f>
        <v>1.39860704473173</v>
      </c>
      <c r="N84" s="31" t="n">
        <f aca="false">IF(I84=0,0,M84/I84)</f>
        <v>0.0346986832908826</v>
      </c>
      <c r="O84" s="32" t="n">
        <f aca="false">I84*J84*K84</f>
        <v>5.89115109607963</v>
      </c>
      <c r="P84" s="32" t="n">
        <f aca="false">O84-M84</f>
        <v>4.4925440513479</v>
      </c>
      <c r="Q84" s="31" t="n">
        <f aca="false">Assumptions!$C$5/(1+EXP(-Assumptions!$C$6*(LN(D84)-(Assumptions!$C$7+Assumptions!$C$8))))</f>
        <v>0.221222200263054</v>
      </c>
      <c r="R84" s="32" t="n">
        <f aca="false">I84*Q84*K84</f>
        <v>4.45842462011029</v>
      </c>
      <c r="S84" s="31" t="n">
        <f aca="false">Assumptions!$C$5/(1+EXP(-Assumptions!$C$6*(LN(D84)-(Assumptions!$C$7-Assumptions!$C$8))))</f>
        <v>0.365319614622404</v>
      </c>
      <c r="T84" s="32" t="n">
        <f aca="false">I84*S84*K84</f>
        <v>7.36250684653253</v>
      </c>
      <c r="U84" s="34" t="n">
        <f aca="false">VLOOKUP(A84,Pricing!$A$5:$L$134,12,FALSE())</f>
        <v>4.94231910712254</v>
      </c>
      <c r="V84" s="18" t="n">
        <f aca="false">U84*Assumptions!$C$17</f>
        <v>2.27346678927637</v>
      </c>
      <c r="W84" s="10" t="n">
        <f aca="false">O84*V84*12</f>
        <v>160.720036410553</v>
      </c>
      <c r="X84" s="35" t="n">
        <f aca="false">IF(D84&gt;=35000,1,IF(D84&gt;=12000,2,IF(D84&gt;=4000,3,4)))</f>
        <v>3</v>
      </c>
    </row>
    <row r="85" customFormat="false" ht="15" hidden="false" customHeight="true" outlineLevel="0" collapsed="false">
      <c r="A85" s="5" t="s">
        <v>230</v>
      </c>
      <c r="B85" s="27" t="s">
        <v>231</v>
      </c>
      <c r="C85" s="5" t="s">
        <v>20</v>
      </c>
      <c r="D85" s="28" t="n">
        <v>1155</v>
      </c>
      <c r="E85" s="29" t="n">
        <v>68.56</v>
      </c>
      <c r="F85" s="30" t="n">
        <v>0.56</v>
      </c>
      <c r="G85" s="30" t="n">
        <v>0.3</v>
      </c>
      <c r="H85" s="8" t="n">
        <f aca="false">E85*F85</f>
        <v>38.3936</v>
      </c>
      <c r="I85" s="8" t="n">
        <f aca="false">H85*G85</f>
        <v>11.51808</v>
      </c>
      <c r="J85" s="31" t="n">
        <f aca="false">Assumptions!$C$5/(1+EXP(-Assumptions!$C$6*(LN(D85)-Assumptions!$C$7)))</f>
        <v>0.0841875490431156</v>
      </c>
      <c r="K85" s="30" t="n">
        <v>0.45</v>
      </c>
      <c r="L85" s="32" t="n">
        <f aca="false">I85*J85</f>
        <v>0.969678924882529</v>
      </c>
      <c r="M85" s="33" t="n">
        <f aca="false">VLOOKUP(C85,Assumptions!$B$20:$C$23,2,FALSE())*L85/SUMIF($C$5:$C$134,C85,$L$5:$L$134)</f>
        <v>0.115104820208321</v>
      </c>
      <c r="N85" s="31" t="n">
        <f aca="false">IF(I85=0,0,M85/I85)</f>
        <v>0.00999340343254436</v>
      </c>
      <c r="O85" s="32" t="n">
        <f aca="false">I85*J85*K85</f>
        <v>0.436355516197138</v>
      </c>
      <c r="P85" s="32" t="n">
        <f aca="false">O85-M85</f>
        <v>0.321250695988818</v>
      </c>
      <c r="Q85" s="31" t="n">
        <f aca="false">Assumptions!$C$5/(1+EXP(-Assumptions!$C$6*(LN(D85)-(Assumptions!$C$7+Assumptions!$C$8))))</f>
        <v>0.0551885146164488</v>
      </c>
      <c r="R85" s="32" t="n">
        <f aca="false">I85*Q85*K85</f>
        <v>0.286049576895042</v>
      </c>
      <c r="S85" s="31" t="n">
        <f aca="false">Assumptions!$C$5/(1+EXP(-Assumptions!$C$6*(LN(D85)-(Assumptions!$C$7-Assumptions!$C$8))))</f>
        <v>0.125050592167114</v>
      </c>
      <c r="T85" s="32" t="n">
        <f aca="false">I85*S85*K85</f>
        <v>0.648154226082686</v>
      </c>
      <c r="U85" s="34" t="n">
        <f aca="false">VLOOKUP(A85,Pricing!$A$5:$L$134,12,FALSE())</f>
        <v>3.1921568627451</v>
      </c>
      <c r="V85" s="18" t="n">
        <f aca="false">U85*Assumptions!$C$17</f>
        <v>1.46839215686275</v>
      </c>
      <c r="W85" s="10" t="n">
        <f aca="false">O85*V85*12</f>
        <v>7.68889221105207</v>
      </c>
      <c r="X85" s="35" t="n">
        <f aca="false">IF(D85&gt;=35000,1,IF(D85&gt;=12000,2,IF(D85&gt;=4000,3,4)))</f>
        <v>4</v>
      </c>
    </row>
    <row r="86" customFormat="false" ht="15" hidden="false" customHeight="true" outlineLevel="0" collapsed="false">
      <c r="A86" s="5" t="s">
        <v>232</v>
      </c>
      <c r="B86" s="27" t="s">
        <v>233</v>
      </c>
      <c r="C86" s="5" t="s">
        <v>20</v>
      </c>
      <c r="D86" s="28" t="n">
        <v>5902</v>
      </c>
      <c r="E86" s="29" t="n">
        <v>64.01</v>
      </c>
      <c r="F86" s="30" t="n">
        <v>0.56</v>
      </c>
      <c r="G86" s="30" t="n">
        <v>0.63</v>
      </c>
      <c r="H86" s="8" t="n">
        <f aca="false">E86*F86</f>
        <v>35.8456</v>
      </c>
      <c r="I86" s="8" t="n">
        <f aca="false">H86*G86</f>
        <v>22.582728</v>
      </c>
      <c r="J86" s="31" t="n">
        <f aca="false">Assumptions!$C$5/(1+EXP(-Assumptions!$C$6*(LN(D86)-Assumptions!$C$7)))</f>
        <v>0.263678057950445</v>
      </c>
      <c r="K86" s="30" t="n">
        <v>0.45</v>
      </c>
      <c r="L86" s="32" t="n">
        <f aca="false">I86*J86</f>
        <v>5.95456986226313</v>
      </c>
      <c r="M86" s="33" t="n">
        <f aca="false">VLOOKUP(C86,Assumptions!$B$20:$C$23,2,FALSE())*L86/SUMIF($C$5:$C$134,C86,$L$5:$L$134)</f>
        <v>0.70683158706034</v>
      </c>
      <c r="N86" s="31" t="n">
        <f aca="false">IF(I86=0,0,M86/I86)</f>
        <v>0.0312996546325289</v>
      </c>
      <c r="O86" s="32" t="n">
        <f aca="false">I86*J86*K86</f>
        <v>2.67955643801841</v>
      </c>
      <c r="P86" s="32" t="n">
        <f aca="false">O86-M86</f>
        <v>1.97272485095807</v>
      </c>
      <c r="Q86" s="31" t="n">
        <f aca="false">Assumptions!$C$5/(1+EXP(-Assumptions!$C$6*(LN(D86)-(Assumptions!$C$7+Assumptions!$C$8))))</f>
        <v>0.195399068282009</v>
      </c>
      <c r="R86" s="32" t="n">
        <f aca="false">I86*Q86*K86</f>
        <v>1.98568980470971</v>
      </c>
      <c r="S86" s="31" t="n">
        <f aca="false">Assumptions!$C$5/(1+EXP(-Assumptions!$C$6*(LN(D86)-(Assumptions!$C$7-Assumptions!$C$8))))</f>
        <v>0.336885888765905</v>
      </c>
      <c r="T86" s="32" t="n">
        <f aca="false">I86*S86*K86</f>
        <v>3.42351107686741</v>
      </c>
      <c r="U86" s="34" t="n">
        <f aca="false">VLOOKUP(A86,Pricing!$A$5:$L$134,12,FALSE())</f>
        <v>5.43188219597766</v>
      </c>
      <c r="V86" s="18" t="n">
        <f aca="false">U86*Assumptions!$C$17</f>
        <v>2.49866581014973</v>
      </c>
      <c r="W86" s="10" t="n">
        <f aca="false">O86*V86*12</f>
        <v>80.3437926965182</v>
      </c>
      <c r="X86" s="35" t="n">
        <f aca="false">IF(D86&gt;=35000,1,IF(D86&gt;=12000,2,IF(D86&gt;=4000,3,4)))</f>
        <v>3</v>
      </c>
    </row>
    <row r="87" customFormat="false" ht="15" hidden="false" customHeight="true" outlineLevel="0" collapsed="false">
      <c r="A87" s="5" t="s">
        <v>234</v>
      </c>
      <c r="B87" s="27" t="s">
        <v>235</v>
      </c>
      <c r="C87" s="5" t="s">
        <v>20</v>
      </c>
      <c r="D87" s="28" t="n">
        <v>1904</v>
      </c>
      <c r="E87" s="29" t="n">
        <v>56.43</v>
      </c>
      <c r="F87" s="30" t="n">
        <v>0.56</v>
      </c>
      <c r="G87" s="30" t="n">
        <v>0.47</v>
      </c>
      <c r="H87" s="8" t="n">
        <f aca="false">E87*F87</f>
        <v>31.6008</v>
      </c>
      <c r="I87" s="8" t="n">
        <f aca="false">H87*G87</f>
        <v>14.852376</v>
      </c>
      <c r="J87" s="31" t="n">
        <f aca="false">Assumptions!$C$5/(1+EXP(-Assumptions!$C$6*(LN(D87)-Assumptions!$C$7)))</f>
        <v>0.125036992351857</v>
      </c>
      <c r="K87" s="30" t="n">
        <v>0.45</v>
      </c>
      <c r="L87" s="32" t="n">
        <f aca="false">I87*J87</f>
        <v>1.85709642431891</v>
      </c>
      <c r="M87" s="33" t="n">
        <f aca="false">VLOOKUP(C87,Assumptions!$B$20:$C$23,2,FALSE())*L87/SUMIF($C$5:$C$134,C87,$L$5:$L$134)</f>
        <v>0.220444875665044</v>
      </c>
      <c r="N87" s="31" t="n">
        <f aca="false">IF(I87=0,0,M87/I87)</f>
        <v>0.0148423979883787</v>
      </c>
      <c r="O87" s="32" t="n">
        <f aca="false">I87*J87*K87</f>
        <v>0.835693390943508</v>
      </c>
      <c r="P87" s="32" t="n">
        <f aca="false">O87-M87</f>
        <v>0.615248515278464</v>
      </c>
      <c r="Q87" s="31" t="n">
        <f aca="false">Assumptions!$C$5/(1+EXP(-Assumptions!$C$6*(LN(D87)-(Assumptions!$C$7+Assumptions!$C$8))))</f>
        <v>0.0841776374557094</v>
      </c>
      <c r="R87" s="32" t="n">
        <f aca="false">I87*Q87*K87</f>
        <v>0.562607065027746</v>
      </c>
      <c r="S87" s="31" t="n">
        <f aca="false">Assumptions!$C$5/(1+EXP(-Assumptions!$C$6*(LN(D87)-(Assumptions!$C$7-Assumptions!$C$8))))</f>
        <v>0.179100049401769</v>
      </c>
      <c r="T87" s="32" t="n">
        <f aca="false">I87*S87*K87</f>
        <v>1.19702757390014</v>
      </c>
      <c r="U87" s="34" t="n">
        <f aca="false">VLOOKUP(A87,Pricing!$A$5:$L$134,12,FALSE())</f>
        <v>3.42325581395349</v>
      </c>
      <c r="V87" s="18" t="n">
        <f aca="false">U87*Assumptions!$C$17</f>
        <v>1.5746976744186</v>
      </c>
      <c r="W87" s="10" t="n">
        <f aca="false">O87*V87*12</f>
        <v>15.7915732709489</v>
      </c>
      <c r="X87" s="35" t="n">
        <f aca="false">IF(D87&gt;=35000,1,IF(D87&gt;=12000,2,IF(D87&gt;=4000,3,4)))</f>
        <v>4</v>
      </c>
    </row>
    <row r="88" customFormat="false" ht="15" hidden="false" customHeight="true" outlineLevel="0" collapsed="false">
      <c r="A88" s="5" t="s">
        <v>236</v>
      </c>
      <c r="B88" s="27" t="s">
        <v>237</v>
      </c>
      <c r="C88" s="5" t="s">
        <v>20</v>
      </c>
      <c r="D88" s="28" t="n">
        <v>33097</v>
      </c>
      <c r="E88" s="29" t="n">
        <v>51.75</v>
      </c>
      <c r="F88" s="30" t="n">
        <v>0.85</v>
      </c>
      <c r="G88" s="30" t="n">
        <v>0.93</v>
      </c>
      <c r="H88" s="8" t="n">
        <f aca="false">E88*F88</f>
        <v>43.9875</v>
      </c>
      <c r="I88" s="8" t="n">
        <f aca="false">H88*G88</f>
        <v>40.908375</v>
      </c>
      <c r="J88" s="31" t="n">
        <f aca="false">Assumptions!$C$5/(1+EXP(-Assumptions!$C$6*(LN(D88)-Assumptions!$C$7)))</f>
        <v>0.4910210746034</v>
      </c>
      <c r="K88" s="30" t="n">
        <v>0.12</v>
      </c>
      <c r="L88" s="32" t="n">
        <f aca="false">I88*J88</f>
        <v>20.0868742527789</v>
      </c>
      <c r="M88" s="33" t="n">
        <f aca="false">VLOOKUP(C88,Assumptions!$B$20:$C$23,2,FALSE())*L88/SUMIF($C$5:$C$134,C88,$L$5:$L$134)</f>
        <v>2.38439342145479</v>
      </c>
      <c r="N88" s="31" t="n">
        <f aca="false">IF(I88=0,0,M88/I88)</f>
        <v>0.0582861925328197</v>
      </c>
      <c r="O88" s="32" t="n">
        <f aca="false">I88*J88*K88</f>
        <v>2.41042491033346</v>
      </c>
      <c r="P88" s="32" t="n">
        <f aca="false">O88-M88</f>
        <v>0.0260314888786755</v>
      </c>
      <c r="Q88" s="31" t="n">
        <f aca="false">Assumptions!$C$5/(1+EXP(-Assumptions!$C$6*(LN(D88)-(Assumptions!$C$7+Assumptions!$C$8))))</f>
        <v>0.435887607170517</v>
      </c>
      <c r="R88" s="32" t="n">
        <f aca="false">I88*Q88*K88</f>
        <v>2.13977444303811</v>
      </c>
      <c r="S88" s="31" t="n">
        <f aca="false">Assumptions!$C$5/(1+EXP(-Assumptions!$C$6*(LN(D88)-(Assumptions!$C$7-Assumptions!$C$8))))</f>
        <v>0.53294199922472</v>
      </c>
      <c r="T88" s="32" t="n">
        <f aca="false">I88*S88*K88</f>
        <v>2.61621493890415</v>
      </c>
      <c r="U88" s="34" t="n">
        <f aca="false">VLOOKUP(A88,Pricing!$A$5:$L$134,12,FALSE())</f>
        <v>6.98976319306619</v>
      </c>
      <c r="V88" s="18" t="n">
        <f aca="false">U88*Assumptions!$C$17</f>
        <v>3.21529106881045</v>
      </c>
      <c r="W88" s="10" t="n">
        <f aca="false">O88*V88*12</f>
        <v>93.0026122348008</v>
      </c>
      <c r="X88" s="35" t="n">
        <f aca="false">IF(D88&gt;=35000,1,IF(D88&gt;=12000,2,IF(D88&gt;=4000,3,4)))</f>
        <v>2</v>
      </c>
    </row>
    <row r="89" customFormat="false" ht="15" hidden="false" customHeight="true" outlineLevel="0" collapsed="false">
      <c r="A89" s="5" t="s">
        <v>238</v>
      </c>
      <c r="B89" s="27" t="s">
        <v>239</v>
      </c>
      <c r="C89" s="5" t="s">
        <v>20</v>
      </c>
      <c r="D89" s="28" t="n">
        <v>985</v>
      </c>
      <c r="E89" s="29" t="n">
        <v>50.02</v>
      </c>
      <c r="F89" s="30" t="n">
        <v>0.56</v>
      </c>
      <c r="G89" s="30" t="n">
        <v>0.3</v>
      </c>
      <c r="H89" s="8" t="n">
        <f aca="false">E89*F89</f>
        <v>28.0112</v>
      </c>
      <c r="I89" s="8" t="n">
        <f aca="false">H89*G89</f>
        <v>8.40336</v>
      </c>
      <c r="J89" s="31" t="n">
        <f aca="false">Assumptions!$C$5/(1+EXP(-Assumptions!$C$6*(LN(D89)-Assumptions!$C$7)))</f>
        <v>0.0737763400443627</v>
      </c>
      <c r="K89" s="30" t="n">
        <v>0.45</v>
      </c>
      <c r="L89" s="32" t="n">
        <f aca="false">I89*J89</f>
        <v>0.619969144875195</v>
      </c>
      <c r="M89" s="33" t="n">
        <f aca="false">VLOOKUP(C89,Assumptions!$B$20:$C$23,2,FALSE())*L89/SUMIF($C$5:$C$134,C89,$L$5:$L$134)</f>
        <v>0.0735928513288155</v>
      </c>
      <c r="N89" s="31" t="n">
        <f aca="false">IF(I89=0,0,M89/I89)</f>
        <v>0.00875755070933715</v>
      </c>
      <c r="O89" s="32" t="n">
        <f aca="false">I89*J89*K89</f>
        <v>0.278986115193838</v>
      </c>
      <c r="P89" s="32" t="n">
        <f aca="false">O89-M89</f>
        <v>0.205393263865022</v>
      </c>
      <c r="Q89" s="31" t="n">
        <f aca="false">Assumptions!$C$5/(1+EXP(-Assumptions!$C$6*(LN(D89)-(Assumptions!$C$7+Assumptions!$C$8))))</f>
        <v>0.048041977525896</v>
      </c>
      <c r="R89" s="32" t="n">
        <f aca="false">I89*Q89*K89</f>
        <v>0.181671314517906</v>
      </c>
      <c r="S89" s="31" t="n">
        <f aca="false">Assumptions!$C$5/(1+EXP(-Assumptions!$C$6*(LN(D89)-(Assumptions!$C$7-Assumptions!$C$8))))</f>
        <v>0.110629357144437</v>
      </c>
      <c r="T89" s="32" t="n">
        <f aca="false">I89*S89*K89</f>
        <v>0.418346241593973</v>
      </c>
      <c r="U89" s="34" t="n">
        <f aca="false">VLOOKUP(A89,Pricing!$A$5:$L$134,12,FALSE())</f>
        <v>3.21486486486486</v>
      </c>
      <c r="V89" s="18" t="n">
        <f aca="false">U89*Assumptions!$C$17</f>
        <v>1.47883783783784</v>
      </c>
      <c r="W89" s="10" t="n">
        <f aca="false">O89*V89*12</f>
        <v>4.9509026805604</v>
      </c>
      <c r="X89" s="35" t="n">
        <f aca="false">IF(D89&gt;=35000,1,IF(D89&gt;=12000,2,IF(D89&gt;=4000,3,4)))</f>
        <v>4</v>
      </c>
    </row>
    <row r="90" customFormat="false" ht="15" hidden="false" customHeight="true" outlineLevel="0" collapsed="false">
      <c r="A90" s="5" t="s">
        <v>240</v>
      </c>
      <c r="B90" s="27" t="s">
        <v>241</v>
      </c>
      <c r="C90" s="5" t="s">
        <v>20</v>
      </c>
      <c r="D90" s="28" t="n">
        <v>5124</v>
      </c>
      <c r="E90" s="29" t="n">
        <v>46.81</v>
      </c>
      <c r="F90" s="30" t="n">
        <v>0.66</v>
      </c>
      <c r="G90" s="30" t="n">
        <v>0.63</v>
      </c>
      <c r="H90" s="8" t="n">
        <f aca="false">E90*F90</f>
        <v>30.8946</v>
      </c>
      <c r="I90" s="8" t="n">
        <f aca="false">H90*G90</f>
        <v>19.463598</v>
      </c>
      <c r="J90" s="31" t="n">
        <f aca="false">Assumptions!$C$5/(1+EXP(-Assumptions!$C$6*(LN(D90)-Assumptions!$C$7)))</f>
        <v>0.243560219323533</v>
      </c>
      <c r="K90" s="30" t="n">
        <v>0.45</v>
      </c>
      <c r="L90" s="32" t="n">
        <f aca="false">I90*J90</f>
        <v>4.74055819770507</v>
      </c>
      <c r="M90" s="33" t="n">
        <f aca="false">VLOOKUP(C90,Assumptions!$B$20:$C$23,2,FALSE())*L90/SUMIF($C$5:$C$134,C90,$L$5:$L$134)</f>
        <v>0.562723479939533</v>
      </c>
      <c r="N90" s="31" t="n">
        <f aca="false">IF(I90=0,0,M90/I90)</f>
        <v>0.028911585614311</v>
      </c>
      <c r="O90" s="32" t="n">
        <f aca="false">I90*J90*K90</f>
        <v>2.13325118896728</v>
      </c>
      <c r="P90" s="32" t="n">
        <f aca="false">O90-M90</f>
        <v>1.57052770902775</v>
      </c>
      <c r="Q90" s="31" t="n">
        <f aca="false">Assumptions!$C$5/(1+EXP(-Assumptions!$C$6*(LN(D90)-(Assumptions!$C$7+Assumptions!$C$8))))</f>
        <v>0.17788993251863</v>
      </c>
      <c r="R90" s="32" t="n">
        <f aca="false">I90*Q90*K90</f>
        <v>1.55807016065538</v>
      </c>
      <c r="S90" s="31" t="n">
        <f aca="false">Assumptions!$C$5/(1+EXP(-Assumptions!$C$6*(LN(D90)-(Assumptions!$C$7-Assumptions!$C$8))))</f>
        <v>0.316138147768674</v>
      </c>
      <c r="T90" s="32" t="n">
        <f aca="false">I90*S90*K90</f>
        <v>2.76893361928533</v>
      </c>
      <c r="U90" s="34" t="n">
        <f aca="false">VLOOKUP(A90,Pricing!$A$5:$L$134,12,FALSE())</f>
        <v>5.26</v>
      </c>
      <c r="V90" s="18" t="n">
        <f aca="false">U90*Assumptions!$C$17</f>
        <v>2.4196</v>
      </c>
      <c r="W90" s="10" t="n">
        <f aca="false">O90*V90*12</f>
        <v>61.9393749219028</v>
      </c>
      <c r="X90" s="35" t="n">
        <f aca="false">IF(D90&gt;=35000,1,IF(D90&gt;=12000,2,IF(D90&gt;=4000,3,4)))</f>
        <v>3</v>
      </c>
    </row>
    <row r="91" customFormat="false" ht="15" hidden="false" customHeight="true" outlineLevel="0" collapsed="false">
      <c r="A91" s="5" t="s">
        <v>242</v>
      </c>
      <c r="B91" s="27" t="s">
        <v>243</v>
      </c>
      <c r="C91" s="5" t="s">
        <v>20</v>
      </c>
      <c r="D91" s="28" t="n">
        <v>3705</v>
      </c>
      <c r="E91" s="29" t="n">
        <v>38.08</v>
      </c>
      <c r="F91" s="30" t="n">
        <v>0.66</v>
      </c>
      <c r="G91" s="30" t="n">
        <v>0.63</v>
      </c>
      <c r="H91" s="8" t="n">
        <f aca="false">E91*F91</f>
        <v>25.1328</v>
      </c>
      <c r="I91" s="8" t="n">
        <f aca="false">H91*G91</f>
        <v>15.833664</v>
      </c>
      <c r="J91" s="31" t="n">
        <f aca="false">Assumptions!$C$5/(1+EXP(-Assumptions!$C$6*(LN(D91)-Assumptions!$C$7)))</f>
        <v>0.199797363932823</v>
      </c>
      <c r="K91" s="30" t="n">
        <v>0.45</v>
      </c>
      <c r="L91" s="32" t="n">
        <f aca="false">I91*J91</f>
        <v>3.16352432859804</v>
      </c>
      <c r="M91" s="33" t="n">
        <f aca="false">VLOOKUP(C91,Assumptions!$B$20:$C$23,2,FALSE())*L91/SUMIF($C$5:$C$134,C91,$L$5:$L$134)</f>
        <v>0.375523165167314</v>
      </c>
      <c r="N91" s="31" t="n">
        <f aca="false">IF(I91=0,0,M91/I91)</f>
        <v>0.023716757231132</v>
      </c>
      <c r="O91" s="32" t="n">
        <f aca="false">I91*J91*K91</f>
        <v>1.42358594786912</v>
      </c>
      <c r="P91" s="32" t="n">
        <f aca="false">O91-M91</f>
        <v>1.04806278270181</v>
      </c>
      <c r="Q91" s="31" t="n">
        <f aca="false">Assumptions!$C$5/(1+EXP(-Assumptions!$C$6*(LN(D91)-(Assumptions!$C$7+Assumptions!$C$8))))</f>
        <v>0.141491602738549</v>
      </c>
      <c r="R91" s="32" t="n">
        <f aca="false">I91*Q91*K91</f>
        <v>1.00814872346265</v>
      </c>
      <c r="S91" s="31" t="n">
        <f aca="false">Assumptions!$C$5/(1+EXP(-Assumptions!$C$6*(LN(D91)-(Assumptions!$C$7-Assumptions!$C$8))))</f>
        <v>0.268640876359107</v>
      </c>
      <c r="T91" s="32" t="n">
        <f aca="false">I91*S91*K91</f>
        <v>1.91410621782104</v>
      </c>
      <c r="U91" s="34" t="n">
        <f aca="false">VLOOKUP(A91,Pricing!$A$5:$L$134,12,FALSE())</f>
        <v>4.86363636363636</v>
      </c>
      <c r="V91" s="18" t="n">
        <f aca="false">U91*Assumptions!$C$17</f>
        <v>2.23727272727273</v>
      </c>
      <c r="W91" s="10" t="n">
        <f aca="false">O91*V91*12</f>
        <v>38.2194001931553</v>
      </c>
      <c r="X91" s="35" t="n">
        <f aca="false">IF(D91&gt;=35000,1,IF(D91&gt;=12000,2,IF(D91&gt;=4000,3,4)))</f>
        <v>4</v>
      </c>
    </row>
    <row r="92" customFormat="false" ht="15" hidden="false" customHeight="true" outlineLevel="0" collapsed="false">
      <c r="A92" s="5" t="s">
        <v>244</v>
      </c>
      <c r="B92" s="27" t="s">
        <v>245</v>
      </c>
      <c r="C92" s="5" t="s">
        <v>20</v>
      </c>
      <c r="D92" s="28" t="n">
        <v>2500</v>
      </c>
      <c r="E92" s="29" t="n">
        <v>36.36</v>
      </c>
      <c r="F92" s="30" t="n">
        <v>0.7</v>
      </c>
      <c r="G92" s="30" t="n">
        <v>0.47</v>
      </c>
      <c r="H92" s="8" t="n">
        <f aca="false">E92*F92</f>
        <v>25.452</v>
      </c>
      <c r="I92" s="8" t="n">
        <f aca="false">H92*G92</f>
        <v>11.96244</v>
      </c>
      <c r="J92" s="31" t="n">
        <f aca="false">Assumptions!$C$5/(1+EXP(-Assumptions!$C$6*(LN(D92)-Assumptions!$C$7)))</f>
        <v>0.152854268980305</v>
      </c>
      <c r="K92" s="30" t="n">
        <v>0.45</v>
      </c>
      <c r="L92" s="32" t="n">
        <f aca="false">I92*J92</f>
        <v>1.82851002142075</v>
      </c>
      <c r="M92" s="33" t="n">
        <f aca="false">VLOOKUP(C92,Assumptions!$B$20:$C$23,2,FALSE())*L92/SUMIF($C$5:$C$134,C92,$L$5:$L$134)</f>
        <v>0.217051553729752</v>
      </c>
      <c r="N92" s="31" t="n">
        <f aca="false">IF(I92=0,0,M92/I92)</f>
        <v>0.018144421516827</v>
      </c>
      <c r="O92" s="32" t="n">
        <f aca="false">I92*J92*K92</f>
        <v>0.82282950963934</v>
      </c>
      <c r="P92" s="32" t="n">
        <f aca="false">O92-M92</f>
        <v>0.605777955909588</v>
      </c>
      <c r="Q92" s="31" t="n">
        <f aca="false">Assumptions!$C$5/(1+EXP(-Assumptions!$C$6*(LN(D92)-(Assumptions!$C$7+Assumptions!$C$8))))</f>
        <v>0.104830057762139</v>
      </c>
      <c r="R92" s="32" t="n">
        <f aca="false">I92*Q92*K92</f>
        <v>0.564310474279255</v>
      </c>
      <c r="S92" s="31" t="n">
        <f aca="false">Assumptions!$C$5/(1+EXP(-Assumptions!$C$6*(LN(D92)-(Assumptions!$C$7-Assumptions!$C$8))))</f>
        <v>0.213750747369599</v>
      </c>
      <c r="T92" s="32" t="n">
        <f aca="false">I92*S92*K92</f>
        <v>1.1506412206638</v>
      </c>
      <c r="U92" s="34" t="n">
        <f aca="false">VLOOKUP(A92,Pricing!$A$5:$L$134,12,FALSE())</f>
        <v>5.975</v>
      </c>
      <c r="V92" s="18" t="n">
        <f aca="false">U92*Assumptions!$C$17</f>
        <v>2.7485</v>
      </c>
      <c r="W92" s="10" t="n">
        <f aca="false">O92*V92*12</f>
        <v>27.1385628869247</v>
      </c>
      <c r="X92" s="35" t="n">
        <f aca="false">IF(D92&gt;=35000,1,IF(D92&gt;=12000,2,IF(D92&gt;=4000,3,4)))</f>
        <v>4</v>
      </c>
    </row>
    <row r="93" customFormat="false" ht="15" hidden="false" customHeight="true" outlineLevel="0" collapsed="false">
      <c r="A93" s="5" t="s">
        <v>246</v>
      </c>
      <c r="B93" s="27" t="s">
        <v>247</v>
      </c>
      <c r="C93" s="5" t="s">
        <v>20</v>
      </c>
      <c r="D93" s="28" t="n">
        <v>11239</v>
      </c>
      <c r="E93" s="29" t="n">
        <v>35.56</v>
      </c>
      <c r="F93" s="30" t="n">
        <v>0.74</v>
      </c>
      <c r="G93" s="30" t="n">
        <v>0.76</v>
      </c>
      <c r="H93" s="8" t="n">
        <f aca="false">E93*F93</f>
        <v>26.3144</v>
      </c>
      <c r="I93" s="8" t="n">
        <f aca="false">H93*G93</f>
        <v>19.998944</v>
      </c>
      <c r="J93" s="31" t="n">
        <f aca="false">Assumptions!$C$5/(1+EXP(-Assumptions!$C$6*(LN(D93)-Assumptions!$C$7)))</f>
        <v>0.357788090576982</v>
      </c>
      <c r="K93" s="30" t="n">
        <v>0.52</v>
      </c>
      <c r="L93" s="32" t="n">
        <f aca="false">I93*J93</f>
        <v>7.155383987316</v>
      </c>
      <c r="M93" s="33" t="n">
        <f aca="false">VLOOKUP(C93,Assumptions!$B$20:$C$23,2,FALSE())*L93/SUMIF($C$5:$C$134,C93,$L$5:$L$134)</f>
        <v>0.849373092728895</v>
      </c>
      <c r="N93" s="31" t="n">
        <f aca="false">IF(I93=0,0,M93/I93)</f>
        <v>0.0424708970998116</v>
      </c>
      <c r="O93" s="32" t="n">
        <f aca="false">I93*J93*K93</f>
        <v>3.72079967340432</v>
      </c>
      <c r="P93" s="32" t="n">
        <f aca="false">O93-M93</f>
        <v>2.87142658067542</v>
      </c>
      <c r="Q93" s="31" t="n">
        <f aca="false">Assumptions!$C$5/(1+EXP(-Assumptions!$C$6*(LN(D93)-(Assumptions!$C$7+Assumptions!$C$8))))</f>
        <v>0.284604165788659</v>
      </c>
      <c r="R93" s="32" t="n">
        <f aca="false">I93*Q93*K93</f>
        <v>2.95972704236254</v>
      </c>
      <c r="S93" s="31" t="n">
        <f aca="false">Assumptions!$C$5/(1+EXP(-Assumptions!$C$6*(LN(D93)-(Assumptions!$C$7-Assumptions!$C$8))))</f>
        <v>0.425894240875462</v>
      </c>
      <c r="T93" s="32" t="n">
        <f aca="false">I93*S93*K93</f>
        <v>4.42906623805926</v>
      </c>
      <c r="U93" s="34" t="n">
        <f aca="false">VLOOKUP(A93,Pricing!$A$5:$L$134,12,FALSE())</f>
        <v>4.58751229105211</v>
      </c>
      <c r="V93" s="18" t="n">
        <f aca="false">U93*Assumptions!$C$17</f>
        <v>2.11025565388397</v>
      </c>
      <c r="W93" s="10" t="n">
        <f aca="false">O93*V93*12</f>
        <v>94.2220625732532</v>
      </c>
      <c r="X93" s="35" t="n">
        <f aca="false">IF(D93&gt;=35000,1,IF(D93&gt;=12000,2,IF(D93&gt;=4000,3,4)))</f>
        <v>3</v>
      </c>
    </row>
    <row r="94" customFormat="false" ht="15" hidden="false" customHeight="true" outlineLevel="0" collapsed="false">
      <c r="A94" s="5" t="s">
        <v>248</v>
      </c>
      <c r="B94" s="27" t="s">
        <v>249</v>
      </c>
      <c r="C94" s="5" t="s">
        <v>20</v>
      </c>
      <c r="D94" s="28" t="n">
        <v>30243</v>
      </c>
      <c r="E94" s="29" t="n">
        <v>35.3</v>
      </c>
      <c r="F94" s="30" t="n">
        <v>0.72</v>
      </c>
      <c r="G94" s="30" t="n">
        <v>0.93</v>
      </c>
      <c r="H94" s="8" t="n">
        <f aca="false">E94*F94</f>
        <v>25.416</v>
      </c>
      <c r="I94" s="8" t="n">
        <f aca="false">H94*G94</f>
        <v>23.63688</v>
      </c>
      <c r="J94" s="31" t="n">
        <f aca="false">Assumptions!$C$5/(1+EXP(-Assumptions!$C$6*(LN(D94)-Assumptions!$C$7)))</f>
        <v>0.482051339376475</v>
      </c>
      <c r="K94" s="30" t="n">
        <v>0.45</v>
      </c>
      <c r="L94" s="32" t="n">
        <f aca="false">I94*J94</f>
        <v>11.394189662681</v>
      </c>
      <c r="M94" s="33" t="n">
        <f aca="false">VLOOKUP(C94,Assumptions!$B$20:$C$23,2,FALSE())*L94/SUMIF($C$5:$C$134,C94,$L$5:$L$134)</f>
        <v>1.35253651377572</v>
      </c>
      <c r="N94" s="31" t="n">
        <f aca="false">IF(I94=0,0,M94/I94)</f>
        <v>0.0572214485911728</v>
      </c>
      <c r="O94" s="32" t="n">
        <f aca="false">I94*J94*K94</f>
        <v>5.12738534820646</v>
      </c>
      <c r="P94" s="32" t="n">
        <f aca="false">O94-M94</f>
        <v>3.77484883443074</v>
      </c>
      <c r="Q94" s="31" t="n">
        <f aca="false">Assumptions!$C$5/(1+EXP(-Assumptions!$C$6*(LN(D94)-(Assumptions!$C$7+Assumptions!$C$8))))</f>
        <v>0.424609396605378</v>
      </c>
      <c r="R94" s="32" t="n">
        <f aca="false">I94*Q94*K94</f>
        <v>4.51639860949517</v>
      </c>
      <c r="S94" s="31" t="n">
        <f aca="false">Assumptions!$C$5/(1+EXP(-Assumptions!$C$6*(LN(D94)-(Assumptions!$C$7-Assumptions!$C$8))))</f>
        <v>0.526331479420902</v>
      </c>
      <c r="T94" s="32" t="n">
        <f aca="false">I94*S94*K94</f>
        <v>5.59837530868245</v>
      </c>
      <c r="U94" s="34" t="n">
        <f aca="false">VLOOKUP(A94,Pricing!$A$5:$L$134,12,FALSE())</f>
        <v>7.62666666666667</v>
      </c>
      <c r="V94" s="18" t="n">
        <f aca="false">U94*Assumptions!$C$17</f>
        <v>3.50826666666667</v>
      </c>
      <c r="W94" s="10" t="n">
        <f aca="false">O94*V94*12</f>
        <v>215.858821251213</v>
      </c>
      <c r="X94" s="35" t="n">
        <f aca="false">IF(D94&gt;=35000,1,IF(D94&gt;=12000,2,IF(D94&gt;=4000,3,4)))</f>
        <v>2</v>
      </c>
    </row>
    <row r="95" customFormat="false" ht="15" hidden="false" customHeight="true" outlineLevel="0" collapsed="false">
      <c r="A95" s="5" t="s">
        <v>250</v>
      </c>
      <c r="B95" s="27" t="s">
        <v>251</v>
      </c>
      <c r="C95" s="5" t="s">
        <v>20</v>
      </c>
      <c r="D95" s="28" t="n">
        <v>2218</v>
      </c>
      <c r="E95" s="29" t="n">
        <v>34.43</v>
      </c>
      <c r="F95" s="30" t="n">
        <v>0.56</v>
      </c>
      <c r="G95" s="30" t="n">
        <v>0.47</v>
      </c>
      <c r="H95" s="8" t="n">
        <f aca="false">E95*F95</f>
        <v>19.2808</v>
      </c>
      <c r="I95" s="8" t="n">
        <f aca="false">H95*G95</f>
        <v>9.061976</v>
      </c>
      <c r="J95" s="31" t="n">
        <f aca="false">Assumptions!$C$5/(1+EXP(-Assumptions!$C$6*(LN(D95)-Assumptions!$C$7)))</f>
        <v>0.140139520727583</v>
      </c>
      <c r="K95" s="30" t="n">
        <v>0.45</v>
      </c>
      <c r="L95" s="32" t="n">
        <f aca="false">I95*J95</f>
        <v>1.26994097348486</v>
      </c>
      <c r="M95" s="33" t="n">
        <f aca="false">VLOOKUP(C95,Assumptions!$B$20:$C$23,2,FALSE())*L95/SUMIF($C$5:$C$134,C95,$L$5:$L$134)</f>
        <v>0.150747142870886</v>
      </c>
      <c r="N95" s="31" t="n">
        <f aca="false">IF(I95=0,0,M95/I95)</f>
        <v>0.0166351293438524</v>
      </c>
      <c r="O95" s="32" t="n">
        <f aca="false">I95*J95*K95</f>
        <v>0.571473438068186</v>
      </c>
      <c r="P95" s="32" t="n">
        <f aca="false">O95-M95</f>
        <v>0.4207262951973</v>
      </c>
      <c r="Q95" s="31" t="n">
        <f aca="false">Assumptions!$C$5/(1+EXP(-Assumptions!$C$6*(LN(D95)-(Assumptions!$C$7+Assumptions!$C$8))))</f>
        <v>0.0952951585565263</v>
      </c>
      <c r="R95" s="32" t="n">
        <f aca="false">I95*Q95*K95</f>
        <v>0.388603097889946</v>
      </c>
      <c r="S95" s="31" t="n">
        <f aca="false">Assumptions!$C$5/(1+EXP(-Assumptions!$C$6*(LN(D95)-(Assumptions!$C$7-Assumptions!$C$8))))</f>
        <v>0.198118802232922</v>
      </c>
      <c r="T95" s="32" t="n">
        <f aca="false">I95*S95*K95</f>
        <v>0.807906523942569</v>
      </c>
      <c r="U95" s="34" t="n">
        <f aca="false">VLOOKUP(A95,Pricing!$A$5:$L$134,12,FALSE())</f>
        <v>1.72697368421053</v>
      </c>
      <c r="V95" s="18" t="n">
        <f aca="false">U95*Assumptions!$C$17</f>
        <v>0.794407894736842</v>
      </c>
      <c r="W95" s="10" t="n">
        <f aca="false">O95*V95*12</f>
        <v>5.44779613000527</v>
      </c>
      <c r="X95" s="35" t="n">
        <f aca="false">IF(D95&gt;=35000,1,IF(D95&gt;=12000,2,IF(D95&gt;=4000,3,4)))</f>
        <v>4</v>
      </c>
    </row>
    <row r="96" customFormat="false" ht="15" hidden="false" customHeight="true" outlineLevel="0" collapsed="false">
      <c r="A96" s="5" t="s">
        <v>252</v>
      </c>
      <c r="B96" s="27" t="s">
        <v>253</v>
      </c>
      <c r="C96" s="5" t="s">
        <v>20</v>
      </c>
      <c r="D96" s="28" t="n">
        <v>1380</v>
      </c>
      <c r="E96" s="29" t="n">
        <v>29.65</v>
      </c>
      <c r="F96" s="30" t="n">
        <v>0.69</v>
      </c>
      <c r="G96" s="30" t="n">
        <v>0.3</v>
      </c>
      <c r="H96" s="8" t="n">
        <f aca="false">E96*F96</f>
        <v>20.4585</v>
      </c>
      <c r="I96" s="8" t="n">
        <f aca="false">H96*G96</f>
        <v>6.13755</v>
      </c>
      <c r="J96" s="31" t="n">
        <f aca="false">Assumptions!$C$5/(1+EXP(-Assumptions!$C$6*(LN(D96)-Assumptions!$C$7)))</f>
        <v>0.0972635460794966</v>
      </c>
      <c r="K96" s="30" t="n">
        <v>0.45</v>
      </c>
      <c r="L96" s="32" t="n">
        <f aca="false">I96*J96</f>
        <v>0.596959877240214</v>
      </c>
      <c r="M96" s="33" t="n">
        <f aca="false">VLOOKUP(C96,Assumptions!$B$20:$C$23,2,FALSE())*L96/SUMIF($C$5:$C$134,C96,$L$5:$L$134)</f>
        <v>0.070861557963261</v>
      </c>
      <c r="N96" s="31" t="n">
        <f aca="false">IF(I96=0,0,M96/I96)</f>
        <v>0.0115455773009199</v>
      </c>
      <c r="O96" s="32" t="n">
        <f aca="false">I96*J96*K96</f>
        <v>0.268631944758097</v>
      </c>
      <c r="P96" s="32" t="n">
        <f aca="false">O96-M96</f>
        <v>0.197770386794835</v>
      </c>
      <c r="Q96" s="31" t="n">
        <f aca="false">Assumptions!$C$5/(1+EXP(-Assumptions!$C$6*(LN(D96)-(Assumptions!$C$7+Assumptions!$C$8))))</f>
        <v>0.0643009099077878</v>
      </c>
      <c r="R96" s="32" t="n">
        <f aca="false">I96*Q96*K96</f>
        <v>0.177592522322044</v>
      </c>
      <c r="S96" s="31" t="n">
        <f aca="false">Assumptions!$C$5/(1+EXP(-Assumptions!$C$6*(LN(D96)-(Assumptions!$C$7-Assumptions!$C$8))))</f>
        <v>0.14278213817203</v>
      </c>
      <c r="T96" s="32" t="n">
        <f aca="false">I96*S96*K96</f>
        <v>0.394349630461984</v>
      </c>
      <c r="U96" s="34" t="n">
        <f aca="false">VLOOKUP(A96,Pricing!$A$5:$L$134,12,FALSE())</f>
        <v>3.584</v>
      </c>
      <c r="V96" s="18" t="n">
        <f aca="false">U96*Assumptions!$C$17</f>
        <v>1.64864</v>
      </c>
      <c r="W96" s="10" t="n">
        <f aca="false">O96*V96*12</f>
        <v>5.31452843287186</v>
      </c>
      <c r="X96" s="35" t="n">
        <f aca="false">IF(D96&gt;=35000,1,IF(D96&gt;=12000,2,IF(D96&gt;=4000,3,4)))</f>
        <v>4</v>
      </c>
    </row>
    <row r="97" customFormat="false" ht="15" hidden="false" customHeight="true" outlineLevel="0" collapsed="false">
      <c r="A97" s="5" t="s">
        <v>254</v>
      </c>
      <c r="B97" s="27" t="s">
        <v>255</v>
      </c>
      <c r="C97" s="5" t="s">
        <v>20</v>
      </c>
      <c r="D97" s="28" t="n">
        <v>63383</v>
      </c>
      <c r="E97" s="29" t="n">
        <v>27.2</v>
      </c>
      <c r="F97" s="30" t="n">
        <v>0.8</v>
      </c>
      <c r="G97" s="30" t="n">
        <v>0.96</v>
      </c>
      <c r="H97" s="8" t="n">
        <f aca="false">E97*F97</f>
        <v>21.76</v>
      </c>
      <c r="I97" s="8" t="n">
        <f aca="false">H97*G97</f>
        <v>20.8896</v>
      </c>
      <c r="J97" s="31" t="n">
        <f aca="false">Assumptions!$C$5/(1+EXP(-Assumptions!$C$6*(LN(D97)-Assumptions!$C$7)))</f>
        <v>0.543053901062499</v>
      </c>
      <c r="K97" s="30" t="n">
        <v>0.4</v>
      </c>
      <c r="L97" s="32" t="n">
        <f aca="false">I97*J97</f>
        <v>11.3441787716352</v>
      </c>
      <c r="M97" s="33" t="n">
        <f aca="false">VLOOKUP(C97,Assumptions!$B$20:$C$23,2,FALSE())*L97/SUMIF($C$5:$C$134,C97,$L$5:$L$134)</f>
        <v>1.34660001822593</v>
      </c>
      <c r="N97" s="31" t="n">
        <f aca="false">IF(I97=0,0,M97/I97)</f>
        <v>0.0644627000146451</v>
      </c>
      <c r="O97" s="32" t="n">
        <f aca="false">I97*J97*K97</f>
        <v>4.53767150865408</v>
      </c>
      <c r="P97" s="32" t="n">
        <f aca="false">O97-M97</f>
        <v>3.19107149042814</v>
      </c>
      <c r="Q97" s="31" t="n">
        <f aca="false">Assumptions!$C$5/(1+EXP(-Assumptions!$C$6*(LN(D97)-(Assumptions!$C$7+Assumptions!$C$8))))</f>
        <v>0.504951013782433</v>
      </c>
      <c r="R97" s="32" t="n">
        <f aca="false">I97*Q97*K97</f>
        <v>4.2192898790038</v>
      </c>
      <c r="S97" s="31" t="n">
        <f aca="false">Assumptions!$C$5/(1+EXP(-Assumptions!$C$6*(LN(D97)-(Assumptions!$C$7-Assumptions!$C$8))))</f>
        <v>0.569792295861784</v>
      </c>
      <c r="T97" s="32" t="n">
        <f aca="false">I97*S97*K97</f>
        <v>4.76109325745373</v>
      </c>
      <c r="U97" s="34" t="n">
        <f aca="false">VLOOKUP(A97,Pricing!$A$5:$L$134,12,FALSE())</f>
        <v>12.3207347227128</v>
      </c>
      <c r="V97" s="18" t="n">
        <f aca="false">U97*Assumptions!$C$17</f>
        <v>5.6675379724479</v>
      </c>
      <c r="W97" s="10" t="n">
        <f aca="false">O97*V97*12</f>
        <v>308.609106981503</v>
      </c>
      <c r="X97" s="35" t="n">
        <f aca="false">IF(D97&gt;=35000,1,IF(D97&gt;=12000,2,IF(D97&gt;=4000,3,4)))</f>
        <v>1</v>
      </c>
    </row>
    <row r="98" customFormat="false" ht="15" hidden="false" customHeight="true" outlineLevel="0" collapsed="false">
      <c r="A98" s="5" t="s">
        <v>256</v>
      </c>
      <c r="B98" s="27" t="s">
        <v>257</v>
      </c>
      <c r="C98" s="5" t="s">
        <v>20</v>
      </c>
      <c r="D98" s="28" t="n">
        <v>34000</v>
      </c>
      <c r="E98" s="29" t="n">
        <v>23.4</v>
      </c>
      <c r="F98" s="30" t="n">
        <v>0.74</v>
      </c>
      <c r="G98" s="30" t="n">
        <v>0.93</v>
      </c>
      <c r="H98" s="8" t="n">
        <f aca="false">E98*F98</f>
        <v>17.316</v>
      </c>
      <c r="I98" s="8" t="n">
        <f aca="false">H98*G98</f>
        <v>16.10388</v>
      </c>
      <c r="J98" s="31" t="n">
        <f aca="false">Assumptions!$C$5/(1+EXP(-Assumptions!$C$6*(LN(D98)-Assumptions!$C$7)))</f>
        <v>0.493613687493372</v>
      </c>
      <c r="K98" s="30" t="n">
        <v>0.3</v>
      </c>
      <c r="L98" s="32" t="n">
        <f aca="false">I98*J98</f>
        <v>7.94909558975077</v>
      </c>
      <c r="M98" s="33" t="n">
        <f aca="false">VLOOKUP(C98,Assumptions!$B$20:$C$23,2,FALSE())*L98/SUMIF($C$5:$C$134,C98,$L$5:$L$134)</f>
        <v>0.943589878255692</v>
      </c>
      <c r="N98" s="31" t="n">
        <f aca="false">IF(I98=0,0,M98/I98)</f>
        <v>0.0585939461953077</v>
      </c>
      <c r="O98" s="32" t="n">
        <f aca="false">I98*J98*K98</f>
        <v>2.38472867692523</v>
      </c>
      <c r="P98" s="32" t="n">
        <f aca="false">O98-M98</f>
        <v>1.44113879866954</v>
      </c>
      <c r="Q98" s="31" t="n">
        <f aca="false">Assumptions!$C$5/(1+EXP(-Assumptions!$C$6*(LN(D98)-(Assumptions!$C$7+Assumptions!$C$8))))</f>
        <v>0.439180348762942</v>
      </c>
      <c r="R98" s="32" t="n">
        <f aca="false">I98*Q98*K98</f>
        <v>2.12175229045097</v>
      </c>
      <c r="S98" s="31" t="n">
        <f aca="false">Assumptions!$C$5/(1+EXP(-Assumptions!$C$6*(LN(D98)-(Assumptions!$C$7-Assumptions!$C$8))))</f>
        <v>0.534838105867076</v>
      </c>
      <c r="T98" s="32" t="n">
        <f aca="false">I98*S98*K98</f>
        <v>2.5838906028932</v>
      </c>
      <c r="U98" s="34" t="n">
        <f aca="false">VLOOKUP(A98,Pricing!$A$5:$L$134,12,FALSE())</f>
        <v>5.7375</v>
      </c>
      <c r="V98" s="18" t="n">
        <f aca="false">U98*Assumptions!$C$17</f>
        <v>2.63925</v>
      </c>
      <c r="W98" s="10" t="n">
        <f aca="false">O98*V98*12</f>
        <v>75.526741926899</v>
      </c>
      <c r="X98" s="35" t="n">
        <f aca="false">IF(D98&gt;=35000,1,IF(D98&gt;=12000,2,IF(D98&gt;=4000,3,4)))</f>
        <v>2</v>
      </c>
    </row>
    <row r="99" customFormat="false" ht="15" hidden="false" customHeight="true" outlineLevel="0" collapsed="false">
      <c r="A99" s="5" t="s">
        <v>258</v>
      </c>
      <c r="B99" s="27" t="s">
        <v>259</v>
      </c>
      <c r="C99" s="5" t="s">
        <v>20</v>
      </c>
      <c r="D99" s="28" t="n">
        <v>3849</v>
      </c>
      <c r="E99" s="29" t="n">
        <v>21.92</v>
      </c>
      <c r="F99" s="30" t="n">
        <v>0.69</v>
      </c>
      <c r="G99" s="30" t="n">
        <v>0.63</v>
      </c>
      <c r="H99" s="8" t="n">
        <f aca="false">E99*F99</f>
        <v>15.1248</v>
      </c>
      <c r="I99" s="8" t="n">
        <f aca="false">H99*G99</f>
        <v>9.528624</v>
      </c>
      <c r="J99" s="31" t="n">
        <f aca="false">Assumptions!$C$5/(1+EXP(-Assumptions!$C$6*(LN(D99)-Assumptions!$C$7)))</f>
        <v>0.204733715292417</v>
      </c>
      <c r="K99" s="30" t="n">
        <v>0.45</v>
      </c>
      <c r="L99" s="32" t="n">
        <f aca="false">I99*J99</f>
        <v>1.9508305931445</v>
      </c>
      <c r="M99" s="33" t="n">
        <f aca="false">VLOOKUP(C99,Assumptions!$B$20:$C$23,2,FALSE())*L99/SUMIF($C$5:$C$134,C99,$L$5:$L$134)</f>
        <v>0.231571501575113</v>
      </c>
      <c r="N99" s="31" t="n">
        <f aca="false">IF(I99=0,0,M99/I99)</f>
        <v>0.0243027221532839</v>
      </c>
      <c r="O99" s="32" t="n">
        <f aca="false">I99*J99*K99</f>
        <v>0.877873766915023</v>
      </c>
      <c r="P99" s="32" t="n">
        <f aca="false">O99-M99</f>
        <v>0.64630226533991</v>
      </c>
      <c r="Q99" s="31" t="n">
        <f aca="false">Assumptions!$C$5/(1+EXP(-Assumptions!$C$6*(LN(D99)-(Assumptions!$C$7+Assumptions!$C$8))))</f>
        <v>0.145486164896661</v>
      </c>
      <c r="R99" s="32" t="n">
        <f aca="false">I99*Q99*K99</f>
        <v>0.623827333126026</v>
      </c>
      <c r="S99" s="31" t="n">
        <f aca="false">Assumptions!$C$5/(1+EXP(-Assumptions!$C$6*(LN(D99)-(Assumptions!$C$7-Assumptions!$C$8))))</f>
        <v>0.274168347370288</v>
      </c>
      <c r="T99" s="32" t="n">
        <f aca="false">I99*S99*K99</f>
        <v>1.17560119265679</v>
      </c>
      <c r="U99" s="34" t="n">
        <f aca="false">VLOOKUP(A99,Pricing!$A$5:$L$134,12,FALSE())</f>
        <v>2.673</v>
      </c>
      <c r="V99" s="18" t="n">
        <f aca="false">U99*Assumptions!$C$17</f>
        <v>1.22958</v>
      </c>
      <c r="W99" s="10" t="n">
        <f aca="false">O99*V99*12</f>
        <v>12.9529923158805</v>
      </c>
      <c r="X99" s="35" t="n">
        <f aca="false">IF(D99&gt;=35000,1,IF(D99&gt;=12000,2,IF(D99&gt;=4000,3,4)))</f>
        <v>4</v>
      </c>
    </row>
    <row r="100" customFormat="false" ht="15" hidden="false" customHeight="true" outlineLevel="0" collapsed="false">
      <c r="A100" s="5" t="s">
        <v>260</v>
      </c>
      <c r="B100" s="27" t="s">
        <v>261</v>
      </c>
      <c r="C100" s="5" t="s">
        <v>20</v>
      </c>
      <c r="D100" s="28" t="n">
        <v>12695</v>
      </c>
      <c r="E100" s="29" t="n">
        <v>20.59</v>
      </c>
      <c r="F100" s="30" t="n">
        <v>0.7</v>
      </c>
      <c r="G100" s="30" t="n">
        <v>0.86</v>
      </c>
      <c r="H100" s="8" t="n">
        <f aca="false">E100*F100</f>
        <v>14.413</v>
      </c>
      <c r="I100" s="8" t="n">
        <f aca="false">H100*G100</f>
        <v>12.39518</v>
      </c>
      <c r="J100" s="31" t="n">
        <f aca="false">Assumptions!$C$5/(1+EXP(-Assumptions!$C$6*(LN(D100)-Assumptions!$C$7)))</f>
        <v>0.375125576626081</v>
      </c>
      <c r="K100" s="30" t="n">
        <v>0.45</v>
      </c>
      <c r="L100" s="32" t="n">
        <f aca="false">I100*J100</f>
        <v>4.64974904488407</v>
      </c>
      <c r="M100" s="33" t="n">
        <f aca="false">VLOOKUP(C100,Assumptions!$B$20:$C$23,2,FALSE())*L100/SUMIF($C$5:$C$134,C100,$L$5:$L$134)</f>
        <v>0.551944065289475</v>
      </c>
      <c r="N100" s="31" t="n">
        <f aca="false">IF(I100=0,0,M100/I100)</f>
        <v>0.0445289269933535</v>
      </c>
      <c r="O100" s="32" t="n">
        <f aca="false">I100*J100*K100</f>
        <v>2.09238707019783</v>
      </c>
      <c r="P100" s="32" t="n">
        <f aca="false">O100-M100</f>
        <v>1.54044300490836</v>
      </c>
      <c r="Q100" s="31" t="n">
        <f aca="false">Assumptions!$C$5/(1+EXP(-Assumptions!$C$6*(LN(D100)-(Assumptions!$C$7+Assumptions!$C$8))))</f>
        <v>0.302486346356634</v>
      </c>
      <c r="R100" s="32" t="n">
        <f aca="false">I100*Q100*K100</f>
        <v>1.68721771978477</v>
      </c>
      <c r="S100" s="31" t="n">
        <f aca="false">Assumptions!$C$5/(1+EXP(-Assumptions!$C$6*(LN(D100)-(Assumptions!$C$7-Assumptions!$C$8))))</f>
        <v>0.440981697032816</v>
      </c>
      <c r="T100" s="32" t="n">
        <f aca="false">I100*S100*K100</f>
        <v>2.45972138014225</v>
      </c>
      <c r="U100" s="34" t="n">
        <f aca="false">VLOOKUP(A100,Pricing!$A$5:$L$134,12,FALSE())</f>
        <v>5.26</v>
      </c>
      <c r="V100" s="18" t="n">
        <f aca="false">U100*Assumptions!$C$17</f>
        <v>2.4196</v>
      </c>
      <c r="W100" s="10" t="n">
        <f aca="false">O100*V100*12</f>
        <v>60.7528770606081</v>
      </c>
      <c r="X100" s="35" t="n">
        <f aca="false">IF(D100&gt;=35000,1,IF(D100&gt;=12000,2,IF(D100&gt;=4000,3,4)))</f>
        <v>2</v>
      </c>
    </row>
    <row r="101" customFormat="false" ht="15" hidden="false" customHeight="true" outlineLevel="0" collapsed="false">
      <c r="A101" s="5" t="s">
        <v>262</v>
      </c>
      <c r="B101" s="27" t="s">
        <v>263</v>
      </c>
      <c r="C101" s="5" t="s">
        <v>20</v>
      </c>
      <c r="D101" s="28" t="n">
        <v>1801</v>
      </c>
      <c r="E101" s="29" t="n">
        <v>17.64</v>
      </c>
      <c r="F101" s="30" t="n">
        <v>0.74</v>
      </c>
      <c r="G101" s="30" t="n">
        <v>0.47</v>
      </c>
      <c r="H101" s="8" t="n">
        <f aca="false">E101*F101</f>
        <v>13.0536</v>
      </c>
      <c r="I101" s="8" t="n">
        <f aca="false">H101*G101</f>
        <v>6.135192</v>
      </c>
      <c r="J101" s="31" t="n">
        <f aca="false">Assumptions!$C$5/(1+EXP(-Assumptions!$C$6*(LN(D101)-Assumptions!$C$7)))</f>
        <v>0.119846091231484</v>
      </c>
      <c r="K101" s="30" t="n">
        <v>0.45</v>
      </c>
      <c r="L101" s="32" t="n">
        <f aca="false">I101*J101</f>
        <v>0.73527878015467</v>
      </c>
      <c r="M101" s="33" t="n">
        <f aca="false">VLOOKUP(C101,Assumptions!$B$20:$C$23,2,FALSE())*L101/SUMIF($C$5:$C$134,C101,$L$5:$L$134)</f>
        <v>0.0872805725905092</v>
      </c>
      <c r="N101" s="31" t="n">
        <f aca="false">IF(I101=0,0,M101/I101)</f>
        <v>0.0142262169774816</v>
      </c>
      <c r="O101" s="32" t="n">
        <f aca="false">I101*J101*K101</f>
        <v>0.330875451069601</v>
      </c>
      <c r="P101" s="32" t="n">
        <f aca="false">O101-M101</f>
        <v>0.243594878479092</v>
      </c>
      <c r="Q101" s="31" t="n">
        <f aca="false">Assumptions!$C$5/(1+EXP(-Assumptions!$C$6*(LN(D101)-(Assumptions!$C$7+Assumptions!$C$8))))</f>
        <v>0.0804074473441723</v>
      </c>
      <c r="R101" s="32" t="n">
        <f aca="false">I101*Q101*K101</f>
        <v>0.221991807458874</v>
      </c>
      <c r="S101" s="31" t="n">
        <f aca="false">Assumptions!$C$5/(1+EXP(-Assumptions!$C$6*(LN(D101)-(Assumptions!$C$7-Assumptions!$C$8))))</f>
        <v>0.172446688979129</v>
      </c>
      <c r="T101" s="32" t="n">
        <f aca="false">I101*S101*K101</f>
        <v>0.476097095993059</v>
      </c>
      <c r="U101" s="34" t="n">
        <f aca="false">VLOOKUP(A101,Pricing!$A$5:$L$134,12,FALSE())</f>
        <v>3.584</v>
      </c>
      <c r="V101" s="18" t="n">
        <f aca="false">U101*Assumptions!$C$17</f>
        <v>1.64864</v>
      </c>
      <c r="W101" s="10" t="n">
        <f aca="false">O101*V101*12</f>
        <v>6.54593404381665</v>
      </c>
      <c r="X101" s="35" t="n">
        <f aca="false">IF(D101&gt;=35000,1,IF(D101&gt;=12000,2,IF(D101&gt;=4000,3,4)))</f>
        <v>4</v>
      </c>
    </row>
    <row r="102" customFormat="false" ht="15" hidden="false" customHeight="true" outlineLevel="0" collapsed="false">
      <c r="A102" s="5" t="s">
        <v>264</v>
      </c>
      <c r="B102" s="27" t="s">
        <v>265</v>
      </c>
      <c r="C102" s="5" t="s">
        <v>20</v>
      </c>
      <c r="D102" s="28" t="n">
        <v>3953</v>
      </c>
      <c r="E102" s="29" t="n">
        <v>12.28</v>
      </c>
      <c r="F102" s="30" t="n">
        <v>0.66</v>
      </c>
      <c r="G102" s="30" t="n">
        <v>0.63</v>
      </c>
      <c r="H102" s="8" t="n">
        <f aca="false">E102*F102</f>
        <v>8.1048</v>
      </c>
      <c r="I102" s="8" t="n">
        <f aca="false">H102*G102</f>
        <v>5.106024</v>
      </c>
      <c r="J102" s="31" t="n">
        <f aca="false">Assumptions!$C$5/(1+EXP(-Assumptions!$C$6*(LN(D102)-Assumptions!$C$7)))</f>
        <v>0.208221738777017</v>
      </c>
      <c r="K102" s="30" t="n">
        <v>0.45</v>
      </c>
      <c r="L102" s="32" t="n">
        <f aca="false">I102*J102</f>
        <v>1.06318519551718</v>
      </c>
      <c r="M102" s="33" t="n">
        <f aca="false">VLOOKUP(C102,Assumptions!$B$20:$C$23,2,FALSE())*L102/SUMIF($C$5:$C$134,C102,$L$5:$L$134)</f>
        <v>0.126204393679051</v>
      </c>
      <c r="N102" s="31" t="n">
        <f aca="false">IF(I102=0,0,M102/I102)</f>
        <v>0.024716764684038</v>
      </c>
      <c r="O102" s="32" t="n">
        <f aca="false">I102*J102*K102</f>
        <v>0.478433337982731</v>
      </c>
      <c r="P102" s="32" t="n">
        <f aca="false">O102-M102</f>
        <v>0.352228944303681</v>
      </c>
      <c r="Q102" s="31" t="n">
        <f aca="false">Assumptions!$C$5/(1+EXP(-Assumptions!$C$6*(LN(D102)-(Assumptions!$C$7+Assumptions!$C$8))))</f>
        <v>0.148325331422773</v>
      </c>
      <c r="R102" s="32" t="n">
        <f aca="false">I102*Q102*K102</f>
        <v>0.340808715923686</v>
      </c>
      <c r="S102" s="31" t="n">
        <f aca="false">Assumptions!$C$5/(1+EXP(-Assumptions!$C$6*(LN(D102)-(Assumptions!$C$7-Assumptions!$C$8))))</f>
        <v>0.278047260194599</v>
      </c>
      <c r="T102" s="32" t="n">
        <f aca="false">I102*S102*K102</f>
        <v>0.638872192659539</v>
      </c>
      <c r="U102" s="34" t="n">
        <f aca="false">VLOOKUP(A102,Pricing!$A$5:$L$134,12,FALSE())</f>
        <v>4.26193548387097</v>
      </c>
      <c r="V102" s="18" t="n">
        <f aca="false">U102*Assumptions!$C$17</f>
        <v>1.96049032258065</v>
      </c>
      <c r="W102" s="10" t="n">
        <f aca="false">O102*V102*12</f>
        <v>11.2555671493812</v>
      </c>
      <c r="X102" s="35" t="n">
        <f aca="false">IF(D102&gt;=35000,1,IF(D102&gt;=12000,2,IF(D102&gt;=4000,3,4)))</f>
        <v>4</v>
      </c>
    </row>
    <row r="103" customFormat="false" ht="15" hidden="false" customHeight="true" outlineLevel="0" collapsed="false">
      <c r="A103" s="5" t="s">
        <v>266</v>
      </c>
      <c r="B103" s="27" t="s">
        <v>267</v>
      </c>
      <c r="C103" s="5" t="s">
        <v>20</v>
      </c>
      <c r="D103" s="28" t="n">
        <v>4398</v>
      </c>
      <c r="E103" s="29" t="n">
        <v>11.55</v>
      </c>
      <c r="F103" s="30" t="n">
        <v>0.72</v>
      </c>
      <c r="G103" s="30" t="n">
        <v>0.63</v>
      </c>
      <c r="H103" s="8" t="n">
        <f aca="false">E103*F103</f>
        <v>8.316</v>
      </c>
      <c r="I103" s="8" t="n">
        <f aca="false">H103*G103</f>
        <v>5.23908</v>
      </c>
      <c r="J103" s="31" t="n">
        <f aca="false">Assumptions!$C$5/(1+EXP(-Assumptions!$C$6*(LN(D103)-Assumptions!$C$7)))</f>
        <v>0.222461163994062</v>
      </c>
      <c r="K103" s="30" t="n">
        <v>0.45</v>
      </c>
      <c r="L103" s="32" t="n">
        <f aca="false">I103*J103</f>
        <v>1.16549183505801</v>
      </c>
      <c r="M103" s="33" t="n">
        <f aca="false">VLOOKUP(C103,Assumptions!$B$20:$C$23,2,FALSE())*L103/SUMIF($C$5:$C$134,C103,$L$5:$L$134)</f>
        <v>0.138348606622413</v>
      </c>
      <c r="N103" s="31" t="n">
        <f aca="false">IF(I103=0,0,M103/I103)</f>
        <v>0.0264070421948917</v>
      </c>
      <c r="O103" s="32" t="n">
        <f aca="false">I103*J103*K103</f>
        <v>0.524471325776104</v>
      </c>
      <c r="P103" s="32" t="n">
        <f aca="false">O103-M103</f>
        <v>0.38612271915369</v>
      </c>
      <c r="Q103" s="31" t="n">
        <f aca="false">Assumptions!$C$5/(1+EXP(-Assumptions!$C$6*(LN(D103)-(Assumptions!$C$7+Assumptions!$C$8))))</f>
        <v>0.160060856560329</v>
      </c>
      <c r="R103" s="32" t="n">
        <f aca="false">I103*Q103*K103</f>
        <v>0.37735723457464</v>
      </c>
      <c r="S103" s="31" t="n">
        <f aca="false">Assumptions!$C$5/(1+EXP(-Assumptions!$C$6*(LN(D103)-(Assumptions!$C$7-Assumptions!$C$8))))</f>
        <v>0.293656454132617</v>
      </c>
      <c r="T103" s="32" t="n">
        <f aca="false">I103*S103*K103</f>
        <v>0.6923203450727</v>
      </c>
      <c r="U103" s="34" t="n">
        <f aca="false">VLOOKUP(A103,Pricing!$A$5:$L$134,12,FALSE())</f>
        <v>7.63046544428773</v>
      </c>
      <c r="V103" s="18" t="n">
        <f aca="false">U103*Assumptions!$C$17</f>
        <v>3.51001410437236</v>
      </c>
      <c r="W103" s="10" t="n">
        <f aca="false">O103*V103*12</f>
        <v>22.0908210097559</v>
      </c>
      <c r="X103" s="35" t="n">
        <f aca="false">IF(D103&gt;=35000,1,IF(D103&gt;=12000,2,IF(D103&gt;=4000,3,4)))</f>
        <v>3</v>
      </c>
    </row>
    <row r="104" customFormat="false" ht="15" hidden="false" customHeight="true" outlineLevel="0" collapsed="false">
      <c r="A104" s="5" t="s">
        <v>268</v>
      </c>
      <c r="B104" s="27" t="s">
        <v>269</v>
      </c>
      <c r="C104" s="5" t="s">
        <v>20</v>
      </c>
      <c r="D104" s="28" t="n">
        <v>45891</v>
      </c>
      <c r="E104" s="29" t="n">
        <v>10.99</v>
      </c>
      <c r="F104" s="30" t="n">
        <v>0.72</v>
      </c>
      <c r="G104" s="30" t="n">
        <v>0.96</v>
      </c>
      <c r="H104" s="8" t="n">
        <f aca="false">E104*F104</f>
        <v>7.9128</v>
      </c>
      <c r="I104" s="8" t="n">
        <f aca="false">H104*G104</f>
        <v>7.596288</v>
      </c>
      <c r="J104" s="31" t="n">
        <f aca="false">Assumptions!$C$5/(1+EXP(-Assumptions!$C$6*(LN(D104)-Assumptions!$C$7)))</f>
        <v>0.519887936113628</v>
      </c>
      <c r="K104" s="30" t="n">
        <v>0.45</v>
      </c>
      <c r="L104" s="32" t="n">
        <f aca="false">I104*J104</f>
        <v>3.94921849044472</v>
      </c>
      <c r="M104" s="33" t="n">
        <f aca="false">VLOOKUP(C104,Assumptions!$B$20:$C$23,2,FALSE())*L104/SUMIF($C$5:$C$134,C104,$L$5:$L$134)</f>
        <v>0.468788247987428</v>
      </c>
      <c r="N104" s="31" t="n">
        <f aca="false">IF(I104=0,0,M104/I104)</f>
        <v>0.0617128060425603</v>
      </c>
      <c r="O104" s="32" t="n">
        <f aca="false">I104*J104*K104</f>
        <v>1.77714832070012</v>
      </c>
      <c r="P104" s="32" t="n">
        <f aca="false">O104-M104</f>
        <v>1.30836007271269</v>
      </c>
      <c r="Q104" s="31" t="n">
        <f aca="false">Assumptions!$C$5/(1+EXP(-Assumptions!$C$6*(LN(D104)-(Assumptions!$C$7+Assumptions!$C$8))))</f>
        <v>0.47341009370089</v>
      </c>
      <c r="R104" s="32" t="n">
        <f aca="false">I104*Q104*K104</f>
        <v>1.61827173623652</v>
      </c>
      <c r="S104" s="31" t="n">
        <f aca="false">Assumptions!$C$5/(1+EXP(-Assumptions!$C$6*(LN(D104)-(Assumptions!$C$7-Assumptions!$C$8))))</f>
        <v>0.553693484042824</v>
      </c>
      <c r="T104" s="32" t="n">
        <f aca="false">I104*S104*K104</f>
        <v>1.89270682583071</v>
      </c>
      <c r="U104" s="34" t="n">
        <f aca="false">VLOOKUP(A104,Pricing!$A$5:$L$134,12,FALSE())</f>
        <v>8.0571817562968</v>
      </c>
      <c r="V104" s="18" t="n">
        <f aca="false">U104*Assumptions!$C$17</f>
        <v>3.70630360789653</v>
      </c>
      <c r="W104" s="10" t="n">
        <f aca="false">O104*V104*12</f>
        <v>79.0398147933374</v>
      </c>
      <c r="X104" s="35" t="n">
        <f aca="false">IF(D104&gt;=35000,1,IF(D104&gt;=12000,2,IF(D104&gt;=4000,3,4)))</f>
        <v>1</v>
      </c>
    </row>
    <row r="105" customFormat="false" ht="15" hidden="false" customHeight="true" outlineLevel="0" collapsed="false">
      <c r="A105" s="5" t="s">
        <v>270</v>
      </c>
      <c r="B105" s="27" t="s">
        <v>271</v>
      </c>
      <c r="C105" s="5" t="s">
        <v>20</v>
      </c>
      <c r="D105" s="28" t="n">
        <v>1139</v>
      </c>
      <c r="E105" s="29" t="n">
        <v>10.59</v>
      </c>
      <c r="F105" s="30" t="n">
        <v>0.7</v>
      </c>
      <c r="G105" s="30" t="n">
        <v>0.3</v>
      </c>
      <c r="H105" s="8" t="n">
        <f aca="false">E105*F105</f>
        <v>7.413</v>
      </c>
      <c r="I105" s="8" t="n">
        <f aca="false">H105*G105</f>
        <v>2.2239</v>
      </c>
      <c r="J105" s="31" t="n">
        <f aca="false">Assumptions!$C$5/(1+EXP(-Assumptions!$C$6*(LN(D105)-Assumptions!$C$7)))</f>
        <v>0.0832280186584867</v>
      </c>
      <c r="K105" s="30" t="n">
        <v>0.45</v>
      </c>
      <c r="L105" s="32" t="n">
        <f aca="false">I105*J105</f>
        <v>0.185090790694608</v>
      </c>
      <c r="M105" s="33" t="n">
        <f aca="false">VLOOKUP(C105,Assumptions!$B$20:$C$23,2,FALSE())*L105/SUMIF($C$5:$C$134,C105,$L$5:$L$134)</f>
        <v>0.0219710273559877</v>
      </c>
      <c r="N105" s="31" t="n">
        <f aca="false">IF(I105=0,0,M105/I105)</f>
        <v>0.00987950328521414</v>
      </c>
      <c r="O105" s="32" t="n">
        <f aca="false">I105*J105*K105</f>
        <v>0.0832908558125738</v>
      </c>
      <c r="P105" s="32" t="n">
        <f aca="false">O105-M105</f>
        <v>0.0613198284565861</v>
      </c>
      <c r="Q105" s="31" t="n">
        <f aca="false">Assumptions!$C$5/(1+EXP(-Assumptions!$C$6*(LN(D105)-(Assumptions!$C$7+Assumptions!$C$8))))</f>
        <v>0.0545258672506062</v>
      </c>
      <c r="R105" s="32" t="n">
        <f aca="false">I105*Q105*K105</f>
        <v>0.0545670342803804</v>
      </c>
      <c r="S105" s="31" t="n">
        <f aca="false">Assumptions!$C$5/(1+EXP(-Assumptions!$C$6*(LN(D105)-(Assumptions!$C$7-Assumptions!$C$8))))</f>
        <v>0.123732874748681</v>
      </c>
      <c r="T105" s="32" t="n">
        <f aca="false">I105*S105*K105</f>
        <v>0.123826293069116</v>
      </c>
      <c r="U105" s="34" t="n">
        <f aca="false">VLOOKUP(A105,Pricing!$A$5:$L$134,12,FALSE())</f>
        <v>5.115</v>
      </c>
      <c r="V105" s="18" t="n">
        <f aca="false">U105*Assumptions!$C$17</f>
        <v>2.3529</v>
      </c>
      <c r="W105" s="10" t="n">
        <f aca="false">O105*V105*12</f>
        <v>2.35170065569686</v>
      </c>
      <c r="X105" s="35" t="n">
        <f aca="false">IF(D105&gt;=35000,1,IF(D105&gt;=12000,2,IF(D105&gt;=4000,3,4)))</f>
        <v>4</v>
      </c>
    </row>
    <row r="106" customFormat="false" ht="15" hidden="false" customHeight="true" outlineLevel="0" collapsed="false">
      <c r="A106" s="5" t="s">
        <v>272</v>
      </c>
      <c r="B106" s="27" t="s">
        <v>273</v>
      </c>
      <c r="C106" s="5" t="s">
        <v>20</v>
      </c>
      <c r="D106" s="28" t="n">
        <v>2925</v>
      </c>
      <c r="E106" s="29" t="n">
        <v>10.58</v>
      </c>
      <c r="F106" s="30" t="n">
        <v>0.62</v>
      </c>
      <c r="G106" s="30" t="n">
        <v>0.47</v>
      </c>
      <c r="H106" s="8" t="n">
        <f aca="false">E106*F106</f>
        <v>6.5596</v>
      </c>
      <c r="I106" s="8" t="n">
        <f aca="false">H106*G106</f>
        <v>3.083012</v>
      </c>
      <c r="J106" s="31" t="n">
        <f aca="false">Assumptions!$C$5/(1+EXP(-Assumptions!$C$6*(LN(D106)-Assumptions!$C$7)))</f>
        <v>0.170672843454397</v>
      </c>
      <c r="K106" s="30" t="n">
        <v>0.45</v>
      </c>
      <c r="L106" s="32" t="n">
        <f aca="false">I106*J106</f>
        <v>0.526186424444027</v>
      </c>
      <c r="M106" s="33" t="n">
        <f aca="false">VLOOKUP(C106,Assumptions!$B$20:$C$23,2,FALSE())*L106/SUMIF($C$5:$C$134,C106,$L$5:$L$134)</f>
        <v>0.0624604621462987</v>
      </c>
      <c r="N106" s="31" t="n">
        <f aca="false">IF(I106=0,0,M106/I106)</f>
        <v>0.0202595585571184</v>
      </c>
      <c r="O106" s="32" t="n">
        <f aca="false">I106*J106*K106</f>
        <v>0.236783890999812</v>
      </c>
      <c r="P106" s="32" t="n">
        <f aca="false">O106-M106</f>
        <v>0.174323428853514</v>
      </c>
      <c r="Q106" s="31" t="n">
        <f aca="false">Assumptions!$C$5/(1+EXP(-Assumptions!$C$6*(LN(D106)-(Assumptions!$C$7+Assumptions!$C$8))))</f>
        <v>0.118470089495018</v>
      </c>
      <c r="R106" s="32" t="n">
        <f aca="false">I106*Q106*K106</f>
        <v>0.164360118399396</v>
      </c>
      <c r="S106" s="31" t="n">
        <f aca="false">Assumptions!$C$5/(1+EXP(-Assumptions!$C$6*(LN(D106)-(Assumptions!$C$7-Assumptions!$C$8))))</f>
        <v>0.235095603432323</v>
      </c>
      <c r="T106" s="32" t="n">
        <f aca="false">I106*S106*K106</f>
        <v>0.326161154938092</v>
      </c>
      <c r="U106" s="34" t="n">
        <f aca="false">VLOOKUP(A106,Pricing!$A$5:$L$134,12,FALSE())</f>
        <v>1.53205128205128</v>
      </c>
      <c r="V106" s="18" t="n">
        <f aca="false">U106*Assumptions!$C$17</f>
        <v>0.70474358974359</v>
      </c>
      <c r="W106" s="10" t="n">
        <f aca="false">O106*V106*12</f>
        <v>2.00246315203995</v>
      </c>
      <c r="X106" s="35" t="n">
        <f aca="false">IF(D106&gt;=35000,1,IF(D106&gt;=12000,2,IF(D106&gt;=4000,3,4)))</f>
        <v>4</v>
      </c>
    </row>
    <row r="107" customFormat="false" ht="15" hidden="false" customHeight="true" outlineLevel="0" collapsed="false">
      <c r="A107" s="5" t="s">
        <v>274</v>
      </c>
      <c r="B107" s="27" t="s">
        <v>275</v>
      </c>
      <c r="C107" s="5" t="s">
        <v>20</v>
      </c>
      <c r="D107" s="28" t="n">
        <v>7092</v>
      </c>
      <c r="E107" s="29" t="n">
        <v>10.2</v>
      </c>
      <c r="F107" s="30" t="n">
        <v>0.72</v>
      </c>
      <c r="G107" s="30" t="n">
        <v>0.76</v>
      </c>
      <c r="H107" s="8" t="n">
        <f aca="false">E107*F107</f>
        <v>7.344</v>
      </c>
      <c r="I107" s="8" t="n">
        <f aca="false">H107*G107</f>
        <v>5.58144</v>
      </c>
      <c r="J107" s="31" t="n">
        <f aca="false">Assumptions!$C$5/(1+EXP(-Assumptions!$C$6*(LN(D107)-Assumptions!$C$7)))</f>
        <v>0.290401088215097</v>
      </c>
      <c r="K107" s="30" t="n">
        <v>0.45</v>
      </c>
      <c r="L107" s="32" t="n">
        <f aca="false">I107*J107</f>
        <v>1.62085624980727</v>
      </c>
      <c r="M107" s="33" t="n">
        <f aca="false">VLOOKUP(C107,Assumptions!$B$20:$C$23,2,FALSE())*L107/SUMIF($C$5:$C$134,C107,$L$5:$L$134)</f>
        <v>0.192402209051001</v>
      </c>
      <c r="N107" s="31" t="n">
        <f aca="false">IF(I107=0,0,M107/I107)</f>
        <v>0.0344717866806776</v>
      </c>
      <c r="O107" s="32" t="n">
        <f aca="false">I107*J107*K107</f>
        <v>0.729385312413272</v>
      </c>
      <c r="P107" s="32" t="n">
        <f aca="false">O107-M107</f>
        <v>0.536983103362271</v>
      </c>
      <c r="Q107" s="31" t="n">
        <f aca="false">Assumptions!$C$5/(1+EXP(-Assumptions!$C$6*(LN(D107)-(Assumptions!$C$7+Assumptions!$C$8))))</f>
        <v>0.21946427987135</v>
      </c>
      <c r="R107" s="32" t="n">
        <f aca="false">I107*Q107*K107</f>
        <v>0.551217019610316</v>
      </c>
      <c r="S107" s="31" t="n">
        <f aca="false">Assumptions!$C$5/(1+EXP(-Assumptions!$C$6*(LN(D107)-(Assumptions!$C$7-Assumptions!$C$8))))</f>
        <v>0.363460283042596</v>
      </c>
      <c r="T107" s="32" t="n">
        <f aca="false">I107*S107*K107</f>
        <v>0.912884292983369</v>
      </c>
      <c r="U107" s="34" t="n">
        <f aca="false">VLOOKUP(A107,Pricing!$A$5:$L$134,12,FALSE())</f>
        <v>3.51470588235294</v>
      </c>
      <c r="V107" s="18" t="n">
        <f aca="false">U107*Assumptions!$C$17</f>
        <v>1.61676470588235</v>
      </c>
      <c r="W107" s="10" t="n">
        <f aca="false">O107*V107*12</f>
        <v>14.150933161185</v>
      </c>
      <c r="X107" s="35" t="n">
        <f aca="false">IF(D107&gt;=35000,1,IF(D107&gt;=12000,2,IF(D107&gt;=4000,3,4)))</f>
        <v>3</v>
      </c>
    </row>
    <row r="108" customFormat="false" ht="15" hidden="false" customHeight="true" outlineLevel="0" collapsed="false">
      <c r="A108" s="5" t="s">
        <v>276</v>
      </c>
      <c r="B108" s="27" t="s">
        <v>277</v>
      </c>
      <c r="C108" s="5" t="s">
        <v>20</v>
      </c>
      <c r="D108" s="28" t="n">
        <v>2039</v>
      </c>
      <c r="E108" s="29" t="n">
        <v>7.77</v>
      </c>
      <c r="F108" s="30" t="n">
        <v>0.74</v>
      </c>
      <c r="G108" s="30" t="n">
        <v>0.47</v>
      </c>
      <c r="H108" s="8" t="n">
        <f aca="false">E108*F108</f>
        <v>5.7498</v>
      </c>
      <c r="I108" s="8" t="n">
        <f aca="false">H108*G108</f>
        <v>2.702406</v>
      </c>
      <c r="J108" s="31" t="n">
        <f aca="false">Assumptions!$C$5/(1+EXP(-Assumptions!$C$6*(LN(D108)-Assumptions!$C$7)))</f>
        <v>0.131659281825219</v>
      </c>
      <c r="K108" s="30" t="n">
        <v>0.45</v>
      </c>
      <c r="L108" s="32" t="n">
        <f aca="false">I108*J108</f>
        <v>0.355796833160164</v>
      </c>
      <c r="M108" s="33" t="n">
        <f aca="false">VLOOKUP(C108,Assumptions!$B$20:$C$23,2,FALSE())*L108/SUMIF($C$5:$C$134,C108,$L$5:$L$134)</f>
        <v>0.042234526770345</v>
      </c>
      <c r="N108" s="31" t="n">
        <f aca="false">IF(I108=0,0,M108/I108)</f>
        <v>0.0156284906007258</v>
      </c>
      <c r="O108" s="32" t="n">
        <f aca="false">I108*J108*K108</f>
        <v>0.160108574922074</v>
      </c>
      <c r="P108" s="32" t="n">
        <f aca="false">O108-M108</f>
        <v>0.117874048151729</v>
      </c>
      <c r="Q108" s="31" t="n">
        <f aca="false">Assumptions!$C$5/(1+EXP(-Assumptions!$C$6*(LN(D108)-(Assumptions!$C$7+Assumptions!$C$8))))</f>
        <v>0.0890251328164328</v>
      </c>
      <c r="R108" s="32" t="n">
        <f aca="false">I108*Q108*K108</f>
        <v>0.108261923883266</v>
      </c>
      <c r="S108" s="31" t="n">
        <f aca="false">Assumptions!$C$5/(1+EXP(-Assumptions!$C$6*(LN(D108)-(Assumptions!$C$7-Assumptions!$C$8))))</f>
        <v>0.187500982675536</v>
      </c>
      <c r="T108" s="32" t="n">
        <f aca="false">I108*S108*K108</f>
        <v>0.228016701264719</v>
      </c>
      <c r="U108" s="34" t="n">
        <f aca="false">VLOOKUP(A108,Pricing!$A$5:$L$134,12,FALSE())</f>
        <v>3.584</v>
      </c>
      <c r="V108" s="18" t="n">
        <f aca="false">U108*Assumptions!$C$17</f>
        <v>1.64864</v>
      </c>
      <c r="W108" s="10" t="n">
        <f aca="false">O108*V108*12</f>
        <v>3.16753681151433</v>
      </c>
      <c r="X108" s="35" t="n">
        <f aca="false">IF(D108&gt;=35000,1,IF(D108&gt;=12000,2,IF(D108&gt;=4000,3,4)))</f>
        <v>4</v>
      </c>
    </row>
    <row r="109" customFormat="false" ht="15" hidden="false" customHeight="true" outlineLevel="0" collapsed="false">
      <c r="A109" s="5" t="s">
        <v>278</v>
      </c>
      <c r="B109" s="27" t="s">
        <v>279</v>
      </c>
      <c r="C109" s="5" t="s">
        <v>20</v>
      </c>
      <c r="D109" s="28" t="n">
        <v>50777</v>
      </c>
      <c r="E109" s="29" t="n">
        <v>7.52</v>
      </c>
      <c r="F109" s="30" t="n">
        <v>0.85</v>
      </c>
      <c r="G109" s="30" t="n">
        <v>0.96</v>
      </c>
      <c r="H109" s="8" t="n">
        <f aca="false">E109*F109</f>
        <v>6.392</v>
      </c>
      <c r="I109" s="8" t="n">
        <f aca="false">H109*G109</f>
        <v>6.13632</v>
      </c>
      <c r="J109" s="31" t="n">
        <f aca="false">Assumptions!$C$5/(1+EXP(-Assumptions!$C$6*(LN(D109)-Assumptions!$C$7)))</f>
        <v>0.527696467723926</v>
      </c>
      <c r="K109" s="30" t="n">
        <v>0.4</v>
      </c>
      <c r="L109" s="32" t="n">
        <f aca="false">I109*J109</f>
        <v>3.23811438882368</v>
      </c>
      <c r="M109" s="33" t="n">
        <f aca="false">VLOOKUP(C109,Assumptions!$B$20:$C$23,2,FALSE())*L109/SUMIF($C$5:$C$134,C109,$L$5:$L$134)</f>
        <v>0.384377307761617</v>
      </c>
      <c r="N109" s="31" t="n">
        <f aca="false">IF(I109=0,0,M109/I109)</f>
        <v>0.0626397104065004</v>
      </c>
      <c r="O109" s="32" t="n">
        <f aca="false">I109*J109*K109</f>
        <v>1.29524575552947</v>
      </c>
      <c r="P109" s="32" t="n">
        <f aca="false">O109-M109</f>
        <v>0.910868447767856</v>
      </c>
      <c r="Q109" s="31" t="n">
        <f aca="false">Assumptions!$C$5/(1+EXP(-Assumptions!$C$6*(LN(D109)-(Assumptions!$C$7+Assumptions!$C$8))))</f>
        <v>0.483894738897061</v>
      </c>
      <c r="R109" s="32" t="n">
        <f aca="false">I109*Q109*K109</f>
        <v>1.18773318567553</v>
      </c>
      <c r="S109" s="31" t="n">
        <f aca="false">Assumptions!$C$5/(1+EXP(-Assumptions!$C$6*(LN(D109)-(Assumptions!$C$7-Assumptions!$C$8))))</f>
        <v>0.559173751527293</v>
      </c>
      <c r="T109" s="32" t="n">
        <f aca="false">I109*S109*K109</f>
        <v>1.37250762998878</v>
      </c>
      <c r="U109" s="34" t="n">
        <f aca="false">VLOOKUP(A109,Pricing!$A$5:$L$134,12,FALSE())</f>
        <v>10.7105471442796</v>
      </c>
      <c r="V109" s="18" t="n">
        <f aca="false">U109*Assumptions!$C$17</f>
        <v>4.92685168636863</v>
      </c>
      <c r="W109" s="10" t="n">
        <f aca="false">O109*V109*12</f>
        <v>76.5778048187062</v>
      </c>
      <c r="X109" s="35" t="n">
        <f aca="false">IF(D109&gt;=35000,1,IF(D109&gt;=12000,2,IF(D109&gt;=4000,3,4)))</f>
        <v>1</v>
      </c>
    </row>
    <row r="110" customFormat="false" ht="15" hidden="false" customHeight="true" outlineLevel="0" collapsed="false">
      <c r="A110" s="5" t="s">
        <v>280</v>
      </c>
      <c r="B110" s="27" t="s">
        <v>281</v>
      </c>
      <c r="C110" s="5" t="s">
        <v>20</v>
      </c>
      <c r="D110" s="28" t="n">
        <v>1937</v>
      </c>
      <c r="E110" s="29" t="n">
        <v>7.22</v>
      </c>
      <c r="F110" s="30" t="n">
        <v>0.7</v>
      </c>
      <c r="G110" s="30" t="n">
        <v>0.47</v>
      </c>
      <c r="H110" s="8" t="n">
        <f aca="false">E110*F110</f>
        <v>5.054</v>
      </c>
      <c r="I110" s="8" t="n">
        <f aca="false">H110*G110</f>
        <v>2.37538</v>
      </c>
      <c r="J110" s="31" t="n">
        <f aca="false">Assumptions!$C$5/(1+EXP(-Assumptions!$C$6*(LN(D110)-Assumptions!$C$7)))</f>
        <v>0.126674426983112</v>
      </c>
      <c r="K110" s="30" t="n">
        <v>0.45</v>
      </c>
      <c r="L110" s="32" t="n">
        <f aca="false">I110*J110</f>
        <v>0.300899900367143</v>
      </c>
      <c r="M110" s="33" t="n">
        <f aca="false">VLOOKUP(C110,Assumptions!$B$20:$C$23,2,FALSE())*L110/SUMIF($C$5:$C$134,C110,$L$5:$L$134)</f>
        <v>0.0357180382533914</v>
      </c>
      <c r="N110" s="31" t="n">
        <f aca="false">IF(I110=0,0,M110/I110)</f>
        <v>0.015036768118529</v>
      </c>
      <c r="O110" s="32" t="n">
        <f aca="false">I110*J110*K110</f>
        <v>0.135404955165215</v>
      </c>
      <c r="P110" s="32" t="n">
        <f aca="false">O110-M110</f>
        <v>0.0996869169118231</v>
      </c>
      <c r="Q110" s="31" t="n">
        <f aca="false">Assumptions!$C$5/(1+EXP(-Assumptions!$C$6*(LN(D110)-(Assumptions!$C$7+Assumptions!$C$8))))</f>
        <v>0.0853722856323632</v>
      </c>
      <c r="R110" s="32" t="n">
        <f aca="false">I110*Q110*K110</f>
        <v>0.0912562289304313</v>
      </c>
      <c r="S110" s="31" t="n">
        <f aca="false">Assumptions!$C$5/(1+EXP(-Assumptions!$C$6*(LN(D110)-(Assumptions!$C$7-Assumptions!$C$8))))</f>
        <v>0.181186305895966</v>
      </c>
      <c r="T110" s="32" t="n">
        <f aca="false">I110*S110*K110</f>
        <v>0.193673847284622</v>
      </c>
      <c r="U110" s="34" t="n">
        <f aca="false">VLOOKUP(A110,Pricing!$A$5:$L$134,12,FALSE())</f>
        <v>5.975</v>
      </c>
      <c r="V110" s="18" t="n">
        <f aca="false">U110*Assumptions!$C$17</f>
        <v>2.7485</v>
      </c>
      <c r="W110" s="10" t="n">
        <f aca="false">O110*V110*12</f>
        <v>4.46592623125911</v>
      </c>
      <c r="X110" s="35" t="n">
        <f aca="false">IF(D110&gt;=35000,1,IF(D110&gt;=12000,2,IF(D110&gt;=4000,3,4)))</f>
        <v>4</v>
      </c>
    </row>
    <row r="111" customFormat="false" ht="15" hidden="false" customHeight="true" outlineLevel="0" collapsed="false">
      <c r="A111" s="5" t="s">
        <v>282</v>
      </c>
      <c r="B111" s="27" t="s">
        <v>283</v>
      </c>
      <c r="C111" s="5" t="s">
        <v>20</v>
      </c>
      <c r="D111" s="28" t="n">
        <v>83061</v>
      </c>
      <c r="E111" s="29" t="n">
        <v>6.04</v>
      </c>
      <c r="F111" s="30" t="n">
        <v>0.74</v>
      </c>
      <c r="G111" s="30" t="n">
        <v>0.96</v>
      </c>
      <c r="H111" s="8" t="n">
        <f aca="false">E111*F111</f>
        <v>4.4696</v>
      </c>
      <c r="I111" s="8" t="n">
        <f aca="false">H111*G111</f>
        <v>4.290816</v>
      </c>
      <c r="J111" s="31" t="n">
        <f aca="false">Assumptions!$C$5/(1+EXP(-Assumptions!$C$6*(LN(D111)-Assumptions!$C$7)))</f>
        <v>0.558762459088016</v>
      </c>
      <c r="K111" s="30" t="n">
        <v>0.42</v>
      </c>
      <c r="L111" s="32" t="n">
        <f aca="false">I111*J111</f>
        <v>2.3975468996542</v>
      </c>
      <c r="M111" s="33" t="n">
        <f aca="false">VLOOKUP(C111,Assumptions!$B$20:$C$23,2,FALSE())*L111/SUMIF($C$5:$C$134,C111,$L$5:$L$134)</f>
        <v>0.284598538489578</v>
      </c>
      <c r="N111" s="31" t="n">
        <f aca="false">IF(I111=0,0,M111/I111)</f>
        <v>0.0663273695468597</v>
      </c>
      <c r="O111" s="32" t="n">
        <f aca="false">I111*J111*K111</f>
        <v>1.00696969785477</v>
      </c>
      <c r="P111" s="32" t="n">
        <f aca="false">O111-M111</f>
        <v>0.722371159365187</v>
      </c>
      <c r="Q111" s="31" t="n">
        <f aca="false">Assumptions!$C$5/(1+EXP(-Assumptions!$C$6*(LN(D111)-(Assumptions!$C$7+Assumptions!$C$8))))</f>
        <v>0.527107691656001</v>
      </c>
      <c r="R111" s="32" t="n">
        <f aca="false">I111*Q111*K111</f>
        <v>0.949923289173866</v>
      </c>
      <c r="S111" s="31" t="n">
        <f aca="false">Assumptions!$C$5/(1+EXP(-Assumptions!$C$6*(LN(D111)-(Assumptions!$C$7-Assumptions!$C$8))))</f>
        <v>0.580439855519452</v>
      </c>
      <c r="T111" s="32" t="n">
        <f aca="false">I111*S111*K111</f>
        <v>1.04603546002223</v>
      </c>
      <c r="U111" s="34" t="n">
        <f aca="false">VLOOKUP(A111,Pricing!$A$5:$L$134,12,FALSE())</f>
        <v>10.2363125877398</v>
      </c>
      <c r="V111" s="18" t="n">
        <f aca="false">U111*Assumptions!$C$17</f>
        <v>4.70870379036032</v>
      </c>
      <c r="W111" s="10" t="n">
        <f aca="false">O111*V111*12</f>
        <v>56.8982643968006</v>
      </c>
      <c r="X111" s="35" t="n">
        <f aca="false">IF(D111&gt;=35000,1,IF(D111&gt;=12000,2,IF(D111&gt;=4000,3,4)))</f>
        <v>1</v>
      </c>
    </row>
    <row r="112" customFormat="false" ht="15" hidden="false" customHeight="true" outlineLevel="0" collapsed="false">
      <c r="A112" s="5" t="s">
        <v>284</v>
      </c>
      <c r="B112" s="27" t="s">
        <v>285</v>
      </c>
      <c r="C112" s="5" t="s">
        <v>20</v>
      </c>
      <c r="D112" s="28" t="n">
        <v>3616</v>
      </c>
      <c r="E112" s="29" t="n">
        <v>5.81</v>
      </c>
      <c r="F112" s="30" t="n">
        <v>0.72</v>
      </c>
      <c r="G112" s="30" t="n">
        <v>0.63</v>
      </c>
      <c r="H112" s="8" t="n">
        <f aca="false">E112*F112</f>
        <v>4.1832</v>
      </c>
      <c r="I112" s="8" t="n">
        <f aca="false">H112*G112</f>
        <v>2.635416</v>
      </c>
      <c r="J112" s="31" t="n">
        <f aca="false">Assumptions!$C$5/(1+EXP(-Assumptions!$C$6*(LN(D112)-Assumptions!$C$7)))</f>
        <v>0.196682402033696</v>
      </c>
      <c r="K112" s="30" t="n">
        <v>0.45</v>
      </c>
      <c r="L112" s="32" t="n">
        <f aca="false">I112*J112</f>
        <v>0.518339949238035</v>
      </c>
      <c r="M112" s="33" t="n">
        <f aca="false">VLOOKUP(C112,Assumptions!$B$20:$C$23,2,FALSE())*L112/SUMIF($C$5:$C$134,C112,$L$5:$L$134)</f>
        <v>0.0615290537236972</v>
      </c>
      <c r="N112" s="31" t="n">
        <f aca="false">IF(I112=0,0,M112/I112)</f>
        <v>0.0233469986232523</v>
      </c>
      <c r="O112" s="32" t="n">
        <f aca="false">I112*J112*K112</f>
        <v>0.233252977157116</v>
      </c>
      <c r="P112" s="32" t="n">
        <f aca="false">O112-M112</f>
        <v>0.171723923433419</v>
      </c>
      <c r="Q112" s="31" t="n">
        <f aca="false">Assumptions!$C$5/(1+EXP(-Assumptions!$C$6*(LN(D112)-(Assumptions!$C$7+Assumptions!$C$8))))</f>
        <v>0.138984997460485</v>
      </c>
      <c r="R112" s="32" t="n">
        <f aca="false">I112*Q112*K112</f>
        <v>0.164827478730294</v>
      </c>
      <c r="S112" s="31" t="n">
        <f aca="false">Assumptions!$C$5/(1+EXP(-Assumptions!$C$6*(LN(D112)-(Assumptions!$C$7-Assumptions!$C$8))))</f>
        <v>0.265129816216316</v>
      </c>
      <c r="T112" s="32" t="n">
        <f aca="false">I112*S112*K112</f>
        <v>0.314427311880092</v>
      </c>
      <c r="U112" s="34" t="n">
        <f aca="false">VLOOKUP(A112,Pricing!$A$5:$L$134,12,FALSE())</f>
        <v>5.975</v>
      </c>
      <c r="V112" s="18" t="n">
        <f aca="false">U112*Assumptions!$C$17</f>
        <v>2.7485</v>
      </c>
      <c r="W112" s="10" t="n">
        <f aca="false">O112*V112*12</f>
        <v>7.693149692596</v>
      </c>
      <c r="X112" s="35" t="n">
        <f aca="false">IF(D112&gt;=35000,1,IF(D112&gt;=12000,2,IF(D112&gt;=4000,3,4)))</f>
        <v>4</v>
      </c>
    </row>
    <row r="113" customFormat="false" ht="15" hidden="false" customHeight="true" outlineLevel="0" collapsed="false">
      <c r="A113" s="5" t="s">
        <v>286</v>
      </c>
      <c r="B113" s="27" t="s">
        <v>287</v>
      </c>
      <c r="C113" s="5" t="s">
        <v>20</v>
      </c>
      <c r="D113" s="28" t="n">
        <v>47937</v>
      </c>
      <c r="E113" s="29" t="n">
        <v>5.29</v>
      </c>
      <c r="F113" s="30" t="n">
        <v>0.8</v>
      </c>
      <c r="G113" s="30" t="n">
        <v>0.96</v>
      </c>
      <c r="H113" s="8" t="n">
        <f aca="false">E113*F113</f>
        <v>4.232</v>
      </c>
      <c r="I113" s="8" t="n">
        <f aca="false">H113*G113</f>
        <v>4.06272</v>
      </c>
      <c r="J113" s="31" t="n">
        <f aca="false">Assumptions!$C$5/(1+EXP(-Assumptions!$C$6*(LN(D113)-Assumptions!$C$7)))</f>
        <v>0.523317895051835</v>
      </c>
      <c r="K113" s="30" t="n">
        <v>0.4</v>
      </c>
      <c r="L113" s="32" t="n">
        <f aca="false">I113*J113</f>
        <v>2.12609407858499</v>
      </c>
      <c r="M113" s="33" t="n">
        <f aca="false">VLOOKUP(C113,Assumptions!$B$20:$C$23,2,FALSE())*L113/SUMIF($C$5:$C$134,C113,$L$5:$L$134)</f>
        <v>0.252375987949977</v>
      </c>
      <c r="N113" s="31" t="n">
        <f aca="false">IF(I113=0,0,M113/I113)</f>
        <v>0.0621199560762192</v>
      </c>
      <c r="O113" s="32" t="n">
        <f aca="false">I113*J113*K113</f>
        <v>0.850437631433996</v>
      </c>
      <c r="P113" s="32" t="n">
        <f aca="false">O113-M113</f>
        <v>0.598061643484019</v>
      </c>
      <c r="Q113" s="31" t="n">
        <f aca="false">Assumptions!$C$5/(1+EXP(-Assumptions!$C$6*(LN(D113)-(Assumptions!$C$7+Assumptions!$C$8))))</f>
        <v>0.4779974936661</v>
      </c>
      <c r="R113" s="32" t="n">
        <f aca="false">I113*Q113*K113</f>
        <v>0.776787990986856</v>
      </c>
      <c r="S113" s="31" t="n">
        <f aca="false">Assumptions!$C$5/(1+EXP(-Assumptions!$C$6*(LN(D113)-(Assumptions!$C$7-Assumptions!$C$8))))</f>
        <v>0.556107565568289</v>
      </c>
      <c r="T113" s="32" t="n">
        <f aca="false">I113*S113*K113</f>
        <v>0.90372373151424</v>
      </c>
      <c r="U113" s="34" t="n">
        <f aca="false">VLOOKUP(A113,Pricing!$A$5:$L$134,12,FALSE())</f>
        <v>11.7362688566603</v>
      </c>
      <c r="V113" s="18" t="n">
        <f aca="false">U113*Assumptions!$C$17</f>
        <v>5.39868367406372</v>
      </c>
      <c r="W113" s="10" t="n">
        <f aca="false">O113*V113*12</f>
        <v>55.0949250795856</v>
      </c>
      <c r="X113" s="35" t="n">
        <f aca="false">IF(D113&gt;=35000,1,IF(D113&gt;=12000,2,IF(D113&gt;=4000,3,4)))</f>
        <v>1</v>
      </c>
    </row>
    <row r="114" customFormat="false" ht="15" hidden="false" customHeight="true" outlineLevel="0" collapsed="false">
      <c r="A114" s="5" t="s">
        <v>288</v>
      </c>
      <c r="B114" s="27" t="s">
        <v>289</v>
      </c>
      <c r="C114" s="5" t="s">
        <v>20</v>
      </c>
      <c r="D114" s="28" t="n">
        <v>20485</v>
      </c>
      <c r="E114" s="29" t="n">
        <v>5.28</v>
      </c>
      <c r="F114" s="30" t="n">
        <v>0.72</v>
      </c>
      <c r="G114" s="30" t="n">
        <v>0.86</v>
      </c>
      <c r="H114" s="8" t="n">
        <f aca="false">E114*F114</f>
        <v>3.8016</v>
      </c>
      <c r="I114" s="8" t="n">
        <f aca="false">H114*G114</f>
        <v>3.269376</v>
      </c>
      <c r="J114" s="31" t="n">
        <f aca="false">Assumptions!$C$5/(1+EXP(-Assumptions!$C$6*(LN(D114)-Assumptions!$C$7)))</f>
        <v>0.438367961770104</v>
      </c>
      <c r="K114" s="30" t="n">
        <v>0.45</v>
      </c>
      <c r="L114" s="32" t="n">
        <f aca="false">I114*J114</f>
        <v>1.4331896933801</v>
      </c>
      <c r="M114" s="33" t="n">
        <f aca="false">VLOOKUP(C114,Assumptions!$B$20:$C$23,2,FALSE())*L114/SUMIF($C$5:$C$134,C114,$L$5:$L$134)</f>
        <v>0.170125427858421</v>
      </c>
      <c r="N114" s="31" t="n">
        <f aca="false">IF(I114=0,0,M114/I114)</f>
        <v>0.0520360545432588</v>
      </c>
      <c r="O114" s="32" t="n">
        <f aca="false">I114*J114*K114</f>
        <v>0.644935362021044</v>
      </c>
      <c r="P114" s="32" t="n">
        <f aca="false">O114-M114</f>
        <v>0.474809934162622</v>
      </c>
      <c r="Q114" s="31" t="n">
        <f aca="false">Assumptions!$C$5/(1+EXP(-Assumptions!$C$6*(LN(D114)-(Assumptions!$C$7+Assumptions!$C$8))))</f>
        <v>0.37209086249767</v>
      </c>
      <c r="R114" s="32" t="n">
        <f aca="false">I114*Q114*K114</f>
        <v>0.547427221051132</v>
      </c>
      <c r="S114" s="31" t="n">
        <f aca="false">Assumptions!$C$5/(1+EXP(-Assumptions!$C$6*(LN(D114)-(Assumptions!$C$7-Assumptions!$C$8))))</f>
        <v>0.492975124749793</v>
      </c>
      <c r="T114" s="32" t="n">
        <f aca="false">I114*S114*K114</f>
        <v>0.725274468654291</v>
      </c>
      <c r="U114" s="34" t="n">
        <f aca="false">VLOOKUP(A114,Pricing!$A$5:$L$134,12,FALSE())</f>
        <v>14.0702210663199</v>
      </c>
      <c r="V114" s="18" t="n">
        <f aca="false">U114*Assumptions!$C$17</f>
        <v>6.47230169050715</v>
      </c>
      <c r="W114" s="10" t="n">
        <f aca="false">O114*V114*12</f>
        <v>50.0905948065197</v>
      </c>
      <c r="X114" s="35" t="n">
        <f aca="false">IF(D114&gt;=35000,1,IF(D114&gt;=12000,2,IF(D114&gt;=4000,3,4)))</f>
        <v>2</v>
      </c>
    </row>
    <row r="115" customFormat="false" ht="15" hidden="false" customHeight="true" outlineLevel="0" collapsed="false">
      <c r="A115" s="5" t="s">
        <v>290</v>
      </c>
      <c r="B115" s="27" t="s">
        <v>291</v>
      </c>
      <c r="C115" s="5" t="s">
        <v>20</v>
      </c>
      <c r="D115" s="28" t="n">
        <v>33033</v>
      </c>
      <c r="E115" s="29" t="n">
        <v>4.9</v>
      </c>
      <c r="F115" s="30" t="n">
        <v>0.72</v>
      </c>
      <c r="G115" s="30" t="n">
        <v>0.93</v>
      </c>
      <c r="H115" s="8" t="n">
        <f aca="false">E115*F115</f>
        <v>3.528</v>
      </c>
      <c r="I115" s="8" t="n">
        <f aca="false">H115*G115</f>
        <v>3.28104</v>
      </c>
      <c r="J115" s="31" t="n">
        <f aca="false">Assumptions!$C$5/(1+EXP(-Assumptions!$C$6*(LN(D115)-Assumptions!$C$7)))</f>
        <v>0.490833144874734</v>
      </c>
      <c r="K115" s="30" t="n">
        <v>0.45</v>
      </c>
      <c r="L115" s="32" t="n">
        <f aca="false">I115*J115</f>
        <v>1.6104431816598</v>
      </c>
      <c r="M115" s="33" t="n">
        <f aca="false">VLOOKUP(C115,Assumptions!$B$20:$C$23,2,FALSE())*L115/SUMIF($C$5:$C$134,C115,$L$5:$L$134)</f>
        <v>0.191166135639303</v>
      </c>
      <c r="N115" s="31" t="n">
        <f aca="false">IF(I115=0,0,M115/I115)</f>
        <v>0.0582638845120153</v>
      </c>
      <c r="O115" s="32" t="n">
        <f aca="false">I115*J115*K115</f>
        <v>0.724699431746909</v>
      </c>
      <c r="P115" s="32" t="n">
        <f aca="false">O115-M115</f>
        <v>0.533533296107606</v>
      </c>
      <c r="Q115" s="31" t="n">
        <f aca="false">Assumptions!$C$5/(1+EXP(-Assumptions!$C$6*(LN(D115)-(Assumptions!$C$7+Assumptions!$C$8))))</f>
        <v>0.435649505140621</v>
      </c>
      <c r="R115" s="32" t="n">
        <f aca="false">I115*Q115*K115</f>
        <v>0.643222553555962</v>
      </c>
      <c r="S115" s="31" t="n">
        <f aca="false">Assumptions!$C$5/(1+EXP(-Assumptions!$C$6*(LN(D115)-(Assumptions!$C$7-Assumptions!$C$8))))</f>
        <v>0.532804303877831</v>
      </c>
      <c r="T115" s="32" t="n">
        <f aca="false">I115*S115*K115</f>
        <v>0.786668504937894</v>
      </c>
      <c r="U115" s="34" t="n">
        <f aca="false">VLOOKUP(A115,Pricing!$A$5:$L$134,12,FALSE())</f>
        <v>19.4625407166124</v>
      </c>
      <c r="V115" s="18" t="n">
        <f aca="false">U115*Assumptions!$C$17</f>
        <v>8.95276872964169</v>
      </c>
      <c r="W115" s="10" t="n">
        <f aca="false">O115*V115*12</f>
        <v>77.856796931194</v>
      </c>
      <c r="X115" s="35" t="n">
        <f aca="false">IF(D115&gt;=35000,1,IF(D115&gt;=12000,2,IF(D115&gt;=4000,3,4)))</f>
        <v>2</v>
      </c>
    </row>
    <row r="116" customFormat="false" ht="15" hidden="false" customHeight="true" outlineLevel="0" collapsed="false">
      <c r="A116" s="5" t="s">
        <v>292</v>
      </c>
      <c r="B116" s="27" t="s">
        <v>293</v>
      </c>
      <c r="C116" s="5" t="s">
        <v>20</v>
      </c>
      <c r="D116" s="28" t="n">
        <v>8254</v>
      </c>
      <c r="E116" s="29" t="n">
        <v>3.7</v>
      </c>
      <c r="F116" s="30" t="n">
        <v>0.72</v>
      </c>
      <c r="G116" s="30" t="n">
        <v>0.76</v>
      </c>
      <c r="H116" s="8" t="n">
        <f aca="false">E116*F116</f>
        <v>2.664</v>
      </c>
      <c r="I116" s="8" t="n">
        <f aca="false">H116*G116</f>
        <v>2.02464</v>
      </c>
      <c r="J116" s="31" t="n">
        <f aca="false">Assumptions!$C$5/(1+EXP(-Assumptions!$C$6*(LN(D116)-Assumptions!$C$7)))</f>
        <v>0.312717165632224</v>
      </c>
      <c r="K116" s="30" t="n">
        <v>0.45</v>
      </c>
      <c r="L116" s="32" t="n">
        <f aca="false">I116*J116</f>
        <v>0.633139682225627</v>
      </c>
      <c r="M116" s="33" t="n">
        <f aca="false">VLOOKUP(C116,Assumptions!$B$20:$C$23,2,FALSE())*L116/SUMIF($C$5:$C$134,C116,$L$5:$L$134)</f>
        <v>0.075156247515808</v>
      </c>
      <c r="N116" s="31" t="n">
        <f aca="false">IF(I116=0,0,M116/I116)</f>
        <v>0.0371207955566461</v>
      </c>
      <c r="O116" s="32" t="n">
        <f aca="false">I116*J116*K116</f>
        <v>0.284912857001532</v>
      </c>
      <c r="P116" s="32" t="n">
        <f aca="false">O116-M116</f>
        <v>0.209756609485724</v>
      </c>
      <c r="Q116" s="31" t="n">
        <f aca="false">Assumptions!$C$5/(1+EXP(-Assumptions!$C$6*(LN(D116)-(Assumptions!$C$7+Assumptions!$C$8))))</f>
        <v>0.240303513454629</v>
      </c>
      <c r="R116" s="32" t="n">
        <f aca="false">I116*Q116*K116</f>
        <v>0.218937647466351</v>
      </c>
      <c r="S116" s="31" t="n">
        <f aca="false">Assumptions!$C$5/(1+EXP(-Assumptions!$C$6*(LN(D116)-(Assumptions!$C$7-Assumptions!$C$8))))</f>
        <v>0.384835477930029</v>
      </c>
      <c r="T116" s="32" t="n">
        <f aca="false">I116*S116*K116</f>
        <v>0.350618985916314</v>
      </c>
      <c r="U116" s="34" t="n">
        <f aca="false">VLOOKUP(A116,Pricing!$A$5:$L$134,12,FALSE())</f>
        <v>2.21296296296296</v>
      </c>
      <c r="V116" s="18" t="n">
        <f aca="false">U116*Assumptions!$C$17</f>
        <v>1.01796296296296</v>
      </c>
      <c r="W116" s="10" t="n">
        <f aca="false">O116*V116*12</f>
        <v>3.48036883319427</v>
      </c>
      <c r="X116" s="35" t="n">
        <f aca="false">IF(D116&gt;=35000,1,IF(D116&gt;=12000,2,IF(D116&gt;=4000,3,4)))</f>
        <v>3</v>
      </c>
    </row>
    <row r="117" customFormat="false" ht="15" hidden="false" customHeight="true" outlineLevel="0" collapsed="false">
      <c r="A117" s="5" t="s">
        <v>294</v>
      </c>
      <c r="B117" s="27" t="s">
        <v>295</v>
      </c>
      <c r="C117" s="5" t="s">
        <v>20</v>
      </c>
      <c r="D117" s="28" t="n">
        <v>5638</v>
      </c>
      <c r="E117" s="29" t="n">
        <v>3.52</v>
      </c>
      <c r="F117" s="30" t="n">
        <v>0.85</v>
      </c>
      <c r="G117" s="30" t="n">
        <v>0.63</v>
      </c>
      <c r="H117" s="8" t="n">
        <f aca="false">E117*F117</f>
        <v>2.992</v>
      </c>
      <c r="I117" s="8" t="n">
        <f aca="false">H117*G117</f>
        <v>1.88496</v>
      </c>
      <c r="J117" s="31" t="n">
        <f aca="false">Assumptions!$C$5/(1+EXP(-Assumptions!$C$6*(LN(D117)-Assumptions!$C$7)))</f>
        <v>0.257112435991382</v>
      </c>
      <c r="K117" s="30" t="n">
        <v>0.45</v>
      </c>
      <c r="L117" s="32" t="n">
        <f aca="false">I117*J117</f>
        <v>0.484646657346315</v>
      </c>
      <c r="M117" s="33" t="n">
        <f aca="false">VLOOKUP(C117,Assumptions!$B$20:$C$23,2,FALSE())*L117/SUMIF($C$5:$C$134,C117,$L$5:$L$134)</f>
        <v>0.0575295233576095</v>
      </c>
      <c r="N117" s="31" t="n">
        <f aca="false">IF(I117=0,0,M117/I117)</f>
        <v>0.0305202886839028</v>
      </c>
      <c r="O117" s="32" t="n">
        <f aca="false">I117*J117*K117</f>
        <v>0.218090995805842</v>
      </c>
      <c r="P117" s="32" t="n">
        <f aca="false">O117-M117</f>
        <v>0.160561472448232</v>
      </c>
      <c r="Q117" s="31" t="n">
        <f aca="false">Assumptions!$C$5/(1+EXP(-Assumptions!$C$6*(LN(D117)-(Assumptions!$C$7+Assumptions!$C$8))))</f>
        <v>0.189628807000264</v>
      </c>
      <c r="R117" s="32" t="n">
        <f aca="false">I117*Q117*K117</f>
        <v>0.160849222219448</v>
      </c>
      <c r="S117" s="31" t="n">
        <f aca="false">Assumptions!$C$5/(1+EXP(-Assumptions!$C$6*(LN(D117)-(Assumptions!$C$7-Assumptions!$C$8))))</f>
        <v>0.330186562417006</v>
      </c>
      <c r="T117" s="32" t="n">
        <f aca="false">I117*S117*K117</f>
        <v>0.280074808212101</v>
      </c>
      <c r="U117" s="34" t="n">
        <f aca="false">VLOOKUP(A117,Pricing!$A$5:$L$134,12,FALSE())</f>
        <v>5.975</v>
      </c>
      <c r="V117" s="18" t="n">
        <f aca="false">U117*Assumptions!$C$17</f>
        <v>2.7485</v>
      </c>
      <c r="W117" s="10" t="n">
        <f aca="false">O117*V117*12</f>
        <v>7.19307722366828</v>
      </c>
      <c r="X117" s="35" t="n">
        <f aca="false">IF(D117&gt;=35000,1,IF(D117&gt;=12000,2,IF(D117&gt;=4000,3,4)))</f>
        <v>3</v>
      </c>
    </row>
    <row r="118" customFormat="false" ht="15" hidden="false" customHeight="true" outlineLevel="0" collapsed="false">
      <c r="A118" s="5" t="s">
        <v>296</v>
      </c>
      <c r="B118" s="27" t="s">
        <v>297</v>
      </c>
      <c r="C118" s="5" t="s">
        <v>20</v>
      </c>
      <c r="D118" s="28" t="n">
        <v>7982</v>
      </c>
      <c r="E118" s="29" t="n">
        <v>3.03</v>
      </c>
      <c r="F118" s="30" t="n">
        <v>0.72</v>
      </c>
      <c r="G118" s="30" t="n">
        <v>0.76</v>
      </c>
      <c r="H118" s="8" t="n">
        <f aca="false">E118*F118</f>
        <v>2.1816</v>
      </c>
      <c r="I118" s="8" t="n">
        <f aca="false">H118*G118</f>
        <v>1.658016</v>
      </c>
      <c r="J118" s="31" t="n">
        <f aca="false">Assumptions!$C$5/(1+EXP(-Assumptions!$C$6*(LN(D118)-Assumptions!$C$7)))</f>
        <v>0.307783083849323</v>
      </c>
      <c r="K118" s="30" t="n">
        <v>0.45</v>
      </c>
      <c r="L118" s="32" t="n">
        <f aca="false">I118*J118</f>
        <v>0.51030927755152</v>
      </c>
      <c r="M118" s="33" t="n">
        <f aca="false">VLOOKUP(C118,Assumptions!$B$20:$C$23,2,FALSE())*L118/SUMIF($C$5:$C$134,C118,$L$5:$L$134)</f>
        <v>0.0605757804319832</v>
      </c>
      <c r="N118" s="31" t="n">
        <f aca="false">IF(I118=0,0,M118/I118)</f>
        <v>0.0365351000424503</v>
      </c>
      <c r="O118" s="32" t="n">
        <f aca="false">I118*J118*K118</f>
        <v>0.229639174898184</v>
      </c>
      <c r="P118" s="32" t="n">
        <f aca="false">O118-M118</f>
        <v>0.169063394466201</v>
      </c>
      <c r="Q118" s="31" t="n">
        <f aca="false">Assumptions!$C$5/(1+EXP(-Assumptions!$C$6*(LN(D118)-(Assumptions!$C$7+Assumptions!$C$8))))</f>
        <v>0.235635832026371</v>
      </c>
      <c r="R118" s="32" t="n">
        <f aca="false">I118*Q118*K118</f>
        <v>0.175809590852866</v>
      </c>
      <c r="S118" s="31" t="n">
        <f aca="false">Assumptions!$C$5/(1+EXP(-Assumptions!$C$6*(LN(D118)-(Assumptions!$C$7-Assumptions!$C$8))))</f>
        <v>0.380171307236781</v>
      </c>
      <c r="T118" s="32" t="n">
        <f aca="false">I118*S118*K118</f>
        <v>0.283648549562774</v>
      </c>
      <c r="U118" s="34" t="n">
        <f aca="false">VLOOKUP(A118,Pricing!$A$5:$L$134,12,FALSE())</f>
        <v>5.975</v>
      </c>
      <c r="V118" s="18" t="n">
        <f aca="false">U118*Assumptions!$C$17</f>
        <v>2.7485</v>
      </c>
      <c r="W118" s="10" t="n">
        <f aca="false">O118*V118*12</f>
        <v>7.5739592664919</v>
      </c>
      <c r="X118" s="35" t="n">
        <f aca="false">IF(D118&gt;=35000,1,IF(D118&gt;=12000,2,IF(D118&gt;=4000,3,4)))</f>
        <v>3</v>
      </c>
    </row>
    <row r="119" customFormat="false" ht="15" hidden="false" customHeight="true" outlineLevel="0" collapsed="false">
      <c r="A119" s="5" t="s">
        <v>298</v>
      </c>
      <c r="B119" s="27" t="s">
        <v>299</v>
      </c>
      <c r="C119" s="5" t="s">
        <v>20</v>
      </c>
      <c r="D119" s="28" t="n">
        <v>82500</v>
      </c>
      <c r="E119" s="29" t="n">
        <v>2.86</v>
      </c>
      <c r="F119" s="30" t="n">
        <v>0.72</v>
      </c>
      <c r="G119" s="30" t="n">
        <v>0.96</v>
      </c>
      <c r="H119" s="8" t="n">
        <f aca="false">E119*F119</f>
        <v>2.0592</v>
      </c>
      <c r="I119" s="8" t="n">
        <f aca="false">H119*G119</f>
        <v>1.976832</v>
      </c>
      <c r="J119" s="31" t="n">
        <f aca="false">Assumptions!$C$5/(1+EXP(-Assumptions!$C$6*(LN(D119)-Assumptions!$C$7)))</f>
        <v>0.558406225257193</v>
      </c>
      <c r="K119" s="30" t="n">
        <v>0.45</v>
      </c>
      <c r="L119" s="32" t="n">
        <f aca="false">I119*J119</f>
        <v>1.10387529508763</v>
      </c>
      <c r="M119" s="33" t="n">
        <f aca="false">VLOOKUP(C119,Assumptions!$B$20:$C$23,2,FALSE())*L119/SUMIF($C$5:$C$134,C119,$L$5:$L$134)</f>
        <v>0.131034473487047</v>
      </c>
      <c r="N119" s="31" t="n">
        <f aca="false">IF(I119=0,0,M119/I119)</f>
        <v>0.0662850831466949</v>
      </c>
      <c r="O119" s="32" t="n">
        <f aca="false">I119*J119*K119</f>
        <v>0.496743882789432</v>
      </c>
      <c r="P119" s="32" t="n">
        <f aca="false">O119-M119</f>
        <v>0.365709409302385</v>
      </c>
      <c r="Q119" s="31" t="n">
        <f aca="false">Assumptions!$C$5/(1+EXP(-Assumptions!$C$6*(LN(D119)-(Assumptions!$C$7+Assumptions!$C$8))))</f>
        <v>0.526598095426</v>
      </c>
      <c r="R119" s="32" t="n">
        <f aca="false">I119*Q119*K119</f>
        <v>0.468448184779727</v>
      </c>
      <c r="S119" s="31" t="n">
        <f aca="false">Assumptions!$C$5/(1+EXP(-Assumptions!$C$6*(LN(D119)-(Assumptions!$C$7-Assumptions!$C$8))))</f>
        <v>0.580200742448845</v>
      </c>
      <c r="T119" s="32" t="n">
        <f aca="false">I119*S119*K119</f>
        <v>0.516131727343485</v>
      </c>
      <c r="U119" s="34" t="n">
        <f aca="false">VLOOKUP(A119,Pricing!$A$5:$L$134,12,FALSE())</f>
        <v>6.53296703296703</v>
      </c>
      <c r="V119" s="18" t="n">
        <f aca="false">U119*Assumptions!$C$17</f>
        <v>3.00516483516484</v>
      </c>
      <c r="W119" s="10" t="n">
        <f aca="false">O119*V119*12</f>
        <v>17.9135669837045</v>
      </c>
      <c r="X119" s="35" t="n">
        <f aca="false">IF(D119&gt;=35000,1,IF(D119&gt;=12000,2,IF(D119&gt;=4000,3,4)))</f>
        <v>1</v>
      </c>
    </row>
    <row r="120" customFormat="false" ht="15" hidden="false" customHeight="true" outlineLevel="0" collapsed="false">
      <c r="A120" s="5" t="s">
        <v>300</v>
      </c>
      <c r="B120" s="27" t="s">
        <v>301</v>
      </c>
      <c r="C120" s="5" t="s">
        <v>20</v>
      </c>
      <c r="D120" s="28" t="n">
        <v>27196</v>
      </c>
      <c r="E120" s="29" t="n">
        <v>1.59</v>
      </c>
      <c r="F120" s="30" t="n">
        <v>0.72</v>
      </c>
      <c r="G120" s="30" t="n">
        <v>0.93</v>
      </c>
      <c r="H120" s="8" t="n">
        <f aca="false">E120*F120</f>
        <v>1.1448</v>
      </c>
      <c r="I120" s="8" t="n">
        <f aca="false">H120*G120</f>
        <v>1.064664</v>
      </c>
      <c r="J120" s="31" t="n">
        <f aca="false">Assumptions!$C$5/(1+EXP(-Assumptions!$C$6*(LN(D120)-Assumptions!$C$7)))</f>
        <v>0.470928919208743</v>
      </c>
      <c r="K120" s="30" t="n">
        <v>0.45</v>
      </c>
      <c r="L120" s="32" t="n">
        <f aca="false">I120*J120</f>
        <v>0.501381066840457</v>
      </c>
      <c r="M120" s="33" t="n">
        <f aca="false">VLOOKUP(C120,Assumptions!$B$20:$C$23,2,FALSE())*L120/SUMIF($C$5:$C$134,C120,$L$5:$L$134)</f>
        <v>0.0595159656187414</v>
      </c>
      <c r="N120" s="31" t="n">
        <f aca="false">IF(I120=0,0,M120/I120)</f>
        <v>0.0559011722184102</v>
      </c>
      <c r="O120" s="32" t="n">
        <f aca="false">I120*J120*K120</f>
        <v>0.225621480078206</v>
      </c>
      <c r="P120" s="32" t="n">
        <f aca="false">O120-M120</f>
        <v>0.166105514459464</v>
      </c>
      <c r="Q120" s="31" t="n">
        <f aca="false">Assumptions!$C$5/(1+EXP(-Assumptions!$C$6*(LN(D120)-(Assumptions!$C$7+Assumptions!$C$8))))</f>
        <v>0.410864890039671</v>
      </c>
      <c r="R120" s="32" t="n">
        <f aca="false">I120*Q120*K120</f>
        <v>0.196844875780138</v>
      </c>
      <c r="S120" s="31" t="n">
        <f aca="false">Assumptions!$C$5/(1+EXP(-Assumptions!$C$6*(LN(D120)-(Assumptions!$C$7-Assumptions!$C$8))))</f>
        <v>0.518023986517619</v>
      </c>
      <c r="T120" s="32" t="n">
        <f aca="false">I120*S120*K120</f>
        <v>0.248184670311807</v>
      </c>
      <c r="U120" s="34" t="n">
        <f aca="false">VLOOKUP(A120,Pricing!$A$5:$L$134,12,FALSE())</f>
        <v>15.8909574468085</v>
      </c>
      <c r="V120" s="18" t="n">
        <f aca="false">U120*Assumptions!$C$17</f>
        <v>7.30984042553192</v>
      </c>
      <c r="W120" s="10" t="n">
        <f aca="false">O120*V120*12</f>
        <v>19.7910841913281</v>
      </c>
      <c r="X120" s="35" t="n">
        <f aca="false">IF(D120&gt;=35000,1,IF(D120&gt;=12000,2,IF(D120&gt;=4000,3,4)))</f>
        <v>2</v>
      </c>
    </row>
    <row r="121" customFormat="false" ht="15" hidden="false" customHeight="true" outlineLevel="0" collapsed="false">
      <c r="A121" s="5" t="s">
        <v>302</v>
      </c>
      <c r="B121" s="27" t="s">
        <v>303</v>
      </c>
      <c r="C121" s="5" t="s">
        <v>20</v>
      </c>
      <c r="D121" s="28" t="n">
        <v>1602</v>
      </c>
      <c r="E121" s="29" t="n">
        <v>1.4</v>
      </c>
      <c r="F121" s="30" t="n">
        <v>0.74</v>
      </c>
      <c r="G121" s="30" t="n">
        <v>0.47</v>
      </c>
      <c r="H121" s="8" t="n">
        <f aca="false">E121*F121</f>
        <v>1.036</v>
      </c>
      <c r="I121" s="8" t="n">
        <f aca="false">H121*G121</f>
        <v>0.48692</v>
      </c>
      <c r="J121" s="31" t="n">
        <f aca="false">Assumptions!$C$5/(1+EXP(-Assumptions!$C$6*(LN(D121)-Assumptions!$C$7)))</f>
        <v>0.109457072861989</v>
      </c>
      <c r="K121" s="30" t="n">
        <v>0.45</v>
      </c>
      <c r="L121" s="32" t="n">
        <f aca="false">I121*J121</f>
        <v>0.0532968379179596</v>
      </c>
      <c r="M121" s="33" t="n">
        <f aca="false">VLOOKUP(C121,Assumptions!$B$20:$C$23,2,FALSE())*L121/SUMIF($C$5:$C$134,C121,$L$5:$L$134)</f>
        <v>0.00632655076726755</v>
      </c>
      <c r="N121" s="31" t="n">
        <f aca="false">IF(I121=0,0,M121/I121)</f>
        <v>0.0129929983719452</v>
      </c>
      <c r="O121" s="32" t="n">
        <f aca="false">I121*J121*K121</f>
        <v>0.0239835770630818</v>
      </c>
      <c r="P121" s="32" t="n">
        <f aca="false">O121-M121</f>
        <v>0.0176570262958143</v>
      </c>
      <c r="Q121" s="31" t="n">
        <f aca="false">Assumptions!$C$5/(1+EXP(-Assumptions!$C$6*(LN(D121)-(Assumptions!$C$7+Assumptions!$C$8))))</f>
        <v>0.0729386498554979</v>
      </c>
      <c r="R121" s="32" t="n">
        <f aca="false">I121*Q121*K121</f>
        <v>0.0159818793244376</v>
      </c>
      <c r="S121" s="31" t="n">
        <f aca="false">Assumptions!$C$5/(1+EXP(-Assumptions!$C$6*(LN(D121)-(Assumptions!$C$7-Assumptions!$C$8))))</f>
        <v>0.158946989572342</v>
      </c>
      <c r="T121" s="32" t="n">
        <f aca="false">I121*S121*K121</f>
        <v>0.0348275106731542</v>
      </c>
      <c r="U121" s="34" t="n">
        <f aca="false">VLOOKUP(A121,Pricing!$A$5:$L$134,12,FALSE())</f>
        <v>5.975</v>
      </c>
      <c r="V121" s="18" t="n">
        <f aca="false">U121*Assumptions!$C$17</f>
        <v>2.7485</v>
      </c>
      <c r="W121" s="10" t="n">
        <f aca="false">O121*V121*12</f>
        <v>0.791026338694564</v>
      </c>
      <c r="X121" s="35" t="n">
        <f aca="false">IF(D121&gt;=35000,1,IF(D121&gt;=12000,2,IF(D121&gt;=4000,3,4)))</f>
        <v>4</v>
      </c>
    </row>
    <row r="122" customFormat="false" ht="15" hidden="false" customHeight="true" outlineLevel="0" collapsed="false">
      <c r="A122" s="5" t="s">
        <v>304</v>
      </c>
      <c r="B122" s="27" t="s">
        <v>305</v>
      </c>
      <c r="C122" s="5" t="s">
        <v>20</v>
      </c>
      <c r="D122" s="28" t="n">
        <v>23728</v>
      </c>
      <c r="E122" s="29" t="n">
        <v>1.36</v>
      </c>
      <c r="F122" s="30" t="n">
        <v>0.72</v>
      </c>
      <c r="G122" s="30" t="n">
        <v>0.86</v>
      </c>
      <c r="H122" s="8" t="n">
        <f aca="false">E122*F122</f>
        <v>0.9792</v>
      </c>
      <c r="I122" s="8" t="n">
        <f aca="false">H122*G122</f>
        <v>0.842112</v>
      </c>
      <c r="J122" s="31" t="n">
        <f aca="false">Assumptions!$C$5/(1+EXP(-Assumptions!$C$6*(LN(D122)-Assumptions!$C$7)))</f>
        <v>0.455766390123546</v>
      </c>
      <c r="K122" s="30" t="n">
        <v>0.45</v>
      </c>
      <c r="L122" s="32" t="n">
        <f aca="false">I122*J122</f>
        <v>0.383806346319719</v>
      </c>
      <c r="M122" s="33" t="n">
        <f aca="false">VLOOKUP(C122,Assumptions!$B$20:$C$23,2,FALSE())*L122/SUMIF($C$5:$C$134,C122,$L$5:$L$134)</f>
        <v>0.0455593695545106</v>
      </c>
      <c r="N122" s="31" t="n">
        <f aca="false">IF(I122=0,0,M122/I122)</f>
        <v>0.0541013185354331</v>
      </c>
      <c r="O122" s="32" t="n">
        <f aca="false">I122*J122*K122</f>
        <v>0.172712855843874</v>
      </c>
      <c r="P122" s="32" t="n">
        <f aca="false">O122-M122</f>
        <v>0.127153486289363</v>
      </c>
      <c r="Q122" s="31" t="n">
        <f aca="false">Assumptions!$C$5/(1+EXP(-Assumptions!$C$6*(LN(D122)-(Assumptions!$C$7+Assumptions!$C$8))))</f>
        <v>0.392543811547962</v>
      </c>
      <c r="R122" s="32" t="n">
        <f aca="false">I122*Q122*K122</f>
        <v>0.148754634403625</v>
      </c>
      <c r="S122" s="31" t="n">
        <f aca="false">Assumptions!$C$5/(1+EXP(-Assumptions!$C$6*(LN(D122)-(Assumptions!$C$7-Assumptions!$C$8))))</f>
        <v>0.506497127845941</v>
      </c>
      <c r="T122" s="32" t="n">
        <f aca="false">I122*S122*K122</f>
        <v>0.19193728919607</v>
      </c>
      <c r="U122" s="34" t="n">
        <f aca="false">VLOOKUP(A122,Pricing!$A$5:$L$134,12,FALSE())</f>
        <v>11.2231884057971</v>
      </c>
      <c r="V122" s="18" t="n">
        <f aca="false">U122*Assumptions!$C$17</f>
        <v>5.16266666666667</v>
      </c>
      <c r="W122" s="10" t="n">
        <f aca="false">O122*V122*12</f>
        <v>10.6999068452397</v>
      </c>
      <c r="X122" s="35" t="n">
        <f aca="false">IF(D122&gt;=35000,1,IF(D122&gt;=12000,2,IF(D122&gt;=4000,3,4)))</f>
        <v>2</v>
      </c>
    </row>
    <row r="123" customFormat="false" ht="15" hidden="false" customHeight="true" outlineLevel="0" collapsed="false">
      <c r="A123" s="5" t="s">
        <v>306</v>
      </c>
      <c r="B123" s="27" t="s">
        <v>307</v>
      </c>
      <c r="C123" s="5" t="s">
        <v>20</v>
      </c>
      <c r="D123" s="28" t="n">
        <v>5916</v>
      </c>
      <c r="E123" s="29" t="n">
        <v>0.93</v>
      </c>
      <c r="F123" s="30" t="n">
        <v>0.62</v>
      </c>
      <c r="G123" s="30" t="n">
        <v>0.63</v>
      </c>
      <c r="H123" s="8" t="n">
        <f aca="false">E123*F123</f>
        <v>0.5766</v>
      </c>
      <c r="I123" s="8" t="n">
        <f aca="false">H123*G123</f>
        <v>0.363258</v>
      </c>
      <c r="J123" s="31" t="n">
        <f aca="false">Assumptions!$C$5/(1+EXP(-Assumptions!$C$6*(LN(D123)-Assumptions!$C$7)))</f>
        <v>0.264019200254362</v>
      </c>
      <c r="K123" s="30" t="n">
        <v>0.45</v>
      </c>
      <c r="L123" s="32" t="n">
        <f aca="false">I123*J123</f>
        <v>0.0959070866459989</v>
      </c>
      <c r="M123" s="33" t="n">
        <f aca="false">VLOOKUP(C123,Assumptions!$B$20:$C$23,2,FALSE())*L123/SUMIF($C$5:$C$134,C123,$L$5:$L$134)</f>
        <v>0.0113845600660331</v>
      </c>
      <c r="N123" s="31" t="n">
        <f aca="false">IF(I123=0,0,M123/I123)</f>
        <v>0.0313401496072573</v>
      </c>
      <c r="O123" s="32" t="n">
        <f aca="false">I123*J123*K123</f>
        <v>0.0431581889906995</v>
      </c>
      <c r="P123" s="32" t="n">
        <f aca="false">O123-M123</f>
        <v>0.0317736289246664</v>
      </c>
      <c r="Q123" s="31" t="n">
        <f aca="false">Assumptions!$C$5/(1+EXP(-Assumptions!$C$6*(LN(D123)-(Assumptions!$C$7+Assumptions!$C$8))))</f>
        <v>0.195700389791045</v>
      </c>
      <c r="R123" s="32" t="n">
        <f aca="false">I123*Q123*K123</f>
        <v>0.031990379487622</v>
      </c>
      <c r="S123" s="31" t="n">
        <f aca="false">Assumptions!$C$5/(1+EXP(-Assumptions!$C$6*(LN(D123)-(Assumptions!$C$7-Assumptions!$C$8))))</f>
        <v>0.337232105400565</v>
      </c>
      <c r="T123" s="32" t="n">
        <f aca="false">I123*S123*K123</f>
        <v>0.0551260170646193</v>
      </c>
      <c r="U123" s="34" t="n">
        <f aca="false">VLOOKUP(A123,Pricing!$A$5:$L$134,12,FALSE())</f>
        <v>2.65555555555556</v>
      </c>
      <c r="V123" s="18" t="n">
        <f aca="false">U123*Assumptions!$C$17</f>
        <v>1.22155555555556</v>
      </c>
      <c r="W123" s="10" t="n">
        <f aca="false">O123*V123*12</f>
        <v>0.632641506351667</v>
      </c>
      <c r="X123" s="35" t="n">
        <f aca="false">IF(D123&gt;=35000,1,IF(D123&gt;=12000,2,IF(D123&gt;=4000,3,4)))</f>
        <v>3</v>
      </c>
    </row>
    <row r="124" customFormat="false" ht="15" hidden="false" customHeight="true" outlineLevel="0" collapsed="false">
      <c r="A124" s="5" t="s">
        <v>308</v>
      </c>
      <c r="B124" s="27" t="s">
        <v>309</v>
      </c>
      <c r="C124" s="5" t="s">
        <v>20</v>
      </c>
      <c r="D124" s="28" t="n">
        <v>1991</v>
      </c>
      <c r="E124" s="29" t="n">
        <v>0.82</v>
      </c>
      <c r="F124" s="30" t="n">
        <v>0.62</v>
      </c>
      <c r="G124" s="30" t="n">
        <v>0.47</v>
      </c>
      <c r="H124" s="8" t="n">
        <f aca="false">E124*F124</f>
        <v>0.5084</v>
      </c>
      <c r="I124" s="8" t="n">
        <f aca="false">H124*G124</f>
        <v>0.238948</v>
      </c>
      <c r="J124" s="31" t="n">
        <f aca="false">Assumptions!$C$5/(1+EXP(-Assumptions!$C$6*(LN(D124)-Assumptions!$C$7)))</f>
        <v>0.129327667973253</v>
      </c>
      <c r="K124" s="30" t="n">
        <v>0.45</v>
      </c>
      <c r="L124" s="32" t="n">
        <f aca="false">I124*J124</f>
        <v>0.0309025876068728</v>
      </c>
      <c r="M124" s="33" t="n">
        <f aca="false">VLOOKUP(C124,Assumptions!$B$20:$C$23,2,FALSE())*L124/SUMIF($C$5:$C$134,C124,$L$5:$L$134)</f>
        <v>0.00366826245181298</v>
      </c>
      <c r="N124" s="31" t="n">
        <f aca="false">IF(I124=0,0,M124/I124)</f>
        <v>0.01535171858234</v>
      </c>
      <c r="O124" s="32" t="n">
        <f aca="false">I124*J124*K124</f>
        <v>0.0139061644230927</v>
      </c>
      <c r="P124" s="32" t="n">
        <f aca="false">O124-M124</f>
        <v>0.0102379019712798</v>
      </c>
      <c r="Q124" s="31" t="n">
        <f aca="false">Assumptions!$C$5/(1+EXP(-Assumptions!$C$6*(LN(D124)-(Assumptions!$C$7+Assumptions!$C$8))))</f>
        <v>0.0873135502468264</v>
      </c>
      <c r="R124" s="32" t="n">
        <f aca="false">I124*Q124*K124</f>
        <v>0.0093885291919704</v>
      </c>
      <c r="S124" s="31" t="n">
        <f aca="false">Assumptions!$C$5/(1+EXP(-Assumptions!$C$6*(LN(D124)-(Assumptions!$C$7-Assumptions!$C$8))))</f>
        <v>0.184554178675378</v>
      </c>
      <c r="T124" s="32" t="n">
        <f aca="false">I124*S124*K124</f>
        <v>0.0198444833487559</v>
      </c>
      <c r="U124" s="34" t="n">
        <f aca="false">VLOOKUP(A124,Pricing!$A$5:$L$134,12,FALSE())</f>
        <v>5.975</v>
      </c>
      <c r="V124" s="18" t="n">
        <f aca="false">U124*Assumptions!$C$17</f>
        <v>2.7485</v>
      </c>
      <c r="W124" s="10" t="n">
        <f aca="false">O124*V124*12</f>
        <v>0.458653115002445</v>
      </c>
      <c r="X124" s="35" t="n">
        <f aca="false">IF(D124&gt;=35000,1,IF(D124&gt;=12000,2,IF(D124&gt;=4000,3,4)))</f>
        <v>4</v>
      </c>
    </row>
    <row r="125" customFormat="false" ht="15" hidden="false" customHeight="true" outlineLevel="0" collapsed="false">
      <c r="A125" s="5" t="s">
        <v>310</v>
      </c>
      <c r="B125" s="27" t="s">
        <v>311</v>
      </c>
      <c r="C125" s="5" t="s">
        <v>20</v>
      </c>
      <c r="D125" s="28" t="n">
        <v>32694</v>
      </c>
      <c r="E125" s="29" t="n">
        <v>0.46</v>
      </c>
      <c r="F125" s="30" t="n">
        <v>0.74</v>
      </c>
      <c r="G125" s="30" t="n">
        <v>0.93</v>
      </c>
      <c r="H125" s="8" t="n">
        <f aca="false">E125*F125</f>
        <v>0.3404</v>
      </c>
      <c r="I125" s="8" t="n">
        <f aca="false">H125*G125</f>
        <v>0.316572</v>
      </c>
      <c r="J125" s="31" t="n">
        <f aca="false">Assumptions!$C$5/(1+EXP(-Assumptions!$C$6*(LN(D125)-Assumptions!$C$7)))</f>
        <v>0.489828190764143</v>
      </c>
      <c r="K125" s="30" t="n">
        <v>0.45</v>
      </c>
      <c r="L125" s="32" t="n">
        <f aca="false">I125*J125</f>
        <v>0.155065890006586</v>
      </c>
      <c r="M125" s="33" t="n">
        <f aca="false">VLOOKUP(C125,Assumptions!$B$20:$C$23,2,FALSE())*L125/SUMIF($C$5:$C$134,C125,$L$5:$L$134)</f>
        <v>0.0184069499002606</v>
      </c>
      <c r="N125" s="31" t="n">
        <f aca="false">IF(I125=0,0,M125/I125)</f>
        <v>0.0581445923842306</v>
      </c>
      <c r="O125" s="32" t="n">
        <f aca="false">I125*J125*K125</f>
        <v>0.0697796505029638</v>
      </c>
      <c r="P125" s="32" t="n">
        <f aca="false">O125-M125</f>
        <v>0.0513727006027031</v>
      </c>
      <c r="Q125" s="31" t="n">
        <f aca="false">Assumptions!$C$5/(1+EXP(-Assumptions!$C$6*(LN(D125)-(Assumptions!$C$7+Assumptions!$C$8))))</f>
        <v>0.434377575542099</v>
      </c>
      <c r="R125" s="32" t="n">
        <f aca="false">I125*Q125*K125</f>
        <v>0.061880300030031</v>
      </c>
      <c r="S125" s="31" t="n">
        <f aca="false">Assumptions!$C$5/(1+EXP(-Assumptions!$C$6*(LN(D125)-(Assumptions!$C$7-Assumptions!$C$8))))</f>
        <v>0.532067396227188</v>
      </c>
      <c r="T125" s="32" t="n">
        <f aca="false">I125*S125*K125</f>
        <v>0.0757969378912951</v>
      </c>
      <c r="U125" s="34" t="n">
        <f aca="false">VLOOKUP(A125,Pricing!$A$5:$L$134,12,FALSE())</f>
        <v>6.09328358208955</v>
      </c>
      <c r="V125" s="18" t="n">
        <f aca="false">U125*Assumptions!$C$17</f>
        <v>2.80291044776119</v>
      </c>
      <c r="W125" s="10" t="n">
        <f aca="false">O125*V125*12</f>
        <v>2.34703333723058</v>
      </c>
      <c r="X125" s="35" t="n">
        <f aca="false">IF(D125&gt;=35000,1,IF(D125&gt;=12000,2,IF(D125&gt;=4000,3,4)))</f>
        <v>2</v>
      </c>
    </row>
    <row r="126" customFormat="false" ht="15" hidden="false" customHeight="true" outlineLevel="0" collapsed="false">
      <c r="A126" s="5" t="s">
        <v>312</v>
      </c>
      <c r="B126" s="27" t="s">
        <v>313</v>
      </c>
      <c r="C126" s="5" t="s">
        <v>20</v>
      </c>
      <c r="D126" s="28" t="n">
        <v>3436</v>
      </c>
      <c r="E126" s="29" t="n">
        <v>0.33</v>
      </c>
      <c r="F126" s="30" t="n">
        <v>0.62</v>
      </c>
      <c r="G126" s="30" t="n">
        <v>0.63</v>
      </c>
      <c r="H126" s="8" t="n">
        <f aca="false">E126*F126</f>
        <v>0.2046</v>
      </c>
      <c r="I126" s="8" t="n">
        <f aca="false">H126*G126</f>
        <v>0.128898</v>
      </c>
      <c r="J126" s="31" t="n">
        <f aca="false">Assumptions!$C$5/(1+EXP(-Assumptions!$C$6*(LN(D126)-Assumptions!$C$7)))</f>
        <v>0.190226892584638</v>
      </c>
      <c r="K126" s="30" t="n">
        <v>0.45</v>
      </c>
      <c r="L126" s="32" t="n">
        <f aca="false">I126*J126</f>
        <v>0.0245198660003746</v>
      </c>
      <c r="M126" s="33" t="n">
        <f aca="false">VLOOKUP(C126,Assumptions!$B$20:$C$23,2,FALSE())*L126/SUMIF($C$5:$C$134,C126,$L$5:$L$134)</f>
        <v>0.00291060751665521</v>
      </c>
      <c r="N126" s="31" t="n">
        <f aca="false">IF(I126=0,0,M126/I126)</f>
        <v>0.0225807034760447</v>
      </c>
      <c r="O126" s="32" t="n">
        <f aca="false">I126*J126*K126</f>
        <v>0.0110339397001686</v>
      </c>
      <c r="P126" s="32" t="n">
        <f aca="false">O126-M126</f>
        <v>0.00812333218351337</v>
      </c>
      <c r="Q126" s="31" t="n">
        <f aca="false">Assumptions!$C$5/(1+EXP(-Assumptions!$C$6*(LN(D126)-(Assumptions!$C$7+Assumptions!$C$8))))</f>
        <v>0.133824557582761</v>
      </c>
      <c r="R126" s="32" t="n">
        <f aca="false">I126*Q126*K126</f>
        <v>0.00776237302048622</v>
      </c>
      <c r="S126" s="31" t="n">
        <f aca="false">Assumptions!$C$5/(1+EXP(-Assumptions!$C$6*(LN(D126)-(Assumptions!$C$7-Assumptions!$C$8))))</f>
        <v>0.257795869498064</v>
      </c>
      <c r="T126" s="32" t="n">
        <f aca="false">I126*S126*K126</f>
        <v>0.0149532173939527</v>
      </c>
      <c r="U126" s="34" t="n">
        <f aca="false">VLOOKUP(A126,Pricing!$A$5:$L$134,12,FALSE())</f>
        <v>5.975</v>
      </c>
      <c r="V126" s="18" t="n">
        <f aca="false">U126*Assumptions!$C$17</f>
        <v>2.7485</v>
      </c>
      <c r="W126" s="10" t="n">
        <f aca="false">O126*V126*12</f>
        <v>0.36392139919096</v>
      </c>
      <c r="X126" s="35" t="n">
        <f aca="false">IF(D126&gt;=35000,1,IF(D126&gt;=12000,2,IF(D126&gt;=4000,3,4)))</f>
        <v>4</v>
      </c>
    </row>
    <row r="127" customFormat="false" ht="15" hidden="false" customHeight="true" outlineLevel="0" collapsed="false">
      <c r="A127" s="5" t="s">
        <v>314</v>
      </c>
      <c r="B127" s="27" t="s">
        <v>315</v>
      </c>
      <c r="C127" s="5" t="s">
        <v>20</v>
      </c>
      <c r="D127" s="28" t="n">
        <v>4284</v>
      </c>
      <c r="E127" s="29" t="n">
        <v>0.22</v>
      </c>
      <c r="F127" s="30" t="n">
        <v>0.64</v>
      </c>
      <c r="G127" s="30" t="n">
        <v>0.63</v>
      </c>
      <c r="H127" s="8" t="n">
        <f aca="false">E127*F127</f>
        <v>0.1408</v>
      </c>
      <c r="I127" s="8" t="n">
        <f aca="false">H127*G127</f>
        <v>0.088704</v>
      </c>
      <c r="J127" s="31" t="n">
        <f aca="false">Assumptions!$C$5/(1+EXP(-Assumptions!$C$6*(LN(D127)-Assumptions!$C$7)))</f>
        <v>0.218915022416332</v>
      </c>
      <c r="K127" s="30" t="n">
        <v>0.45</v>
      </c>
      <c r="L127" s="32" t="n">
        <f aca="false">I127*J127</f>
        <v>0.0194186381484183</v>
      </c>
      <c r="M127" s="33" t="n">
        <f aca="false">VLOOKUP(C127,Assumptions!$B$20:$C$23,2,FALSE())*L127/SUMIF($C$5:$C$134,C127,$L$5:$L$134)</f>
        <v>0.00230507108632365</v>
      </c>
      <c r="N127" s="31" t="n">
        <f aca="false">IF(I127=0,0,M127/I127)</f>
        <v>0.0259861008108276</v>
      </c>
      <c r="O127" s="32" t="n">
        <f aca="false">I127*J127*K127</f>
        <v>0.00873838716678824</v>
      </c>
      <c r="P127" s="32" t="n">
        <f aca="false">O127-M127</f>
        <v>0.00643331608046458</v>
      </c>
      <c r="Q127" s="31" t="n">
        <f aca="false">Assumptions!$C$5/(1+EXP(-Assumptions!$C$6*(LN(D127)-(Assumptions!$C$7+Assumptions!$C$8))))</f>
        <v>0.157116282307328</v>
      </c>
      <c r="R127" s="32" t="n">
        <f aca="false">I127*Q127*K127</f>
        <v>0.00627157921760516</v>
      </c>
      <c r="S127" s="31" t="n">
        <f aca="false">Assumptions!$C$5/(1+EXP(-Assumptions!$C$6*(LN(D127)-(Assumptions!$C$7-Assumptions!$C$8))))</f>
        <v>0.289802749075521</v>
      </c>
      <c r="T127" s="32" t="n">
        <f aca="false">I127*S127*K127</f>
        <v>0.0115679983742977</v>
      </c>
      <c r="U127" s="34" t="n">
        <f aca="false">VLOOKUP(A127,Pricing!$A$5:$L$134,12,FALSE())</f>
        <v>2.17272727272727</v>
      </c>
      <c r="V127" s="18" t="n">
        <f aca="false">U127*Assumptions!$C$17</f>
        <v>0.999454545454546</v>
      </c>
      <c r="W127" s="10" t="n">
        <f aca="false">O127*V127*12</f>
        <v>0.104803449285458</v>
      </c>
      <c r="X127" s="35" t="n">
        <f aca="false">IF(D127&gt;=35000,1,IF(D127&gt;=12000,2,IF(D127&gt;=4000,3,4)))</f>
        <v>3</v>
      </c>
    </row>
    <row r="128" customFormat="false" ht="15" hidden="false" customHeight="true" outlineLevel="0" collapsed="false">
      <c r="A128" s="5" t="s">
        <v>316</v>
      </c>
      <c r="B128" s="27" t="s">
        <v>317</v>
      </c>
      <c r="C128" s="5" t="s">
        <v>20</v>
      </c>
      <c r="D128" s="28" t="n">
        <v>2074</v>
      </c>
      <c r="E128" s="29" t="n">
        <v>0.14</v>
      </c>
      <c r="F128" s="30" t="n">
        <v>0.64</v>
      </c>
      <c r="G128" s="30" t="n">
        <v>0.47</v>
      </c>
      <c r="H128" s="8" t="n">
        <f aca="false">E128*F128</f>
        <v>0.0896</v>
      </c>
      <c r="I128" s="8" t="n">
        <f aca="false">H128*G128</f>
        <v>0.042112</v>
      </c>
      <c r="J128" s="31" t="n">
        <f aca="false">Assumptions!$C$5/(1+EXP(-Assumptions!$C$6*(LN(D128)-Assumptions!$C$7)))</f>
        <v>0.133343782515088</v>
      </c>
      <c r="K128" s="30" t="n">
        <v>0.45</v>
      </c>
      <c r="L128" s="32" t="n">
        <f aca="false">I128*J128</f>
        <v>0.00561537336927539</v>
      </c>
      <c r="M128" s="33" t="n">
        <f aca="false">VLOOKUP(C128,Assumptions!$B$20:$C$23,2,FALSE())*L128/SUMIF($C$5:$C$134,C128,$L$5:$L$134)</f>
        <v>0.000666567587979018</v>
      </c>
      <c r="N128" s="31" t="n">
        <f aca="false">IF(I128=0,0,M128/I128)</f>
        <v>0.0158284476628756</v>
      </c>
      <c r="O128" s="32" t="n">
        <f aca="false">I128*J128*K128</f>
        <v>0.00252691801617393</v>
      </c>
      <c r="P128" s="32" t="n">
        <f aca="false">O128-M128</f>
        <v>0.00186035042819491</v>
      </c>
      <c r="Q128" s="31" t="n">
        <f aca="false">Assumptions!$C$5/(1+EXP(-Assumptions!$C$6*(LN(D128)-(Assumptions!$C$7+Assumptions!$C$8))))</f>
        <v>0.090264981680553</v>
      </c>
      <c r="R128" s="32" t="n">
        <f aca="false">I128*Q128*K128</f>
        <v>0.00171055750883915</v>
      </c>
      <c r="S128" s="31" t="n">
        <f aca="false">Assumptions!$C$5/(1+EXP(-Assumptions!$C$6*(LN(D128)-(Assumptions!$C$7-Assumptions!$C$8))))</f>
        <v>0.189622519245734</v>
      </c>
      <c r="T128" s="32" t="n">
        <f aca="false">I128*S128*K128</f>
        <v>0.00359342258871436</v>
      </c>
      <c r="U128" s="34" t="n">
        <f aca="false">VLOOKUP(A128,Pricing!$A$5:$L$134,12,FALSE())</f>
        <v>9.99646767926528</v>
      </c>
      <c r="V128" s="18" t="n">
        <f aca="false">U128*Assumptions!$C$17</f>
        <v>4.59837513246203</v>
      </c>
      <c r="W128" s="10" t="n">
        <f aca="false">O128*V128*12</f>
        <v>0.139436603608134</v>
      </c>
      <c r="X128" s="35" t="n">
        <f aca="false">IF(D128&gt;=35000,1,IF(D128&gt;=12000,2,IF(D128&gt;=4000,3,4)))</f>
        <v>4</v>
      </c>
    </row>
    <row r="129" customFormat="false" ht="15" hidden="false" customHeight="true" outlineLevel="0" collapsed="false">
      <c r="A129" s="5" t="s">
        <v>318</v>
      </c>
      <c r="B129" s="27" t="s">
        <v>319</v>
      </c>
      <c r="C129" s="5" t="s">
        <v>20</v>
      </c>
      <c r="D129" s="28" t="n">
        <v>4065</v>
      </c>
      <c r="E129" s="29" t="n">
        <v>0.11</v>
      </c>
      <c r="F129" s="30" t="n">
        <v>0.64</v>
      </c>
      <c r="G129" s="30" t="n">
        <v>0.63</v>
      </c>
      <c r="H129" s="8" t="n">
        <f aca="false">E129*F129</f>
        <v>0.0704</v>
      </c>
      <c r="I129" s="8" t="n">
        <f aca="false">H129*G129</f>
        <v>0.044352</v>
      </c>
      <c r="J129" s="31" t="n">
        <f aca="false">Assumptions!$C$5/(1+EXP(-Assumptions!$C$6*(LN(D129)-Assumptions!$C$7)))</f>
        <v>0.211908138343134</v>
      </c>
      <c r="K129" s="30" t="n">
        <v>0.45</v>
      </c>
      <c r="L129" s="32" t="n">
        <f aca="false">I129*J129</f>
        <v>0.00939854975179468</v>
      </c>
      <c r="M129" s="33" t="n">
        <f aca="false">VLOOKUP(C129,Assumptions!$B$20:$C$23,2,FALSE())*L129/SUMIF($C$5:$C$134,C129,$L$5:$L$134)</f>
        <v>0.00111564596449318</v>
      </c>
      <c r="N129" s="31" t="n">
        <f aca="false">IF(I129=0,0,M129/I129)</f>
        <v>0.0251543552600375</v>
      </c>
      <c r="O129" s="32" t="n">
        <f aca="false">I129*J129*K129</f>
        <v>0.00422934738830761</v>
      </c>
      <c r="P129" s="32" t="n">
        <f aca="false">O129-M129</f>
        <v>0.00311370142381442</v>
      </c>
      <c r="Q129" s="31" t="n">
        <f aca="false">Assumptions!$C$5/(1+EXP(-Assumptions!$C$6*(LN(D129)-(Assumptions!$C$7+Assumptions!$C$8))))</f>
        <v>0.151341048860329</v>
      </c>
      <c r="R129" s="32" t="n">
        <f aca="false">I129*Q129*K129</f>
        <v>0.00302052518957398</v>
      </c>
      <c r="S129" s="31" t="n">
        <f aca="false">Assumptions!$C$5/(1+EXP(-Assumptions!$C$6*(LN(D129)-(Assumptions!$C$7-Assumptions!$C$8))))</f>
        <v>0.282122899873238</v>
      </c>
      <c r="T129" s="32" t="n">
        <f aca="false">I129*S129*K129</f>
        <v>0.00563072168483004</v>
      </c>
      <c r="U129" s="34" t="n">
        <f aca="false">VLOOKUP(A129,Pricing!$A$5:$L$134,12,FALSE())</f>
        <v>5.975</v>
      </c>
      <c r="V129" s="18" t="n">
        <f aca="false">U129*Assumptions!$C$17</f>
        <v>2.7485</v>
      </c>
      <c r="W129" s="10" t="n">
        <f aca="false">O129*V129*12</f>
        <v>0.139492335561162</v>
      </c>
      <c r="X129" s="35" t="n">
        <f aca="false">IF(D129&gt;=35000,1,IF(D129&gt;=12000,2,IF(D129&gt;=4000,3,4)))</f>
        <v>3</v>
      </c>
    </row>
    <row r="130" customFormat="false" ht="15" hidden="false" customHeight="true" outlineLevel="0" collapsed="false">
      <c r="A130" s="5" t="s">
        <v>320</v>
      </c>
      <c r="B130" s="27" t="s">
        <v>321</v>
      </c>
      <c r="C130" s="5" t="s">
        <v>20</v>
      </c>
      <c r="D130" s="28" t="n">
        <v>4802</v>
      </c>
      <c r="E130" s="29" t="n">
        <v>0.1</v>
      </c>
      <c r="F130" s="30" t="n">
        <v>0.64</v>
      </c>
      <c r="G130" s="30" t="n">
        <v>0.63</v>
      </c>
      <c r="H130" s="8" t="n">
        <f aca="false">E130*F130</f>
        <v>0.064</v>
      </c>
      <c r="I130" s="8" t="n">
        <f aca="false">H130*G130</f>
        <v>0.04032</v>
      </c>
      <c r="J130" s="31" t="n">
        <f aca="false">Assumptions!$C$5/(1+EXP(-Assumptions!$C$6*(LN(D130)-Assumptions!$C$7)))</f>
        <v>0.234504956414149</v>
      </c>
      <c r="K130" s="30" t="n">
        <v>0.45</v>
      </c>
      <c r="L130" s="32" t="n">
        <f aca="false">I130*J130</f>
        <v>0.00945523984261851</v>
      </c>
      <c r="M130" s="33" t="n">
        <f aca="false">VLOOKUP(C130,Assumptions!$B$20:$C$23,2,FALSE())*L130/SUMIF($C$5:$C$134,C130,$L$5:$L$134)</f>
        <v>0.00112237530813924</v>
      </c>
      <c r="N130" s="31" t="n">
        <f aca="false">IF(I130=0,0,M130/I130)</f>
        <v>0.0278366891899612</v>
      </c>
      <c r="O130" s="32" t="n">
        <f aca="false">I130*J130*K130</f>
        <v>0.00425485792917833</v>
      </c>
      <c r="P130" s="32" t="n">
        <f aca="false">O130-M130</f>
        <v>0.00313248262103909</v>
      </c>
      <c r="Q130" s="31" t="n">
        <f aca="false">Assumptions!$C$5/(1+EXP(-Assumptions!$C$6*(LN(D130)-(Assumptions!$C$7+Assumptions!$C$8))))</f>
        <v>0.170172492026087</v>
      </c>
      <c r="R130" s="32" t="n">
        <f aca="false">I130*Q130*K130</f>
        <v>0.00308760969532133</v>
      </c>
      <c r="S130" s="31" t="n">
        <f aca="false">Assumptions!$C$5/(1+EXP(-Assumptions!$C$6*(LN(D130)-(Assumptions!$C$7-Assumptions!$C$8))))</f>
        <v>0.30658213863122</v>
      </c>
      <c r="T130" s="32" t="n">
        <f aca="false">I130*S130*K130</f>
        <v>0.00556262632332486</v>
      </c>
      <c r="U130" s="34" t="n">
        <f aca="false">VLOOKUP(A130,Pricing!$A$5:$L$134,12,FALSE())</f>
        <v>2.48958333333333</v>
      </c>
      <c r="V130" s="18" t="n">
        <f aca="false">U130*Assumptions!$C$17</f>
        <v>1.14520833333333</v>
      </c>
      <c r="W130" s="10" t="n">
        <f aca="false">O130*V130*12</f>
        <v>0.0584723850917332</v>
      </c>
      <c r="X130" s="35" t="n">
        <f aca="false">IF(D130&gt;=35000,1,IF(D130&gt;=12000,2,IF(D130&gt;=4000,3,4)))</f>
        <v>3</v>
      </c>
    </row>
    <row r="131" customFormat="false" ht="15" hidden="false" customHeight="true" outlineLevel="0" collapsed="false">
      <c r="A131" s="5" t="s">
        <v>322</v>
      </c>
      <c r="B131" s="27" t="s">
        <v>323</v>
      </c>
      <c r="C131" s="5" t="s">
        <v>20</v>
      </c>
      <c r="D131" s="28" t="n">
        <v>7564</v>
      </c>
      <c r="E131" s="29" t="n">
        <v>0.04</v>
      </c>
      <c r="F131" s="30" t="n">
        <v>0.64</v>
      </c>
      <c r="G131" s="30" t="n">
        <v>0.76</v>
      </c>
      <c r="H131" s="8" t="n">
        <f aca="false">E131*F131</f>
        <v>0.0256</v>
      </c>
      <c r="I131" s="8" t="n">
        <f aca="false">H131*G131</f>
        <v>0.019456</v>
      </c>
      <c r="J131" s="31" t="n">
        <f aca="false">Assumptions!$C$5/(1+EXP(-Assumptions!$C$6*(LN(D131)-Assumptions!$C$7)))</f>
        <v>0.299866249008899</v>
      </c>
      <c r="K131" s="30" t="n">
        <v>0.45</v>
      </c>
      <c r="L131" s="32" t="n">
        <f aca="false">I131*J131</f>
        <v>0.00583419774071714</v>
      </c>
      <c r="M131" s="33" t="n">
        <f aca="false">VLOOKUP(C131,Assumptions!$B$20:$C$23,2,FALSE())*L131/SUMIF($C$5:$C$134,C131,$L$5:$L$134)</f>
        <v>0.000692542928151594</v>
      </c>
      <c r="N131" s="31" t="n">
        <f aca="false">IF(I131=0,0,M131/I131)</f>
        <v>0.0355953396459495</v>
      </c>
      <c r="O131" s="32" t="n">
        <f aca="false">I131*J131*K131</f>
        <v>0.00262538898332271</v>
      </c>
      <c r="P131" s="32" t="n">
        <f aca="false">O131-M131</f>
        <v>0.00193284605517112</v>
      </c>
      <c r="Q131" s="31" t="n">
        <f aca="false">Assumptions!$C$5/(1+EXP(-Assumptions!$C$6*(LN(D131)-(Assumptions!$C$7+Assumptions!$C$8))))</f>
        <v>0.228218275221291</v>
      </c>
      <c r="R131" s="32" t="n">
        <f aca="false">I131*Q131*K131</f>
        <v>0.00199809664321745</v>
      </c>
      <c r="S131" s="31" t="n">
        <f aca="false">Assumptions!$C$5/(1+EXP(-Assumptions!$C$6*(LN(D131)-(Assumptions!$C$7-Assumptions!$C$8))))</f>
        <v>0.372614668577324</v>
      </c>
      <c r="T131" s="32" t="n">
        <f aca="false">I131*S131*K131</f>
        <v>0.00326231594632819</v>
      </c>
      <c r="U131" s="34" t="n">
        <f aca="false">VLOOKUP(A131,Pricing!$A$5:$L$134,12,FALSE())</f>
        <v>11.885</v>
      </c>
      <c r="V131" s="18" t="n">
        <f aca="false">U131*Assumptions!$C$17</f>
        <v>5.4671</v>
      </c>
      <c r="W131" s="10" t="n">
        <f aca="false">O131*V131*12</f>
        <v>0.172239169328683</v>
      </c>
      <c r="X131" s="35" t="n">
        <f aca="false">IF(D131&gt;=35000,1,IF(D131&gt;=12000,2,IF(D131&gt;=4000,3,4)))</f>
        <v>3</v>
      </c>
    </row>
    <row r="132" customFormat="false" ht="15" hidden="false" customHeight="true" outlineLevel="0" collapsed="false">
      <c r="A132" s="5" t="s">
        <v>324</v>
      </c>
      <c r="B132" s="27" t="s">
        <v>325</v>
      </c>
      <c r="C132" s="5" t="s">
        <v>20</v>
      </c>
      <c r="D132" s="28" t="n">
        <v>14864</v>
      </c>
      <c r="E132" s="29" t="n">
        <v>0.02</v>
      </c>
      <c r="F132" s="30" t="n">
        <v>0.64</v>
      </c>
      <c r="G132" s="30" t="n">
        <v>0.86</v>
      </c>
      <c r="H132" s="8" t="n">
        <f aca="false">E132*F132</f>
        <v>0.0128</v>
      </c>
      <c r="I132" s="8" t="n">
        <f aca="false">H132*G132</f>
        <v>0.011008</v>
      </c>
      <c r="J132" s="31" t="n">
        <f aca="false">Assumptions!$C$5/(1+EXP(-Assumptions!$C$6*(LN(D132)-Assumptions!$C$7)))</f>
        <v>0.396942605654019</v>
      </c>
      <c r="K132" s="30" t="n">
        <v>0.45</v>
      </c>
      <c r="L132" s="32" t="n">
        <f aca="false">I132*J132</f>
        <v>0.00436954420303944</v>
      </c>
      <c r="M132" s="33" t="n">
        <f aca="false">VLOOKUP(C132,Assumptions!$B$20:$C$23,2,FALSE())*L132/SUMIF($C$5:$C$134,C132,$L$5:$L$134)</f>
        <v>0.000518682614396404</v>
      </c>
      <c r="N132" s="31" t="n">
        <f aca="false">IF(I132=0,0,M132/I132)</f>
        <v>0.0471186968019989</v>
      </c>
      <c r="O132" s="32" t="n">
        <f aca="false">I132*J132*K132</f>
        <v>0.00196629489136775</v>
      </c>
      <c r="P132" s="32" t="n">
        <f aca="false">O132-M132</f>
        <v>0.00144761227697134</v>
      </c>
      <c r="Q132" s="31" t="n">
        <f aca="false">Assumptions!$C$5/(1+EXP(-Assumptions!$C$6*(LN(D132)-(Assumptions!$C$7+Assumptions!$C$8))))</f>
        <v>0.325697763050076</v>
      </c>
      <c r="R132" s="32" t="n">
        <f aca="false">I132*Q132*K132</f>
        <v>0.00161337643904485</v>
      </c>
      <c r="S132" s="31" t="n">
        <f aca="false">Assumptions!$C$5/(1+EXP(-Assumptions!$C$6*(LN(D132)-(Assumptions!$C$7-Assumptions!$C$8))))</f>
        <v>0.459442609926563</v>
      </c>
      <c r="T132" s="32" t="n">
        <f aca="false">I132*S132*K132</f>
        <v>0.00227589491253222</v>
      </c>
      <c r="U132" s="34" t="n">
        <f aca="false">VLOOKUP(A132,Pricing!$A$5:$L$134,12,FALSE())</f>
        <v>11.885</v>
      </c>
      <c r="V132" s="18" t="n">
        <f aca="false">U132*Assumptions!$C$17</f>
        <v>5.4671</v>
      </c>
      <c r="W132" s="10" t="n">
        <f aca="false">O132*V132*12</f>
        <v>0.128999169607159</v>
      </c>
      <c r="X132" s="35" t="n">
        <f aca="false">IF(D132&gt;=35000,1,IF(D132&gt;=12000,2,IF(D132&gt;=4000,3,4)))</f>
        <v>2</v>
      </c>
    </row>
    <row r="133" customFormat="false" ht="15" hidden="false" customHeight="true" outlineLevel="0" collapsed="false">
      <c r="A133" s="5" t="s">
        <v>326</v>
      </c>
      <c r="B133" s="27" t="s">
        <v>327</v>
      </c>
      <c r="C133" s="5" t="s">
        <v>20</v>
      </c>
      <c r="D133" s="28" t="n">
        <v>12901</v>
      </c>
      <c r="E133" s="29" t="n">
        <v>0.01</v>
      </c>
      <c r="F133" s="30" t="n">
        <v>0.64</v>
      </c>
      <c r="G133" s="30" t="n">
        <v>0.86</v>
      </c>
      <c r="H133" s="8" t="n">
        <f aca="false">E133*F133</f>
        <v>0.0064</v>
      </c>
      <c r="I133" s="8" t="n">
        <f aca="false">H133*G133</f>
        <v>0.005504</v>
      </c>
      <c r="J133" s="31" t="n">
        <f aca="false">Assumptions!$C$5/(1+EXP(-Assumptions!$C$6*(LN(D133)-Assumptions!$C$7)))</f>
        <v>0.377387516345697</v>
      </c>
      <c r="K133" s="30" t="n">
        <v>0.45</v>
      </c>
      <c r="L133" s="32" t="n">
        <f aca="false">I133*J133</f>
        <v>0.00207714088996672</v>
      </c>
      <c r="M133" s="33" t="n">
        <f aca="false">VLOOKUP(C133,Assumptions!$B$20:$C$23,2,FALSE())*L133/SUMIF($C$5:$C$134,C133,$L$5:$L$134)</f>
        <v>0.000246565045967081</v>
      </c>
      <c r="N133" s="31" t="n">
        <f aca="false">IF(I133=0,0,M133/I133)</f>
        <v>0.0447974284097167</v>
      </c>
      <c r="O133" s="32" t="n">
        <f aca="false">I133*J133*K133</f>
        <v>0.000934713400485023</v>
      </c>
      <c r="P133" s="32" t="n">
        <f aca="false">O133-M133</f>
        <v>0.000688148354517943</v>
      </c>
      <c r="Q133" s="31" t="n">
        <f aca="false">Assumptions!$C$5/(1+EXP(-Assumptions!$C$6*(LN(D133)-(Assumptions!$C$7+Assumptions!$C$8))))</f>
        <v>0.304855573037243</v>
      </c>
      <c r="R133" s="32" t="n">
        <f aca="false">I133*Q133*K133</f>
        <v>0.000755066283298642</v>
      </c>
      <c r="S133" s="31" t="n">
        <f aca="false">Assumptions!$C$5/(1+EXP(-Assumptions!$C$6*(LN(D133)-(Assumptions!$C$7-Assumptions!$C$8))))</f>
        <v>0.442922472177805</v>
      </c>
      <c r="T133" s="32" t="n">
        <f aca="false">I133*S133*K133</f>
        <v>0.00109703037908999</v>
      </c>
      <c r="U133" s="34" t="n">
        <f aca="false">VLOOKUP(A133,Pricing!$A$5:$L$134,12,FALSE())</f>
        <v>9.99646767926528</v>
      </c>
      <c r="V133" s="18" t="n">
        <f aca="false">U133*Assumptions!$C$17</f>
        <v>4.59837513246203</v>
      </c>
      <c r="W133" s="10" t="n">
        <f aca="false">O133*V133*12</f>
        <v>0.0515779542812322</v>
      </c>
      <c r="X133" s="35" t="n">
        <f aca="false">IF(D133&gt;=35000,1,IF(D133&gt;=12000,2,IF(D133&gt;=4000,3,4)))</f>
        <v>2</v>
      </c>
    </row>
    <row r="134" customFormat="false" ht="15" hidden="false" customHeight="true" outlineLevel="0" collapsed="false">
      <c r="A134" s="5" t="s">
        <v>328</v>
      </c>
      <c r="B134" s="27" t="s">
        <v>329</v>
      </c>
      <c r="C134" s="5" t="s">
        <v>20</v>
      </c>
      <c r="D134" s="28" t="n">
        <v>6457</v>
      </c>
      <c r="E134" s="29" t="n">
        <v>0.01</v>
      </c>
      <c r="F134" s="30" t="n">
        <v>0.64</v>
      </c>
      <c r="G134" s="30" t="n">
        <v>0.76</v>
      </c>
      <c r="H134" s="8" t="n">
        <f aca="false">E134*F134</f>
        <v>0.0064</v>
      </c>
      <c r="I134" s="8" t="n">
        <f aca="false">H134*G134</f>
        <v>0.004864</v>
      </c>
      <c r="J134" s="31" t="n">
        <f aca="false">Assumptions!$C$5/(1+EXP(-Assumptions!$C$6*(LN(D134)-Assumptions!$C$7)))</f>
        <v>0.276691558328348</v>
      </c>
      <c r="K134" s="30" t="n">
        <v>0.45</v>
      </c>
      <c r="L134" s="32" t="n">
        <f aca="false">I134*J134</f>
        <v>0.00134582773970908</v>
      </c>
      <c r="M134" s="33" t="n">
        <f aca="false">VLOOKUP(C134,Assumptions!$B$20:$C$23,2,FALSE())*L134/SUMIF($C$5:$C$134,C134,$L$5:$L$134)</f>
        <v>0.000159755209725065</v>
      </c>
      <c r="N134" s="31" t="n">
        <f aca="false">IF(I134=0,0,M134/I134)</f>
        <v>0.0328444098941335</v>
      </c>
      <c r="O134" s="32" t="n">
        <f aca="false">I134*J134*K134</f>
        <v>0.000605622482869088</v>
      </c>
      <c r="P134" s="32" t="n">
        <f aca="false">O134-M134</f>
        <v>0.000445867273144022</v>
      </c>
      <c r="Q134" s="31" t="n">
        <f aca="false">Assumptions!$C$5/(1+EXP(-Assumptions!$C$6*(LN(D134)-(Assumptions!$C$7+Assumptions!$C$8))))</f>
        <v>0.20700039818015</v>
      </c>
      <c r="R134" s="32" t="n">
        <f aca="false">I134*Q134*K134</f>
        <v>0.000453082471536713</v>
      </c>
      <c r="S134" s="31" t="n">
        <f aca="false">Assumptions!$C$5/(1+EXP(-Assumptions!$C$6*(LN(D134)-(Assumptions!$C$7-Assumptions!$C$8))))</f>
        <v>0.349963859676677</v>
      </c>
      <c r="T134" s="32" t="n">
        <f aca="false">I134*S134*K134</f>
        <v>0.000766000896060312</v>
      </c>
      <c r="U134" s="34" t="n">
        <f aca="false">VLOOKUP(A134,Pricing!$A$5:$L$134,12,FALSE())</f>
        <v>9.99646767926528</v>
      </c>
      <c r="V134" s="18" t="n">
        <f aca="false">U134*Assumptions!$C$17</f>
        <v>4.59837513246203</v>
      </c>
      <c r="W134" s="10" t="n">
        <f aca="false">O134*V134*12</f>
        <v>0.0334185523786215</v>
      </c>
      <c r="X134" s="35" t="n">
        <f aca="false">IF(D134&gt;=35000,1,IF(D134&gt;=12000,2,IF(D134&gt;=4000,3,4)))</f>
        <v>3</v>
      </c>
    </row>
    <row r="135" customFormat="false" ht="15" hidden="false" customHeight="true" outlineLevel="0" collapsed="false">
      <c r="A135" s="13" t="s">
        <v>330</v>
      </c>
      <c r="B135" s="36"/>
      <c r="C135" s="36"/>
      <c r="D135" s="36"/>
      <c r="E135" s="15" t="n">
        <f aca="false">SUM(E5:E134)</f>
        <v>5544.39</v>
      </c>
      <c r="F135" s="36"/>
      <c r="G135" s="36"/>
      <c r="H135" s="15" t="n">
        <f aca="false">SUM(H5:H134)</f>
        <v>3979.7736</v>
      </c>
      <c r="I135" s="15" t="n">
        <f aca="false">SUM(I5:I134)</f>
        <v>2592.908862</v>
      </c>
      <c r="J135" s="36"/>
      <c r="K135" s="36"/>
      <c r="L135" s="15" t="n">
        <f aca="false">SUM(L5:L134)</f>
        <v>857.137975862672</v>
      </c>
      <c r="M135" s="15" t="n">
        <f aca="false">SUM(M5:M134)</f>
        <v>290</v>
      </c>
      <c r="N135" s="37" t="n">
        <f aca="false">M135/I135</f>
        <v>0.111843499110228</v>
      </c>
      <c r="O135" s="15" t="n">
        <f aca="false">SUM(O5:O134)</f>
        <v>395.624486197153</v>
      </c>
      <c r="P135" s="15" t="n">
        <f aca="false">SUM(P5:P134)</f>
        <v>105.624486197153</v>
      </c>
      <c r="Q135" s="36"/>
      <c r="R135" s="15" t="n">
        <f aca="false">SUM(R5:R134)</f>
        <v>333.326274775462</v>
      </c>
      <c r="S135" s="36"/>
      <c r="T135" s="15" t="n">
        <f aca="false">SUM(T5:T134)</f>
        <v>457.0255900299</v>
      </c>
      <c r="U135" s="36"/>
      <c r="V135" s="36"/>
      <c r="W135" s="16" t="n">
        <f aca="false">SUM(W5:W134)</f>
        <v>20899.3861316819</v>
      </c>
      <c r="X135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11" min="5" style="1" width="9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25" t="s">
        <v>331</v>
      </c>
    </row>
    <row r="2" customFormat="false" ht="15" hidden="false" customHeight="true" outlineLevel="0" collapsed="false">
      <c r="A2" s="3" t="s">
        <v>332</v>
      </c>
    </row>
    <row r="4" customFormat="false" ht="30" hidden="false" customHeight="true" outlineLevel="0" collapsed="false">
      <c r="A4" s="26" t="s">
        <v>47</v>
      </c>
      <c r="B4" s="26" t="s">
        <v>333</v>
      </c>
      <c r="C4" s="26" t="s">
        <v>334</v>
      </c>
      <c r="D4" s="26" t="s">
        <v>335</v>
      </c>
      <c r="E4" s="26" t="s">
        <v>336</v>
      </c>
      <c r="F4" s="26" t="s">
        <v>337</v>
      </c>
      <c r="G4" s="26" t="s">
        <v>338</v>
      </c>
      <c r="H4" s="26" t="s">
        <v>339</v>
      </c>
      <c r="I4" s="26" t="s">
        <v>340</v>
      </c>
      <c r="J4" s="26" t="s">
        <v>341</v>
      </c>
      <c r="K4" s="26" t="s">
        <v>342</v>
      </c>
      <c r="L4" s="26" t="s">
        <v>343</v>
      </c>
    </row>
    <row r="5" customFormat="false" ht="15" hidden="false" customHeight="true" outlineLevel="0" collapsed="false">
      <c r="A5" s="5" t="s">
        <v>70</v>
      </c>
      <c r="B5" s="27" t="s">
        <v>344</v>
      </c>
      <c r="C5" s="38" t="n">
        <v>0.8625</v>
      </c>
      <c r="D5" s="39" t="n">
        <v>12.99</v>
      </c>
      <c r="E5" s="39" t="n">
        <v>6.99</v>
      </c>
      <c r="F5" s="39" t="n">
        <v>17.99</v>
      </c>
      <c r="G5" s="39" t="n">
        <v>21.99</v>
      </c>
      <c r="H5" s="18" t="n">
        <f aca="false">IF(D5="","",D5/$C5)</f>
        <v>15.0608695652174</v>
      </c>
      <c r="I5" s="18" t="n">
        <f aca="false">IF(E5="","",E5/$C5)</f>
        <v>8.10434782608696</v>
      </c>
      <c r="J5" s="18" t="n">
        <f aca="false">IF(F5="","",F5/$C5)</f>
        <v>20.8579710144928</v>
      </c>
      <c r="K5" s="18" t="n">
        <f aca="false">IF(G5="","",G5/$C5)</f>
        <v>25.495652173913</v>
      </c>
      <c r="L5" s="18" t="n">
        <f aca="false">(H5*Assumptions!$C$11+IF(K5="",H5,K5)*Assumptions!$C$12+IF(J5="",H5,J5)*Assumptions!$C$13+IF(I5="",H5,I5)*Assumptions!$C$14)/Assumptions!$C$15</f>
        <v>16.3014492753623</v>
      </c>
    </row>
    <row r="6" customFormat="false" ht="15" hidden="false" customHeight="true" outlineLevel="0" collapsed="false">
      <c r="A6" s="5" t="s">
        <v>72</v>
      </c>
      <c r="B6" s="27" t="s">
        <v>345</v>
      </c>
      <c r="C6" s="38" t="n">
        <v>0.7458</v>
      </c>
      <c r="D6" s="39" t="n">
        <v>12.99</v>
      </c>
      <c r="E6" s="39" t="n">
        <v>5.99</v>
      </c>
      <c r="F6" s="39" t="n">
        <v>17.99</v>
      </c>
      <c r="G6" s="39" t="n">
        <v>21.99</v>
      </c>
      <c r="H6" s="18" t="n">
        <f aca="false">IF(D6="","",D6/$C6)</f>
        <v>17.4175382139984</v>
      </c>
      <c r="I6" s="18" t="n">
        <f aca="false">IF(E6="","",E6/$C6)</f>
        <v>8.03164387235184</v>
      </c>
      <c r="J6" s="18" t="n">
        <f aca="false">IF(F6="","",F6/$C6)</f>
        <v>24.1217484580316</v>
      </c>
      <c r="K6" s="18" t="n">
        <f aca="false">IF(G6="","",G6/$C6)</f>
        <v>29.4851166532582</v>
      </c>
      <c r="L6" s="18" t="n">
        <f aca="false">(H6*Assumptions!$C$11+IF(K6="",H6,K6)*Assumptions!$C$12+IF(J6="",H6,J6)*Assumptions!$C$13+IF(I6="",H6,I6)*Assumptions!$C$14)/Assumptions!$C$15</f>
        <v>18.6511128989005</v>
      </c>
    </row>
    <row r="7" customFormat="false" ht="15" hidden="false" customHeight="true" outlineLevel="0" collapsed="false">
      <c r="A7" s="5" t="s">
        <v>74</v>
      </c>
      <c r="B7" s="27" t="s">
        <v>344</v>
      </c>
      <c r="C7" s="38" t="n">
        <v>0.8625</v>
      </c>
      <c r="D7" s="39" t="n">
        <v>12.14</v>
      </c>
      <c r="E7" s="39" t="n">
        <v>7.07</v>
      </c>
      <c r="F7" s="39" t="n">
        <v>17.2</v>
      </c>
      <c r="G7" s="39" t="n">
        <v>21.24</v>
      </c>
      <c r="H7" s="18" t="n">
        <f aca="false">IF(D7="","",D7/$C7)</f>
        <v>14.0753623188406</v>
      </c>
      <c r="I7" s="18" t="n">
        <f aca="false">IF(E7="","",E7/$C7)</f>
        <v>8.19710144927536</v>
      </c>
      <c r="J7" s="18" t="n">
        <f aca="false">IF(F7="","",F7/$C7)</f>
        <v>19.9420289855072</v>
      </c>
      <c r="K7" s="18" t="n">
        <f aca="false">IF(G7="","",G7/$C7)</f>
        <v>24.6260869565217</v>
      </c>
      <c r="L7" s="18" t="n">
        <f aca="false">(H7*Assumptions!$C$11+IF(K7="",H7,K7)*Assumptions!$C$12+IF(J7="",H7,J7)*Assumptions!$C$13+IF(I7="",H7,I7)*Assumptions!$C$14)/Assumptions!$C$15</f>
        <v>15.5034202898551</v>
      </c>
    </row>
    <row r="8" customFormat="false" ht="15" hidden="false" customHeight="true" outlineLevel="0" collapsed="false">
      <c r="A8" s="5" t="s">
        <v>76</v>
      </c>
      <c r="B8" s="27" t="s">
        <v>344</v>
      </c>
      <c r="C8" s="38" t="n">
        <v>0.8625</v>
      </c>
      <c r="D8" s="39" t="n">
        <v>11.99</v>
      </c>
      <c r="E8" s="39" t="n">
        <v>6.49</v>
      </c>
      <c r="F8" s="39" t="n">
        <v>16.99</v>
      </c>
      <c r="G8" s="39" t="n">
        <v>20.99</v>
      </c>
      <c r="H8" s="18" t="n">
        <f aca="false">IF(D8="","",D8/$C8)</f>
        <v>13.9014492753623</v>
      </c>
      <c r="I8" s="18" t="n">
        <f aca="false">IF(E8="","",E8/$C8)</f>
        <v>7.52463768115942</v>
      </c>
      <c r="J8" s="18" t="n">
        <f aca="false">IF(F8="","",F8/$C8)</f>
        <v>19.6985507246377</v>
      </c>
      <c r="K8" s="18" t="n">
        <f aca="false">IF(G8="","",G8/$C8)</f>
        <v>24.336231884058</v>
      </c>
      <c r="L8" s="18" t="n">
        <f aca="false">(H8*Assumptions!$C$11+IF(K8="",H8,K8)*Assumptions!$C$12+IF(J8="",H8,J8)*Assumptions!$C$13+IF(I8="",H8,I8)*Assumptions!$C$14)/Assumptions!$C$15</f>
        <v>15.2289855072464</v>
      </c>
    </row>
    <row r="9" customFormat="false" ht="15" hidden="false" customHeight="true" outlineLevel="0" collapsed="false">
      <c r="A9" s="5" t="s">
        <v>78</v>
      </c>
      <c r="B9" s="27" t="s">
        <v>344</v>
      </c>
      <c r="C9" s="38" t="n">
        <v>0.8625</v>
      </c>
      <c r="D9" s="39" t="n">
        <v>11.99</v>
      </c>
      <c r="E9" s="39" t="n">
        <v>6.49</v>
      </c>
      <c r="F9" s="39" t="n">
        <v>16.99</v>
      </c>
      <c r="G9" s="39" t="n">
        <v>20.99</v>
      </c>
      <c r="H9" s="18" t="n">
        <f aca="false">IF(D9="","",D9/$C9)</f>
        <v>13.9014492753623</v>
      </c>
      <c r="I9" s="18" t="n">
        <f aca="false">IF(E9="","",E9/$C9)</f>
        <v>7.52463768115942</v>
      </c>
      <c r="J9" s="18" t="n">
        <f aca="false">IF(F9="","",F9/$C9)</f>
        <v>19.6985507246377</v>
      </c>
      <c r="K9" s="18" t="n">
        <f aca="false">IF(G9="","",G9/$C9)</f>
        <v>24.336231884058</v>
      </c>
      <c r="L9" s="18" t="n">
        <f aca="false">(H9*Assumptions!$C$11+IF(K9="",H9,K9)*Assumptions!$C$12+IF(J9="",H9,J9)*Assumptions!$C$13+IF(I9="",H9,I9)*Assumptions!$C$14)/Assumptions!$C$15</f>
        <v>15.2289855072464</v>
      </c>
    </row>
    <row r="10" customFormat="false" ht="15" hidden="false" customHeight="true" outlineLevel="0" collapsed="false">
      <c r="A10" s="5" t="s">
        <v>80</v>
      </c>
      <c r="B10" s="27" t="s">
        <v>346</v>
      </c>
      <c r="C10" s="38" t="n">
        <v>1</v>
      </c>
      <c r="D10" s="39" t="n">
        <v>4.99</v>
      </c>
      <c r="E10" s="39" t="n">
        <v>2.49</v>
      </c>
      <c r="F10" s="39" t="n">
        <v>6.49</v>
      </c>
      <c r="G10" s="39" t="n">
        <v>7.99</v>
      </c>
      <c r="H10" s="18" t="n">
        <f aca="false">IF(D10="","",D10/$C10)</f>
        <v>4.99</v>
      </c>
      <c r="I10" s="18" t="n">
        <f aca="false">IF(E10="","",E10/$C10)</f>
        <v>2.49</v>
      </c>
      <c r="J10" s="18" t="n">
        <f aca="false">IF(F10="","",F10/$C10)</f>
        <v>6.49</v>
      </c>
      <c r="K10" s="18" t="n">
        <f aca="false">IF(G10="","",G10/$C10)</f>
        <v>7.99</v>
      </c>
      <c r="L10" s="18" t="n">
        <f aca="false">(H10*Assumptions!$C$11+IF(K10="",H10,K10)*Assumptions!$C$12+IF(J10="",H10,J10)*Assumptions!$C$13+IF(I10="",H10,I10)*Assumptions!$C$14)/Assumptions!$C$15</f>
        <v>5.26</v>
      </c>
    </row>
    <row r="11" customFormat="false" ht="15" hidden="false" customHeight="true" outlineLevel="0" collapsed="false">
      <c r="A11" s="5" t="s">
        <v>82</v>
      </c>
      <c r="B11" s="27" t="s">
        <v>347</v>
      </c>
      <c r="C11" s="38" t="n">
        <v>3.6596</v>
      </c>
      <c r="D11" s="39" t="n">
        <v>26.99</v>
      </c>
      <c r="E11" s="39" t="n">
        <v>14.49</v>
      </c>
      <c r="F11" s="39" t="n">
        <v>36.99</v>
      </c>
      <c r="G11" s="39" t="n">
        <v>45.99</v>
      </c>
      <c r="H11" s="18" t="n">
        <f aca="false">IF(D11="","",D11/$C11)</f>
        <v>7.37512296425839</v>
      </c>
      <c r="I11" s="18" t="n">
        <f aca="false">IF(E11="","",E11/$C11)</f>
        <v>3.95944912012242</v>
      </c>
      <c r="J11" s="18" t="n">
        <f aca="false">IF(F11="","",F11/$C11)</f>
        <v>10.1076620395672</v>
      </c>
      <c r="K11" s="18" t="n">
        <f aca="false">IF(G11="","",G11/$C11)</f>
        <v>12.5669472073451</v>
      </c>
      <c r="L11" s="18" t="n">
        <f aca="false">(H11*Assumptions!$C$11+IF(K11="",H11,K11)*Assumptions!$C$12+IF(J11="",H11,J11)*Assumptions!$C$13+IF(I11="",H11,I11)*Assumptions!$C$14)/Assumptions!$C$15</f>
        <v>7.98857798666521</v>
      </c>
    </row>
    <row r="12" customFormat="false" ht="15" hidden="false" customHeight="true" outlineLevel="0" collapsed="false">
      <c r="A12" s="5" t="s">
        <v>84</v>
      </c>
      <c r="B12" s="27" t="s">
        <v>348</v>
      </c>
      <c r="C12" s="38" t="n">
        <v>4.5131</v>
      </c>
      <c r="D12" s="39" t="n">
        <v>26</v>
      </c>
      <c r="E12" s="39" t="n">
        <v>14</v>
      </c>
      <c r="F12" s="39" t="n">
        <v>35</v>
      </c>
      <c r="G12" s="39" t="n">
        <v>42</v>
      </c>
      <c r="H12" s="18" t="n">
        <f aca="false">IF(D12="","",D12/$C12)</f>
        <v>5.76100684673506</v>
      </c>
      <c r="I12" s="18" t="n">
        <f aca="false">IF(E12="","",E12/$C12)</f>
        <v>3.10208060978042</v>
      </c>
      <c r="J12" s="18" t="n">
        <f aca="false">IF(F12="","",F12/$C12)</f>
        <v>7.75520152445104</v>
      </c>
      <c r="K12" s="18" t="n">
        <f aca="false">IF(G12="","",G12/$C12)</f>
        <v>9.30624182934125</v>
      </c>
      <c r="L12" s="18" t="n">
        <f aca="false">(H12*Assumptions!$C$11+IF(K12="",H12,K12)*Assumptions!$C$12+IF(J12="",H12,J12)*Assumptions!$C$13+IF(I12="",H12,I12)*Assumptions!$C$14)/Assumptions!$C$15</f>
        <v>6.1399038355011</v>
      </c>
    </row>
    <row r="13" customFormat="false" ht="15" hidden="false" customHeight="true" outlineLevel="0" collapsed="false">
      <c r="A13" s="5" t="s">
        <v>86</v>
      </c>
      <c r="B13" s="27" t="s">
        <v>344</v>
      </c>
      <c r="C13" s="38" t="n">
        <v>0.8625</v>
      </c>
      <c r="D13" s="39" t="n">
        <v>12.99</v>
      </c>
      <c r="E13" s="39" t="n">
        <v>6.99</v>
      </c>
      <c r="F13" s="39" t="n">
        <v>17.99</v>
      </c>
      <c r="G13" s="39" t="n">
        <v>21.99</v>
      </c>
      <c r="H13" s="18" t="n">
        <f aca="false">IF(D13="","",D13/$C13)</f>
        <v>15.0608695652174</v>
      </c>
      <c r="I13" s="18" t="n">
        <f aca="false">IF(E13="","",E13/$C13)</f>
        <v>8.10434782608696</v>
      </c>
      <c r="J13" s="18" t="n">
        <f aca="false">IF(F13="","",F13/$C13)</f>
        <v>20.8579710144928</v>
      </c>
      <c r="K13" s="18" t="n">
        <f aca="false">IF(G13="","",G13/$C13)</f>
        <v>25.495652173913</v>
      </c>
      <c r="L13" s="18" t="n">
        <f aca="false">(H13*Assumptions!$C$11+IF(K13="",H13,K13)*Assumptions!$C$12+IF(J13="",H13,J13)*Assumptions!$C$13+IF(I13="",H13,I13)*Assumptions!$C$14)/Assumptions!$C$15</f>
        <v>16.3014492753623</v>
      </c>
    </row>
    <row r="14" customFormat="false" ht="15" hidden="false" customHeight="true" outlineLevel="0" collapsed="false">
      <c r="A14" s="5" t="s">
        <v>88</v>
      </c>
      <c r="B14" s="27" t="s">
        <v>344</v>
      </c>
      <c r="C14" s="38" t="n">
        <v>0.8625</v>
      </c>
      <c r="D14" s="39" t="n">
        <v>11.99</v>
      </c>
      <c r="E14" s="39" t="n">
        <v>6.99</v>
      </c>
      <c r="F14" s="39" t="n">
        <v>16.99</v>
      </c>
      <c r="G14" s="39" t="n">
        <v>20.99</v>
      </c>
      <c r="H14" s="18" t="n">
        <f aca="false">IF(D14="","",D14/$C14)</f>
        <v>13.9014492753623</v>
      </c>
      <c r="I14" s="18" t="n">
        <f aca="false">IF(E14="","",E14/$C14)</f>
        <v>8.10434782608696</v>
      </c>
      <c r="J14" s="18" t="n">
        <f aca="false">IF(F14="","",F14/$C14)</f>
        <v>19.6985507246377</v>
      </c>
      <c r="K14" s="18" t="n">
        <f aca="false">IF(G14="","",G14/$C14)</f>
        <v>24.336231884058</v>
      </c>
      <c r="L14" s="18" t="n">
        <f aca="false">(H14*Assumptions!$C$11+IF(K14="",H14,K14)*Assumptions!$C$12+IF(J14="",H14,J14)*Assumptions!$C$13+IF(I14="",H14,I14)*Assumptions!$C$14)/Assumptions!$C$15</f>
        <v>15.3159420289855</v>
      </c>
    </row>
    <row r="15" customFormat="false" ht="15" hidden="false" customHeight="true" outlineLevel="0" collapsed="false">
      <c r="A15" s="5" t="s">
        <v>90</v>
      </c>
      <c r="B15" s="27" t="s">
        <v>349</v>
      </c>
      <c r="C15" s="38" t="n">
        <v>20.828</v>
      </c>
      <c r="D15" s="39" t="n">
        <v>185</v>
      </c>
      <c r="E15" s="39" t="n">
        <v>97</v>
      </c>
      <c r="F15" s="39" t="n">
        <v>249</v>
      </c>
      <c r="G15" s="39" t="n">
        <v>299</v>
      </c>
      <c r="H15" s="18" t="n">
        <f aca="false">IF(D15="","",D15/$C15)</f>
        <v>8.8822738621087</v>
      </c>
      <c r="I15" s="18" t="n">
        <f aca="false">IF(E15="","",E15/$C15)</f>
        <v>4.65719224121375</v>
      </c>
      <c r="J15" s="18" t="n">
        <f aca="false">IF(F15="","",F15/$C15)</f>
        <v>11.9550604954868</v>
      </c>
      <c r="K15" s="18" t="n">
        <f aca="false">IF(G15="","",G15/$C15)</f>
        <v>14.3556750528135</v>
      </c>
      <c r="L15" s="18" t="n">
        <f aca="false">(H15*Assumptions!$C$11+IF(K15="",H15,K15)*Assumptions!$C$12+IF(J15="",H15,J15)*Assumptions!$C$13+IF(I15="",H15,I15)*Assumptions!$C$14)/Assumptions!$C$15</f>
        <v>9.44881889763779</v>
      </c>
    </row>
    <row r="16" customFormat="false" ht="15" hidden="false" customHeight="true" outlineLevel="0" collapsed="false">
      <c r="A16" s="5" t="s">
        <v>92</v>
      </c>
      <c r="B16" s="27" t="s">
        <v>344</v>
      </c>
      <c r="C16" s="38" t="n">
        <v>0.8625</v>
      </c>
      <c r="D16" s="39" t="n">
        <v>8.99</v>
      </c>
      <c r="E16" s="39" t="n">
        <v>4.99</v>
      </c>
      <c r="F16" s="39" t="n">
        <v>11.99</v>
      </c>
      <c r="G16" s="39" t="n">
        <v>15.49</v>
      </c>
      <c r="H16" s="18" t="n">
        <f aca="false">IF(D16="","",D16/$C16)</f>
        <v>10.4231884057971</v>
      </c>
      <c r="I16" s="18" t="n">
        <f aca="false">IF(E16="","",E16/$C16)</f>
        <v>5.78550724637681</v>
      </c>
      <c r="J16" s="18" t="n">
        <f aca="false">IF(F16="","",F16/$C16)</f>
        <v>13.9014492753623</v>
      </c>
      <c r="K16" s="18" t="n">
        <f aca="false">IF(G16="","",G16/$C16)</f>
        <v>17.9594202898551</v>
      </c>
      <c r="L16" s="18" t="n">
        <f aca="false">(H16*Assumptions!$C$11+IF(K16="",H16,K16)*Assumptions!$C$12+IF(J16="",H16,J16)*Assumptions!$C$13+IF(I16="",H16,I16)*Assumptions!$C$14)/Assumptions!$C$15</f>
        <v>11.3275362318841</v>
      </c>
    </row>
    <row r="17" customFormat="false" ht="15" hidden="false" customHeight="true" outlineLevel="0" collapsed="false">
      <c r="A17" s="5" t="s">
        <v>94</v>
      </c>
      <c r="B17" s="27" t="s">
        <v>350</v>
      </c>
      <c r="C17" s="38" t="n">
        <v>9.3988</v>
      </c>
      <c r="D17" s="39" t="n">
        <v>129</v>
      </c>
      <c r="E17" s="39" t="n">
        <v>70</v>
      </c>
      <c r="F17" s="39" t="n">
        <v>189</v>
      </c>
      <c r="G17" s="39" t="n">
        <v>219</v>
      </c>
      <c r="H17" s="18" t="n">
        <f aca="false">IF(D17="","",D17/$C17)</f>
        <v>13.7251564029451</v>
      </c>
      <c r="I17" s="18" t="n">
        <f aca="false">IF(E17="","",E17/$C17)</f>
        <v>7.4477592884198</v>
      </c>
      <c r="J17" s="18" t="n">
        <f aca="false">IF(F17="","",F17/$C17)</f>
        <v>20.1089500787335</v>
      </c>
      <c r="K17" s="18" t="n">
        <f aca="false">IF(G17="","",G17/$C17)</f>
        <v>23.3008469166277</v>
      </c>
      <c r="L17" s="18" t="n">
        <f aca="false">(H17*Assumptions!$C$11+IF(K17="",H17,K17)*Assumptions!$C$12+IF(J17="",H17,J17)*Assumptions!$C$13+IF(I17="",H17,I17)*Assumptions!$C$14)/Assumptions!$C$15</f>
        <v>14.9540366855343</v>
      </c>
    </row>
    <row r="18" customFormat="false" ht="15" hidden="false" customHeight="true" outlineLevel="0" collapsed="false">
      <c r="A18" s="5" t="s">
        <v>96</v>
      </c>
      <c r="B18" s="27" t="s">
        <v>344</v>
      </c>
      <c r="C18" s="38" t="n">
        <v>0.8625</v>
      </c>
      <c r="D18" s="39" t="n">
        <v>8.99</v>
      </c>
      <c r="E18" s="39" t="n">
        <v>4.99</v>
      </c>
      <c r="F18" s="39" t="n">
        <v>11.99</v>
      </c>
      <c r="G18" s="39" t="n">
        <v>14.99</v>
      </c>
      <c r="H18" s="18" t="n">
        <f aca="false">IF(D18="","",D18/$C18)</f>
        <v>10.4231884057971</v>
      </c>
      <c r="I18" s="18" t="n">
        <f aca="false">IF(E18="","",E18/$C18)</f>
        <v>5.78550724637681</v>
      </c>
      <c r="J18" s="18" t="n">
        <f aca="false">IF(F18="","",F18/$C18)</f>
        <v>13.9014492753623</v>
      </c>
      <c r="K18" s="18" t="n">
        <f aca="false">IF(G18="","",G18/$C18)</f>
        <v>17.3797101449275</v>
      </c>
      <c r="L18" s="18" t="n">
        <f aca="false">(H18*Assumptions!$C$11+IF(K18="",H18,K18)*Assumptions!$C$12+IF(J18="",H18,J18)*Assumptions!$C$13+IF(I18="",H18,I18)*Assumptions!$C$14)/Assumptions!$C$15</f>
        <v>11.2231884057971</v>
      </c>
    </row>
    <row r="19" customFormat="false" ht="15" hidden="false" customHeight="true" outlineLevel="0" collapsed="false">
      <c r="A19" s="5" t="s">
        <v>98</v>
      </c>
      <c r="B19" s="27" t="s">
        <v>351</v>
      </c>
      <c r="C19" s="38" t="n">
        <v>301.4749</v>
      </c>
      <c r="D19" s="39" t="n">
        <v>2190</v>
      </c>
      <c r="E19" s="39" t="n">
        <v>1190</v>
      </c>
      <c r="F19" s="39" t="n">
        <v>3090</v>
      </c>
      <c r="G19" s="39" t="n">
        <v>3690</v>
      </c>
      <c r="H19" s="18" t="n">
        <f aca="false">IF(D19="","",D19/$C19)</f>
        <v>7.26428634688991</v>
      </c>
      <c r="I19" s="18" t="n">
        <f aca="false">IF(E19="","",E19/$C19)</f>
        <v>3.94726061771643</v>
      </c>
      <c r="J19" s="18" t="n">
        <f aca="false">IF(F19="","",F19/$C19)</f>
        <v>10.249609503146</v>
      </c>
      <c r="K19" s="18" t="n">
        <f aca="false">IF(G19="","",G19/$C19)</f>
        <v>12.2398249406501</v>
      </c>
      <c r="L19" s="18" t="n">
        <f aca="false">(H19*Assumptions!$C$11+IF(K19="",H19,K19)*Assumptions!$C$12+IF(J19="",H19,J19)*Assumptions!$C$13+IF(I19="",H19,I19)*Assumptions!$C$14)/Assumptions!$C$15</f>
        <v>7.87130205532865</v>
      </c>
    </row>
    <row r="20" customFormat="false" ht="15" hidden="false" customHeight="true" outlineLevel="0" collapsed="false">
      <c r="A20" s="5" t="s">
        <v>100</v>
      </c>
      <c r="B20" s="27" t="s">
        <v>344</v>
      </c>
      <c r="C20" s="38" t="n">
        <v>0.8625</v>
      </c>
      <c r="D20" s="39" t="n">
        <v>12.99</v>
      </c>
      <c r="E20" s="39" t="n">
        <v>6.99</v>
      </c>
      <c r="F20" s="39" t="n">
        <v>16.99</v>
      </c>
      <c r="G20" s="39" t="n">
        <v>20.99</v>
      </c>
      <c r="H20" s="18" t="n">
        <f aca="false">IF(D20="","",D20/$C20)</f>
        <v>15.0608695652174</v>
      </c>
      <c r="I20" s="18" t="n">
        <f aca="false">IF(E20="","",E20/$C20)</f>
        <v>8.10434782608696</v>
      </c>
      <c r="J20" s="18" t="n">
        <f aca="false">IF(F20="","",F20/$C20)</f>
        <v>19.6985507246377</v>
      </c>
      <c r="K20" s="18" t="n">
        <f aca="false">IF(G20="","",G20/$C20)</f>
        <v>24.336231884058</v>
      </c>
      <c r="L20" s="18" t="n">
        <f aca="false">(H20*Assumptions!$C$11+IF(K20="",H20,K20)*Assumptions!$C$12+IF(J20="",H20,J20)*Assumptions!$C$13+IF(I20="",H20,I20)*Assumptions!$C$14)/Assumptions!$C$15</f>
        <v>16.0115942028986</v>
      </c>
    </row>
    <row r="21" customFormat="false" ht="15" hidden="false" customHeight="true" outlineLevel="0" collapsed="false">
      <c r="A21" s="5" t="s">
        <v>102</v>
      </c>
      <c r="B21" s="27" t="s">
        <v>352</v>
      </c>
      <c r="C21" s="38" t="n">
        <v>3.3</v>
      </c>
      <c r="D21" s="39" t="n">
        <v>5.49</v>
      </c>
      <c r="E21" s="39" t="n">
        <v>2.99</v>
      </c>
      <c r="F21" s="39" t="n">
        <v>7.49</v>
      </c>
      <c r="G21" s="39" t="n">
        <v>9.49</v>
      </c>
      <c r="H21" s="18" t="n">
        <f aca="false">IF(D21="","",D21/$C21)</f>
        <v>1.66363636363636</v>
      </c>
      <c r="I21" s="18" t="n">
        <f aca="false">IF(E21="","",E21/$C21)</f>
        <v>0.906060606060606</v>
      </c>
      <c r="J21" s="18" t="n">
        <f aca="false">IF(F21="","",F21/$C21)</f>
        <v>2.26969696969697</v>
      </c>
      <c r="K21" s="18" t="n">
        <f aca="false">IF(G21="","",G21/$C21)</f>
        <v>2.87575757575758</v>
      </c>
      <c r="L21" s="18" t="n">
        <f aca="false">(H21*Assumptions!$C$11+IF(K21="",H21,K21)*Assumptions!$C$12+IF(J21="",H21,J21)*Assumptions!$C$13+IF(I21="",H21,I21)*Assumptions!$C$14)/Assumptions!$C$15</f>
        <v>1.81060606060606</v>
      </c>
    </row>
    <row r="22" customFormat="false" ht="15" hidden="false" customHeight="true" outlineLevel="0" collapsed="false">
      <c r="A22" s="5" t="s">
        <v>104</v>
      </c>
      <c r="B22" s="27" t="s">
        <v>353</v>
      </c>
      <c r="C22" s="38" t="n">
        <v>0.7956</v>
      </c>
      <c r="D22" s="39" t="n">
        <v>15.95</v>
      </c>
      <c r="E22" s="39" t="n">
        <v>8.95</v>
      </c>
      <c r="F22" s="39" t="n">
        <v>21.95</v>
      </c>
      <c r="G22" s="39" t="n">
        <v>26.95</v>
      </c>
      <c r="H22" s="18" t="n">
        <f aca="false">IF(D22="","",D22/$C22)</f>
        <v>20.0477626948215</v>
      </c>
      <c r="I22" s="18" t="n">
        <f aca="false">IF(E22="","",E22/$C22)</f>
        <v>11.2493715434892</v>
      </c>
      <c r="J22" s="18" t="n">
        <f aca="false">IF(F22="","",F22/$C22)</f>
        <v>27.5892408245349</v>
      </c>
      <c r="K22" s="18" t="n">
        <f aca="false">IF(G22="","",G22/$C22)</f>
        <v>33.8738059326295</v>
      </c>
      <c r="L22" s="18" t="n">
        <f aca="false">(H22*Assumptions!$C$11+IF(K22="",H22,K22)*Assumptions!$C$12+IF(J22="",H22,J22)*Assumptions!$C$13+IF(I22="",H22,I22)*Assumptions!$C$14)/Assumptions!$C$15</f>
        <v>21.744595274007</v>
      </c>
    </row>
    <row r="23" customFormat="false" ht="15" hidden="false" customHeight="true" outlineLevel="0" collapsed="false">
      <c r="A23" s="5" t="s">
        <v>106</v>
      </c>
      <c r="B23" s="27" t="s">
        <v>354</v>
      </c>
      <c r="C23" s="38" t="n">
        <v>1.69</v>
      </c>
      <c r="D23" s="39" t="n">
        <v>5.62</v>
      </c>
      <c r="E23" s="39" t="n">
        <v>2.81</v>
      </c>
      <c r="F23" s="39" t="n">
        <v>7.92</v>
      </c>
      <c r="G23" s="39" t="n">
        <v>9.97</v>
      </c>
      <c r="H23" s="18" t="n">
        <f aca="false">IF(D23="","",D23/$C23)</f>
        <v>3.32544378698225</v>
      </c>
      <c r="I23" s="18" t="n">
        <f aca="false">IF(E23="","",E23/$C23)</f>
        <v>1.66272189349112</v>
      </c>
      <c r="J23" s="18" t="n">
        <f aca="false">IF(F23="","",F23/$C23)</f>
        <v>4.68639053254438</v>
      </c>
      <c r="K23" s="18" t="n">
        <f aca="false">IF(G23="","",G23/$C23)</f>
        <v>5.89940828402367</v>
      </c>
      <c r="L23" s="18" t="n">
        <f aca="false">(H23*Assumptions!$C$11+IF(K23="",H23,K23)*Assumptions!$C$12+IF(J23="",H23,J23)*Assumptions!$C$13+IF(I23="",H23,I23)*Assumptions!$C$14)/Assumptions!$C$15</f>
        <v>3.63461538461538</v>
      </c>
    </row>
    <row r="24" customFormat="false" ht="15" hidden="false" customHeight="true" outlineLevel="0" collapsed="false">
      <c r="A24" s="5" t="s">
        <v>108</v>
      </c>
      <c r="B24" s="27" t="s">
        <v>355</v>
      </c>
      <c r="C24" s="38" t="n">
        <v>6.447</v>
      </c>
      <c r="D24" s="39" t="n">
        <v>119</v>
      </c>
      <c r="E24" s="39" t="n">
        <v>65</v>
      </c>
      <c r="F24" s="39" t="n">
        <v>169</v>
      </c>
      <c r="G24" s="39" t="n">
        <v>199</v>
      </c>
      <c r="H24" s="18" t="n">
        <f aca="false">IF(D24="","",D24/$C24)</f>
        <v>18.4581976112921</v>
      </c>
      <c r="I24" s="18" t="n">
        <f aca="false">IF(E24="","",E24/$C24)</f>
        <v>10.0822087792772</v>
      </c>
      <c r="J24" s="18" t="n">
        <f aca="false">IF(F24="","",F24/$C24)</f>
        <v>26.2137428261207</v>
      </c>
      <c r="K24" s="18" t="n">
        <f aca="false">IF(G24="","",G24/$C24)</f>
        <v>30.8670699550178</v>
      </c>
      <c r="L24" s="18" t="n">
        <f aca="false">(H24*Assumptions!$C$11+IF(K24="",H24,K24)*Assumptions!$C$12+IF(J24="",H24,J24)*Assumptions!$C$13+IF(I24="",H24,I24)*Assumptions!$C$14)/Assumptions!$C$15</f>
        <v>19.9782844733985</v>
      </c>
    </row>
    <row r="25" customFormat="false" ht="15" hidden="false" customHeight="true" outlineLevel="0" collapsed="false">
      <c r="A25" s="5" t="s">
        <v>110</v>
      </c>
      <c r="B25" s="27" t="s">
        <v>344</v>
      </c>
      <c r="C25" s="38" t="n">
        <v>0.8625</v>
      </c>
      <c r="D25" s="39" t="n">
        <v>12.99</v>
      </c>
      <c r="E25" s="39" t="n">
        <v>7.49</v>
      </c>
      <c r="F25" s="39" t="n">
        <v>18.49</v>
      </c>
      <c r="G25" s="39" t="n">
        <v>21.99</v>
      </c>
      <c r="H25" s="18" t="n">
        <f aca="false">IF(D25="","",D25/$C25)</f>
        <v>15.0608695652174</v>
      </c>
      <c r="I25" s="18" t="n">
        <f aca="false">IF(E25="","",E25/$C25)</f>
        <v>8.68405797101449</v>
      </c>
      <c r="J25" s="18" t="n">
        <f aca="false">IF(F25="","",F25/$C25)</f>
        <v>21.4376811594203</v>
      </c>
      <c r="K25" s="18" t="n">
        <f aca="false">IF(G25="","",G25/$C25)</f>
        <v>25.495652173913</v>
      </c>
      <c r="L25" s="18" t="n">
        <f aca="false">(H25*Assumptions!$C$11+IF(K25="",H25,K25)*Assumptions!$C$12+IF(J25="",H25,J25)*Assumptions!$C$13+IF(I25="",H25,I25)*Assumptions!$C$14)/Assumptions!$C$15</f>
        <v>16.4289855072464</v>
      </c>
    </row>
    <row r="26" customFormat="false" ht="15" hidden="false" customHeight="true" outlineLevel="0" collapsed="false">
      <c r="A26" s="5" t="s">
        <v>112</v>
      </c>
      <c r="B26" s="27" t="s">
        <v>356</v>
      </c>
      <c r="C26" s="38" t="n">
        <v>9.5278</v>
      </c>
      <c r="D26" s="39" t="n">
        <v>139</v>
      </c>
      <c r="E26" s="39" t="n">
        <v>75</v>
      </c>
      <c r="F26" s="39" t="n">
        <v>189</v>
      </c>
      <c r="G26" s="39" t="n">
        <v>219</v>
      </c>
      <c r="H26" s="18" t="n">
        <f aca="false">IF(D26="","",D26/$C26)</f>
        <v>14.5888872562396</v>
      </c>
      <c r="I26" s="18" t="n">
        <f aca="false">IF(E26="","",E26/$C26)</f>
        <v>7.87170175696383</v>
      </c>
      <c r="J26" s="18" t="n">
        <f aca="false">IF(F26="","",F26/$C26)</f>
        <v>19.8366884275489</v>
      </c>
      <c r="K26" s="18" t="n">
        <f aca="false">IF(G26="","",G26/$C26)</f>
        <v>22.9853691303344</v>
      </c>
      <c r="L26" s="18" t="n">
        <f aca="false">(H26*Assumptions!$C$11+IF(K26="",H26,K26)*Assumptions!$C$12+IF(J26="",H26,J26)*Assumptions!$C$13+IF(I26="",H26,I26)*Assumptions!$C$14)/Assumptions!$C$15</f>
        <v>15.460022250677</v>
      </c>
    </row>
    <row r="27" customFormat="false" ht="15" hidden="false" customHeight="true" outlineLevel="0" collapsed="false">
      <c r="A27" s="5" t="s">
        <v>114</v>
      </c>
      <c r="B27" s="27" t="s">
        <v>344</v>
      </c>
      <c r="C27" s="38" t="n">
        <v>0.8625</v>
      </c>
      <c r="D27" s="39" t="n">
        <v>6.99</v>
      </c>
      <c r="E27" s="39" t="n">
        <v>3.99</v>
      </c>
      <c r="F27" s="39" t="n">
        <v>9.99</v>
      </c>
      <c r="G27" s="39" t="n">
        <v>11.99</v>
      </c>
      <c r="H27" s="18" t="n">
        <f aca="false">IF(D27="","",D27/$C27)</f>
        <v>8.10434782608696</v>
      </c>
      <c r="I27" s="18" t="n">
        <f aca="false">IF(E27="","",E27/$C27)</f>
        <v>4.62608695652174</v>
      </c>
      <c r="J27" s="18" t="n">
        <f aca="false">IF(F27="","",F27/$C27)</f>
        <v>11.5826086956522</v>
      </c>
      <c r="K27" s="18" t="n">
        <f aca="false">IF(G27="","",G27/$C27)</f>
        <v>13.9014492753623</v>
      </c>
      <c r="L27" s="18" t="n">
        <f aca="false">(H27*Assumptions!$C$11+IF(K27="",H27,K27)*Assumptions!$C$12+IF(J27="",H27,J27)*Assumptions!$C$13+IF(I27="",H27,I27)*Assumptions!$C$14)/Assumptions!$C$15</f>
        <v>8.8695652173913</v>
      </c>
    </row>
    <row r="28" customFormat="false" ht="15" hidden="false" customHeight="true" outlineLevel="0" collapsed="false">
      <c r="A28" s="5" t="s">
        <v>116</v>
      </c>
      <c r="B28" s="27" t="s">
        <v>344</v>
      </c>
      <c r="C28" s="38" t="n">
        <v>0.8625</v>
      </c>
      <c r="D28" s="39" t="n">
        <v>11.99</v>
      </c>
      <c r="E28" s="39" t="n">
        <v>6.99</v>
      </c>
      <c r="F28" s="39" t="n">
        <v>16.99</v>
      </c>
      <c r="G28" s="39" t="n">
        <v>19.99</v>
      </c>
      <c r="H28" s="18" t="n">
        <f aca="false">IF(D28="","",D28/$C28)</f>
        <v>13.9014492753623</v>
      </c>
      <c r="I28" s="18" t="n">
        <f aca="false">IF(E28="","",E28/$C28)</f>
        <v>8.10434782608696</v>
      </c>
      <c r="J28" s="18" t="n">
        <f aca="false">IF(F28="","",F28/$C28)</f>
        <v>19.6985507246377</v>
      </c>
      <c r="K28" s="18" t="n">
        <f aca="false">IF(G28="","",G28/$C28)</f>
        <v>23.1768115942029</v>
      </c>
      <c r="L28" s="18" t="n">
        <f aca="false">(H28*Assumptions!$C$11+IF(K28="",H28,K28)*Assumptions!$C$12+IF(J28="",H28,J28)*Assumptions!$C$13+IF(I28="",H28,I28)*Assumptions!$C$14)/Assumptions!$C$15</f>
        <v>15.1072463768116</v>
      </c>
    </row>
    <row r="29" customFormat="false" ht="15" hidden="false" customHeight="true" outlineLevel="0" collapsed="false">
      <c r="A29" s="5" t="s">
        <v>118</v>
      </c>
      <c r="B29" s="27" t="s">
        <v>344</v>
      </c>
      <c r="C29" s="38" t="n">
        <v>0.8625</v>
      </c>
      <c r="D29" s="39" t="n">
        <v>6.99</v>
      </c>
      <c r="E29" s="39" t="n">
        <v>3.99</v>
      </c>
      <c r="F29" s="39" t="n">
        <v>9.99</v>
      </c>
      <c r="G29" s="39" t="n">
        <v>12.49</v>
      </c>
      <c r="H29" s="18" t="n">
        <f aca="false">IF(D29="","",D29/$C29)</f>
        <v>8.10434782608696</v>
      </c>
      <c r="I29" s="18" t="n">
        <f aca="false">IF(E29="","",E29/$C29)</f>
        <v>4.62608695652174</v>
      </c>
      <c r="J29" s="18" t="n">
        <f aca="false">IF(F29="","",F29/$C29)</f>
        <v>11.5826086956522</v>
      </c>
      <c r="K29" s="18" t="n">
        <f aca="false">IF(G29="","",G29/$C29)</f>
        <v>14.4811594202899</v>
      </c>
      <c r="L29" s="18" t="n">
        <f aca="false">(H29*Assumptions!$C$11+IF(K29="",H29,K29)*Assumptions!$C$12+IF(J29="",H29,J29)*Assumptions!$C$13+IF(I29="",H29,I29)*Assumptions!$C$14)/Assumptions!$C$15</f>
        <v>8.97391304347826</v>
      </c>
    </row>
    <row r="30" customFormat="false" ht="15" hidden="false" customHeight="true" outlineLevel="0" collapsed="false">
      <c r="A30" s="5" t="s">
        <v>120</v>
      </c>
      <c r="B30" s="27" t="s">
        <v>344</v>
      </c>
      <c r="C30" s="38" t="n">
        <v>0.8625</v>
      </c>
      <c r="D30" s="39" t="n">
        <v>8.99</v>
      </c>
      <c r="E30" s="39" t="n">
        <v>4.99</v>
      </c>
      <c r="F30" s="39" t="n">
        <v>11.99</v>
      </c>
      <c r="G30" s="39" t="n">
        <v>14.99</v>
      </c>
      <c r="H30" s="18" t="n">
        <f aca="false">IF(D30="","",D30/$C30)</f>
        <v>10.4231884057971</v>
      </c>
      <c r="I30" s="18" t="n">
        <f aca="false">IF(E30="","",E30/$C30)</f>
        <v>5.78550724637681</v>
      </c>
      <c r="J30" s="18" t="n">
        <f aca="false">IF(F30="","",F30/$C30)</f>
        <v>13.9014492753623</v>
      </c>
      <c r="K30" s="18" t="n">
        <f aca="false">IF(G30="","",G30/$C30)</f>
        <v>17.3797101449275</v>
      </c>
      <c r="L30" s="18" t="n">
        <f aca="false">(H30*Assumptions!$C$11+IF(K30="",H30,K30)*Assumptions!$C$12+IF(J30="",H30,J30)*Assumptions!$C$13+IF(I30="",H30,I30)*Assumptions!$C$14)/Assumptions!$C$15</f>
        <v>11.2231884057971</v>
      </c>
    </row>
    <row r="31" customFormat="false" ht="15" hidden="false" customHeight="true" outlineLevel="0" collapsed="false">
      <c r="A31" s="5" t="s">
        <v>122</v>
      </c>
      <c r="B31" s="27" t="s">
        <v>346</v>
      </c>
      <c r="C31" s="38" t="n">
        <v>1</v>
      </c>
      <c r="D31" s="39" t="n">
        <v>5.49</v>
      </c>
      <c r="E31" s="39" t="n">
        <v>2.99</v>
      </c>
      <c r="F31" s="39" t="n">
        <v>7.49</v>
      </c>
      <c r="G31" s="39" t="n">
        <v>9.49</v>
      </c>
      <c r="H31" s="18" t="n">
        <f aca="false">IF(D31="","",D31/$C31)</f>
        <v>5.49</v>
      </c>
      <c r="I31" s="18" t="n">
        <f aca="false">IF(E31="","",E31/$C31)</f>
        <v>2.99</v>
      </c>
      <c r="J31" s="18" t="n">
        <f aca="false">IF(F31="","",F31/$C31)</f>
        <v>7.49</v>
      </c>
      <c r="K31" s="18" t="n">
        <f aca="false">IF(G31="","",G31/$C31)</f>
        <v>9.49</v>
      </c>
      <c r="L31" s="18" t="n">
        <f aca="false">(H31*Assumptions!$C$11+IF(K31="",H31,K31)*Assumptions!$C$12+IF(J31="",H31,J31)*Assumptions!$C$13+IF(I31="",H31,I31)*Assumptions!$C$14)/Assumptions!$C$15</f>
        <v>5.975</v>
      </c>
    </row>
    <row r="32" customFormat="false" ht="15" hidden="false" customHeight="true" outlineLevel="0" collapsed="false">
      <c r="A32" s="5" t="s">
        <v>124</v>
      </c>
      <c r="B32" s="27" t="s">
        <v>344</v>
      </c>
      <c r="C32" s="38" t="n">
        <v>0.8625</v>
      </c>
      <c r="D32" s="39" t="n">
        <v>6.99</v>
      </c>
      <c r="E32" s="39" t="n">
        <v>3.99</v>
      </c>
      <c r="F32" s="39" t="n">
        <v>9.99</v>
      </c>
      <c r="G32" s="39" t="n">
        <v>12.49</v>
      </c>
      <c r="H32" s="18" t="n">
        <f aca="false">IF(D32="","",D32/$C32)</f>
        <v>8.10434782608696</v>
      </c>
      <c r="I32" s="18" t="n">
        <f aca="false">IF(E32="","",E32/$C32)</f>
        <v>4.62608695652174</v>
      </c>
      <c r="J32" s="18" t="n">
        <f aca="false">IF(F32="","",F32/$C32)</f>
        <v>11.5826086956522</v>
      </c>
      <c r="K32" s="18" t="n">
        <f aca="false">IF(G32="","",G32/$C32)</f>
        <v>14.4811594202899</v>
      </c>
      <c r="L32" s="18" t="n">
        <f aca="false">(H32*Assumptions!$C$11+IF(K32="",H32,K32)*Assumptions!$C$12+IF(J32="",H32,J32)*Assumptions!$C$13+IF(I32="",H32,I32)*Assumptions!$C$14)/Assumptions!$C$15</f>
        <v>8.97391304347826</v>
      </c>
    </row>
    <row r="33" customFormat="false" ht="15" hidden="false" customHeight="true" outlineLevel="0" collapsed="false">
      <c r="A33" s="5" t="s">
        <v>126</v>
      </c>
      <c r="B33" s="27" t="s">
        <v>344</v>
      </c>
      <c r="C33" s="38" t="n">
        <v>0.8625</v>
      </c>
      <c r="D33" s="39" t="n">
        <v>11.99</v>
      </c>
      <c r="E33" s="39" t="n">
        <v>6.49</v>
      </c>
      <c r="F33" s="39" t="n">
        <v>15.99</v>
      </c>
      <c r="G33" s="39" t="n">
        <v>19.99</v>
      </c>
      <c r="H33" s="18" t="n">
        <f aca="false">IF(D33="","",D33/$C33)</f>
        <v>13.9014492753623</v>
      </c>
      <c r="I33" s="18" t="n">
        <f aca="false">IF(E33="","",E33/$C33)</f>
        <v>7.52463768115942</v>
      </c>
      <c r="J33" s="18" t="n">
        <f aca="false">IF(F33="","",F33/$C33)</f>
        <v>18.5391304347826</v>
      </c>
      <c r="K33" s="18" t="n">
        <f aca="false">IF(G33="","",G33/$C33)</f>
        <v>23.1768115942029</v>
      </c>
      <c r="L33" s="18" t="n">
        <f aca="false">(H33*Assumptions!$C$11+IF(K33="",H33,K33)*Assumptions!$C$12+IF(J33="",H33,J33)*Assumptions!$C$13+IF(I33="",H33,I33)*Assumptions!$C$14)/Assumptions!$C$15</f>
        <v>14.9391304347826</v>
      </c>
    </row>
    <row r="34" customFormat="false" ht="15" hidden="false" customHeight="true" outlineLevel="0" collapsed="false">
      <c r="A34" s="5" t="s">
        <v>128</v>
      </c>
      <c r="B34" s="27" t="s">
        <v>344</v>
      </c>
      <c r="C34" s="38" t="n">
        <v>0.8625</v>
      </c>
      <c r="D34" s="39" t="n">
        <v>11.99</v>
      </c>
      <c r="E34" s="39" t="n">
        <v>6.49</v>
      </c>
      <c r="F34" s="39" t="n">
        <v>15.99</v>
      </c>
      <c r="G34" s="39" t="n">
        <v>19.99</v>
      </c>
      <c r="H34" s="18" t="n">
        <f aca="false">IF(D34="","",D34/$C34)</f>
        <v>13.9014492753623</v>
      </c>
      <c r="I34" s="18" t="n">
        <f aca="false">IF(E34="","",E34/$C34)</f>
        <v>7.52463768115942</v>
      </c>
      <c r="J34" s="18" t="n">
        <f aca="false">IF(F34="","",F34/$C34)</f>
        <v>18.5391304347826</v>
      </c>
      <c r="K34" s="18" t="n">
        <f aca="false">IF(G34="","",G34/$C34)</f>
        <v>23.1768115942029</v>
      </c>
      <c r="L34" s="18" t="n">
        <f aca="false">(H34*Assumptions!$C$11+IF(K34="",H34,K34)*Assumptions!$C$12+IF(J34="",H34,J34)*Assumptions!$C$13+IF(I34="",H34,I34)*Assumptions!$C$14)/Assumptions!$C$15</f>
        <v>14.9391304347826</v>
      </c>
    </row>
    <row r="35" customFormat="false" ht="15" hidden="false" customHeight="true" outlineLevel="0" collapsed="false">
      <c r="A35" s="5" t="s">
        <v>130</v>
      </c>
      <c r="B35" s="27" t="s">
        <v>344</v>
      </c>
      <c r="C35" s="38" t="n">
        <v>0.8625</v>
      </c>
      <c r="D35" s="39" t="n">
        <v>12.99</v>
      </c>
      <c r="E35" s="39" t="n">
        <v>6.99</v>
      </c>
      <c r="F35" s="39" t="n">
        <v>17.99</v>
      </c>
      <c r="G35" s="39" t="n">
        <v>21.99</v>
      </c>
      <c r="H35" s="18" t="n">
        <f aca="false">IF(D35="","",D35/$C35)</f>
        <v>15.0608695652174</v>
      </c>
      <c r="I35" s="18" t="n">
        <f aca="false">IF(E35="","",E35/$C35)</f>
        <v>8.10434782608696</v>
      </c>
      <c r="J35" s="18" t="n">
        <f aca="false">IF(F35="","",F35/$C35)</f>
        <v>20.8579710144928</v>
      </c>
      <c r="K35" s="18" t="n">
        <f aca="false">IF(G35="","",G35/$C35)</f>
        <v>25.495652173913</v>
      </c>
      <c r="L35" s="18" t="n">
        <f aca="false">(H35*Assumptions!$C$11+IF(K35="",H35,K35)*Assumptions!$C$12+IF(J35="",H35,J35)*Assumptions!$C$13+IF(I35="",H35,I35)*Assumptions!$C$14)/Assumptions!$C$15</f>
        <v>16.3014492753623</v>
      </c>
    </row>
    <row r="36" customFormat="false" ht="15" hidden="false" customHeight="true" outlineLevel="0" collapsed="false">
      <c r="A36" s="5" t="s">
        <v>132</v>
      </c>
      <c r="B36" s="27" t="s">
        <v>344</v>
      </c>
      <c r="C36" s="38" t="n">
        <v>0.8625</v>
      </c>
      <c r="D36" s="39" t="n">
        <v>8.99</v>
      </c>
      <c r="E36" s="39" t="n">
        <v>4.99</v>
      </c>
      <c r="F36" s="39" t="n">
        <v>11.99</v>
      </c>
      <c r="G36" s="39" t="n">
        <v>14.99</v>
      </c>
      <c r="H36" s="18" t="n">
        <f aca="false">IF(D36="","",D36/$C36)</f>
        <v>10.4231884057971</v>
      </c>
      <c r="I36" s="18" t="n">
        <f aca="false">IF(E36="","",E36/$C36)</f>
        <v>5.78550724637681</v>
      </c>
      <c r="J36" s="18" t="n">
        <f aca="false">IF(F36="","",F36/$C36)</f>
        <v>13.9014492753623</v>
      </c>
      <c r="K36" s="18" t="n">
        <f aca="false">IF(G36="","",G36/$C36)</f>
        <v>17.3797101449275</v>
      </c>
      <c r="L36" s="18" t="n">
        <f aca="false">(H36*Assumptions!$C$11+IF(K36="",H36,K36)*Assumptions!$C$12+IF(J36="",H36,J36)*Assumptions!$C$13+IF(I36="",H36,I36)*Assumptions!$C$14)/Assumptions!$C$15</f>
        <v>11.2231884057971</v>
      </c>
    </row>
    <row r="37" customFormat="false" ht="15" hidden="false" customHeight="true" outlineLevel="0" collapsed="false">
      <c r="A37" s="5" t="s">
        <v>134</v>
      </c>
      <c r="B37" s="27" t="s">
        <v>346</v>
      </c>
      <c r="C37" s="38" t="n">
        <v>1</v>
      </c>
      <c r="D37" s="39" t="n">
        <v>12.99</v>
      </c>
      <c r="E37" s="39" t="n">
        <v>7.49</v>
      </c>
      <c r="F37" s="39" t="n">
        <v>18.49</v>
      </c>
      <c r="G37" s="39" t="n">
        <v>21.99</v>
      </c>
      <c r="H37" s="18" t="n">
        <f aca="false">IF(D37="","",D37/$C37)</f>
        <v>12.99</v>
      </c>
      <c r="I37" s="18" t="n">
        <f aca="false">IF(E37="","",E37/$C37)</f>
        <v>7.49</v>
      </c>
      <c r="J37" s="18" t="n">
        <f aca="false">IF(F37="","",F37/$C37)</f>
        <v>18.49</v>
      </c>
      <c r="K37" s="18" t="n">
        <f aca="false">IF(G37="","",G37/$C37)</f>
        <v>21.99</v>
      </c>
      <c r="L37" s="18" t="n">
        <f aca="false">(H37*Assumptions!$C$11+IF(K37="",H37,K37)*Assumptions!$C$12+IF(J37="",H37,J37)*Assumptions!$C$13+IF(I37="",H37,I37)*Assumptions!$C$14)/Assumptions!$C$15</f>
        <v>14.17</v>
      </c>
    </row>
    <row r="38" customFormat="false" ht="15" hidden="false" customHeight="true" outlineLevel="0" collapsed="false">
      <c r="A38" s="5" t="s">
        <v>136</v>
      </c>
      <c r="B38" s="27" t="s">
        <v>357</v>
      </c>
      <c r="C38" s="38" t="n">
        <v>5.0603</v>
      </c>
      <c r="D38" s="39" t="n">
        <v>23.9</v>
      </c>
      <c r="E38" s="39" t="n">
        <v>12.9</v>
      </c>
      <c r="F38" s="39" t="n">
        <v>31.9</v>
      </c>
      <c r="G38" s="39" t="n">
        <v>40.9</v>
      </c>
      <c r="H38" s="18" t="n">
        <f aca="false">IF(D38="","",D38/$C38)</f>
        <v>4.72304013596032</v>
      </c>
      <c r="I38" s="18" t="n">
        <f aca="false">IF(E38="","",E38/$C38)</f>
        <v>2.54925597296603</v>
      </c>
      <c r="J38" s="18" t="n">
        <f aca="false">IF(F38="","",F38/$C38)</f>
        <v>6.30397407268344</v>
      </c>
      <c r="K38" s="18" t="n">
        <f aca="false">IF(G38="","",G38/$C38)</f>
        <v>8.08252475149695</v>
      </c>
      <c r="L38" s="18" t="n">
        <f aca="false">(H38*Assumptions!$C$11+IF(K38="",H38,K38)*Assumptions!$C$12+IF(J38="",H38,J38)*Assumptions!$C$13+IF(I38="",H38,I38)*Assumptions!$C$14)/Assumptions!$C$15</f>
        <v>5.11234511787839</v>
      </c>
    </row>
    <row r="39" customFormat="false" ht="15" hidden="false" customHeight="true" outlineLevel="0" collapsed="false">
      <c r="A39" s="5" t="s">
        <v>138</v>
      </c>
      <c r="B39" s="27" t="s">
        <v>358</v>
      </c>
      <c r="C39" s="38" t="n">
        <v>17.2027</v>
      </c>
      <c r="D39" s="39" t="n">
        <v>139</v>
      </c>
      <c r="E39" s="39" t="n">
        <v>74</v>
      </c>
      <c r="F39" s="39" t="n">
        <v>189</v>
      </c>
      <c r="G39" s="39" t="n">
        <v>239</v>
      </c>
      <c r="H39" s="18" t="n">
        <f aca="false">IF(D39="","",D39/$C39)</f>
        <v>8.08012695681492</v>
      </c>
      <c r="I39" s="18" t="n">
        <f aca="false">IF(E39="","",E39/$C39)</f>
        <v>4.30165032233312</v>
      </c>
      <c r="J39" s="18" t="n">
        <f aca="false">IF(F39="","",F39/$C39)</f>
        <v>10.9866474448778</v>
      </c>
      <c r="K39" s="18" t="n">
        <f aca="false">IF(G39="","",G39/$C39)</f>
        <v>13.8931679329408</v>
      </c>
      <c r="L39" s="18" t="n">
        <f aca="false">(H39*Assumptions!$C$11+IF(K39="",H39,K39)*Assumptions!$C$12+IF(J39="",H39,J39)*Assumptions!$C$13+IF(I39="",H39,I39)*Assumptions!$C$14)/Assumptions!$C$15</f>
        <v>8.7631592715097</v>
      </c>
    </row>
    <row r="40" customFormat="false" ht="15" hidden="false" customHeight="true" outlineLevel="0" collapsed="false">
      <c r="A40" s="5" t="s">
        <v>140</v>
      </c>
      <c r="B40" s="27" t="s">
        <v>359</v>
      </c>
      <c r="C40" s="38" t="n">
        <v>4100</v>
      </c>
      <c r="D40" s="39" t="n">
        <v>18500</v>
      </c>
      <c r="E40" s="39" t="n">
        <v>10100</v>
      </c>
      <c r="F40" s="39" t="n">
        <v>24500</v>
      </c>
      <c r="G40" s="39" t="n">
        <v>30500</v>
      </c>
      <c r="H40" s="18" t="n">
        <f aca="false">IF(D40="","",D40/$C40)</f>
        <v>4.51219512195122</v>
      </c>
      <c r="I40" s="18" t="n">
        <f aca="false">IF(E40="","",E40/$C40)</f>
        <v>2.46341463414634</v>
      </c>
      <c r="J40" s="18" t="n">
        <f aca="false">IF(F40="","",F40/$C40)</f>
        <v>5.97560975609756</v>
      </c>
      <c r="K40" s="18" t="n">
        <f aca="false">IF(G40="","",G40/$C40)</f>
        <v>7.4390243902439</v>
      </c>
      <c r="L40" s="18" t="n">
        <f aca="false">(H40*Assumptions!$C$11+IF(K40="",H40,K40)*Assumptions!$C$12+IF(J40="",H40,J40)*Assumptions!$C$13+IF(I40="",H40,I40)*Assumptions!$C$14)/Assumptions!$C$15</f>
        <v>4.83414634146341</v>
      </c>
    </row>
    <row r="41" customFormat="false" ht="15" hidden="false" customHeight="true" outlineLevel="0" collapsed="false">
      <c r="A41" s="5" t="s">
        <v>142</v>
      </c>
      <c r="B41" s="27" t="s">
        <v>360</v>
      </c>
      <c r="C41" s="38" t="n">
        <v>1080</v>
      </c>
      <c r="D41" s="39" t="n">
        <v>3299</v>
      </c>
      <c r="E41" s="39" t="n">
        <v>1799</v>
      </c>
      <c r="F41" s="39" t="n">
        <v>4399</v>
      </c>
      <c r="G41" s="39" t="n">
        <v>5499</v>
      </c>
      <c r="H41" s="18" t="n">
        <f aca="false">IF(D41="","",D41/$C41)</f>
        <v>3.05462962962963</v>
      </c>
      <c r="I41" s="18" t="n">
        <f aca="false">IF(E41="","",E41/$C41)</f>
        <v>1.66574074074074</v>
      </c>
      <c r="J41" s="18" t="n">
        <f aca="false">IF(F41="","",F41/$C41)</f>
        <v>4.07314814814815</v>
      </c>
      <c r="K41" s="18" t="n">
        <f aca="false">IF(G41="","",G41/$C41)</f>
        <v>5.09166666666667</v>
      </c>
      <c r="L41" s="18" t="n">
        <f aca="false">(H41*Assumptions!$C$11+IF(K41="",H41,K41)*Assumptions!$C$12+IF(J41="",H41,J41)*Assumptions!$C$13+IF(I41="",H41,I41)*Assumptions!$C$14)/Assumptions!$C$15</f>
        <v>3.28425925925926</v>
      </c>
    </row>
    <row r="42" customFormat="false" ht="15" hidden="false" customHeight="true" outlineLevel="0" collapsed="false">
      <c r="A42" s="5" t="s">
        <v>144</v>
      </c>
      <c r="B42" s="27" t="s">
        <v>361</v>
      </c>
      <c r="C42" s="38" t="n">
        <v>3.75</v>
      </c>
      <c r="D42" s="39" t="n">
        <v>20.9</v>
      </c>
      <c r="E42" s="39" t="n">
        <v>11.9</v>
      </c>
      <c r="F42" s="39" t="n">
        <v>26.9</v>
      </c>
      <c r="G42" s="39" t="n">
        <v>32.9</v>
      </c>
      <c r="H42" s="18" t="n">
        <f aca="false">IF(D42="","",D42/$C42)</f>
        <v>5.57333333333333</v>
      </c>
      <c r="I42" s="18" t="n">
        <f aca="false">IF(E42="","",E42/$C42)</f>
        <v>3.17333333333333</v>
      </c>
      <c r="J42" s="18" t="n">
        <f aca="false">IF(F42="","",F42/$C42)</f>
        <v>7.17333333333333</v>
      </c>
      <c r="K42" s="18" t="n">
        <f aca="false">IF(G42="","",G42/$C42)</f>
        <v>8.77333333333333</v>
      </c>
      <c r="L42" s="18" t="n">
        <f aca="false">(H42*Assumptions!$C$11+IF(K42="",H42,K42)*Assumptions!$C$12+IF(J42="",H42,J42)*Assumptions!$C$13+IF(I42="",H42,I42)*Assumptions!$C$14)/Assumptions!$C$15</f>
        <v>5.90133333333333</v>
      </c>
    </row>
    <row r="43" customFormat="false" ht="15" hidden="false" customHeight="true" outlineLevel="0" collapsed="false">
      <c r="A43" s="5" t="s">
        <v>146</v>
      </c>
      <c r="B43" s="27" t="s">
        <v>346</v>
      </c>
      <c r="C43" s="38" t="n">
        <v>1</v>
      </c>
      <c r="D43" s="39" t="n">
        <v>6.49</v>
      </c>
      <c r="E43" s="39" t="n">
        <v>3.49</v>
      </c>
      <c r="F43" s="39" t="n">
        <v>8.99</v>
      </c>
      <c r="G43" s="39" t="n">
        <v>11.49</v>
      </c>
      <c r="H43" s="18" t="n">
        <f aca="false">IF(D43="","",D43/$C43)</f>
        <v>6.49</v>
      </c>
      <c r="I43" s="18" t="n">
        <f aca="false">IF(E43="","",E43/$C43)</f>
        <v>3.49</v>
      </c>
      <c r="J43" s="18" t="n">
        <f aca="false">IF(F43="","",F43/$C43)</f>
        <v>8.99</v>
      </c>
      <c r="K43" s="18" t="n">
        <f aca="false">IF(G43="","",G43/$C43)</f>
        <v>11.49</v>
      </c>
      <c r="L43" s="18" t="n">
        <f aca="false">(H43*Assumptions!$C$11+IF(K43="",H43,K43)*Assumptions!$C$12+IF(J43="",H43,J43)*Assumptions!$C$13+IF(I43="",H43,I43)*Assumptions!$C$14)/Assumptions!$C$15</f>
        <v>7.115</v>
      </c>
    </row>
    <row r="44" customFormat="false" ht="15" hidden="false" customHeight="true" outlineLevel="0" collapsed="false">
      <c r="A44" s="5" t="s">
        <v>148</v>
      </c>
      <c r="B44" s="27" t="s">
        <v>362</v>
      </c>
      <c r="C44" s="38" t="n">
        <v>960</v>
      </c>
      <c r="D44" s="39" t="n">
        <v>4950</v>
      </c>
      <c r="E44" s="39" t="n">
        <v>2700</v>
      </c>
      <c r="F44" s="39" t="n">
        <v>6750</v>
      </c>
      <c r="G44" s="39" t="n">
        <v>8250</v>
      </c>
      <c r="H44" s="18" t="n">
        <f aca="false">IF(D44="","",D44/$C44)</f>
        <v>5.15625</v>
      </c>
      <c r="I44" s="18" t="n">
        <f aca="false">IF(E44="","",E44/$C44)</f>
        <v>2.8125</v>
      </c>
      <c r="J44" s="18" t="n">
        <f aca="false">IF(F44="","",F44/$C44)</f>
        <v>7.03125</v>
      </c>
      <c r="K44" s="18" t="n">
        <f aca="false">IF(G44="","",G44/$C44)</f>
        <v>8.59375</v>
      </c>
      <c r="L44" s="18" t="n">
        <f aca="false">(H44*Assumptions!$C$11+IF(K44="",H44,K44)*Assumptions!$C$12+IF(J44="",H44,J44)*Assumptions!$C$13+IF(I44="",H44,I44)*Assumptions!$C$14)/Assumptions!$C$15</f>
        <v>5.5546875</v>
      </c>
    </row>
    <row r="45" customFormat="false" ht="15" hidden="false" customHeight="true" outlineLevel="0" collapsed="false">
      <c r="A45" s="5" t="s">
        <v>150</v>
      </c>
      <c r="B45" s="27" t="s">
        <v>363</v>
      </c>
      <c r="C45" s="38" t="n">
        <v>7.7</v>
      </c>
      <c r="D45" s="39" t="n">
        <v>6.49</v>
      </c>
      <c r="E45" s="39" t="n">
        <v>3.49</v>
      </c>
      <c r="F45" s="39" t="n">
        <v>7.99</v>
      </c>
      <c r="G45" s="39" t="n">
        <v>9.99</v>
      </c>
      <c r="H45" s="18" t="n">
        <f aca="false">IF(D45="","",D45/$C45)</f>
        <v>0.842857142857143</v>
      </c>
      <c r="I45" s="18" t="n">
        <f aca="false">IF(E45="","",E45/$C45)</f>
        <v>0.453246753246753</v>
      </c>
      <c r="J45" s="18" t="n">
        <f aca="false">IF(F45="","",F45/$C45)</f>
        <v>1.03766233766234</v>
      </c>
      <c r="K45" s="18" t="n">
        <f aca="false">IF(G45="","",G45/$C45)</f>
        <v>1.2974025974026</v>
      </c>
      <c r="L45" s="18" t="n">
        <f aca="false">(H45*Assumptions!$C$11+IF(K45="",H45,K45)*Assumptions!$C$12+IF(J45="",H45,J45)*Assumptions!$C$13+IF(I45="",H45,I45)*Assumptions!$C$14)/Assumptions!$C$15</f>
        <v>0.87987012987013</v>
      </c>
    </row>
    <row r="46" customFormat="false" ht="15" hidden="false" customHeight="true" outlineLevel="0" collapsed="false">
      <c r="A46" s="5" t="s">
        <v>152</v>
      </c>
      <c r="B46" s="27" t="s">
        <v>346</v>
      </c>
      <c r="C46" s="38" t="n">
        <v>1</v>
      </c>
      <c r="D46" s="39" t="n">
        <v>6.99</v>
      </c>
      <c r="E46" s="39" t="n">
        <v>3.99</v>
      </c>
      <c r="F46" s="39" t="n">
        <v>8.99</v>
      </c>
      <c r="G46" s="39" t="n">
        <v>10.99</v>
      </c>
      <c r="H46" s="18" t="n">
        <f aca="false">IF(D46="","",D46/$C46)</f>
        <v>6.99</v>
      </c>
      <c r="I46" s="18" t="n">
        <f aca="false">IF(E46="","",E46/$C46)</f>
        <v>3.99</v>
      </c>
      <c r="J46" s="18" t="n">
        <f aca="false">IF(F46="","",F46/$C46)</f>
        <v>8.99</v>
      </c>
      <c r="K46" s="18" t="n">
        <f aca="false">IF(G46="","",G46/$C46)</f>
        <v>10.99</v>
      </c>
      <c r="L46" s="18" t="n">
        <f aca="false">(H46*Assumptions!$C$11+IF(K46="",H46,K46)*Assumptions!$C$12+IF(J46="",H46,J46)*Assumptions!$C$13+IF(I46="",H46,I46)*Assumptions!$C$14)/Assumptions!$C$15</f>
        <v>7.4</v>
      </c>
    </row>
    <row r="47" customFormat="false" ht="15" hidden="false" customHeight="true" outlineLevel="0" collapsed="false">
      <c r="A47" s="5" t="s">
        <v>154</v>
      </c>
      <c r="B47" s="27" t="s">
        <v>364</v>
      </c>
      <c r="C47" s="38" t="n">
        <v>6.9</v>
      </c>
      <c r="D47" s="39" t="n">
        <v>6.49</v>
      </c>
      <c r="E47" s="39" t="n">
        <v>3.49</v>
      </c>
      <c r="F47" s="39" t="n">
        <v>8.99</v>
      </c>
      <c r="G47" s="39" t="n">
        <v>11.49</v>
      </c>
      <c r="H47" s="18" t="n">
        <f aca="false">IF(D47="","",D47/$C47)</f>
        <v>0.940579710144928</v>
      </c>
      <c r="I47" s="18" t="n">
        <f aca="false">IF(E47="","",E47/$C47)</f>
        <v>0.505797101449275</v>
      </c>
      <c r="J47" s="18" t="n">
        <f aca="false">IF(F47="","",F47/$C47)</f>
        <v>1.30289855072464</v>
      </c>
      <c r="K47" s="18" t="n">
        <f aca="false">IF(G47="","",G47/$C47)</f>
        <v>1.66521739130435</v>
      </c>
      <c r="L47" s="18" t="n">
        <f aca="false">(H47*Assumptions!$C$11+IF(K47="",H47,K47)*Assumptions!$C$12+IF(J47="",H47,J47)*Assumptions!$C$13+IF(I47="",H47,I47)*Assumptions!$C$14)/Assumptions!$C$15</f>
        <v>1.03115942028986</v>
      </c>
    </row>
    <row r="48" customFormat="false" ht="15" hidden="false" customHeight="true" outlineLevel="0" collapsed="false">
      <c r="A48" s="5" t="s">
        <v>156</v>
      </c>
      <c r="B48" s="27" t="s">
        <v>346</v>
      </c>
      <c r="C48" s="38" t="n">
        <v>1</v>
      </c>
      <c r="D48" s="39" t="n">
        <v>3.29</v>
      </c>
      <c r="E48" s="39" t="n">
        <v>1.69</v>
      </c>
      <c r="F48" s="39" t="n">
        <v>4.49</v>
      </c>
      <c r="G48" s="39" t="n">
        <v>5.79</v>
      </c>
      <c r="H48" s="18" t="n">
        <f aca="false">IF(D48="","",D48/$C48)</f>
        <v>3.29</v>
      </c>
      <c r="I48" s="18" t="n">
        <f aca="false">IF(E48="","",E48/$C48)</f>
        <v>1.69</v>
      </c>
      <c r="J48" s="18" t="n">
        <f aca="false">IF(F48="","",F48/$C48)</f>
        <v>4.49</v>
      </c>
      <c r="K48" s="18" t="n">
        <f aca="false">IF(G48="","",G48/$C48)</f>
        <v>5.79</v>
      </c>
      <c r="L48" s="18" t="n">
        <f aca="false">(H48*Assumptions!$C$11+IF(K48="",H48,K48)*Assumptions!$C$12+IF(J48="",H48,J48)*Assumptions!$C$13+IF(I48="",H48,I48)*Assumptions!$C$14)/Assumptions!$C$15</f>
        <v>3.584</v>
      </c>
    </row>
    <row r="49" customFormat="false" ht="15" hidden="false" customHeight="true" outlineLevel="0" collapsed="false">
      <c r="A49" s="5" t="s">
        <v>158</v>
      </c>
      <c r="B49" s="27" t="s">
        <v>346</v>
      </c>
      <c r="C49" s="38" t="n">
        <v>1</v>
      </c>
      <c r="D49" s="39" t="n">
        <v>6.49</v>
      </c>
      <c r="E49" s="39" t="n">
        <v>3.49</v>
      </c>
      <c r="F49" s="39" t="n">
        <v>8.99</v>
      </c>
      <c r="G49" s="39" t="n">
        <v>10.99</v>
      </c>
      <c r="H49" s="18" t="n">
        <f aca="false">IF(D49="","",D49/$C49)</f>
        <v>6.49</v>
      </c>
      <c r="I49" s="18" t="n">
        <f aca="false">IF(E49="","",E49/$C49)</f>
        <v>3.49</v>
      </c>
      <c r="J49" s="18" t="n">
        <f aca="false">IF(F49="","",F49/$C49)</f>
        <v>8.99</v>
      </c>
      <c r="K49" s="18" t="n">
        <f aca="false">IF(G49="","",G49/$C49)</f>
        <v>10.99</v>
      </c>
      <c r="L49" s="18" t="n">
        <f aca="false">(H49*Assumptions!$C$11+IF(K49="",H49,K49)*Assumptions!$C$12+IF(J49="",H49,J49)*Assumptions!$C$13+IF(I49="",H49,I49)*Assumptions!$C$14)/Assumptions!$C$15</f>
        <v>7.025</v>
      </c>
    </row>
    <row r="50" customFormat="false" ht="15" hidden="false" customHeight="true" outlineLevel="0" collapsed="false">
      <c r="A50" s="5" t="s">
        <v>160</v>
      </c>
      <c r="B50" s="27" t="s">
        <v>346</v>
      </c>
      <c r="C50" s="38" t="n">
        <v>1</v>
      </c>
      <c r="D50" s="39" t="n">
        <v>6.49</v>
      </c>
      <c r="E50" s="39" t="n">
        <v>3.49</v>
      </c>
      <c r="F50" s="39" t="n">
        <v>8.99</v>
      </c>
      <c r="G50" s="39" t="n">
        <v>11.49</v>
      </c>
      <c r="H50" s="18" t="n">
        <f aca="false">IF(D50="","",D50/$C50)</f>
        <v>6.49</v>
      </c>
      <c r="I50" s="18" t="n">
        <f aca="false">IF(E50="","",E50/$C50)</f>
        <v>3.49</v>
      </c>
      <c r="J50" s="18" t="n">
        <f aca="false">IF(F50="","",F50/$C50)</f>
        <v>8.99</v>
      </c>
      <c r="K50" s="18" t="n">
        <f aca="false">IF(G50="","",G50/$C50)</f>
        <v>11.49</v>
      </c>
      <c r="L50" s="18" t="n">
        <f aca="false">(H50*Assumptions!$C$11+IF(K50="",H50,K50)*Assumptions!$C$12+IF(J50="",H50,J50)*Assumptions!$C$13+IF(I50="",H50,I50)*Assumptions!$C$14)/Assumptions!$C$15</f>
        <v>7.115</v>
      </c>
    </row>
    <row r="51" customFormat="false" ht="15" hidden="false" customHeight="true" outlineLevel="0" collapsed="false">
      <c r="A51" s="5" t="s">
        <v>162</v>
      </c>
      <c r="B51" s="27" t="s">
        <v>346</v>
      </c>
      <c r="C51" s="38" t="n">
        <v>1</v>
      </c>
      <c r="D51" s="39" t="n">
        <v>5.99</v>
      </c>
      <c r="E51" s="39" t="n">
        <v>2.99</v>
      </c>
      <c r="F51" s="39" t="n">
        <v>7.99</v>
      </c>
      <c r="G51" s="39" t="n">
        <v>9.99</v>
      </c>
      <c r="H51" s="18" t="n">
        <f aca="false">IF(D51="","",D51/$C51)</f>
        <v>5.99</v>
      </c>
      <c r="I51" s="18" t="n">
        <f aca="false">IF(E51="","",E51/$C51)</f>
        <v>2.99</v>
      </c>
      <c r="J51" s="18" t="n">
        <f aca="false">IF(F51="","",F51/$C51)</f>
        <v>7.99</v>
      </c>
      <c r="K51" s="18" t="n">
        <f aca="false">IF(G51="","",G51/$C51)</f>
        <v>9.99</v>
      </c>
      <c r="L51" s="18" t="n">
        <f aca="false">(H51*Assumptions!$C$11+IF(K51="",H51,K51)*Assumptions!$C$12+IF(J51="",H51,J51)*Assumptions!$C$13+IF(I51="",H51,I51)*Assumptions!$C$14)/Assumptions!$C$15</f>
        <v>6.4</v>
      </c>
    </row>
    <row r="52" customFormat="false" ht="15" hidden="false" customHeight="true" outlineLevel="0" collapsed="false">
      <c r="A52" s="5" t="s">
        <v>164</v>
      </c>
      <c r="B52" s="27" t="s">
        <v>346</v>
      </c>
      <c r="C52" s="38" t="n">
        <v>1</v>
      </c>
      <c r="D52" s="39" t="n">
        <v>6.49</v>
      </c>
      <c r="E52" s="39" t="n">
        <v>3.49</v>
      </c>
      <c r="F52" s="39" t="n">
        <v>8.99</v>
      </c>
      <c r="G52" s="39" t="n">
        <v>11.49</v>
      </c>
      <c r="H52" s="18" t="n">
        <f aca="false">IF(D52="","",D52/$C52)</f>
        <v>6.49</v>
      </c>
      <c r="I52" s="18" t="n">
        <f aca="false">IF(E52="","",E52/$C52)</f>
        <v>3.49</v>
      </c>
      <c r="J52" s="18" t="n">
        <f aca="false">IF(F52="","",F52/$C52)</f>
        <v>8.99</v>
      </c>
      <c r="K52" s="18" t="n">
        <f aca="false">IF(G52="","",G52/$C52)</f>
        <v>11.49</v>
      </c>
      <c r="L52" s="18" t="n">
        <f aca="false">(H52*Assumptions!$C$11+IF(K52="",H52,K52)*Assumptions!$C$12+IF(J52="",H52,J52)*Assumptions!$C$13+IF(I52="",H52,I52)*Assumptions!$C$14)/Assumptions!$C$15</f>
        <v>7.115</v>
      </c>
    </row>
    <row r="53" customFormat="false" ht="15" hidden="false" customHeight="true" outlineLevel="0" collapsed="false">
      <c r="A53" s="5" t="s">
        <v>166</v>
      </c>
      <c r="B53" s="27" t="s">
        <v>346</v>
      </c>
      <c r="C53" s="38" t="n">
        <v>1</v>
      </c>
      <c r="D53" s="39" t="n">
        <v>6.49</v>
      </c>
      <c r="E53" s="39" t="n">
        <v>3.49</v>
      </c>
      <c r="F53" s="39" t="n">
        <v>8.99</v>
      </c>
      <c r="G53" s="39" t="n">
        <v>11.99</v>
      </c>
      <c r="H53" s="18" t="n">
        <f aca="false">IF(D53="","",D53/$C53)</f>
        <v>6.49</v>
      </c>
      <c r="I53" s="18" t="n">
        <f aca="false">IF(E53="","",E53/$C53)</f>
        <v>3.49</v>
      </c>
      <c r="J53" s="18" t="n">
        <f aca="false">IF(F53="","",F53/$C53)</f>
        <v>8.99</v>
      </c>
      <c r="K53" s="18" t="n">
        <f aca="false">IF(G53="","",G53/$C53)</f>
        <v>11.99</v>
      </c>
      <c r="L53" s="18" t="n">
        <f aca="false">(H53*Assumptions!$C$11+IF(K53="",H53,K53)*Assumptions!$C$12+IF(J53="",H53,J53)*Assumptions!$C$13+IF(I53="",H53,I53)*Assumptions!$C$14)/Assumptions!$C$15</f>
        <v>7.205</v>
      </c>
    </row>
    <row r="54" customFormat="false" ht="15" hidden="false" customHeight="true" outlineLevel="0" collapsed="false">
      <c r="A54" s="5" t="s">
        <v>168</v>
      </c>
      <c r="B54" s="27" t="s">
        <v>346</v>
      </c>
      <c r="C54" s="38" t="n">
        <v>1</v>
      </c>
      <c r="D54" s="39" t="n">
        <v>6.99</v>
      </c>
      <c r="E54" s="39" t="n">
        <v>3.99</v>
      </c>
      <c r="F54" s="39" t="n">
        <v>8.99</v>
      </c>
      <c r="G54" s="39" t="n">
        <v>10.99</v>
      </c>
      <c r="H54" s="18" t="n">
        <f aca="false">IF(D54="","",D54/$C54)</f>
        <v>6.99</v>
      </c>
      <c r="I54" s="18" t="n">
        <f aca="false">IF(E54="","",E54/$C54)</f>
        <v>3.99</v>
      </c>
      <c r="J54" s="18" t="n">
        <f aca="false">IF(F54="","",F54/$C54)</f>
        <v>8.99</v>
      </c>
      <c r="K54" s="18" t="n">
        <f aca="false">IF(G54="","",G54/$C54)</f>
        <v>10.99</v>
      </c>
      <c r="L54" s="18" t="n">
        <f aca="false">(H54*Assumptions!$C$11+IF(K54="",H54,K54)*Assumptions!$C$12+IF(J54="",H54,J54)*Assumptions!$C$13+IF(I54="",H54,I54)*Assumptions!$C$14)/Assumptions!$C$15</f>
        <v>7.4</v>
      </c>
    </row>
    <row r="55" customFormat="false" ht="15" hidden="false" customHeight="true" outlineLevel="0" collapsed="false">
      <c r="A55" s="5" t="s">
        <v>170</v>
      </c>
      <c r="B55" s="27" t="s">
        <v>365</v>
      </c>
      <c r="C55" s="38" t="n">
        <v>1</v>
      </c>
      <c r="D55" s="39" t="n">
        <v>6.99</v>
      </c>
      <c r="E55" s="39" t="n">
        <v>3.99</v>
      </c>
      <c r="F55" s="39" t="n">
        <v>9.99</v>
      </c>
      <c r="G55" s="39" t="n">
        <v>12.99</v>
      </c>
      <c r="H55" s="18" t="n">
        <f aca="false">IF(D55="","",D55/$C55)</f>
        <v>6.99</v>
      </c>
      <c r="I55" s="18" t="n">
        <f aca="false">IF(E55="","",E55/$C55)</f>
        <v>3.99</v>
      </c>
      <c r="J55" s="18" t="n">
        <f aca="false">IF(F55="","",F55/$C55)</f>
        <v>9.99</v>
      </c>
      <c r="K55" s="18" t="n">
        <f aca="false">IF(G55="","",G55/$C55)</f>
        <v>12.99</v>
      </c>
      <c r="L55" s="18" t="n">
        <f aca="false">(H55*Assumptions!$C$11+IF(K55="",H55,K55)*Assumptions!$C$12+IF(J55="",H55,J55)*Assumptions!$C$13+IF(I55="",H55,I55)*Assumptions!$C$14)/Assumptions!$C$15</f>
        <v>7.83</v>
      </c>
    </row>
    <row r="56" customFormat="false" ht="15" hidden="false" customHeight="true" outlineLevel="0" collapsed="false">
      <c r="A56" s="5" t="s">
        <v>172</v>
      </c>
      <c r="B56" s="27" t="s">
        <v>346</v>
      </c>
      <c r="C56" s="38" t="n">
        <v>1</v>
      </c>
      <c r="D56" s="39" t="n">
        <v>8.99</v>
      </c>
      <c r="E56" s="39" t="n">
        <v>4.99</v>
      </c>
      <c r="F56" s="39" t="n">
        <v>11.99</v>
      </c>
      <c r="G56" s="39" t="n">
        <v>14.99</v>
      </c>
      <c r="H56" s="18" t="n">
        <f aca="false">IF(D56="","",D56/$C56)</f>
        <v>8.99</v>
      </c>
      <c r="I56" s="18" t="n">
        <f aca="false">IF(E56="","",E56/$C56)</f>
        <v>4.99</v>
      </c>
      <c r="J56" s="18" t="n">
        <f aca="false">IF(F56="","",F56/$C56)</f>
        <v>11.99</v>
      </c>
      <c r="K56" s="18" t="n">
        <f aca="false">IF(G56="","",G56/$C56)</f>
        <v>14.99</v>
      </c>
      <c r="L56" s="18" t="n">
        <f aca="false">(H56*Assumptions!$C$11+IF(K56="",H56,K56)*Assumptions!$C$12+IF(J56="",H56,J56)*Assumptions!$C$13+IF(I56="",H56,I56)*Assumptions!$C$14)/Assumptions!$C$15</f>
        <v>9.68</v>
      </c>
    </row>
    <row r="57" customFormat="false" ht="15" hidden="false" customHeight="true" outlineLevel="0" collapsed="false">
      <c r="A57" s="5" t="s">
        <v>174</v>
      </c>
      <c r="B57" s="27" t="s">
        <v>346</v>
      </c>
      <c r="C57" s="38" t="n">
        <v>1</v>
      </c>
      <c r="D57" s="39" t="n">
        <v>6.49</v>
      </c>
      <c r="E57" s="39" t="n">
        <v>3.49</v>
      </c>
      <c r="F57" s="39" t="n">
        <v>8.99</v>
      </c>
      <c r="G57" s="39" t="n">
        <v>11.49</v>
      </c>
      <c r="H57" s="18" t="n">
        <f aca="false">IF(D57="","",D57/$C57)</f>
        <v>6.49</v>
      </c>
      <c r="I57" s="18" t="n">
        <f aca="false">IF(E57="","",E57/$C57)</f>
        <v>3.49</v>
      </c>
      <c r="J57" s="18" t="n">
        <f aca="false">IF(F57="","",F57/$C57)</f>
        <v>8.99</v>
      </c>
      <c r="K57" s="18" t="n">
        <f aca="false">IF(G57="","",G57/$C57)</f>
        <v>11.49</v>
      </c>
      <c r="L57" s="18" t="n">
        <f aca="false">(H57*Assumptions!$C$11+IF(K57="",H57,K57)*Assumptions!$C$12+IF(J57="",H57,J57)*Assumptions!$C$13+IF(I57="",H57,I57)*Assumptions!$C$14)/Assumptions!$C$15</f>
        <v>7.115</v>
      </c>
    </row>
    <row r="58" customFormat="false" ht="15" hidden="false" customHeight="true" outlineLevel="0" collapsed="false">
      <c r="A58" s="5" t="s">
        <v>176</v>
      </c>
      <c r="B58" s="27" t="s">
        <v>366</v>
      </c>
      <c r="C58" s="38" t="n">
        <v>6.8</v>
      </c>
      <c r="D58" s="39" t="n">
        <v>6.49</v>
      </c>
      <c r="E58" s="39" t="n">
        <v>3.49</v>
      </c>
      <c r="F58" s="39" t="n">
        <v>8.99</v>
      </c>
      <c r="G58" s="39" t="n">
        <v>11.49</v>
      </c>
      <c r="H58" s="18" t="n">
        <f aca="false">IF(D58="","",D58/$C58)</f>
        <v>0.954411764705882</v>
      </c>
      <c r="I58" s="18" t="n">
        <f aca="false">IF(E58="","",E58/$C58)</f>
        <v>0.513235294117647</v>
      </c>
      <c r="J58" s="18" t="n">
        <f aca="false">IF(F58="","",F58/$C58)</f>
        <v>1.32205882352941</v>
      </c>
      <c r="K58" s="18" t="n">
        <f aca="false">IF(G58="","",G58/$C58)</f>
        <v>1.68970588235294</v>
      </c>
      <c r="L58" s="18" t="n">
        <f aca="false">(H58*Assumptions!$C$11+IF(K58="",H58,K58)*Assumptions!$C$12+IF(J58="",H58,J58)*Assumptions!$C$13+IF(I58="",H58,I58)*Assumptions!$C$14)/Assumptions!$C$15</f>
        <v>1.04632352941176</v>
      </c>
    </row>
    <row r="59" customFormat="false" ht="15" hidden="false" customHeight="true" outlineLevel="0" collapsed="false">
      <c r="A59" s="5" t="s">
        <v>178</v>
      </c>
      <c r="B59" s="27" t="s">
        <v>346</v>
      </c>
      <c r="C59" s="38" t="n">
        <v>1</v>
      </c>
      <c r="D59" s="39" t="n">
        <v>6.49</v>
      </c>
      <c r="E59" s="39" t="n">
        <v>3.49</v>
      </c>
      <c r="F59" s="39" t="n">
        <v>8.99</v>
      </c>
      <c r="G59" s="39" t="n">
        <v>11.49</v>
      </c>
      <c r="H59" s="18" t="n">
        <f aca="false">IF(D59="","",D59/$C59)</f>
        <v>6.49</v>
      </c>
      <c r="I59" s="18" t="n">
        <f aca="false">IF(E59="","",E59/$C59)</f>
        <v>3.49</v>
      </c>
      <c r="J59" s="18" t="n">
        <f aca="false">IF(F59="","",F59/$C59)</f>
        <v>8.99</v>
      </c>
      <c r="K59" s="18" t="n">
        <f aca="false">IF(G59="","",G59/$C59)</f>
        <v>11.49</v>
      </c>
      <c r="L59" s="18" t="n">
        <f aca="false">(H59*Assumptions!$C$11+IF(K59="",H59,K59)*Assumptions!$C$12+IF(J59="",H59,J59)*Assumptions!$C$13+IF(I59="",H59,I59)*Assumptions!$C$14)/Assumptions!$C$15</f>
        <v>7.115</v>
      </c>
    </row>
    <row r="60" customFormat="false" ht="15" hidden="false" customHeight="true" outlineLevel="0" collapsed="false">
      <c r="A60" s="5" t="s">
        <v>180</v>
      </c>
      <c r="B60" s="27" t="s">
        <v>346</v>
      </c>
      <c r="C60" s="38" t="n">
        <v>1</v>
      </c>
      <c r="D60" s="39" t="n">
        <v>6.49</v>
      </c>
      <c r="E60" s="39" t="n">
        <v>3.49</v>
      </c>
      <c r="F60" s="39" t="n">
        <v>8.99</v>
      </c>
      <c r="G60" s="39" t="n">
        <v>11.49</v>
      </c>
      <c r="H60" s="18" t="n">
        <f aca="false">IF(D60="","",D60/$C60)</f>
        <v>6.49</v>
      </c>
      <c r="I60" s="18" t="n">
        <f aca="false">IF(E60="","",E60/$C60)</f>
        <v>3.49</v>
      </c>
      <c r="J60" s="18" t="n">
        <f aca="false">IF(F60="","",F60/$C60)</f>
        <v>8.99</v>
      </c>
      <c r="K60" s="18" t="n">
        <f aca="false">IF(G60="","",G60/$C60)</f>
        <v>11.49</v>
      </c>
      <c r="L60" s="18" t="n">
        <f aca="false">(H60*Assumptions!$C$11+IF(K60="",H60,K60)*Assumptions!$C$12+IF(J60="",H60,J60)*Assumptions!$C$13+IF(I60="",H60,I60)*Assumptions!$C$14)/Assumptions!$C$15</f>
        <v>7.115</v>
      </c>
    </row>
    <row r="61" customFormat="false" ht="15" hidden="false" customHeight="true" outlineLevel="0" collapsed="false">
      <c r="A61" s="5" t="s">
        <v>182</v>
      </c>
      <c r="B61" s="27" t="s">
        <v>367</v>
      </c>
      <c r="C61" s="38" t="n">
        <v>2</v>
      </c>
      <c r="D61" s="39" t="n">
        <v>6.49</v>
      </c>
      <c r="E61" s="39" t="n">
        <v>3.49</v>
      </c>
      <c r="F61" s="39" t="n">
        <v>8.99</v>
      </c>
      <c r="G61" s="39" t="n">
        <v>11.49</v>
      </c>
      <c r="H61" s="18" t="n">
        <f aca="false">IF(D61="","",D61/$C61)</f>
        <v>3.245</v>
      </c>
      <c r="I61" s="18" t="n">
        <f aca="false">IF(E61="","",E61/$C61)</f>
        <v>1.745</v>
      </c>
      <c r="J61" s="18" t="n">
        <f aca="false">IF(F61="","",F61/$C61)</f>
        <v>4.495</v>
      </c>
      <c r="K61" s="18" t="n">
        <f aca="false">IF(G61="","",G61/$C61)</f>
        <v>5.745</v>
      </c>
      <c r="L61" s="18" t="n">
        <f aca="false">(H61*Assumptions!$C$11+IF(K61="",H61,K61)*Assumptions!$C$12+IF(J61="",H61,J61)*Assumptions!$C$13+IF(I61="",H61,I61)*Assumptions!$C$14)/Assumptions!$C$15</f>
        <v>3.5575</v>
      </c>
    </row>
    <row r="62" customFormat="false" ht="15" hidden="false" customHeight="true" outlineLevel="0" collapsed="false">
      <c r="A62" s="5" t="s">
        <v>184</v>
      </c>
      <c r="B62" s="27" t="s">
        <v>368</v>
      </c>
      <c r="C62" s="38" t="n">
        <v>1</v>
      </c>
      <c r="D62" s="39" t="n">
        <v>6.49</v>
      </c>
      <c r="E62" s="39" t="n">
        <v>3.49</v>
      </c>
      <c r="F62" s="39" t="n">
        <v>8.99</v>
      </c>
      <c r="G62" s="39" t="n">
        <v>11.49</v>
      </c>
      <c r="H62" s="18" t="n">
        <f aca="false">IF(D62="","",D62/$C62)</f>
        <v>6.49</v>
      </c>
      <c r="I62" s="18" t="n">
        <f aca="false">IF(E62="","",E62/$C62)</f>
        <v>3.49</v>
      </c>
      <c r="J62" s="18" t="n">
        <f aca="false">IF(F62="","",F62/$C62)</f>
        <v>8.99</v>
      </c>
      <c r="K62" s="18" t="n">
        <f aca="false">IF(G62="","",G62/$C62)</f>
        <v>11.49</v>
      </c>
      <c r="L62" s="18" t="n">
        <f aca="false">(H62*Assumptions!$C$11+IF(K62="",H62,K62)*Assumptions!$C$12+IF(J62="",H62,J62)*Assumptions!$C$13+IF(I62="",H62,I62)*Assumptions!$C$14)/Assumptions!$C$15</f>
        <v>7.115</v>
      </c>
    </row>
    <row r="63" customFormat="false" ht="15" hidden="false" customHeight="true" outlineLevel="0" collapsed="false">
      <c r="A63" s="5" t="s">
        <v>186</v>
      </c>
      <c r="B63" s="27" t="s">
        <v>369</v>
      </c>
      <c r="C63" s="38" t="n">
        <v>2</v>
      </c>
      <c r="D63" s="39" t="n">
        <v>6.49</v>
      </c>
      <c r="E63" s="39" t="n">
        <v>3.49</v>
      </c>
      <c r="F63" s="39" t="n">
        <v>8.99</v>
      </c>
      <c r="G63" s="39" t="n">
        <v>11.49</v>
      </c>
      <c r="H63" s="18" t="n">
        <f aca="false">IF(D63="","",D63/$C63)</f>
        <v>3.245</v>
      </c>
      <c r="I63" s="18" t="n">
        <f aca="false">IF(E63="","",E63/$C63)</f>
        <v>1.745</v>
      </c>
      <c r="J63" s="18" t="n">
        <f aca="false">IF(F63="","",F63/$C63)</f>
        <v>4.495</v>
      </c>
      <c r="K63" s="18" t="n">
        <f aca="false">IF(G63="","",G63/$C63)</f>
        <v>5.745</v>
      </c>
      <c r="L63" s="18" t="n">
        <f aca="false">(H63*Assumptions!$C$11+IF(K63="",H63,K63)*Assumptions!$C$12+IF(J63="",H63,J63)*Assumptions!$C$13+IF(I63="",H63,I63)*Assumptions!$C$14)/Assumptions!$C$15</f>
        <v>3.5575</v>
      </c>
    </row>
    <row r="64" customFormat="false" ht="15" hidden="false" customHeight="true" outlineLevel="0" collapsed="false">
      <c r="A64" s="5" t="s">
        <v>188</v>
      </c>
      <c r="B64" s="27" t="s">
        <v>370</v>
      </c>
      <c r="C64" s="38" t="n">
        <v>2.7</v>
      </c>
      <c r="D64" s="39" t="n">
        <v>6.49</v>
      </c>
      <c r="E64" s="39" t="n">
        <v>3.49</v>
      </c>
      <c r="F64" s="39" t="n">
        <v>8.99</v>
      </c>
      <c r="G64" s="39" t="n">
        <v>11.49</v>
      </c>
      <c r="H64" s="18" t="n">
        <f aca="false">IF(D64="","",D64/$C64)</f>
        <v>2.4037037037037</v>
      </c>
      <c r="I64" s="18" t="n">
        <f aca="false">IF(E64="","",E64/$C64)</f>
        <v>1.29259259259259</v>
      </c>
      <c r="J64" s="18" t="n">
        <f aca="false">IF(F64="","",F64/$C64)</f>
        <v>3.32962962962963</v>
      </c>
      <c r="K64" s="18" t="n">
        <f aca="false">IF(G64="","",G64/$C64)</f>
        <v>4.25555555555556</v>
      </c>
      <c r="L64" s="18" t="n">
        <f aca="false">(H64*Assumptions!$C$11+IF(K64="",H64,K64)*Assumptions!$C$12+IF(J64="",H64,J64)*Assumptions!$C$13+IF(I64="",H64,I64)*Assumptions!$C$14)/Assumptions!$C$15</f>
        <v>2.63518518518519</v>
      </c>
    </row>
    <row r="65" customFormat="false" ht="15" hidden="false" customHeight="true" outlineLevel="0" collapsed="false">
      <c r="A65" s="5" t="s">
        <v>190</v>
      </c>
      <c r="B65" s="27" t="s">
        <v>371</v>
      </c>
      <c r="C65" s="38" t="n">
        <v>1.79</v>
      </c>
      <c r="D65" s="39" t="n">
        <v>6.49</v>
      </c>
      <c r="E65" s="39" t="n">
        <v>3.49</v>
      </c>
      <c r="F65" s="39" t="n">
        <v>8.99</v>
      </c>
      <c r="G65" s="39" t="n">
        <v>11.49</v>
      </c>
      <c r="H65" s="18" t="n">
        <f aca="false">IF(D65="","",D65/$C65)</f>
        <v>3.62569832402235</v>
      </c>
      <c r="I65" s="18" t="n">
        <f aca="false">IF(E65="","",E65/$C65)</f>
        <v>1.94972067039106</v>
      </c>
      <c r="J65" s="18" t="n">
        <f aca="false">IF(F65="","",F65/$C65)</f>
        <v>5.02234636871508</v>
      </c>
      <c r="K65" s="18" t="n">
        <f aca="false">IF(G65="","",G65/$C65)</f>
        <v>6.41899441340782</v>
      </c>
      <c r="L65" s="18" t="n">
        <f aca="false">(H65*Assumptions!$C$11+IF(K65="",H65,K65)*Assumptions!$C$12+IF(J65="",H65,J65)*Assumptions!$C$13+IF(I65="",H65,I65)*Assumptions!$C$14)/Assumptions!$C$15</f>
        <v>3.97486033519553</v>
      </c>
    </row>
    <row r="66" customFormat="false" ht="15" hidden="false" customHeight="true" outlineLevel="0" collapsed="false">
      <c r="A66" s="5" t="s">
        <v>192</v>
      </c>
      <c r="B66" s="27" t="s">
        <v>370</v>
      </c>
      <c r="C66" s="38" t="n">
        <v>2.7</v>
      </c>
      <c r="D66" s="39" t="n">
        <v>6.49</v>
      </c>
      <c r="E66" s="39" t="n">
        <v>3.49</v>
      </c>
      <c r="F66" s="39" t="n">
        <v>8.99</v>
      </c>
      <c r="G66" s="39" t="n">
        <v>11.49</v>
      </c>
      <c r="H66" s="18" t="n">
        <f aca="false">IF(D66="","",D66/$C66)</f>
        <v>2.4037037037037</v>
      </c>
      <c r="I66" s="18" t="n">
        <f aca="false">IF(E66="","",E66/$C66)</f>
        <v>1.29259259259259</v>
      </c>
      <c r="J66" s="18" t="n">
        <f aca="false">IF(F66="","",F66/$C66)</f>
        <v>3.32962962962963</v>
      </c>
      <c r="K66" s="18" t="n">
        <f aca="false">IF(G66="","",G66/$C66)</f>
        <v>4.25555555555556</v>
      </c>
      <c r="L66" s="18" t="n">
        <f aca="false">(H66*Assumptions!$C$11+IF(K66="",H66,K66)*Assumptions!$C$12+IF(J66="",H66,J66)*Assumptions!$C$13+IF(I66="",H66,I66)*Assumptions!$C$14)/Assumptions!$C$15</f>
        <v>2.63518518518519</v>
      </c>
    </row>
    <row r="67" customFormat="false" ht="15" hidden="false" customHeight="true" outlineLevel="0" collapsed="false">
      <c r="A67" s="5" t="s">
        <v>194</v>
      </c>
      <c r="B67" s="27" t="s">
        <v>370</v>
      </c>
      <c r="C67" s="38" t="n">
        <v>2.7</v>
      </c>
      <c r="D67" s="39" t="n">
        <v>6.49</v>
      </c>
      <c r="E67" s="39" t="n">
        <v>3.49</v>
      </c>
      <c r="F67" s="39" t="n">
        <v>8.99</v>
      </c>
      <c r="G67" s="39" t="n">
        <v>11.49</v>
      </c>
      <c r="H67" s="18" t="n">
        <f aca="false">IF(D67="","",D67/$C67)</f>
        <v>2.4037037037037</v>
      </c>
      <c r="I67" s="18" t="n">
        <f aca="false">IF(E67="","",E67/$C67)</f>
        <v>1.29259259259259</v>
      </c>
      <c r="J67" s="18" t="n">
        <f aca="false">IF(F67="","",F67/$C67)</f>
        <v>3.32962962962963</v>
      </c>
      <c r="K67" s="18" t="n">
        <f aca="false">IF(G67="","",G67/$C67)</f>
        <v>4.25555555555556</v>
      </c>
      <c r="L67" s="18" t="n">
        <f aca="false">(H67*Assumptions!$C$11+IF(K67="",H67,K67)*Assumptions!$C$12+IF(J67="",H67,J67)*Assumptions!$C$13+IF(I67="",H67,I67)*Assumptions!$C$14)/Assumptions!$C$15</f>
        <v>2.63518518518519</v>
      </c>
    </row>
    <row r="68" customFormat="false" ht="15" hidden="false" customHeight="true" outlineLevel="0" collapsed="false">
      <c r="A68" s="5" t="s">
        <v>196</v>
      </c>
      <c r="B68" s="27" t="s">
        <v>370</v>
      </c>
      <c r="C68" s="38" t="n">
        <v>2.7</v>
      </c>
      <c r="D68" s="39" t="n">
        <v>6.49</v>
      </c>
      <c r="E68" s="39" t="n">
        <v>3.49</v>
      </c>
      <c r="F68" s="39" t="n">
        <v>8.99</v>
      </c>
      <c r="G68" s="39" t="n">
        <v>11.49</v>
      </c>
      <c r="H68" s="18" t="n">
        <f aca="false">IF(D68="","",D68/$C68)</f>
        <v>2.4037037037037</v>
      </c>
      <c r="I68" s="18" t="n">
        <f aca="false">IF(E68="","",E68/$C68)</f>
        <v>1.29259259259259</v>
      </c>
      <c r="J68" s="18" t="n">
        <f aca="false">IF(F68="","",F68/$C68)</f>
        <v>3.32962962962963</v>
      </c>
      <c r="K68" s="18" t="n">
        <f aca="false">IF(G68="","",G68/$C68)</f>
        <v>4.25555555555556</v>
      </c>
      <c r="L68" s="18" t="n">
        <f aca="false">(H68*Assumptions!$C$11+IF(K68="",H68,K68)*Assumptions!$C$12+IF(J68="",H68,J68)*Assumptions!$C$13+IF(I68="",H68,I68)*Assumptions!$C$14)/Assumptions!$C$15</f>
        <v>2.63518518518519</v>
      </c>
    </row>
    <row r="69" customFormat="false" ht="15" hidden="false" customHeight="true" outlineLevel="0" collapsed="false">
      <c r="A69" s="5" t="s">
        <v>198</v>
      </c>
      <c r="B69" s="27" t="s">
        <v>370</v>
      </c>
      <c r="C69" s="38" t="n">
        <v>2.7</v>
      </c>
      <c r="D69" s="39" t="n">
        <v>6.49</v>
      </c>
      <c r="E69" s="39" t="n">
        <v>3.49</v>
      </c>
      <c r="F69" s="39" t="n">
        <v>8.99</v>
      </c>
      <c r="G69" s="39" t="n">
        <v>11.49</v>
      </c>
      <c r="H69" s="18" t="n">
        <f aca="false">IF(D69="","",D69/$C69)</f>
        <v>2.4037037037037</v>
      </c>
      <c r="I69" s="18" t="n">
        <f aca="false">IF(E69="","",E69/$C69)</f>
        <v>1.29259259259259</v>
      </c>
      <c r="J69" s="18" t="n">
        <f aca="false">IF(F69="","",F69/$C69)</f>
        <v>3.32962962962963</v>
      </c>
      <c r="K69" s="18" t="n">
        <f aca="false">IF(G69="","",G69/$C69)</f>
        <v>4.25555555555556</v>
      </c>
      <c r="L69" s="18" t="n">
        <f aca="false">(H69*Assumptions!$C$11+IF(K69="",H69,K69)*Assumptions!$C$12+IF(J69="",H69,J69)*Assumptions!$C$13+IF(I69="",H69,I69)*Assumptions!$C$14)/Assumptions!$C$15</f>
        <v>2.63518518518519</v>
      </c>
    </row>
    <row r="70" customFormat="false" ht="15" hidden="false" customHeight="true" outlineLevel="0" collapsed="false">
      <c r="A70" s="5" t="s">
        <v>200</v>
      </c>
      <c r="B70" s="27" t="s">
        <v>370</v>
      </c>
      <c r="C70" s="38" t="n">
        <v>2.7</v>
      </c>
      <c r="D70" s="39" t="n">
        <v>6.49</v>
      </c>
      <c r="E70" s="39" t="n">
        <v>3.49</v>
      </c>
      <c r="F70" s="39" t="n">
        <v>8.99</v>
      </c>
      <c r="G70" s="39" t="n">
        <v>11.49</v>
      </c>
      <c r="H70" s="18" t="n">
        <f aca="false">IF(D70="","",D70/$C70)</f>
        <v>2.4037037037037</v>
      </c>
      <c r="I70" s="18" t="n">
        <f aca="false">IF(E70="","",E70/$C70)</f>
        <v>1.29259259259259</v>
      </c>
      <c r="J70" s="18" t="n">
        <f aca="false">IF(F70="","",F70/$C70)</f>
        <v>3.32962962962963</v>
      </c>
      <c r="K70" s="18" t="n">
        <f aca="false">IF(G70="","",G70/$C70)</f>
        <v>4.25555555555556</v>
      </c>
      <c r="L70" s="18" t="n">
        <f aca="false">(H70*Assumptions!$C$11+IF(K70="",H70,K70)*Assumptions!$C$12+IF(J70="",H70,J70)*Assumptions!$C$13+IF(I70="",H70,I70)*Assumptions!$C$14)/Assumptions!$C$15</f>
        <v>2.63518518518519</v>
      </c>
    </row>
    <row r="71" customFormat="false" ht="15" hidden="false" customHeight="true" outlineLevel="0" collapsed="false">
      <c r="A71" s="5" t="s">
        <v>202</v>
      </c>
      <c r="B71" s="27" t="s">
        <v>346</v>
      </c>
      <c r="C71" s="38" t="n">
        <v>1</v>
      </c>
      <c r="D71" s="39" t="n">
        <v>12.99</v>
      </c>
      <c r="E71" s="39" t="n">
        <v>6.99</v>
      </c>
      <c r="F71" s="39" t="n">
        <v>18.99</v>
      </c>
      <c r="G71" s="39" t="n">
        <v>21.99</v>
      </c>
      <c r="H71" s="18" t="n">
        <f aca="false">IF(D71="","",D71/$C71)</f>
        <v>12.99</v>
      </c>
      <c r="I71" s="18" t="n">
        <f aca="false">IF(E71="","",E71/$C71)</f>
        <v>6.99</v>
      </c>
      <c r="J71" s="18" t="n">
        <f aca="false">IF(F71="","",F71/$C71)</f>
        <v>18.99</v>
      </c>
      <c r="K71" s="18" t="n">
        <f aca="false">IF(G71="","",G71/$C71)</f>
        <v>21.99</v>
      </c>
      <c r="L71" s="18" t="n">
        <f aca="false">(H71*Assumptions!$C$11+IF(K71="",H71,K71)*Assumptions!$C$12+IF(J71="",H71,J71)*Assumptions!$C$13+IF(I71="",H71,I71)*Assumptions!$C$14)/Assumptions!$C$15</f>
        <v>14.13</v>
      </c>
    </row>
    <row r="72" customFormat="false" ht="15" hidden="false" customHeight="true" outlineLevel="0" collapsed="false">
      <c r="A72" s="5" t="s">
        <v>204</v>
      </c>
      <c r="B72" s="27" t="s">
        <v>372</v>
      </c>
      <c r="C72" s="38" t="n">
        <v>1.4014</v>
      </c>
      <c r="D72" s="39" t="n">
        <v>12.69</v>
      </c>
      <c r="E72" s="39" t="n">
        <v>6.39</v>
      </c>
      <c r="F72" s="39" t="n">
        <v>17.89</v>
      </c>
      <c r="G72" s="39" t="n">
        <v>20.99</v>
      </c>
      <c r="H72" s="18" t="n">
        <f aca="false">IF(D72="","",D72/$C72)</f>
        <v>9.05523048380191</v>
      </c>
      <c r="I72" s="18" t="n">
        <f aca="false">IF(E72="","",E72/$C72)</f>
        <v>4.55972598829742</v>
      </c>
      <c r="J72" s="18" t="n">
        <f aca="false">IF(F72="","",F72/$C72)</f>
        <v>12.7658056229485</v>
      </c>
      <c r="K72" s="18" t="n">
        <f aca="false">IF(G72="","",G72/$C72)</f>
        <v>14.9778792635935</v>
      </c>
      <c r="L72" s="18" t="n">
        <f aca="false">(H72*Assumptions!$C$11+IF(K72="",H72,K72)*Assumptions!$C$12+IF(J72="",H72,J72)*Assumptions!$C$13+IF(I72="",H72,I72)*Assumptions!$C$14)/Assumptions!$C$15</f>
        <v>9.70672184957899</v>
      </c>
    </row>
    <row r="73" customFormat="false" ht="15" hidden="false" customHeight="true" outlineLevel="0" collapsed="false">
      <c r="A73" s="5" t="s">
        <v>206</v>
      </c>
      <c r="B73" s="27" t="s">
        <v>373</v>
      </c>
      <c r="C73" s="38" t="n">
        <v>94.5605</v>
      </c>
      <c r="D73" s="39" t="n">
        <v>199</v>
      </c>
      <c r="E73" s="39" t="n">
        <v>99</v>
      </c>
      <c r="F73" s="39"/>
      <c r="G73" s="39"/>
      <c r="H73" s="18" t="n">
        <f aca="false">IF(D73="","",D73/$C73)</f>
        <v>2.10447279783842</v>
      </c>
      <c r="I73" s="18" t="n">
        <f aca="false">IF(E73="","",E73/$C73)</f>
        <v>1.04694877882414</v>
      </c>
      <c r="J73" s="18" t="str">
        <f aca="false">IF(F73="","",F73/$C73)</f>
        <v/>
      </c>
      <c r="K73" s="18" t="str">
        <f aca="false">IF(G73="","",G73/$C73)</f>
        <v/>
      </c>
      <c r="L73" s="18" t="n">
        <f aca="false">(H73*Assumptions!$C$11+IF(K73="",H73,K73)*Assumptions!$C$12+IF(J73="",H73,J73)*Assumptions!$C$13+IF(I73="",H73,I73)*Assumptions!$C$14)/Assumptions!$C$15</f>
        <v>1.94584419498628</v>
      </c>
    </row>
    <row r="74" customFormat="false" ht="15" hidden="false" customHeight="true" outlineLevel="0" collapsed="false">
      <c r="A74" s="5" t="s">
        <v>208</v>
      </c>
      <c r="B74" s="27" t="s">
        <v>374</v>
      </c>
      <c r="C74" s="38" t="n">
        <v>17721.6491</v>
      </c>
      <c r="D74" s="39" t="n">
        <v>79900</v>
      </c>
      <c r="E74" s="39" t="n">
        <v>39900</v>
      </c>
      <c r="F74" s="39"/>
      <c r="G74" s="39"/>
      <c r="H74" s="18" t="n">
        <f aca="false">IF(D74="","",D74/$C74)</f>
        <v>4.508609754608</v>
      </c>
      <c r="I74" s="18" t="n">
        <f aca="false">IF(E74="","",E74/$C74)</f>
        <v>2.25148346944755</v>
      </c>
      <c r="J74" s="18" t="str">
        <f aca="false">IF(F74="","",F74/$C74)</f>
        <v/>
      </c>
      <c r="K74" s="18" t="str">
        <f aca="false">IF(G74="","",G74/$C74)</f>
        <v/>
      </c>
      <c r="L74" s="18" t="n">
        <f aca="false">(H74*Assumptions!$C$11+IF(K74="",H74,K74)*Assumptions!$C$12+IF(J74="",H74,J74)*Assumptions!$C$13+IF(I74="",H74,I74)*Assumptions!$C$14)/Assumptions!$C$15</f>
        <v>4.17004081183393</v>
      </c>
    </row>
    <row r="75" customFormat="false" ht="15" hidden="false" customHeight="true" outlineLevel="0" collapsed="false">
      <c r="A75" s="5" t="s">
        <v>210</v>
      </c>
      <c r="B75" s="27" t="s">
        <v>375</v>
      </c>
      <c r="C75" s="38" t="n">
        <v>278</v>
      </c>
      <c r="D75" s="39" t="n">
        <v>379</v>
      </c>
      <c r="E75" s="39" t="n">
        <v>199</v>
      </c>
      <c r="F75" s="39" t="n">
        <v>519</v>
      </c>
      <c r="G75" s="39" t="n">
        <v>679</v>
      </c>
      <c r="H75" s="18" t="n">
        <f aca="false">IF(D75="","",D75/$C75)</f>
        <v>1.36330935251799</v>
      </c>
      <c r="I75" s="18" t="n">
        <f aca="false">IF(E75="","",E75/$C75)</f>
        <v>0.715827338129496</v>
      </c>
      <c r="J75" s="18" t="n">
        <f aca="false">IF(F75="","",F75/$C75)</f>
        <v>1.86690647482014</v>
      </c>
      <c r="K75" s="18" t="n">
        <f aca="false">IF(G75="","",G75/$C75)</f>
        <v>2.44244604316547</v>
      </c>
      <c r="L75" s="18" t="n">
        <f aca="false">(H75*Assumptions!$C$11+IF(K75="",H75,K75)*Assumptions!$C$12+IF(J75="",H75,J75)*Assumptions!$C$13+IF(I75="",H75,I75)*Assumptions!$C$14)/Assumptions!$C$15</f>
        <v>1.49568345323741</v>
      </c>
    </row>
    <row r="76" customFormat="false" ht="15" hidden="false" customHeight="true" outlineLevel="0" collapsed="false">
      <c r="A76" s="5" t="s">
        <v>212</v>
      </c>
      <c r="B76" s="27" t="s">
        <v>376</v>
      </c>
      <c r="C76" s="38" t="n">
        <v>1530</v>
      </c>
      <c r="D76" s="39" t="n">
        <v>1600</v>
      </c>
      <c r="E76" s="39" t="n">
        <v>800</v>
      </c>
      <c r="F76" s="39" t="n">
        <v>2100</v>
      </c>
      <c r="G76" s="39" t="n">
        <v>2500</v>
      </c>
      <c r="H76" s="18" t="n">
        <f aca="false">IF(D76="","",D76/$C76)</f>
        <v>1.04575163398693</v>
      </c>
      <c r="I76" s="18" t="n">
        <f aca="false">IF(E76="","",E76/$C76)</f>
        <v>0.522875816993464</v>
      </c>
      <c r="J76" s="18" t="n">
        <f aca="false">IF(F76="","",F76/$C76)</f>
        <v>1.37254901960784</v>
      </c>
      <c r="K76" s="18" t="n">
        <f aca="false">IF(G76="","",G76/$C76)</f>
        <v>1.63398692810458</v>
      </c>
      <c r="L76" s="18" t="n">
        <f aca="false">(H76*Assumptions!$C$11+IF(K76="",H76,K76)*Assumptions!$C$12+IF(J76="",H76,J76)*Assumptions!$C$13+IF(I76="",H76,I76)*Assumptions!$C$14)/Assumptions!$C$15</f>
        <v>1.09607843137255</v>
      </c>
    </row>
    <row r="77" customFormat="false" ht="15" hidden="false" customHeight="true" outlineLevel="0" collapsed="false">
      <c r="A77" s="5" t="s">
        <v>214</v>
      </c>
      <c r="B77" s="27" t="s">
        <v>377</v>
      </c>
      <c r="C77" s="38" t="n">
        <v>120</v>
      </c>
      <c r="D77" s="39" t="n">
        <v>219</v>
      </c>
      <c r="E77" s="39" t="n">
        <v>109</v>
      </c>
      <c r="F77" s="39" t="n">
        <v>299</v>
      </c>
      <c r="G77" s="39" t="n">
        <v>379</v>
      </c>
      <c r="H77" s="18" t="n">
        <f aca="false">IF(D77="","",D77/$C77)</f>
        <v>1.825</v>
      </c>
      <c r="I77" s="18" t="n">
        <f aca="false">IF(E77="","",E77/$C77)</f>
        <v>0.908333333333333</v>
      </c>
      <c r="J77" s="18" t="n">
        <f aca="false">IF(F77="","",F77/$C77)</f>
        <v>2.49166666666667</v>
      </c>
      <c r="K77" s="18" t="n">
        <f aca="false">IF(G77="","",G77/$C77)</f>
        <v>3.15833333333333</v>
      </c>
      <c r="L77" s="18" t="n">
        <f aca="false">(H77*Assumptions!$C$11+IF(K77="",H77,K77)*Assumptions!$C$12+IF(J77="",H77,J77)*Assumptions!$C$13+IF(I77="",H77,I77)*Assumptions!$C$14)/Assumptions!$C$15</f>
        <v>1.97416666666667</v>
      </c>
    </row>
    <row r="78" customFormat="false" ht="15" hidden="false" customHeight="true" outlineLevel="0" collapsed="false">
      <c r="A78" s="5" t="s">
        <v>216</v>
      </c>
      <c r="B78" s="27" t="s">
        <v>346</v>
      </c>
      <c r="C78" s="38" t="n">
        <v>1</v>
      </c>
      <c r="D78" s="39" t="n">
        <v>3.29</v>
      </c>
      <c r="E78" s="39" t="n">
        <v>1.69</v>
      </c>
      <c r="F78" s="39" t="n">
        <v>4.49</v>
      </c>
      <c r="G78" s="39" t="n">
        <v>5.79</v>
      </c>
      <c r="H78" s="18" t="n">
        <f aca="false">IF(D78="","",D78/$C78)</f>
        <v>3.29</v>
      </c>
      <c r="I78" s="18" t="n">
        <f aca="false">IF(E78="","",E78/$C78)</f>
        <v>1.69</v>
      </c>
      <c r="J78" s="18" t="n">
        <f aca="false">IF(F78="","",F78/$C78)</f>
        <v>4.49</v>
      </c>
      <c r="K78" s="18" t="n">
        <f aca="false">IF(G78="","",G78/$C78)</f>
        <v>5.79</v>
      </c>
      <c r="L78" s="18" t="n">
        <f aca="false">(H78*Assumptions!$C$11+IF(K78="",H78,K78)*Assumptions!$C$12+IF(J78="",H78,J78)*Assumptions!$C$13+IF(I78="",H78,I78)*Assumptions!$C$14)/Assumptions!$C$15</f>
        <v>3.584</v>
      </c>
    </row>
    <row r="79" customFormat="false" ht="15" hidden="false" customHeight="true" outlineLevel="0" collapsed="false">
      <c r="A79" s="5" t="s">
        <v>218</v>
      </c>
      <c r="B79" s="27" t="s">
        <v>378</v>
      </c>
      <c r="C79" s="38" t="n">
        <v>160.3761</v>
      </c>
      <c r="D79" s="39" t="n">
        <v>1080</v>
      </c>
      <c r="E79" s="39" t="n">
        <v>580</v>
      </c>
      <c r="F79" s="39" t="n">
        <v>1480</v>
      </c>
      <c r="G79" s="39" t="n">
        <v>1880</v>
      </c>
      <c r="H79" s="18" t="n">
        <f aca="false">IF(D79="","",D79/$C79)</f>
        <v>6.73417049049079</v>
      </c>
      <c r="I79" s="18" t="n">
        <f aca="false">IF(E79="","",E79/$C79)</f>
        <v>3.61649896711542</v>
      </c>
      <c r="J79" s="18" t="n">
        <f aca="false">IF(F79="","",F79/$C79)</f>
        <v>9.22830770919108</v>
      </c>
      <c r="K79" s="18" t="n">
        <f aca="false">IF(G79="","",G79/$C79)</f>
        <v>11.7224449278914</v>
      </c>
      <c r="L79" s="18" t="n">
        <f aca="false">(H79*Assumptions!$C$11+IF(K79="",H79,K79)*Assumptions!$C$12+IF(J79="",H79,J79)*Assumptions!$C$13+IF(I79="",H79,I79)*Assumptions!$C$14)/Assumptions!$C$15</f>
        <v>7.33899876602561</v>
      </c>
    </row>
    <row r="80" customFormat="false" ht="15" hidden="false" customHeight="true" outlineLevel="0" collapsed="false">
      <c r="A80" s="5" t="s">
        <v>220</v>
      </c>
      <c r="B80" s="27" t="s">
        <v>379</v>
      </c>
      <c r="C80" s="38" t="n">
        <v>49.5</v>
      </c>
      <c r="D80" s="39" t="n">
        <v>79</v>
      </c>
      <c r="E80" s="39" t="n">
        <v>39</v>
      </c>
      <c r="F80" s="39" t="n">
        <v>109</v>
      </c>
      <c r="G80" s="39" t="n">
        <v>139</v>
      </c>
      <c r="H80" s="18" t="n">
        <f aca="false">IF(D80="","",D80/$C80)</f>
        <v>1.5959595959596</v>
      </c>
      <c r="I80" s="18" t="n">
        <f aca="false">IF(E80="","",E80/$C80)</f>
        <v>0.787878787878788</v>
      </c>
      <c r="J80" s="18" t="n">
        <f aca="false">IF(F80="","",F80/$C80)</f>
        <v>2.2020202020202</v>
      </c>
      <c r="K80" s="18" t="n">
        <f aca="false">IF(G80="","",G80/$C80)</f>
        <v>2.80808080808081</v>
      </c>
      <c r="L80" s="18" t="n">
        <f aca="false">(H80*Assumptions!$C$11+IF(K80="",H80,K80)*Assumptions!$C$12+IF(J80="",H80,J80)*Assumptions!$C$13+IF(I80="",H80,I80)*Assumptions!$C$14)/Assumptions!$C$15</f>
        <v>1.73535353535354</v>
      </c>
    </row>
    <row r="81" customFormat="false" ht="15" hidden="false" customHeight="true" outlineLevel="0" collapsed="false">
      <c r="A81" s="5" t="s">
        <v>222</v>
      </c>
      <c r="B81" s="27" t="s">
        <v>380</v>
      </c>
      <c r="C81" s="38" t="n">
        <v>60.3114</v>
      </c>
      <c r="D81" s="39" t="n">
        <v>169</v>
      </c>
      <c r="E81" s="39" t="n">
        <v>85</v>
      </c>
      <c r="F81" s="39" t="n">
        <v>229</v>
      </c>
      <c r="G81" s="39" t="n">
        <v>279</v>
      </c>
      <c r="H81" s="18" t="n">
        <f aca="false">IF(D81="","",D81/$C81)</f>
        <v>2.80212364494938</v>
      </c>
      <c r="I81" s="18" t="n">
        <f aca="false">IF(E81="","",E81/$C81)</f>
        <v>1.40935212911655</v>
      </c>
      <c r="J81" s="18" t="n">
        <f aca="false">IF(F81="","",F81/$C81)</f>
        <v>3.79696044197283</v>
      </c>
      <c r="K81" s="18" t="n">
        <f aca="false">IF(G81="","",G81/$C81)</f>
        <v>4.62599110615903</v>
      </c>
      <c r="L81" s="18" t="n">
        <f aca="false">(H81*Assumptions!$C$11+IF(K81="",H81,K81)*Assumptions!$C$12+IF(J81="",H81,J81)*Assumptions!$C$13+IF(I81="",H81,I81)*Assumptions!$C$14)/Assumptions!$C$15</f>
        <v>2.99114263638384</v>
      </c>
    </row>
    <row r="82" customFormat="false" ht="15" hidden="false" customHeight="true" outlineLevel="0" collapsed="false">
      <c r="A82" s="5" t="s">
        <v>224</v>
      </c>
      <c r="B82" s="27" t="s">
        <v>381</v>
      </c>
      <c r="C82" s="38" t="n">
        <v>25400</v>
      </c>
      <c r="D82" s="39" t="n">
        <v>65000</v>
      </c>
      <c r="E82" s="39" t="n">
        <v>33000</v>
      </c>
      <c r="F82" s="39"/>
      <c r="G82" s="39"/>
      <c r="H82" s="18" t="n">
        <f aca="false">IF(D82="","",D82/$C82)</f>
        <v>2.55905511811024</v>
      </c>
      <c r="I82" s="18" t="n">
        <f aca="false">IF(E82="","",E82/$C82)</f>
        <v>1.2992125984252</v>
      </c>
      <c r="J82" s="18" t="str">
        <f aca="false">IF(F82="","",F82/$C82)</f>
        <v/>
      </c>
      <c r="K82" s="18" t="str">
        <f aca="false">IF(G82="","",G82/$C82)</f>
        <v/>
      </c>
      <c r="L82" s="18" t="n">
        <f aca="false">(H82*Assumptions!$C$11+IF(K82="",H82,K82)*Assumptions!$C$12+IF(J82="",H82,J82)*Assumptions!$C$13+IF(I82="",H82,I82)*Assumptions!$C$14)/Assumptions!$C$15</f>
        <v>2.37007874015748</v>
      </c>
    </row>
    <row r="83" customFormat="false" ht="15" hidden="false" customHeight="true" outlineLevel="0" collapsed="false">
      <c r="A83" s="5" t="s">
        <v>226</v>
      </c>
      <c r="B83" s="27" t="s">
        <v>346</v>
      </c>
      <c r="C83" s="38" t="n">
        <v>1</v>
      </c>
      <c r="D83" s="39" t="n">
        <v>2.6</v>
      </c>
      <c r="E83" s="39" t="n">
        <v>1.3</v>
      </c>
      <c r="F83" s="39" t="n">
        <v>3.4</v>
      </c>
      <c r="G83" s="39" t="n">
        <v>4.2</v>
      </c>
      <c r="H83" s="18" t="n">
        <f aca="false">IF(D83="","",D83/$C83)</f>
        <v>2.6</v>
      </c>
      <c r="I83" s="18" t="n">
        <f aca="false">IF(E83="","",E83/$C83)</f>
        <v>1.3</v>
      </c>
      <c r="J83" s="18" t="n">
        <f aca="false">IF(F83="","",F83/$C83)</f>
        <v>3.4</v>
      </c>
      <c r="K83" s="18" t="n">
        <f aca="false">IF(G83="","",G83/$C83)</f>
        <v>4.2</v>
      </c>
      <c r="L83" s="18" t="n">
        <f aca="false">(H83*Assumptions!$C$11+IF(K83="",H83,K83)*Assumptions!$C$12+IF(J83="",H83,J83)*Assumptions!$C$13+IF(I83="",H83,I83)*Assumptions!$C$14)/Assumptions!$C$15</f>
        <v>2.749</v>
      </c>
    </row>
    <row r="84" customFormat="false" ht="15" hidden="false" customHeight="true" outlineLevel="0" collapsed="false">
      <c r="A84" s="5" t="s">
        <v>228</v>
      </c>
      <c r="B84" s="27" t="s">
        <v>382</v>
      </c>
      <c r="C84" s="38" t="n">
        <v>32.5151</v>
      </c>
      <c r="D84" s="39" t="n">
        <v>149</v>
      </c>
      <c r="E84" s="39" t="n">
        <v>79</v>
      </c>
      <c r="F84" s="39" t="n">
        <v>209</v>
      </c>
      <c r="G84" s="39" t="n">
        <v>249</v>
      </c>
      <c r="H84" s="18" t="n">
        <f aca="false">IF(D84="","",D84/$C84)</f>
        <v>4.5824862909848</v>
      </c>
      <c r="I84" s="18" t="n">
        <f aca="false">IF(E84="","",E84/$C84)</f>
        <v>2.42964038246845</v>
      </c>
      <c r="J84" s="18" t="n">
        <f aca="false">IF(F84="","",F84/$C84)</f>
        <v>6.42778278399882</v>
      </c>
      <c r="K84" s="18" t="n">
        <f aca="false">IF(G84="","",G84/$C84)</f>
        <v>7.65798044600816</v>
      </c>
      <c r="L84" s="18" t="n">
        <f aca="false">(H84*Assumptions!$C$11+IF(K84="",H84,K84)*Assumptions!$C$12+IF(J84="",H84,J84)*Assumptions!$C$13+IF(I84="",H84,I84)*Assumptions!$C$14)/Assumptions!$C$15</f>
        <v>4.94231910712254</v>
      </c>
    </row>
    <row r="85" customFormat="false" ht="15" hidden="false" customHeight="true" outlineLevel="0" collapsed="false">
      <c r="A85" s="5" t="s">
        <v>230</v>
      </c>
      <c r="B85" s="27" t="s">
        <v>383</v>
      </c>
      <c r="C85" s="38" t="n">
        <v>2550</v>
      </c>
      <c r="D85" s="39" t="n">
        <v>7500</v>
      </c>
      <c r="E85" s="39" t="n">
        <v>4000</v>
      </c>
      <c r="F85" s="39" t="n">
        <v>10000</v>
      </c>
      <c r="G85" s="39" t="n">
        <v>13000</v>
      </c>
      <c r="H85" s="18" t="n">
        <f aca="false">IF(D85="","",D85/$C85)</f>
        <v>2.94117647058824</v>
      </c>
      <c r="I85" s="18" t="n">
        <f aca="false">IF(E85="","",E85/$C85)</f>
        <v>1.56862745098039</v>
      </c>
      <c r="J85" s="18" t="n">
        <f aca="false">IF(F85="","",F85/$C85)</f>
        <v>3.92156862745098</v>
      </c>
      <c r="K85" s="18" t="n">
        <f aca="false">IF(G85="","",G85/$C85)</f>
        <v>5.09803921568627</v>
      </c>
      <c r="L85" s="18" t="n">
        <f aca="false">(H85*Assumptions!$C$11+IF(K85="",H85,K85)*Assumptions!$C$12+IF(J85="",H85,J85)*Assumptions!$C$13+IF(I85="",H85,I85)*Assumptions!$C$14)/Assumptions!$C$15</f>
        <v>3.1921568627451</v>
      </c>
    </row>
    <row r="86" customFormat="false" ht="15" hidden="false" customHeight="true" outlineLevel="0" collapsed="false">
      <c r="A86" s="5" t="s">
        <v>232</v>
      </c>
      <c r="B86" s="27" t="s">
        <v>384</v>
      </c>
      <c r="C86" s="38" t="n">
        <v>16.1896</v>
      </c>
      <c r="D86" s="39" t="n">
        <v>94.99</v>
      </c>
      <c r="E86" s="39" t="n">
        <v>47.99</v>
      </c>
      <c r="F86" s="39"/>
      <c r="G86" s="39"/>
      <c r="H86" s="18" t="n">
        <f aca="false">IF(D86="","",D86/$C86)</f>
        <v>5.86734693877551</v>
      </c>
      <c r="I86" s="18" t="n">
        <f aca="false">IF(E86="","",E86/$C86)</f>
        <v>2.96424865345654</v>
      </c>
      <c r="J86" s="18" t="str">
        <f aca="false">IF(F86="","",F86/$C86)</f>
        <v/>
      </c>
      <c r="K86" s="18" t="str">
        <f aca="false">IF(G86="","",G86/$C86)</f>
        <v/>
      </c>
      <c r="L86" s="18" t="n">
        <f aca="false">(H86*Assumptions!$C$11+IF(K86="",H86,K86)*Assumptions!$C$12+IF(J86="",H86,J86)*Assumptions!$C$13+IF(I86="",H86,I86)*Assumptions!$C$14)/Assumptions!$C$15</f>
        <v>5.43188219597766</v>
      </c>
    </row>
    <row r="87" customFormat="false" ht="15" hidden="false" customHeight="true" outlineLevel="0" collapsed="false">
      <c r="A87" s="5" t="s">
        <v>234</v>
      </c>
      <c r="B87" s="27" t="s">
        <v>385</v>
      </c>
      <c r="C87" s="38" t="n">
        <v>129</v>
      </c>
      <c r="D87" s="39" t="n">
        <v>419</v>
      </c>
      <c r="E87" s="39" t="n">
        <v>209</v>
      </c>
      <c r="F87" s="39" t="n">
        <v>549</v>
      </c>
      <c r="G87" s="39" t="n">
        <v>669</v>
      </c>
      <c r="H87" s="18" t="n">
        <f aca="false">IF(D87="","",D87/$C87)</f>
        <v>3.24806201550388</v>
      </c>
      <c r="I87" s="18" t="n">
        <f aca="false">IF(E87="","",E87/$C87)</f>
        <v>1.62015503875969</v>
      </c>
      <c r="J87" s="18" t="n">
        <f aca="false">IF(F87="","",F87/$C87)</f>
        <v>4.25581395348837</v>
      </c>
      <c r="K87" s="18" t="n">
        <f aca="false">IF(G87="","",G87/$C87)</f>
        <v>5.18604651162791</v>
      </c>
      <c r="L87" s="18" t="n">
        <f aca="false">(H87*Assumptions!$C$11+IF(K87="",H87,K87)*Assumptions!$C$12+IF(J87="",H87,J87)*Assumptions!$C$13+IF(I87="",H87,I87)*Assumptions!$C$14)/Assumptions!$C$15</f>
        <v>3.42325581395349</v>
      </c>
    </row>
    <row r="88" customFormat="false" ht="15" hidden="false" customHeight="true" outlineLevel="0" collapsed="false">
      <c r="A88" s="5" t="s">
        <v>236</v>
      </c>
      <c r="B88" s="27" t="s">
        <v>386</v>
      </c>
      <c r="C88" s="38" t="n">
        <v>1508.8494</v>
      </c>
      <c r="D88" s="39" t="n">
        <v>10900</v>
      </c>
      <c r="E88" s="39" t="n">
        <v>6000</v>
      </c>
      <c r="F88" s="39" t="n">
        <v>16350</v>
      </c>
      <c r="G88" s="39"/>
      <c r="H88" s="18" t="n">
        <f aca="false">IF(D88="","",D88/$C88)</f>
        <v>7.22404767500322</v>
      </c>
      <c r="I88" s="18" t="n">
        <f aca="false">IF(E88="","",E88/$C88)</f>
        <v>3.97654000458893</v>
      </c>
      <c r="J88" s="18" t="n">
        <f aca="false">IF(F88="","",F88/$C88)</f>
        <v>10.8360715125048</v>
      </c>
      <c r="K88" s="18" t="str">
        <f aca="false">IF(G88="","",G88/$C88)</f>
        <v/>
      </c>
      <c r="L88" s="18" t="n">
        <f aca="false">(H88*Assumptions!$C$11+IF(K88="",H88,K88)*Assumptions!$C$12+IF(J88="",H88,J88)*Assumptions!$C$13+IF(I88="",H88,I88)*Assumptions!$C$14)/Assumptions!$C$15</f>
        <v>6.98976319306619</v>
      </c>
    </row>
    <row r="89" customFormat="false" ht="15" hidden="false" customHeight="true" outlineLevel="0" collapsed="false">
      <c r="A89" s="5" t="s">
        <v>238</v>
      </c>
      <c r="B89" s="27" t="s">
        <v>387</v>
      </c>
      <c r="C89" s="38" t="n">
        <v>3700</v>
      </c>
      <c r="D89" s="39" t="n">
        <v>11000</v>
      </c>
      <c r="E89" s="39" t="n">
        <v>5500</v>
      </c>
      <c r="F89" s="39" t="n">
        <v>15000</v>
      </c>
      <c r="G89" s="39" t="n">
        <v>19000</v>
      </c>
      <c r="H89" s="18" t="n">
        <f aca="false">IF(D89="","",D89/$C89)</f>
        <v>2.97297297297297</v>
      </c>
      <c r="I89" s="18" t="n">
        <f aca="false">IF(E89="","",E89/$C89)</f>
        <v>1.48648648648649</v>
      </c>
      <c r="J89" s="18" t="n">
        <f aca="false">IF(F89="","",F89/$C89)</f>
        <v>4.05405405405405</v>
      </c>
      <c r="K89" s="18" t="n">
        <f aca="false">IF(G89="","",G89/$C89)</f>
        <v>5.13513513513514</v>
      </c>
      <c r="L89" s="18" t="n">
        <f aca="false">(H89*Assumptions!$C$11+IF(K89="",H89,K89)*Assumptions!$C$12+IF(J89="",H89,J89)*Assumptions!$C$13+IF(I89="",H89,I89)*Assumptions!$C$14)/Assumptions!$C$15</f>
        <v>3.21486486486486</v>
      </c>
    </row>
    <row r="90" customFormat="false" ht="15" hidden="false" customHeight="true" outlineLevel="0" collapsed="false">
      <c r="A90" s="5" t="s">
        <v>240</v>
      </c>
      <c r="B90" s="27" t="s">
        <v>346</v>
      </c>
      <c r="C90" s="38" t="n">
        <v>1</v>
      </c>
      <c r="D90" s="39" t="n">
        <v>4.99</v>
      </c>
      <c r="E90" s="39" t="n">
        <v>2.49</v>
      </c>
      <c r="F90" s="39" t="n">
        <v>6.49</v>
      </c>
      <c r="G90" s="39" t="n">
        <v>7.99</v>
      </c>
      <c r="H90" s="18" t="n">
        <f aca="false">IF(D90="","",D90/$C90)</f>
        <v>4.99</v>
      </c>
      <c r="I90" s="18" t="n">
        <f aca="false">IF(E90="","",E90/$C90)</f>
        <v>2.49</v>
      </c>
      <c r="J90" s="18" t="n">
        <f aca="false">IF(F90="","",F90/$C90)</f>
        <v>6.49</v>
      </c>
      <c r="K90" s="18" t="n">
        <f aca="false">IF(G90="","",G90/$C90)</f>
        <v>7.99</v>
      </c>
      <c r="L90" s="18" t="n">
        <f aca="false">(H90*Assumptions!$C$11+IF(K90="",H90,K90)*Assumptions!$C$12+IF(J90="",H90,J90)*Assumptions!$C$13+IF(I90="",H90,I90)*Assumptions!$C$14)/Assumptions!$C$15</f>
        <v>5.26</v>
      </c>
    </row>
    <row r="91" customFormat="false" ht="15" hidden="false" customHeight="true" outlineLevel="0" collapsed="false">
      <c r="A91" s="5" t="s">
        <v>242</v>
      </c>
      <c r="B91" s="27" t="s">
        <v>388</v>
      </c>
      <c r="C91" s="38" t="n">
        <v>9.9</v>
      </c>
      <c r="D91" s="39" t="n">
        <v>45</v>
      </c>
      <c r="E91" s="39" t="n">
        <v>23</v>
      </c>
      <c r="F91" s="39" t="n">
        <v>60</v>
      </c>
      <c r="G91" s="39" t="n">
        <v>75</v>
      </c>
      <c r="H91" s="18" t="n">
        <f aca="false">IF(D91="","",D91/$C91)</f>
        <v>4.54545454545455</v>
      </c>
      <c r="I91" s="18" t="n">
        <f aca="false">IF(E91="","",E91/$C91)</f>
        <v>2.32323232323232</v>
      </c>
      <c r="J91" s="18" t="n">
        <f aca="false">IF(F91="","",F91/$C91)</f>
        <v>6.06060606060606</v>
      </c>
      <c r="K91" s="18" t="n">
        <f aca="false">IF(G91="","",G91/$C91)</f>
        <v>7.57575757575758</v>
      </c>
      <c r="L91" s="18" t="n">
        <f aca="false">(H91*Assumptions!$C$11+IF(K91="",H91,K91)*Assumptions!$C$12+IF(J91="",H91,J91)*Assumptions!$C$13+IF(I91="",H91,I91)*Assumptions!$C$14)/Assumptions!$C$15</f>
        <v>4.86363636363636</v>
      </c>
    </row>
    <row r="92" customFormat="false" ht="15" hidden="false" customHeight="true" outlineLevel="0" collapsed="false">
      <c r="A92" s="5" t="s">
        <v>244</v>
      </c>
      <c r="B92" s="27" t="s">
        <v>346</v>
      </c>
      <c r="C92" s="38" t="n">
        <v>1</v>
      </c>
      <c r="D92" s="39" t="n">
        <v>5.49</v>
      </c>
      <c r="E92" s="39" t="n">
        <v>2.99</v>
      </c>
      <c r="F92" s="39" t="n">
        <v>7.49</v>
      </c>
      <c r="G92" s="39" t="n">
        <v>9.49</v>
      </c>
      <c r="H92" s="18" t="n">
        <f aca="false">IF(D92="","",D92/$C92)</f>
        <v>5.49</v>
      </c>
      <c r="I92" s="18" t="n">
        <f aca="false">IF(E92="","",E92/$C92)</f>
        <v>2.99</v>
      </c>
      <c r="J92" s="18" t="n">
        <f aca="false">IF(F92="","",F92/$C92)</f>
        <v>7.49</v>
      </c>
      <c r="K92" s="18" t="n">
        <f aca="false">IF(G92="","",G92/$C92)</f>
        <v>9.49</v>
      </c>
      <c r="L92" s="18" t="n">
        <f aca="false">(H92*Assumptions!$C$11+IF(K92="",H92,K92)*Assumptions!$C$12+IF(J92="",H92,J92)*Assumptions!$C$13+IF(I92="",H92,I92)*Assumptions!$C$14)/Assumptions!$C$15</f>
        <v>5.975</v>
      </c>
    </row>
    <row r="93" customFormat="false" ht="15" hidden="false" customHeight="true" outlineLevel="0" collapsed="false">
      <c r="A93" s="5" t="s">
        <v>246</v>
      </c>
      <c r="B93" s="27" t="s">
        <v>389</v>
      </c>
      <c r="C93" s="38" t="n">
        <v>4.068</v>
      </c>
      <c r="D93" s="39" t="n">
        <v>17.5</v>
      </c>
      <c r="E93" s="39" t="n">
        <v>9.5</v>
      </c>
      <c r="F93" s="39" t="n">
        <v>24.5</v>
      </c>
      <c r="G93" s="39" t="n">
        <v>27.9</v>
      </c>
      <c r="H93" s="18" t="n">
        <f aca="false">IF(D93="","",D93/$C93)</f>
        <v>4.30186823992134</v>
      </c>
      <c r="I93" s="18" t="n">
        <f aca="false">IF(E93="","",E93/$C93)</f>
        <v>2.33529990167158</v>
      </c>
      <c r="J93" s="18" t="n">
        <f aca="false">IF(F93="","",F93/$C93)</f>
        <v>6.02261553588987</v>
      </c>
      <c r="K93" s="18" t="n">
        <f aca="false">IF(G93="","",G93/$C93)</f>
        <v>6.85840707964602</v>
      </c>
      <c r="L93" s="18" t="n">
        <f aca="false">(H93*Assumptions!$C$11+IF(K93="",H93,K93)*Assumptions!$C$12+IF(J93="",H93,J93)*Assumptions!$C$13+IF(I93="",H93,I93)*Assumptions!$C$14)/Assumptions!$C$15</f>
        <v>4.58751229105211</v>
      </c>
    </row>
    <row r="94" customFormat="false" ht="15" hidden="false" customHeight="true" outlineLevel="0" collapsed="false">
      <c r="A94" s="5" t="s">
        <v>248</v>
      </c>
      <c r="B94" s="27" t="s">
        <v>390</v>
      </c>
      <c r="C94" s="38" t="n">
        <v>3.75</v>
      </c>
      <c r="D94" s="39" t="n">
        <v>31</v>
      </c>
      <c r="E94" s="39" t="n">
        <v>15</v>
      </c>
      <c r="F94" s="39"/>
      <c r="G94" s="39"/>
      <c r="H94" s="18" t="n">
        <f aca="false">IF(D94="","",D94/$C94)</f>
        <v>8.26666666666667</v>
      </c>
      <c r="I94" s="18" t="n">
        <f aca="false">IF(E94="","",E94/$C94)</f>
        <v>4</v>
      </c>
      <c r="J94" s="18" t="str">
        <f aca="false">IF(F94="","",F94/$C94)</f>
        <v/>
      </c>
      <c r="K94" s="18" t="str">
        <f aca="false">IF(G94="","",G94/$C94)</f>
        <v/>
      </c>
      <c r="L94" s="18" t="n">
        <f aca="false">(H94*Assumptions!$C$11+IF(K94="",H94,K94)*Assumptions!$C$12+IF(J94="",H94,J94)*Assumptions!$C$13+IF(I94="",H94,I94)*Assumptions!$C$14)/Assumptions!$C$15</f>
        <v>7.62666666666667</v>
      </c>
    </row>
    <row r="95" customFormat="false" ht="15" hidden="false" customHeight="true" outlineLevel="0" collapsed="false">
      <c r="A95" s="5" t="s">
        <v>250</v>
      </c>
      <c r="B95" s="27" t="s">
        <v>391</v>
      </c>
      <c r="C95" s="38" t="n">
        <v>15.2</v>
      </c>
      <c r="D95" s="39" t="n">
        <v>24</v>
      </c>
      <c r="E95" s="39" t="n">
        <v>12</v>
      </c>
      <c r="F95" s="39" t="n">
        <v>33</v>
      </c>
      <c r="G95" s="39" t="n">
        <v>43</v>
      </c>
      <c r="H95" s="18" t="n">
        <f aca="false">IF(D95="","",D95/$C95)</f>
        <v>1.57894736842105</v>
      </c>
      <c r="I95" s="18" t="n">
        <f aca="false">IF(E95="","",E95/$C95)</f>
        <v>0.789473684210526</v>
      </c>
      <c r="J95" s="18" t="n">
        <f aca="false">IF(F95="","",F95/$C95)</f>
        <v>2.17105263157895</v>
      </c>
      <c r="K95" s="18" t="n">
        <f aca="false">IF(G95="","",G95/$C95)</f>
        <v>2.82894736842105</v>
      </c>
      <c r="L95" s="18" t="n">
        <f aca="false">(H95*Assumptions!$C$11+IF(K95="",H95,K95)*Assumptions!$C$12+IF(J95="",H95,J95)*Assumptions!$C$13+IF(I95="",H95,I95)*Assumptions!$C$14)/Assumptions!$C$15</f>
        <v>1.72697368421053</v>
      </c>
    </row>
    <row r="96" customFormat="false" ht="15" hidden="false" customHeight="true" outlineLevel="0" collapsed="false">
      <c r="A96" s="5" t="s">
        <v>252</v>
      </c>
      <c r="B96" s="27" t="s">
        <v>346</v>
      </c>
      <c r="C96" s="38" t="n">
        <v>1</v>
      </c>
      <c r="D96" s="39" t="n">
        <v>3.29</v>
      </c>
      <c r="E96" s="39" t="n">
        <v>1.69</v>
      </c>
      <c r="F96" s="39" t="n">
        <v>4.49</v>
      </c>
      <c r="G96" s="39" t="n">
        <v>5.79</v>
      </c>
      <c r="H96" s="18" t="n">
        <f aca="false">IF(D96="","",D96/$C96)</f>
        <v>3.29</v>
      </c>
      <c r="I96" s="18" t="n">
        <f aca="false">IF(E96="","",E96/$C96)</f>
        <v>1.69</v>
      </c>
      <c r="J96" s="18" t="n">
        <f aca="false">IF(F96="","",F96/$C96)</f>
        <v>4.49</v>
      </c>
      <c r="K96" s="18" t="n">
        <f aca="false">IF(G96="","",G96/$C96)</f>
        <v>5.79</v>
      </c>
      <c r="L96" s="18" t="n">
        <f aca="false">(H96*Assumptions!$C$11+IF(K96="",H96,K96)*Assumptions!$C$12+IF(J96="",H96,J96)*Assumptions!$C$13+IF(I96="",H96,I96)*Assumptions!$C$14)/Assumptions!$C$15</f>
        <v>3.584</v>
      </c>
    </row>
    <row r="97" customFormat="false" ht="15" hidden="false" customHeight="true" outlineLevel="0" collapsed="false">
      <c r="A97" s="5" t="s">
        <v>254</v>
      </c>
      <c r="B97" s="27" t="s">
        <v>392</v>
      </c>
      <c r="C97" s="38" t="n">
        <v>1.4155</v>
      </c>
      <c r="D97" s="39" t="n">
        <v>15.99</v>
      </c>
      <c r="E97" s="39" t="n">
        <v>7.99</v>
      </c>
      <c r="F97" s="39" t="n">
        <v>22.99</v>
      </c>
      <c r="G97" s="39" t="n">
        <v>27.99</v>
      </c>
      <c r="H97" s="18" t="n">
        <f aca="false">IF(D97="","",D97/$C97)</f>
        <v>11.2963617096432</v>
      </c>
      <c r="I97" s="18" t="n">
        <f aca="false">IF(E97="","",E97/$C97)</f>
        <v>5.6446485340869</v>
      </c>
      <c r="J97" s="18" t="n">
        <f aca="false">IF(F97="","",F97/$C97)</f>
        <v>16.241610738255</v>
      </c>
      <c r="K97" s="18" t="n">
        <f aca="false">IF(G97="","",G97/$C97)</f>
        <v>19.7739314729777</v>
      </c>
      <c r="L97" s="18" t="n">
        <f aca="false">(H97*Assumptions!$C$11+IF(K97="",H97,K97)*Assumptions!$C$12+IF(J97="",H97,J97)*Assumptions!$C$13+IF(I97="",H97,I97)*Assumptions!$C$14)/Assumptions!$C$15</f>
        <v>12.3207347227128</v>
      </c>
    </row>
    <row r="98" customFormat="false" ht="15" hidden="false" customHeight="true" outlineLevel="0" collapsed="false">
      <c r="A98" s="5" t="s">
        <v>256</v>
      </c>
      <c r="B98" s="27" t="s">
        <v>393</v>
      </c>
      <c r="C98" s="38" t="n">
        <v>32</v>
      </c>
      <c r="D98" s="39" t="n">
        <v>168</v>
      </c>
      <c r="E98" s="39" t="n">
        <v>88</v>
      </c>
      <c r="F98" s="39" t="n">
        <v>228</v>
      </c>
      <c r="G98" s="39" t="n">
        <v>298</v>
      </c>
      <c r="H98" s="18" t="n">
        <f aca="false">IF(D98="","",D98/$C98)</f>
        <v>5.25</v>
      </c>
      <c r="I98" s="18" t="n">
        <f aca="false">IF(E98="","",E98/$C98)</f>
        <v>2.75</v>
      </c>
      <c r="J98" s="18" t="n">
        <f aca="false">IF(F98="","",F98/$C98)</f>
        <v>7.125</v>
      </c>
      <c r="K98" s="18" t="n">
        <f aca="false">IF(G98="","",G98/$C98)</f>
        <v>9.3125</v>
      </c>
      <c r="L98" s="18" t="n">
        <f aca="false">(H98*Assumptions!$C$11+IF(K98="",H98,K98)*Assumptions!$C$12+IF(J98="",H98,J98)*Assumptions!$C$13+IF(I98="",H98,I98)*Assumptions!$C$14)/Assumptions!$C$15</f>
        <v>5.7375</v>
      </c>
    </row>
    <row r="99" customFormat="false" ht="15" hidden="false" customHeight="true" outlineLevel="0" collapsed="false">
      <c r="A99" s="5" t="s">
        <v>258</v>
      </c>
      <c r="B99" s="27" t="s">
        <v>394</v>
      </c>
      <c r="C99" s="38" t="n">
        <v>300</v>
      </c>
      <c r="D99" s="39" t="n">
        <v>749</v>
      </c>
      <c r="E99" s="39" t="n">
        <v>375</v>
      </c>
      <c r="F99" s="39" t="n">
        <v>969</v>
      </c>
      <c r="G99" s="39" t="n">
        <v>1269</v>
      </c>
      <c r="H99" s="18" t="n">
        <f aca="false">IF(D99="","",D99/$C99)</f>
        <v>2.49666666666667</v>
      </c>
      <c r="I99" s="18" t="n">
        <f aca="false">IF(E99="","",E99/$C99)</f>
        <v>1.25</v>
      </c>
      <c r="J99" s="18" t="n">
        <f aca="false">IF(F99="","",F99/$C99)</f>
        <v>3.23</v>
      </c>
      <c r="K99" s="18" t="n">
        <f aca="false">IF(G99="","",G99/$C99)</f>
        <v>4.23</v>
      </c>
      <c r="L99" s="18" t="n">
        <f aca="false">(H99*Assumptions!$C$11+IF(K99="",H99,K99)*Assumptions!$C$12+IF(J99="",H99,J99)*Assumptions!$C$13+IF(I99="",H99,I99)*Assumptions!$C$14)/Assumptions!$C$15</f>
        <v>2.673</v>
      </c>
    </row>
    <row r="100" customFormat="false" ht="15" hidden="false" customHeight="true" outlineLevel="0" collapsed="false">
      <c r="A100" s="5" t="s">
        <v>260</v>
      </c>
      <c r="B100" s="27" t="s">
        <v>346</v>
      </c>
      <c r="C100" s="38" t="n">
        <v>1</v>
      </c>
      <c r="D100" s="39" t="n">
        <v>4.99</v>
      </c>
      <c r="E100" s="39" t="n">
        <v>2.49</v>
      </c>
      <c r="F100" s="39" t="n">
        <v>6.49</v>
      </c>
      <c r="G100" s="39" t="n">
        <v>7.99</v>
      </c>
      <c r="H100" s="18" t="n">
        <f aca="false">IF(D100="","",D100/$C100)</f>
        <v>4.99</v>
      </c>
      <c r="I100" s="18" t="n">
        <f aca="false">IF(E100="","",E100/$C100)</f>
        <v>2.49</v>
      </c>
      <c r="J100" s="18" t="n">
        <f aca="false">IF(F100="","",F100/$C100)</f>
        <v>6.49</v>
      </c>
      <c r="K100" s="18" t="n">
        <f aca="false">IF(G100="","",G100/$C100)</f>
        <v>7.99</v>
      </c>
      <c r="L100" s="18" t="n">
        <f aca="false">(H100*Assumptions!$C$11+IF(K100="",H100,K100)*Assumptions!$C$12+IF(J100="",H100,J100)*Assumptions!$C$13+IF(I100="",H100,I100)*Assumptions!$C$14)/Assumptions!$C$15</f>
        <v>5.26</v>
      </c>
    </row>
    <row r="101" customFormat="false" ht="15" hidden="false" customHeight="true" outlineLevel="0" collapsed="false">
      <c r="A101" s="5" t="s">
        <v>262</v>
      </c>
      <c r="B101" s="27" t="s">
        <v>346</v>
      </c>
      <c r="C101" s="38" t="n">
        <v>1</v>
      </c>
      <c r="D101" s="39" t="n">
        <v>3.29</v>
      </c>
      <c r="E101" s="39" t="n">
        <v>1.69</v>
      </c>
      <c r="F101" s="39" t="n">
        <v>4.49</v>
      </c>
      <c r="G101" s="39" t="n">
        <v>5.79</v>
      </c>
      <c r="H101" s="18" t="n">
        <f aca="false">IF(D101="","",D101/$C101)</f>
        <v>3.29</v>
      </c>
      <c r="I101" s="18" t="n">
        <f aca="false">IF(E101="","",E101/$C101)</f>
        <v>1.69</v>
      </c>
      <c r="J101" s="18" t="n">
        <f aca="false">IF(F101="","",F101/$C101)</f>
        <v>4.49</v>
      </c>
      <c r="K101" s="18" t="n">
        <f aca="false">IF(G101="","",G101/$C101)</f>
        <v>5.79</v>
      </c>
      <c r="L101" s="18" t="n">
        <f aca="false">(H101*Assumptions!$C$11+IF(K101="",H101,K101)*Assumptions!$C$12+IF(J101="",H101,J101)*Assumptions!$C$13+IF(I101="",H101,I101)*Assumptions!$C$14)/Assumptions!$C$15</f>
        <v>3.584</v>
      </c>
    </row>
    <row r="102" customFormat="false" ht="15" hidden="false" customHeight="true" outlineLevel="0" collapsed="false">
      <c r="A102" s="5" t="s">
        <v>264</v>
      </c>
      <c r="B102" s="27" t="s">
        <v>395</v>
      </c>
      <c r="C102" s="38" t="n">
        <v>3.1</v>
      </c>
      <c r="D102" s="39" t="n">
        <v>12.5</v>
      </c>
      <c r="E102" s="39" t="n">
        <v>6.5</v>
      </c>
      <c r="F102" s="39" t="n">
        <v>16.5</v>
      </c>
      <c r="G102" s="39" t="n">
        <v>19.9</v>
      </c>
      <c r="H102" s="18" t="n">
        <f aca="false">IF(D102="","",D102/$C102)</f>
        <v>4.03225806451613</v>
      </c>
      <c r="I102" s="18" t="n">
        <f aca="false">IF(E102="","",E102/$C102)</f>
        <v>2.09677419354839</v>
      </c>
      <c r="J102" s="18" t="n">
        <f aca="false">IF(F102="","",F102/$C102)</f>
        <v>5.32258064516129</v>
      </c>
      <c r="K102" s="18" t="n">
        <f aca="false">IF(G102="","",G102/$C102)</f>
        <v>6.41935483870968</v>
      </c>
      <c r="L102" s="18" t="n">
        <f aca="false">(H102*Assumptions!$C$11+IF(K102="",H102,K102)*Assumptions!$C$12+IF(J102="",H102,J102)*Assumptions!$C$13+IF(I102="",H102,I102)*Assumptions!$C$14)/Assumptions!$C$15</f>
        <v>4.26193548387097</v>
      </c>
    </row>
    <row r="103" customFormat="false" ht="15" hidden="false" customHeight="true" outlineLevel="0" collapsed="false">
      <c r="A103" s="5" t="s">
        <v>266</v>
      </c>
      <c r="B103" s="27" t="s">
        <v>396</v>
      </c>
      <c r="C103" s="38" t="n">
        <v>0.709</v>
      </c>
      <c r="D103" s="39" t="n">
        <v>5</v>
      </c>
      <c r="E103" s="39" t="n">
        <v>2</v>
      </c>
      <c r="F103" s="39" t="n">
        <v>7</v>
      </c>
      <c r="G103" s="39" t="n">
        <v>9</v>
      </c>
      <c r="H103" s="18" t="n">
        <f aca="false">IF(D103="","",D103/$C103)</f>
        <v>7.05218617771509</v>
      </c>
      <c r="I103" s="18" t="n">
        <f aca="false">IF(E103="","",E103/$C103)</f>
        <v>2.82087447108604</v>
      </c>
      <c r="J103" s="18" t="n">
        <f aca="false">IF(F103="","",F103/$C103)</f>
        <v>9.87306064880113</v>
      </c>
      <c r="K103" s="18" t="n">
        <f aca="false">IF(G103="","",G103/$C103)</f>
        <v>12.6939351198872</v>
      </c>
      <c r="L103" s="18" t="n">
        <f aca="false">(H103*Assumptions!$C$11+IF(K103="",H103,K103)*Assumptions!$C$12+IF(J103="",H103,J103)*Assumptions!$C$13+IF(I103="",H103,I103)*Assumptions!$C$14)/Assumptions!$C$15</f>
        <v>7.63046544428773</v>
      </c>
    </row>
    <row r="104" customFormat="false" ht="15" hidden="false" customHeight="true" outlineLevel="0" collapsed="false">
      <c r="A104" s="5" t="s">
        <v>268</v>
      </c>
      <c r="B104" s="27" t="s">
        <v>397</v>
      </c>
      <c r="C104" s="38" t="n">
        <v>3.6725</v>
      </c>
      <c r="D104" s="39" t="n">
        <v>31.99</v>
      </c>
      <c r="E104" s="39" t="n">
        <v>15.99</v>
      </c>
      <c r="F104" s="39"/>
      <c r="G104" s="39"/>
      <c r="H104" s="18" t="n">
        <f aca="false">IF(D104="","",D104/$C104)</f>
        <v>8.71068754254595</v>
      </c>
      <c r="I104" s="18" t="n">
        <f aca="false">IF(E104="","",E104/$C104)</f>
        <v>4.35398230088496</v>
      </c>
      <c r="J104" s="18" t="str">
        <f aca="false">IF(F104="","",F104/$C104)</f>
        <v/>
      </c>
      <c r="K104" s="18" t="str">
        <f aca="false">IF(G104="","",G104/$C104)</f>
        <v/>
      </c>
      <c r="L104" s="18" t="n">
        <f aca="false">(H104*Assumptions!$C$11+IF(K104="",H104,K104)*Assumptions!$C$12+IF(J104="",H104,J104)*Assumptions!$C$13+IF(I104="",H104,I104)*Assumptions!$C$14)/Assumptions!$C$15</f>
        <v>8.0571817562968</v>
      </c>
    </row>
    <row r="105" customFormat="false" ht="15" hidden="false" customHeight="true" outlineLevel="0" collapsed="false">
      <c r="A105" s="5" t="s">
        <v>270</v>
      </c>
      <c r="B105" s="27" t="s">
        <v>346</v>
      </c>
      <c r="C105" s="38" t="n">
        <v>1</v>
      </c>
      <c r="D105" s="39" t="n">
        <v>5.49</v>
      </c>
      <c r="E105" s="39" t="n">
        <v>2.99</v>
      </c>
      <c r="F105" s="39"/>
      <c r="G105" s="39"/>
      <c r="H105" s="18" t="n">
        <f aca="false">IF(D105="","",D105/$C105)</f>
        <v>5.49</v>
      </c>
      <c r="I105" s="18" t="n">
        <f aca="false">IF(E105="","",E105/$C105)</f>
        <v>2.99</v>
      </c>
      <c r="J105" s="18" t="str">
        <f aca="false">IF(F105="","",F105/$C105)</f>
        <v/>
      </c>
      <c r="K105" s="18" t="str">
        <f aca="false">IF(G105="","",G105/$C105)</f>
        <v/>
      </c>
      <c r="L105" s="18" t="n">
        <f aca="false">(H105*Assumptions!$C$11+IF(K105="",H105,K105)*Assumptions!$C$12+IF(J105="",H105,J105)*Assumptions!$C$13+IF(I105="",H105,I105)*Assumptions!$C$14)/Assumptions!$C$15</f>
        <v>5.115</v>
      </c>
    </row>
    <row r="106" customFormat="false" ht="15" hidden="false" customHeight="true" outlineLevel="0" collapsed="false">
      <c r="A106" s="5" t="s">
        <v>272</v>
      </c>
      <c r="B106" s="27" t="s">
        <v>398</v>
      </c>
      <c r="C106" s="38" t="n">
        <v>3.9</v>
      </c>
      <c r="D106" s="39" t="n">
        <v>5.49</v>
      </c>
      <c r="E106" s="39" t="n">
        <v>2.99</v>
      </c>
      <c r="F106" s="39" t="n">
        <v>7.49</v>
      </c>
      <c r="G106" s="39" t="n">
        <v>9.49</v>
      </c>
      <c r="H106" s="18" t="n">
        <f aca="false">IF(D106="","",D106/$C106)</f>
        <v>1.40769230769231</v>
      </c>
      <c r="I106" s="18" t="n">
        <f aca="false">IF(E106="","",E106/$C106)</f>
        <v>0.766666666666667</v>
      </c>
      <c r="J106" s="18" t="n">
        <f aca="false">IF(F106="","",F106/$C106)</f>
        <v>1.92051282051282</v>
      </c>
      <c r="K106" s="18" t="n">
        <f aca="false">IF(G106="","",G106/$C106)</f>
        <v>2.43333333333333</v>
      </c>
      <c r="L106" s="18" t="n">
        <f aca="false">(H106*Assumptions!$C$11+IF(K106="",H106,K106)*Assumptions!$C$12+IF(J106="",H106,J106)*Assumptions!$C$13+IF(I106="",H106,I106)*Assumptions!$C$14)/Assumptions!$C$15</f>
        <v>1.53205128205128</v>
      </c>
    </row>
    <row r="107" customFormat="false" ht="15" hidden="false" customHeight="true" outlineLevel="0" collapsed="false">
      <c r="A107" s="5" t="s">
        <v>274</v>
      </c>
      <c r="B107" s="27" t="s">
        <v>399</v>
      </c>
      <c r="C107" s="38" t="n">
        <v>1.7</v>
      </c>
      <c r="D107" s="39" t="n">
        <v>5.49</v>
      </c>
      <c r="E107" s="39" t="n">
        <v>2.99</v>
      </c>
      <c r="F107" s="39" t="n">
        <v>7.49</v>
      </c>
      <c r="G107" s="39" t="n">
        <v>9.49</v>
      </c>
      <c r="H107" s="18" t="n">
        <f aca="false">IF(D107="","",D107/$C107)</f>
        <v>3.22941176470588</v>
      </c>
      <c r="I107" s="18" t="n">
        <f aca="false">IF(E107="","",E107/$C107)</f>
        <v>1.75882352941177</v>
      </c>
      <c r="J107" s="18" t="n">
        <f aca="false">IF(F107="","",F107/$C107)</f>
        <v>4.40588235294118</v>
      </c>
      <c r="K107" s="18" t="n">
        <f aca="false">IF(G107="","",G107/$C107)</f>
        <v>5.58235294117647</v>
      </c>
      <c r="L107" s="18" t="n">
        <f aca="false">(H107*Assumptions!$C$11+IF(K107="",H107,K107)*Assumptions!$C$12+IF(J107="",H107,J107)*Assumptions!$C$13+IF(I107="",H107,I107)*Assumptions!$C$14)/Assumptions!$C$15</f>
        <v>3.51470588235294</v>
      </c>
    </row>
    <row r="108" customFormat="false" ht="15" hidden="false" customHeight="true" outlineLevel="0" collapsed="false">
      <c r="A108" s="5" t="s">
        <v>276</v>
      </c>
      <c r="B108" s="27" t="s">
        <v>346</v>
      </c>
      <c r="C108" s="38" t="n">
        <v>1</v>
      </c>
      <c r="D108" s="39" t="n">
        <v>3.29</v>
      </c>
      <c r="E108" s="39" t="n">
        <v>1.69</v>
      </c>
      <c r="F108" s="39" t="n">
        <v>4.49</v>
      </c>
      <c r="G108" s="39" t="n">
        <v>5.79</v>
      </c>
      <c r="H108" s="18" t="n">
        <f aca="false">IF(D108="","",D108/$C108)</f>
        <v>3.29</v>
      </c>
      <c r="I108" s="18" t="n">
        <f aca="false">IF(E108="","",E108/$C108)</f>
        <v>1.69</v>
      </c>
      <c r="J108" s="18" t="n">
        <f aca="false">IF(F108="","",F108/$C108)</f>
        <v>4.49</v>
      </c>
      <c r="K108" s="18" t="n">
        <f aca="false">IF(G108="","",G108/$C108)</f>
        <v>5.79</v>
      </c>
      <c r="L108" s="18" t="n">
        <f aca="false">(H108*Assumptions!$C$11+IF(K108="",H108,K108)*Assumptions!$C$12+IF(J108="",H108,J108)*Assumptions!$C$13+IF(I108="",H108,I108)*Assumptions!$C$14)/Assumptions!$C$15</f>
        <v>3.584</v>
      </c>
    </row>
    <row r="109" customFormat="false" ht="15" hidden="false" customHeight="true" outlineLevel="0" collapsed="false">
      <c r="A109" s="5" t="s">
        <v>278</v>
      </c>
      <c r="B109" s="27" t="s">
        <v>400</v>
      </c>
      <c r="C109" s="38" t="n">
        <v>7.8334</v>
      </c>
      <c r="D109" s="39" t="n">
        <v>78</v>
      </c>
      <c r="E109" s="39" t="n">
        <v>48</v>
      </c>
      <c r="F109" s="39" t="n">
        <v>98</v>
      </c>
      <c r="G109" s="39" t="n">
        <v>128</v>
      </c>
      <c r="H109" s="18" t="n">
        <f aca="false">IF(D109="","",D109/$C109)</f>
        <v>9.9573620650037</v>
      </c>
      <c r="I109" s="18" t="n">
        <f aca="false">IF(E109="","",E109/$C109)</f>
        <v>6.12760742461766</v>
      </c>
      <c r="J109" s="18" t="n">
        <f aca="false">IF(F109="","",F109/$C109)</f>
        <v>12.5105318252611</v>
      </c>
      <c r="K109" s="18" t="n">
        <f aca="false">IF(G109="","",G109/$C109)</f>
        <v>16.3402864656471</v>
      </c>
      <c r="L109" s="18" t="n">
        <f aca="false">(H109*Assumptions!$C$11+IF(K109="",H109,K109)*Assumptions!$C$12+IF(J109="",H109,J109)*Assumptions!$C$13+IF(I109="",H109,I109)*Assumptions!$C$14)/Assumptions!$C$15</f>
        <v>10.7105471442796</v>
      </c>
    </row>
    <row r="110" customFormat="false" ht="15" hidden="false" customHeight="true" outlineLevel="0" collapsed="false">
      <c r="A110" s="5" t="s">
        <v>280</v>
      </c>
      <c r="B110" s="27" t="s">
        <v>346</v>
      </c>
      <c r="C110" s="38" t="n">
        <v>1</v>
      </c>
      <c r="D110" s="39" t="n">
        <v>5.49</v>
      </c>
      <c r="E110" s="39" t="n">
        <v>2.99</v>
      </c>
      <c r="F110" s="39" t="n">
        <v>7.49</v>
      </c>
      <c r="G110" s="39" t="n">
        <v>9.49</v>
      </c>
      <c r="H110" s="18" t="n">
        <f aca="false">IF(D110="","",D110/$C110)</f>
        <v>5.49</v>
      </c>
      <c r="I110" s="18" t="n">
        <f aca="false">IF(E110="","",E110/$C110)</f>
        <v>2.99</v>
      </c>
      <c r="J110" s="18" t="n">
        <f aca="false">IF(F110="","",F110/$C110)</f>
        <v>7.49</v>
      </c>
      <c r="K110" s="18" t="n">
        <f aca="false">IF(G110="","",G110/$C110)</f>
        <v>9.49</v>
      </c>
      <c r="L110" s="18" t="n">
        <f aca="false">(H110*Assumptions!$C$11+IF(K110="",H110,K110)*Assumptions!$C$12+IF(J110="",H110,J110)*Assumptions!$C$13+IF(I110="",H110,I110)*Assumptions!$C$14)/Assumptions!$C$15</f>
        <v>5.975</v>
      </c>
    </row>
    <row r="111" customFormat="false" ht="15" hidden="false" customHeight="true" outlineLevel="0" collapsed="false">
      <c r="A111" s="5" t="s">
        <v>282</v>
      </c>
      <c r="B111" s="27" t="s">
        <v>401</v>
      </c>
      <c r="C111" s="38" t="n">
        <v>1.2822</v>
      </c>
      <c r="D111" s="39" t="n">
        <v>11.98</v>
      </c>
      <c r="E111" s="39" t="n">
        <v>6.48</v>
      </c>
      <c r="F111" s="39" t="n">
        <v>16.98</v>
      </c>
      <c r="G111" s="39" t="n">
        <v>20.98</v>
      </c>
      <c r="H111" s="18" t="n">
        <f aca="false">IF(D111="","",D111/$C111)</f>
        <v>9.34331617532366</v>
      </c>
      <c r="I111" s="18" t="n">
        <f aca="false">IF(E111="","",E111/$C111)</f>
        <v>5.05381375760412</v>
      </c>
      <c r="J111" s="18" t="n">
        <f aca="false">IF(F111="","",F111/$C111)</f>
        <v>13.242863827796</v>
      </c>
      <c r="K111" s="18" t="n">
        <f aca="false">IF(G111="","",G111/$C111)</f>
        <v>16.3625019497738</v>
      </c>
      <c r="L111" s="18" t="n">
        <f aca="false">(H111*Assumptions!$C$11+IF(K111="",H111,K111)*Assumptions!$C$12+IF(J111="",H111,J111)*Assumptions!$C$13+IF(I111="",H111,I111)*Assumptions!$C$14)/Assumptions!$C$15</f>
        <v>10.2363125877398</v>
      </c>
    </row>
    <row r="112" customFormat="false" ht="15" hidden="false" customHeight="true" outlineLevel="0" collapsed="false">
      <c r="A112" s="5" t="s">
        <v>284</v>
      </c>
      <c r="B112" s="27" t="s">
        <v>346</v>
      </c>
      <c r="C112" s="38" t="n">
        <v>1</v>
      </c>
      <c r="D112" s="39" t="n">
        <v>5.49</v>
      </c>
      <c r="E112" s="39" t="n">
        <v>2.99</v>
      </c>
      <c r="F112" s="39" t="n">
        <v>7.49</v>
      </c>
      <c r="G112" s="39" t="n">
        <v>9.49</v>
      </c>
      <c r="H112" s="18" t="n">
        <f aca="false">IF(D112="","",D112/$C112)</f>
        <v>5.49</v>
      </c>
      <c r="I112" s="18" t="n">
        <f aca="false">IF(E112="","",E112/$C112)</f>
        <v>2.99</v>
      </c>
      <c r="J112" s="18" t="n">
        <f aca="false">IF(F112="","",F112/$C112)</f>
        <v>7.49</v>
      </c>
      <c r="K112" s="18" t="n">
        <f aca="false">IF(G112="","",G112/$C112)</f>
        <v>9.49</v>
      </c>
      <c r="L112" s="18" t="n">
        <f aca="false">(H112*Assumptions!$C$11+IF(K112="",H112,K112)*Assumptions!$C$12+IF(J112="",H112,J112)*Assumptions!$C$13+IF(I112="",H112,I112)*Assumptions!$C$14)/Assumptions!$C$15</f>
        <v>5.975</v>
      </c>
    </row>
    <row r="113" customFormat="false" ht="15" hidden="false" customHeight="true" outlineLevel="0" collapsed="false">
      <c r="A113" s="5" t="s">
        <v>286</v>
      </c>
      <c r="B113" s="27" t="s">
        <v>402</v>
      </c>
      <c r="C113" s="38" t="n">
        <v>1.7169</v>
      </c>
      <c r="D113" s="39" t="n">
        <v>18.99</v>
      </c>
      <c r="E113" s="39" t="n">
        <v>10.49</v>
      </c>
      <c r="F113" s="39" t="n">
        <v>25.49</v>
      </c>
      <c r="G113" s="39" t="n">
        <v>29.99</v>
      </c>
      <c r="H113" s="18" t="n">
        <f aca="false">IF(D113="","",D113/$C113)</f>
        <v>11.0606325353835</v>
      </c>
      <c r="I113" s="18" t="n">
        <f aca="false">IF(E113="","",E113/$C113)</f>
        <v>6.10984914671792</v>
      </c>
      <c r="J113" s="18" t="n">
        <f aca="false">IF(F113="","",F113/$C113)</f>
        <v>14.8465257149514</v>
      </c>
      <c r="K113" s="18" t="n">
        <f aca="false">IF(G113="","",G113/$C113)</f>
        <v>17.4675286854214</v>
      </c>
      <c r="L113" s="18" t="n">
        <f aca="false">(H113*Assumptions!$C$11+IF(K113="",H113,K113)*Assumptions!$C$12+IF(J113="",H113,J113)*Assumptions!$C$13+IF(I113="",H113,I113)*Assumptions!$C$14)/Assumptions!$C$15</f>
        <v>11.7362688566603</v>
      </c>
    </row>
    <row r="114" customFormat="false" ht="15" hidden="false" customHeight="true" outlineLevel="0" collapsed="false">
      <c r="A114" s="5" t="s">
        <v>288</v>
      </c>
      <c r="B114" s="27" t="s">
        <v>403</v>
      </c>
      <c r="C114" s="38" t="n">
        <v>0.3845</v>
      </c>
      <c r="D114" s="39" t="n">
        <v>5</v>
      </c>
      <c r="E114" s="39" t="n">
        <v>2</v>
      </c>
      <c r="F114" s="39" t="n">
        <v>7</v>
      </c>
      <c r="G114" s="39" t="n">
        <v>9</v>
      </c>
      <c r="H114" s="18" t="n">
        <f aca="false">IF(D114="","",D114/$C114)</f>
        <v>13.0039011703511</v>
      </c>
      <c r="I114" s="18" t="n">
        <f aca="false">IF(E114="","",E114/$C114)</f>
        <v>5.20156046814044</v>
      </c>
      <c r="J114" s="18" t="n">
        <f aca="false">IF(F114="","",F114/$C114)</f>
        <v>18.2054616384915</v>
      </c>
      <c r="K114" s="18" t="n">
        <f aca="false">IF(G114="","",G114/$C114)</f>
        <v>23.407022106632</v>
      </c>
      <c r="L114" s="18" t="n">
        <f aca="false">(H114*Assumptions!$C$11+IF(K114="",H114,K114)*Assumptions!$C$12+IF(J114="",H114,J114)*Assumptions!$C$13+IF(I114="",H114,I114)*Assumptions!$C$14)/Assumptions!$C$15</f>
        <v>14.0702210663199</v>
      </c>
    </row>
    <row r="115" customFormat="false" ht="15" hidden="false" customHeight="true" outlineLevel="0" collapsed="false">
      <c r="A115" s="5" t="s">
        <v>290</v>
      </c>
      <c r="B115" s="27" t="s">
        <v>404</v>
      </c>
      <c r="C115" s="38" t="n">
        <v>0.307</v>
      </c>
      <c r="D115" s="39" t="n">
        <v>5.49</v>
      </c>
      <c r="E115" s="39" t="n">
        <v>2.99</v>
      </c>
      <c r="F115" s="39" t="n">
        <v>7.49</v>
      </c>
      <c r="G115" s="39" t="n">
        <v>9.49</v>
      </c>
      <c r="H115" s="18" t="n">
        <f aca="false">IF(D115="","",D115/$C115)</f>
        <v>17.8827361563518</v>
      </c>
      <c r="I115" s="18" t="n">
        <f aca="false">IF(E115="","",E115/$C115)</f>
        <v>9.73941368078176</v>
      </c>
      <c r="J115" s="18" t="n">
        <f aca="false">IF(F115="","",F115/$C115)</f>
        <v>24.3973941368078</v>
      </c>
      <c r="K115" s="18" t="n">
        <f aca="false">IF(G115="","",G115/$C115)</f>
        <v>30.9120521172638</v>
      </c>
      <c r="L115" s="18" t="n">
        <f aca="false">(H115*Assumptions!$C$11+IF(K115="",H115,K115)*Assumptions!$C$12+IF(J115="",H115,J115)*Assumptions!$C$13+IF(I115="",H115,I115)*Assumptions!$C$14)/Assumptions!$C$15</f>
        <v>19.4625407166124</v>
      </c>
    </row>
    <row r="116" customFormat="false" ht="15" hidden="false" customHeight="true" outlineLevel="0" collapsed="false">
      <c r="A116" s="5" t="s">
        <v>292</v>
      </c>
      <c r="B116" s="27" t="s">
        <v>405</v>
      </c>
      <c r="C116" s="38" t="n">
        <v>2.7</v>
      </c>
      <c r="D116" s="39" t="n">
        <v>5.49</v>
      </c>
      <c r="E116" s="39" t="n">
        <v>2.99</v>
      </c>
      <c r="F116" s="39" t="n">
        <v>7.49</v>
      </c>
      <c r="G116" s="39" t="n">
        <v>9.49</v>
      </c>
      <c r="H116" s="18" t="n">
        <f aca="false">IF(D116="","",D116/$C116)</f>
        <v>2.03333333333333</v>
      </c>
      <c r="I116" s="18" t="n">
        <f aca="false">IF(E116="","",E116/$C116)</f>
        <v>1.10740740740741</v>
      </c>
      <c r="J116" s="18" t="n">
        <f aca="false">IF(F116="","",F116/$C116)</f>
        <v>2.77407407407407</v>
      </c>
      <c r="K116" s="18" t="n">
        <f aca="false">IF(G116="","",G116/$C116)</f>
        <v>3.51481481481481</v>
      </c>
      <c r="L116" s="18" t="n">
        <f aca="false">(H116*Assumptions!$C$11+IF(K116="",H116,K116)*Assumptions!$C$12+IF(J116="",H116,J116)*Assumptions!$C$13+IF(I116="",H116,I116)*Assumptions!$C$14)/Assumptions!$C$15</f>
        <v>2.21296296296296</v>
      </c>
    </row>
    <row r="117" customFormat="false" ht="15" hidden="false" customHeight="true" outlineLevel="0" collapsed="false">
      <c r="A117" s="5" t="s">
        <v>294</v>
      </c>
      <c r="B117" s="27" t="s">
        <v>346</v>
      </c>
      <c r="C117" s="38" t="n">
        <v>1</v>
      </c>
      <c r="D117" s="39" t="n">
        <v>5.49</v>
      </c>
      <c r="E117" s="39" t="n">
        <v>2.99</v>
      </c>
      <c r="F117" s="39" t="n">
        <v>7.49</v>
      </c>
      <c r="G117" s="39" t="n">
        <v>9.49</v>
      </c>
      <c r="H117" s="18" t="n">
        <f aca="false">IF(D117="","",D117/$C117)</f>
        <v>5.49</v>
      </c>
      <c r="I117" s="18" t="n">
        <f aca="false">IF(E117="","",E117/$C117)</f>
        <v>2.99</v>
      </c>
      <c r="J117" s="18" t="n">
        <f aca="false">IF(F117="","",F117/$C117)</f>
        <v>7.49</v>
      </c>
      <c r="K117" s="18" t="n">
        <f aca="false">IF(G117="","",G117/$C117)</f>
        <v>9.49</v>
      </c>
      <c r="L117" s="18" t="n">
        <f aca="false">(H117*Assumptions!$C$11+IF(K117="",H117,K117)*Assumptions!$C$12+IF(J117="",H117,J117)*Assumptions!$C$13+IF(I117="",H117,I117)*Assumptions!$C$14)/Assumptions!$C$15</f>
        <v>5.975</v>
      </c>
    </row>
    <row r="118" customFormat="false" ht="15" hidden="false" customHeight="true" outlineLevel="0" collapsed="false">
      <c r="A118" s="5" t="s">
        <v>296</v>
      </c>
      <c r="B118" s="27" t="s">
        <v>346</v>
      </c>
      <c r="C118" s="38" t="n">
        <v>1</v>
      </c>
      <c r="D118" s="39" t="n">
        <v>5.49</v>
      </c>
      <c r="E118" s="39" t="n">
        <v>2.99</v>
      </c>
      <c r="F118" s="39" t="n">
        <v>7.49</v>
      </c>
      <c r="G118" s="39" t="n">
        <v>9.49</v>
      </c>
      <c r="H118" s="18" t="n">
        <f aca="false">IF(D118="","",D118/$C118)</f>
        <v>5.49</v>
      </c>
      <c r="I118" s="18" t="n">
        <f aca="false">IF(E118="","",E118/$C118)</f>
        <v>2.99</v>
      </c>
      <c r="J118" s="18" t="n">
        <f aca="false">IF(F118="","",F118/$C118)</f>
        <v>7.49</v>
      </c>
      <c r="K118" s="18" t="n">
        <f aca="false">IF(G118="","",G118/$C118)</f>
        <v>9.49</v>
      </c>
      <c r="L118" s="18" t="n">
        <f aca="false">(H118*Assumptions!$C$11+IF(K118="",H118,K118)*Assumptions!$C$12+IF(J118="",H118,J118)*Assumptions!$C$13+IF(I118="",H118,I118)*Assumptions!$C$14)/Assumptions!$C$15</f>
        <v>5.975</v>
      </c>
    </row>
    <row r="119" customFormat="false" ht="15" hidden="false" customHeight="true" outlineLevel="0" collapsed="false">
      <c r="A119" s="5" t="s">
        <v>298</v>
      </c>
      <c r="B119" s="27" t="s">
        <v>406</v>
      </c>
      <c r="C119" s="38" t="n">
        <v>3.64</v>
      </c>
      <c r="D119" s="39" t="n">
        <v>21.99</v>
      </c>
      <c r="E119" s="39" t="n">
        <v>10.99</v>
      </c>
      <c r="F119" s="39" t="n">
        <v>29.99</v>
      </c>
      <c r="G119" s="39" t="n">
        <v>37.99</v>
      </c>
      <c r="H119" s="18" t="n">
        <f aca="false">IF(D119="","",D119/$C119)</f>
        <v>6.04120879120879</v>
      </c>
      <c r="I119" s="18" t="n">
        <f aca="false">IF(E119="","",E119/$C119)</f>
        <v>3.01923076923077</v>
      </c>
      <c r="J119" s="18" t="n">
        <f aca="false">IF(F119="","",F119/$C119)</f>
        <v>8.23901098901099</v>
      </c>
      <c r="K119" s="18" t="n">
        <f aca="false">IF(G119="","",G119/$C119)</f>
        <v>10.4368131868132</v>
      </c>
      <c r="L119" s="18" t="n">
        <f aca="false">(H119*Assumptions!$C$11+IF(K119="",H119,K119)*Assumptions!$C$12+IF(J119="",H119,J119)*Assumptions!$C$13+IF(I119="",H119,I119)*Assumptions!$C$14)/Assumptions!$C$15</f>
        <v>6.53296703296703</v>
      </c>
    </row>
    <row r="120" customFormat="false" ht="15" hidden="false" customHeight="true" outlineLevel="0" collapsed="false">
      <c r="A120" s="5" t="s">
        <v>300</v>
      </c>
      <c r="B120" s="27" t="s">
        <v>407</v>
      </c>
      <c r="C120" s="38" t="n">
        <v>0.376</v>
      </c>
      <c r="D120" s="39" t="n">
        <v>5.49</v>
      </c>
      <c r="E120" s="39" t="n">
        <v>2.99</v>
      </c>
      <c r="F120" s="39" t="n">
        <v>7.49</v>
      </c>
      <c r="G120" s="39" t="n">
        <v>9.49</v>
      </c>
      <c r="H120" s="18" t="n">
        <f aca="false">IF(D120="","",D120/$C120)</f>
        <v>14.6010638297872</v>
      </c>
      <c r="I120" s="18" t="n">
        <f aca="false">IF(E120="","",E120/$C120)</f>
        <v>7.95212765957447</v>
      </c>
      <c r="J120" s="18" t="n">
        <f aca="false">IF(F120="","",F120/$C120)</f>
        <v>19.9202127659574</v>
      </c>
      <c r="K120" s="18" t="n">
        <f aca="false">IF(G120="","",G120/$C120)</f>
        <v>25.2393617021277</v>
      </c>
      <c r="L120" s="18" t="n">
        <f aca="false">(H120*Assumptions!$C$11+IF(K120="",H120,K120)*Assumptions!$C$12+IF(J120="",H120,J120)*Assumptions!$C$13+IF(I120="",H120,I120)*Assumptions!$C$14)/Assumptions!$C$15</f>
        <v>15.8909574468085</v>
      </c>
    </row>
    <row r="121" customFormat="false" ht="15" hidden="false" customHeight="true" outlineLevel="0" collapsed="false">
      <c r="A121" s="5" t="s">
        <v>302</v>
      </c>
      <c r="B121" s="27" t="s">
        <v>346</v>
      </c>
      <c r="C121" s="38" t="n">
        <v>1</v>
      </c>
      <c r="D121" s="39" t="n">
        <v>5.49</v>
      </c>
      <c r="E121" s="39" t="n">
        <v>2.99</v>
      </c>
      <c r="F121" s="39" t="n">
        <v>7.49</v>
      </c>
      <c r="G121" s="39" t="n">
        <v>9.49</v>
      </c>
      <c r="H121" s="18" t="n">
        <f aca="false">IF(D121="","",D121/$C121)</f>
        <v>5.49</v>
      </c>
      <c r="I121" s="18" t="n">
        <f aca="false">IF(E121="","",E121/$C121)</f>
        <v>2.99</v>
      </c>
      <c r="J121" s="18" t="n">
        <f aca="false">IF(F121="","",F121/$C121)</f>
        <v>7.49</v>
      </c>
      <c r="K121" s="18" t="n">
        <f aca="false">IF(G121="","",G121/$C121)</f>
        <v>9.49</v>
      </c>
      <c r="L121" s="18" t="n">
        <f aca="false">(H121*Assumptions!$C$11+IF(K121="",H121,K121)*Assumptions!$C$12+IF(J121="",H121,J121)*Assumptions!$C$13+IF(I121="",H121,I121)*Assumptions!$C$14)/Assumptions!$C$15</f>
        <v>5.975</v>
      </c>
    </row>
    <row r="122" customFormat="false" ht="15" hidden="false" customHeight="true" outlineLevel="0" collapsed="false">
      <c r="A122" s="5" t="s">
        <v>304</v>
      </c>
      <c r="B122" s="27" t="s">
        <v>344</v>
      </c>
      <c r="C122" s="38" t="n">
        <v>0.8625</v>
      </c>
      <c r="D122" s="39" t="n">
        <v>8.99</v>
      </c>
      <c r="E122" s="39" t="n">
        <v>4.99</v>
      </c>
      <c r="F122" s="39" t="n">
        <v>11.99</v>
      </c>
      <c r="G122" s="39" t="n">
        <v>14.99</v>
      </c>
      <c r="H122" s="18" t="n">
        <f aca="false">IF(D122="","",D122/$C122)</f>
        <v>10.4231884057971</v>
      </c>
      <c r="I122" s="18" t="n">
        <f aca="false">IF(E122="","",E122/$C122)</f>
        <v>5.78550724637681</v>
      </c>
      <c r="J122" s="18" t="n">
        <f aca="false">IF(F122="","",F122/$C122)</f>
        <v>13.9014492753623</v>
      </c>
      <c r="K122" s="18" t="n">
        <f aca="false">IF(G122="","",G122/$C122)</f>
        <v>17.3797101449275</v>
      </c>
      <c r="L122" s="18" t="n">
        <f aca="false">(H122*Assumptions!$C$11+IF(K122="",H122,K122)*Assumptions!$C$12+IF(J122="",H122,J122)*Assumptions!$C$13+IF(I122="",H122,I122)*Assumptions!$C$14)/Assumptions!$C$15</f>
        <v>11.2231884057971</v>
      </c>
    </row>
    <row r="123" customFormat="false" ht="15" hidden="false" customHeight="true" outlineLevel="0" collapsed="false">
      <c r="A123" s="5" t="s">
        <v>306</v>
      </c>
      <c r="B123" s="27" t="s">
        <v>408</v>
      </c>
      <c r="C123" s="38" t="n">
        <v>2.25</v>
      </c>
      <c r="D123" s="39" t="n">
        <v>5.49</v>
      </c>
      <c r="E123" s="39" t="n">
        <v>2.99</v>
      </c>
      <c r="F123" s="39" t="n">
        <v>7.49</v>
      </c>
      <c r="G123" s="39" t="n">
        <v>9.49</v>
      </c>
      <c r="H123" s="18" t="n">
        <f aca="false">IF(D123="","",D123/$C123)</f>
        <v>2.44</v>
      </c>
      <c r="I123" s="18" t="n">
        <f aca="false">IF(E123="","",E123/$C123)</f>
        <v>1.32888888888889</v>
      </c>
      <c r="J123" s="18" t="n">
        <f aca="false">IF(F123="","",F123/$C123)</f>
        <v>3.32888888888889</v>
      </c>
      <c r="K123" s="18" t="n">
        <f aca="false">IF(G123="","",G123/$C123)</f>
        <v>4.21777777777778</v>
      </c>
      <c r="L123" s="18" t="n">
        <f aca="false">(H123*Assumptions!$C$11+IF(K123="",H123,K123)*Assumptions!$C$12+IF(J123="",H123,J123)*Assumptions!$C$13+IF(I123="",H123,I123)*Assumptions!$C$14)/Assumptions!$C$15</f>
        <v>2.65555555555556</v>
      </c>
    </row>
    <row r="124" customFormat="false" ht="15" hidden="false" customHeight="true" outlineLevel="0" collapsed="false">
      <c r="A124" s="5" t="s">
        <v>308</v>
      </c>
      <c r="B124" s="27" t="s">
        <v>346</v>
      </c>
      <c r="C124" s="38" t="n">
        <v>1</v>
      </c>
      <c r="D124" s="39" t="n">
        <v>5.49</v>
      </c>
      <c r="E124" s="39" t="n">
        <v>2.99</v>
      </c>
      <c r="F124" s="39" t="n">
        <v>7.49</v>
      </c>
      <c r="G124" s="39" t="n">
        <v>9.49</v>
      </c>
      <c r="H124" s="18" t="n">
        <f aca="false">IF(D124="","",D124/$C124)</f>
        <v>5.49</v>
      </c>
      <c r="I124" s="18" t="n">
        <f aca="false">IF(E124="","",E124/$C124)</f>
        <v>2.99</v>
      </c>
      <c r="J124" s="18" t="n">
        <f aca="false">IF(F124="","",F124/$C124)</f>
        <v>7.49</v>
      </c>
      <c r="K124" s="18" t="n">
        <f aca="false">IF(G124="","",G124/$C124)</f>
        <v>9.49</v>
      </c>
      <c r="L124" s="18" t="n">
        <f aca="false">(H124*Assumptions!$C$11+IF(K124="",H124,K124)*Assumptions!$C$12+IF(J124="",H124,J124)*Assumptions!$C$13+IF(I124="",H124,I124)*Assumptions!$C$14)/Assumptions!$C$15</f>
        <v>5.975</v>
      </c>
    </row>
    <row r="125" customFormat="false" ht="15" hidden="false" customHeight="true" outlineLevel="0" collapsed="false">
      <c r="A125" s="5" t="s">
        <v>310</v>
      </c>
      <c r="B125" s="27" t="s">
        <v>409</v>
      </c>
      <c r="C125" s="38" t="n">
        <v>1.34</v>
      </c>
      <c r="D125" s="39" t="n">
        <v>7.49</v>
      </c>
      <c r="E125" s="39" t="n">
        <v>3.99</v>
      </c>
      <c r="F125" s="39" t="n">
        <v>10.49</v>
      </c>
      <c r="G125" s="39" t="n">
        <v>12.99</v>
      </c>
      <c r="H125" s="18" t="n">
        <f aca="false">IF(D125="","",D125/$C125)</f>
        <v>5.58955223880597</v>
      </c>
      <c r="I125" s="18" t="n">
        <f aca="false">IF(E125="","",E125/$C125)</f>
        <v>2.97761194029851</v>
      </c>
      <c r="J125" s="18" t="n">
        <f aca="false">IF(F125="","",F125/$C125)</f>
        <v>7.82835820895522</v>
      </c>
      <c r="K125" s="18" t="n">
        <f aca="false">IF(G125="","",G125/$C125)</f>
        <v>9.69402985074627</v>
      </c>
      <c r="L125" s="18" t="n">
        <f aca="false">(H125*Assumptions!$C$11+IF(K125="",H125,K125)*Assumptions!$C$12+IF(J125="",H125,J125)*Assumptions!$C$13+IF(I125="",H125,I125)*Assumptions!$C$14)/Assumptions!$C$15</f>
        <v>6.09328358208955</v>
      </c>
    </row>
    <row r="126" customFormat="false" ht="15" hidden="false" customHeight="true" outlineLevel="0" collapsed="false">
      <c r="A126" s="5" t="s">
        <v>312</v>
      </c>
      <c r="B126" s="27" t="s">
        <v>346</v>
      </c>
      <c r="C126" s="38" t="n">
        <v>1</v>
      </c>
      <c r="D126" s="39" t="n">
        <v>5.49</v>
      </c>
      <c r="E126" s="39" t="n">
        <v>2.99</v>
      </c>
      <c r="F126" s="39" t="n">
        <v>7.49</v>
      </c>
      <c r="G126" s="39" t="n">
        <v>9.49</v>
      </c>
      <c r="H126" s="18" t="n">
        <f aca="false">IF(D126="","",D126/$C126)</f>
        <v>5.49</v>
      </c>
      <c r="I126" s="18" t="n">
        <f aca="false">IF(E126="","",E126/$C126)</f>
        <v>2.99</v>
      </c>
      <c r="J126" s="18" t="n">
        <f aca="false">IF(F126="","",F126/$C126)</f>
        <v>7.49</v>
      </c>
      <c r="K126" s="18" t="n">
        <f aca="false">IF(G126="","",G126/$C126)</f>
        <v>9.49</v>
      </c>
      <c r="L126" s="18" t="n">
        <f aca="false">(H126*Assumptions!$C$11+IF(K126="",H126,K126)*Assumptions!$C$12+IF(J126="",H126,J126)*Assumptions!$C$13+IF(I126="",H126,I126)*Assumptions!$C$14)/Assumptions!$C$15</f>
        <v>5.975</v>
      </c>
    </row>
    <row r="127" customFormat="false" ht="15" hidden="false" customHeight="true" outlineLevel="0" collapsed="false">
      <c r="A127" s="5" t="s">
        <v>314</v>
      </c>
      <c r="B127" s="27" t="s">
        <v>410</v>
      </c>
      <c r="C127" s="38" t="n">
        <v>2.75</v>
      </c>
      <c r="D127" s="39" t="n">
        <v>5.49</v>
      </c>
      <c r="E127" s="39" t="n">
        <v>2.99</v>
      </c>
      <c r="F127" s="39" t="n">
        <v>7.49</v>
      </c>
      <c r="G127" s="39" t="n">
        <v>9.49</v>
      </c>
      <c r="H127" s="18" t="n">
        <f aca="false">IF(D127="","",D127/$C127)</f>
        <v>1.99636363636364</v>
      </c>
      <c r="I127" s="18" t="n">
        <f aca="false">IF(E127="","",E127/$C127)</f>
        <v>1.08727272727273</v>
      </c>
      <c r="J127" s="18" t="n">
        <f aca="false">IF(F127="","",F127/$C127)</f>
        <v>2.72363636363636</v>
      </c>
      <c r="K127" s="18" t="n">
        <f aca="false">IF(G127="","",G127/$C127)</f>
        <v>3.45090909090909</v>
      </c>
      <c r="L127" s="18" t="n">
        <f aca="false">(H127*Assumptions!$C$11+IF(K127="",H127,K127)*Assumptions!$C$12+IF(J127="",H127,J127)*Assumptions!$C$13+IF(I127="",H127,I127)*Assumptions!$C$14)/Assumptions!$C$15</f>
        <v>2.17272727272727</v>
      </c>
    </row>
    <row r="128" customFormat="false" ht="15" hidden="false" customHeight="true" outlineLevel="0" collapsed="false">
      <c r="A128" s="5" t="s">
        <v>316</v>
      </c>
      <c r="B128" s="27" t="s">
        <v>392</v>
      </c>
      <c r="C128" s="38" t="n">
        <v>1.4155</v>
      </c>
      <c r="D128" s="39" t="n">
        <v>12.99</v>
      </c>
      <c r="E128" s="39" t="n">
        <v>6.99</v>
      </c>
      <c r="F128" s="39" t="n">
        <v>17.99</v>
      </c>
      <c r="G128" s="39" t="n">
        <v>22.49</v>
      </c>
      <c r="H128" s="18" t="n">
        <f aca="false">IF(D128="","",D128/$C128)</f>
        <v>9.17696926880961</v>
      </c>
      <c r="I128" s="18" t="n">
        <f aca="false">IF(E128="","",E128/$C128)</f>
        <v>4.93818438714235</v>
      </c>
      <c r="J128" s="18" t="n">
        <f aca="false">IF(F128="","",F128/$C128)</f>
        <v>12.7092900035323</v>
      </c>
      <c r="K128" s="18" t="n">
        <f aca="false">IF(G128="","",G128/$C128)</f>
        <v>15.8883786647828</v>
      </c>
      <c r="L128" s="18" t="n">
        <f aca="false">(H128*Assumptions!$C$11+IF(K128="",H128,K128)*Assumptions!$C$12+IF(J128="",H128,J128)*Assumptions!$C$13+IF(I128="",H128,I128)*Assumptions!$C$14)/Assumptions!$C$15</f>
        <v>9.99646767926528</v>
      </c>
    </row>
    <row r="129" customFormat="false" ht="15" hidden="false" customHeight="true" outlineLevel="0" collapsed="false">
      <c r="A129" s="5" t="s">
        <v>318</v>
      </c>
      <c r="B129" s="27" t="s">
        <v>346</v>
      </c>
      <c r="C129" s="38" t="n">
        <v>1</v>
      </c>
      <c r="D129" s="39" t="n">
        <v>5.49</v>
      </c>
      <c r="E129" s="39" t="n">
        <v>2.99</v>
      </c>
      <c r="F129" s="39" t="n">
        <v>7.49</v>
      </c>
      <c r="G129" s="39" t="n">
        <v>9.49</v>
      </c>
      <c r="H129" s="18" t="n">
        <f aca="false">IF(D129="","",D129/$C129)</f>
        <v>5.49</v>
      </c>
      <c r="I129" s="18" t="n">
        <f aca="false">IF(E129="","",E129/$C129)</f>
        <v>2.99</v>
      </c>
      <c r="J129" s="18" t="n">
        <f aca="false">IF(F129="","",F129/$C129)</f>
        <v>7.49</v>
      </c>
      <c r="K129" s="18" t="n">
        <f aca="false">IF(G129="","",G129/$C129)</f>
        <v>9.49</v>
      </c>
      <c r="L129" s="18" t="n">
        <f aca="false">(H129*Assumptions!$C$11+IF(K129="",H129,K129)*Assumptions!$C$12+IF(J129="",H129,J129)*Assumptions!$C$13+IF(I129="",H129,I129)*Assumptions!$C$14)/Assumptions!$C$15</f>
        <v>5.975</v>
      </c>
    </row>
    <row r="130" customFormat="false" ht="15" hidden="false" customHeight="true" outlineLevel="0" collapsed="false">
      <c r="A130" s="5" t="s">
        <v>320</v>
      </c>
      <c r="B130" s="27" t="s">
        <v>411</v>
      </c>
      <c r="C130" s="38" t="n">
        <v>2.4</v>
      </c>
      <c r="D130" s="39" t="n">
        <v>5.49</v>
      </c>
      <c r="E130" s="39" t="n">
        <v>2.99</v>
      </c>
      <c r="F130" s="39" t="n">
        <v>7.49</v>
      </c>
      <c r="G130" s="39" t="n">
        <v>9.49</v>
      </c>
      <c r="H130" s="18" t="n">
        <f aca="false">IF(D130="","",D130/$C130)</f>
        <v>2.2875</v>
      </c>
      <c r="I130" s="18" t="n">
        <f aca="false">IF(E130="","",E130/$C130)</f>
        <v>1.24583333333333</v>
      </c>
      <c r="J130" s="18" t="n">
        <f aca="false">IF(F130="","",F130/$C130)</f>
        <v>3.12083333333333</v>
      </c>
      <c r="K130" s="18" t="n">
        <f aca="false">IF(G130="","",G130/$C130)</f>
        <v>3.95416666666667</v>
      </c>
      <c r="L130" s="18" t="n">
        <f aca="false">(H130*Assumptions!$C$11+IF(K130="",H130,K130)*Assumptions!$C$12+IF(J130="",H130,J130)*Assumptions!$C$13+IF(I130="",H130,I130)*Assumptions!$C$14)/Assumptions!$C$15</f>
        <v>2.48958333333333</v>
      </c>
    </row>
    <row r="131" customFormat="false" ht="15" hidden="false" customHeight="true" outlineLevel="0" collapsed="false">
      <c r="A131" s="5" t="s">
        <v>322</v>
      </c>
      <c r="B131" s="27" t="s">
        <v>346</v>
      </c>
      <c r="C131" s="38" t="n">
        <v>1</v>
      </c>
      <c r="D131" s="39" t="n">
        <v>10.99</v>
      </c>
      <c r="E131" s="39" t="n">
        <v>5.49</v>
      </c>
      <c r="F131" s="39" t="n">
        <v>14.99</v>
      </c>
      <c r="G131" s="39" t="n">
        <v>18.99</v>
      </c>
      <c r="H131" s="18" t="n">
        <f aca="false">IF(D131="","",D131/$C131)</f>
        <v>10.99</v>
      </c>
      <c r="I131" s="18" t="n">
        <f aca="false">IF(E131="","",E131/$C131)</f>
        <v>5.49</v>
      </c>
      <c r="J131" s="18" t="n">
        <f aca="false">IF(F131="","",F131/$C131)</f>
        <v>14.99</v>
      </c>
      <c r="K131" s="18" t="n">
        <f aca="false">IF(G131="","",G131/$C131)</f>
        <v>18.99</v>
      </c>
      <c r="L131" s="18" t="n">
        <f aca="false">(H131*Assumptions!$C$11+IF(K131="",H131,K131)*Assumptions!$C$12+IF(J131="",H131,J131)*Assumptions!$C$13+IF(I131="",H131,I131)*Assumptions!$C$14)/Assumptions!$C$15</f>
        <v>11.885</v>
      </c>
    </row>
    <row r="132" customFormat="false" ht="15" hidden="false" customHeight="true" outlineLevel="0" collapsed="false">
      <c r="A132" s="5" t="s">
        <v>324</v>
      </c>
      <c r="B132" s="27" t="s">
        <v>346</v>
      </c>
      <c r="C132" s="38" t="n">
        <v>1</v>
      </c>
      <c r="D132" s="39" t="n">
        <v>10.99</v>
      </c>
      <c r="E132" s="39" t="n">
        <v>5.49</v>
      </c>
      <c r="F132" s="39" t="n">
        <v>14.99</v>
      </c>
      <c r="G132" s="39" t="n">
        <v>18.99</v>
      </c>
      <c r="H132" s="18" t="n">
        <f aca="false">IF(D132="","",D132/$C132)</f>
        <v>10.99</v>
      </c>
      <c r="I132" s="18" t="n">
        <f aca="false">IF(E132="","",E132/$C132)</f>
        <v>5.49</v>
      </c>
      <c r="J132" s="18" t="n">
        <f aca="false">IF(F132="","",F132/$C132)</f>
        <v>14.99</v>
      </c>
      <c r="K132" s="18" t="n">
        <f aca="false">IF(G132="","",G132/$C132)</f>
        <v>18.99</v>
      </c>
      <c r="L132" s="18" t="n">
        <f aca="false">(H132*Assumptions!$C$11+IF(K132="",H132,K132)*Assumptions!$C$12+IF(J132="",H132,J132)*Assumptions!$C$13+IF(I132="",H132,I132)*Assumptions!$C$14)/Assumptions!$C$15</f>
        <v>11.885</v>
      </c>
    </row>
    <row r="133" customFormat="false" ht="15" hidden="false" customHeight="true" outlineLevel="0" collapsed="false">
      <c r="A133" s="5" t="s">
        <v>326</v>
      </c>
      <c r="B133" s="27" t="s">
        <v>392</v>
      </c>
      <c r="C133" s="38" t="n">
        <v>1.4155</v>
      </c>
      <c r="D133" s="39" t="n">
        <v>12.99</v>
      </c>
      <c r="E133" s="39" t="n">
        <v>6.99</v>
      </c>
      <c r="F133" s="39" t="n">
        <v>17.99</v>
      </c>
      <c r="G133" s="39" t="n">
        <v>22.49</v>
      </c>
      <c r="H133" s="18" t="n">
        <f aca="false">IF(D133="","",D133/$C133)</f>
        <v>9.17696926880961</v>
      </c>
      <c r="I133" s="18" t="n">
        <f aca="false">IF(E133="","",E133/$C133)</f>
        <v>4.93818438714235</v>
      </c>
      <c r="J133" s="18" t="n">
        <f aca="false">IF(F133="","",F133/$C133)</f>
        <v>12.7092900035323</v>
      </c>
      <c r="K133" s="18" t="n">
        <f aca="false">IF(G133="","",G133/$C133)</f>
        <v>15.8883786647828</v>
      </c>
      <c r="L133" s="18" t="n">
        <f aca="false">(H133*Assumptions!$C$11+IF(K133="",H133,K133)*Assumptions!$C$12+IF(J133="",H133,J133)*Assumptions!$C$13+IF(I133="",H133,I133)*Assumptions!$C$14)/Assumptions!$C$15</f>
        <v>9.99646767926528</v>
      </c>
    </row>
    <row r="134" customFormat="false" ht="15" hidden="false" customHeight="true" outlineLevel="0" collapsed="false">
      <c r="A134" s="5" t="s">
        <v>328</v>
      </c>
      <c r="B134" s="27" t="s">
        <v>392</v>
      </c>
      <c r="C134" s="38" t="n">
        <v>1.4155</v>
      </c>
      <c r="D134" s="39" t="n">
        <v>12.99</v>
      </c>
      <c r="E134" s="39" t="n">
        <v>6.99</v>
      </c>
      <c r="F134" s="39" t="n">
        <v>17.99</v>
      </c>
      <c r="G134" s="39" t="n">
        <v>22.49</v>
      </c>
      <c r="H134" s="18" t="n">
        <f aca="false">IF(D134="","",D134/$C134)</f>
        <v>9.17696926880961</v>
      </c>
      <c r="I134" s="18" t="n">
        <f aca="false">IF(E134="","",E134/$C134)</f>
        <v>4.93818438714235</v>
      </c>
      <c r="J134" s="18" t="n">
        <f aca="false">IF(F134="","",F134/$C134)</f>
        <v>12.7092900035323</v>
      </c>
      <c r="K134" s="18" t="n">
        <f aca="false">IF(G134="","",G134/$C134)</f>
        <v>15.8883786647828</v>
      </c>
      <c r="L134" s="18" t="n">
        <f aca="false">(H134*Assumptions!$C$11+IF(K134="",H134,K134)*Assumptions!$C$12+IF(J134="",H134,J134)*Assumptions!$C$13+IF(I134="",H134,I134)*Assumptions!$C$14)/Assumptions!$C$15</f>
        <v>9.99646767926528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5" t="s">
        <v>412</v>
      </c>
    </row>
    <row r="3" customFormat="false" ht="23.25" hidden="false" customHeight="true" outlineLevel="0" collapsed="false">
      <c r="A3" s="26" t="s">
        <v>413</v>
      </c>
      <c r="B3" s="26" t="s">
        <v>47</v>
      </c>
      <c r="C3" s="26" t="s">
        <v>49</v>
      </c>
      <c r="D3" s="26" t="s">
        <v>59</v>
      </c>
      <c r="E3" s="26" t="s">
        <v>414</v>
      </c>
      <c r="F3" s="26" t="s">
        <v>62</v>
      </c>
      <c r="G3" s="26" t="s">
        <v>415</v>
      </c>
    </row>
    <row r="4" customFormat="false" ht="15" hidden="false" customHeight="true" outlineLevel="0" collapsed="false">
      <c r="A4" s="27" t="n">
        <v>1</v>
      </c>
      <c r="B4" s="5" t="s">
        <v>202</v>
      </c>
      <c r="C4" s="40" t="str">
        <f aca="false">VLOOKUP(B4,'Country Build'!$A$5:$X$134,3,FALSE())</f>
        <v>North America</v>
      </c>
      <c r="D4" s="41" t="n">
        <f aca="false">VLOOKUP(B4,'Country Build'!$A$5:$X$134,13,FALSE())</f>
        <v>66.3478570523532</v>
      </c>
      <c r="E4" s="41" t="n">
        <f aca="false">VLOOKUP(B4,'Country Build'!$A$5:$X$134,15,FALSE())</f>
        <v>68.3887470332693</v>
      </c>
      <c r="F4" s="41" t="n">
        <f aca="false">VLOOKUP(B4,'Country Build'!$A$5:$X$134,16,FALSE())</f>
        <v>2.04088998091611</v>
      </c>
      <c r="G4" s="42" t="n">
        <f aca="false">VLOOKUP(B4,'Country Build'!$A$5:$X$134,23,FALSE())</f>
        <v>5334.15813560212</v>
      </c>
    </row>
    <row r="5" customFormat="false" ht="15" hidden="false" customHeight="true" outlineLevel="0" collapsed="false">
      <c r="A5" s="27" t="n">
        <v>2</v>
      </c>
      <c r="B5" s="5" t="s">
        <v>136</v>
      </c>
      <c r="C5" s="40" t="str">
        <f aca="false">VLOOKUP(B5,'Country Build'!$A$5:$X$134,3,FALSE())</f>
        <v>Latin America</v>
      </c>
      <c r="D5" s="41" t="n">
        <f aca="false">VLOOKUP(B5,'Country Build'!$A$5:$X$134,13,FALSE())</f>
        <v>21.380020791636</v>
      </c>
      <c r="E5" s="41" t="n">
        <f aca="false">VLOOKUP(B5,'Country Build'!$A$5:$X$134,15,FALSE())</f>
        <v>23.2019863101305</v>
      </c>
      <c r="F5" s="41" t="n">
        <f aca="false">VLOOKUP(B5,'Country Build'!$A$5:$X$134,16,FALSE())</f>
        <v>1.82196551849455</v>
      </c>
      <c r="G5" s="42" t="n">
        <f aca="false">VLOOKUP(B5,'Country Build'!$A$5:$X$134,23,FALSE())</f>
        <v>654.763419135977</v>
      </c>
    </row>
    <row r="6" customFormat="false" ht="15" hidden="false" customHeight="true" outlineLevel="0" collapsed="false">
      <c r="A6" s="27" t="n">
        <v>3</v>
      </c>
      <c r="B6" s="5" t="s">
        <v>206</v>
      </c>
      <c r="C6" s="40" t="str">
        <f aca="false">VLOOKUP(B6,'Country Build'!$A$5:$X$134,3,FALSE())</f>
        <v>Rest of World</v>
      </c>
      <c r="D6" s="41" t="n">
        <f aca="false">VLOOKUP(B6,'Country Build'!$A$5:$X$134,13,FALSE())</f>
        <v>8.40740021970109</v>
      </c>
      <c r="E6" s="41" t="n">
        <f aca="false">VLOOKUP(B6,'Country Build'!$A$5:$X$134,15,FALSE())</f>
        <v>19.8314376546163</v>
      </c>
      <c r="F6" s="41" t="n">
        <f aca="false">VLOOKUP(B6,'Country Build'!$A$5:$X$134,16,FALSE())</f>
        <v>11.4240374349152</v>
      </c>
      <c r="G6" s="42" t="n">
        <f aca="false">VLOOKUP(B6,'Country Build'!$A$5:$X$134,23,FALSE())</f>
        <v>213.010660868341</v>
      </c>
    </row>
    <row r="7" customFormat="false" ht="15" hidden="false" customHeight="true" outlineLevel="0" collapsed="false">
      <c r="A7" s="27" t="n">
        <v>4</v>
      </c>
      <c r="B7" s="5" t="s">
        <v>70</v>
      </c>
      <c r="C7" s="40" t="str">
        <f aca="false">VLOOKUP(B7,'Country Build'!$A$5:$X$134,3,FALSE())</f>
        <v>Europe</v>
      </c>
      <c r="D7" s="41" t="n">
        <f aca="false">VLOOKUP(B7,'Country Build'!$A$5:$X$134,13,FALSE())</f>
        <v>17.5778968842762</v>
      </c>
      <c r="E7" s="41" t="n">
        <f aca="false">VLOOKUP(B7,'Country Build'!$A$5:$X$134,15,FALSE())</f>
        <v>19.4477563886821</v>
      </c>
      <c r="F7" s="41" t="n">
        <f aca="false">VLOOKUP(B7,'Country Build'!$A$5:$X$134,16,FALSE())</f>
        <v>1.86985950440589</v>
      </c>
      <c r="G7" s="42" t="n">
        <f aca="false">VLOOKUP(B7,'Country Build'!$A$5:$X$134,23,FALSE())</f>
        <v>1749.98691087917</v>
      </c>
    </row>
    <row r="8" customFormat="false" ht="15" hidden="false" customHeight="true" outlineLevel="0" collapsed="false">
      <c r="A8" s="27" t="n">
        <v>5</v>
      </c>
      <c r="B8" s="5" t="s">
        <v>138</v>
      </c>
      <c r="C8" s="40" t="str">
        <f aca="false">VLOOKUP(B8,'Country Build'!$A$5:$X$134,3,FALSE())</f>
        <v>Latin America</v>
      </c>
      <c r="D8" s="41" t="n">
        <f aca="false">VLOOKUP(B8,'Country Build'!$A$5:$X$134,13,FALSE())</f>
        <v>16.7087466794536</v>
      </c>
      <c r="E8" s="41" t="n">
        <f aca="false">VLOOKUP(B8,'Country Build'!$A$5:$X$134,15,FALSE())</f>
        <v>18.1326349255836</v>
      </c>
      <c r="F8" s="41" t="n">
        <f aca="false">VLOOKUP(B8,'Country Build'!$A$5:$X$134,16,FALSE())</f>
        <v>1.42388824612997</v>
      </c>
      <c r="G8" s="42" t="n">
        <f aca="false">VLOOKUP(B8,'Country Build'!$A$5:$X$134,23,FALSE())</f>
        <v>877.123406614958</v>
      </c>
    </row>
    <row r="9" customFormat="false" ht="15" hidden="false" customHeight="true" outlineLevel="0" collapsed="false">
      <c r="A9" s="27" t="n">
        <v>6</v>
      </c>
      <c r="B9" s="5" t="s">
        <v>208</v>
      </c>
      <c r="C9" s="40" t="str">
        <f aca="false">VLOOKUP(B9,'Country Build'!$A$5:$X$134,3,FALSE())</f>
        <v>Rest of World</v>
      </c>
      <c r="D9" s="41" t="n">
        <f aca="false">VLOOKUP(B9,'Country Build'!$A$5:$X$134,13,FALSE())</f>
        <v>3.69477604444443</v>
      </c>
      <c r="E9" s="41" t="n">
        <f aca="false">VLOOKUP(B9,'Country Build'!$A$5:$X$134,15,FALSE())</f>
        <v>18.0530489032967</v>
      </c>
      <c r="F9" s="41" t="n">
        <f aca="false">VLOOKUP(B9,'Country Build'!$A$5:$X$134,16,FALSE())</f>
        <v>14.3582728588523</v>
      </c>
      <c r="G9" s="42" t="n">
        <f aca="false">VLOOKUP(B9,'Country Build'!$A$5:$X$134,23,FALSE())</f>
        <v>415.556367890391</v>
      </c>
    </row>
    <row r="10" customFormat="false" ht="15" hidden="false" customHeight="true" outlineLevel="0" collapsed="false">
      <c r="A10" s="27" t="n">
        <v>7</v>
      </c>
      <c r="B10" s="5" t="s">
        <v>72</v>
      </c>
      <c r="C10" s="40" t="str">
        <f aca="false">VLOOKUP(B10,'Country Build'!$A$5:$X$134,3,FALSE())</f>
        <v>Europe</v>
      </c>
      <c r="D10" s="41" t="n">
        <f aca="false">VLOOKUP(B10,'Country Build'!$A$5:$X$134,13,FALSE())</f>
        <v>14.364294920713</v>
      </c>
      <c r="E10" s="41" t="n">
        <f aca="false">VLOOKUP(B10,'Country Build'!$A$5:$X$134,15,FALSE())</f>
        <v>15.892305555797</v>
      </c>
      <c r="F10" s="41" t="n">
        <f aca="false">VLOOKUP(B10,'Country Build'!$A$5:$X$134,16,FALSE())</f>
        <v>1.52801063508402</v>
      </c>
      <c r="G10" s="42" t="n">
        <f aca="false">VLOOKUP(B10,'Country Build'!$A$5:$X$134,23,FALSE())</f>
        <v>1636.17870200036</v>
      </c>
    </row>
    <row r="11" customFormat="false" ht="15" hidden="false" customHeight="true" outlineLevel="0" collapsed="false">
      <c r="A11" s="27" t="n">
        <v>8</v>
      </c>
      <c r="B11" s="5" t="s">
        <v>74</v>
      </c>
      <c r="C11" s="40" t="str">
        <f aca="false">VLOOKUP(B11,'Country Build'!$A$5:$X$134,3,FALSE())</f>
        <v>Europe</v>
      </c>
      <c r="D11" s="41" t="n">
        <f aca="false">VLOOKUP(B11,'Country Build'!$A$5:$X$134,13,FALSE())</f>
        <v>14.03485444632</v>
      </c>
      <c r="E11" s="41" t="n">
        <f aca="false">VLOOKUP(B11,'Country Build'!$A$5:$X$134,15,FALSE())</f>
        <v>14.1162005908785</v>
      </c>
      <c r="F11" s="41" t="n">
        <f aca="false">VLOOKUP(B11,'Country Build'!$A$5:$X$134,16,FALSE())</f>
        <v>0.0813461445584895</v>
      </c>
      <c r="G11" s="42" t="n">
        <f aca="false">VLOOKUP(B11,'Country Build'!$A$5:$X$134,23,FALSE())</f>
        <v>1208.04863642272</v>
      </c>
    </row>
    <row r="12" customFormat="false" ht="15" hidden="false" customHeight="true" outlineLevel="0" collapsed="false">
      <c r="A12" s="27" t="n">
        <v>9</v>
      </c>
      <c r="B12" s="5" t="s">
        <v>76</v>
      </c>
      <c r="C12" s="40" t="str">
        <f aca="false">VLOOKUP(B12,'Country Build'!$A$5:$X$134,3,FALSE())</f>
        <v>Europe</v>
      </c>
      <c r="D12" s="41" t="n">
        <f aca="false">VLOOKUP(B12,'Country Build'!$A$5:$X$134,13,FALSE())</f>
        <v>11.5495170647851</v>
      </c>
      <c r="E12" s="41" t="n">
        <f aca="false">VLOOKUP(B12,'Country Build'!$A$5:$X$134,15,FALSE())</f>
        <v>12.7781039882984</v>
      </c>
      <c r="F12" s="41" t="n">
        <f aca="false">VLOOKUP(B12,'Country Build'!$A$5:$X$134,16,FALSE())</f>
        <v>1.22858692351327</v>
      </c>
      <c r="G12" s="42" t="n">
        <f aca="false">VLOOKUP(B12,'Country Build'!$A$5:$X$134,23,FALSE())</f>
        <v>1074.17853367232</v>
      </c>
    </row>
    <row r="13" customFormat="false" ht="15" hidden="false" customHeight="true" outlineLevel="0" collapsed="false">
      <c r="A13" s="27" t="n">
        <v>10</v>
      </c>
      <c r="B13" s="5" t="s">
        <v>78</v>
      </c>
      <c r="C13" s="40" t="str">
        <f aca="false">VLOOKUP(B13,'Country Build'!$A$5:$X$134,3,FALSE())</f>
        <v>Europe</v>
      </c>
      <c r="D13" s="41" t="n">
        <f aca="false">VLOOKUP(B13,'Country Build'!$A$5:$X$134,13,FALSE())</f>
        <v>9.2733159485977</v>
      </c>
      <c r="E13" s="41" t="n">
        <f aca="false">VLOOKUP(B13,'Country Build'!$A$5:$X$134,15,FALSE())</f>
        <v>10.2597705897872</v>
      </c>
      <c r="F13" s="41" t="n">
        <f aca="false">VLOOKUP(B13,'Country Build'!$A$5:$X$134,16,FALSE())</f>
        <v>0.986454641189466</v>
      </c>
      <c r="G13" s="42" t="n">
        <f aca="false">VLOOKUP(B13,'Country Build'!$A$5:$X$134,23,FALSE())</f>
        <v>862.477354859869</v>
      </c>
    </row>
    <row r="14" customFormat="false" ht="15" hidden="false" customHeight="true" outlineLevel="0" collapsed="false">
      <c r="A14" s="27" t="n">
        <v>11</v>
      </c>
      <c r="B14" s="5" t="s">
        <v>226</v>
      </c>
      <c r="C14" s="40" t="str">
        <f aca="false">VLOOKUP(B14,'Country Build'!$A$5:$X$134,3,FALSE())</f>
        <v>Rest of World</v>
      </c>
      <c r="D14" s="41" t="n">
        <f aca="false">VLOOKUP(B14,'Country Build'!$A$5:$X$134,13,FALSE())</f>
        <v>2.37595221573299</v>
      </c>
      <c r="E14" s="41" t="n">
        <f aca="false">VLOOKUP(B14,'Country Build'!$A$5:$X$134,15,FALSE())</f>
        <v>9.00709330573247</v>
      </c>
      <c r="F14" s="41" t="n">
        <f aca="false">VLOOKUP(B14,'Country Build'!$A$5:$X$134,16,FALSE())</f>
        <v>6.63114108999948</v>
      </c>
      <c r="G14" s="42" t="n">
        <f aca="false">VLOOKUP(B14,'Country Build'!$A$5:$X$134,23,FALSE())</f>
        <v>136.677957225971</v>
      </c>
    </row>
    <row r="15" customFormat="false" ht="15" hidden="false" customHeight="true" outlineLevel="0" collapsed="false">
      <c r="A15" s="27" t="n">
        <v>12</v>
      </c>
      <c r="B15" s="5" t="s">
        <v>218</v>
      </c>
      <c r="C15" s="40" t="str">
        <f aca="false">VLOOKUP(B15,'Country Build'!$A$5:$X$134,3,FALSE())</f>
        <v>Rest of World</v>
      </c>
      <c r="D15" s="41" t="n">
        <f aca="false">VLOOKUP(B15,'Country Build'!$A$5:$X$134,13,FALSE())</f>
        <v>5.74151729119507</v>
      </c>
      <c r="E15" s="41" t="n">
        <f aca="false">VLOOKUP(B15,'Country Build'!$A$5:$X$134,15,FALSE())</f>
        <v>8.70630000314485</v>
      </c>
      <c r="F15" s="41" t="n">
        <f aca="false">VLOOKUP(B15,'Country Build'!$A$5:$X$134,16,FALSE())</f>
        <v>2.96478271194977</v>
      </c>
      <c r="G15" s="42" t="n">
        <f aca="false">VLOOKUP(B15,'Country Build'!$A$5:$X$134,23,FALSE())</f>
        <v>352.703297888103</v>
      </c>
    </row>
    <row r="16" customFormat="false" ht="15" hidden="false" customHeight="true" outlineLevel="0" collapsed="false">
      <c r="A16" s="27" t="n">
        <v>13</v>
      </c>
      <c r="B16" s="5" t="s">
        <v>204</v>
      </c>
      <c r="C16" s="40" t="str">
        <f aca="false">VLOOKUP(B16,'Country Build'!$A$5:$X$134,3,FALSE())</f>
        <v>North America</v>
      </c>
      <c r="D16" s="41" t="n">
        <f aca="false">VLOOKUP(B16,'Country Build'!$A$5:$X$134,13,FALSE())</f>
        <v>7.65214294764686</v>
      </c>
      <c r="E16" s="41" t="n">
        <f aca="false">VLOOKUP(B16,'Country Build'!$A$5:$X$134,15,FALSE())</f>
        <v>7.04842776902933</v>
      </c>
      <c r="F16" s="41" t="n">
        <f aca="false">VLOOKUP(B16,'Country Build'!$A$5:$X$134,16,FALSE())</f>
        <v>-0.603715178617532</v>
      </c>
      <c r="G16" s="42" t="n">
        <f aca="false">VLOOKUP(B16,'Country Build'!$A$5:$X$134,23,FALSE())</f>
        <v>377.662545626106</v>
      </c>
    </row>
    <row r="17" customFormat="false" ht="15" hidden="false" customHeight="true" outlineLevel="0" collapsed="false">
      <c r="A17" s="27" t="n">
        <v>14</v>
      </c>
      <c r="B17" s="5" t="s">
        <v>222</v>
      </c>
      <c r="C17" s="40" t="str">
        <f aca="false">VLOOKUP(B17,'Country Build'!$A$5:$X$134,3,FALSE())</f>
        <v>Rest of World</v>
      </c>
      <c r="D17" s="41" t="n">
        <f aca="false">VLOOKUP(B17,'Country Build'!$A$5:$X$134,13,FALSE())</f>
        <v>1.2960781938545</v>
      </c>
      <c r="E17" s="41" t="n">
        <f aca="false">VLOOKUP(B17,'Country Build'!$A$5:$X$134,15,FALSE())</f>
        <v>6.55114029441663</v>
      </c>
      <c r="F17" s="41" t="n">
        <f aca="false">VLOOKUP(B17,'Country Build'!$A$5:$X$134,16,FALSE())</f>
        <v>5.25506210056214</v>
      </c>
      <c r="G17" s="42" t="n">
        <f aca="false">VLOOKUP(B17,'Country Build'!$A$5:$X$134,23,FALSE())</f>
        <v>108.166580684621</v>
      </c>
    </row>
    <row r="18" customFormat="false" ht="15" hidden="false" customHeight="true" outlineLevel="0" collapsed="false">
      <c r="A18" s="27" t="n">
        <v>15</v>
      </c>
      <c r="B18" s="5" t="s">
        <v>82</v>
      </c>
      <c r="C18" s="40" t="str">
        <f aca="false">VLOOKUP(B18,'Country Build'!$A$5:$X$134,3,FALSE())</f>
        <v>Europe</v>
      </c>
      <c r="D18" s="41" t="n">
        <f aca="false">VLOOKUP(B18,'Country Build'!$A$5:$X$134,13,FALSE())</f>
        <v>5.88144649469871</v>
      </c>
      <c r="E18" s="41" t="n">
        <f aca="false">VLOOKUP(B18,'Country Build'!$A$5:$X$134,15,FALSE())</f>
        <v>6.50708895353033</v>
      </c>
      <c r="F18" s="41" t="n">
        <f aca="false">VLOOKUP(B18,'Country Build'!$A$5:$X$134,16,FALSE())</f>
        <v>0.625642458831611</v>
      </c>
      <c r="G18" s="42" t="n">
        <f aca="false">VLOOKUP(B18,'Country Build'!$A$5:$X$134,23,FALSE())</f>
        <v>286.942779394375</v>
      </c>
    </row>
    <row r="19" customFormat="false" ht="15" hidden="false" customHeight="true" outlineLevel="0" collapsed="false">
      <c r="A19" s="27" t="n">
        <v>16</v>
      </c>
      <c r="B19" s="5" t="s">
        <v>142</v>
      </c>
      <c r="C19" s="40" t="str">
        <f aca="false">VLOOKUP(B19,'Country Build'!$A$5:$X$134,3,FALSE())</f>
        <v>Latin America</v>
      </c>
      <c r="D19" s="41" t="n">
        <f aca="false">VLOOKUP(B19,'Country Build'!$A$5:$X$134,13,FALSE())</f>
        <v>5.88772598521629</v>
      </c>
      <c r="E19" s="41" t="n">
        <f aca="false">VLOOKUP(B19,'Country Build'!$A$5:$X$134,15,FALSE())</f>
        <v>6.38946701867707</v>
      </c>
      <c r="F19" s="41" t="n">
        <f aca="false">VLOOKUP(B19,'Country Build'!$A$5:$X$134,16,FALSE())</f>
        <v>0.501741033460781</v>
      </c>
      <c r="G19" s="42" t="n">
        <f aca="false">VLOOKUP(B19,'Country Build'!$A$5:$X$134,23,FALSE())</f>
        <v>115.835357522376</v>
      </c>
    </row>
    <row r="20" customFormat="false" ht="15" hidden="false" customHeight="true" outlineLevel="0" collapsed="false">
      <c r="A20" s="27" t="n">
        <v>17</v>
      </c>
      <c r="B20" s="5" t="s">
        <v>228</v>
      </c>
      <c r="C20" s="40" t="str">
        <f aca="false">VLOOKUP(B20,'Country Build'!$A$5:$X$134,3,FALSE())</f>
        <v>Rest of World</v>
      </c>
      <c r="D20" s="41" t="n">
        <f aca="false">VLOOKUP(B20,'Country Build'!$A$5:$X$134,13,FALSE())</f>
        <v>1.39860704473173</v>
      </c>
      <c r="E20" s="41" t="n">
        <f aca="false">VLOOKUP(B20,'Country Build'!$A$5:$X$134,15,FALSE())</f>
        <v>5.89115109607963</v>
      </c>
      <c r="F20" s="41" t="n">
        <f aca="false">VLOOKUP(B20,'Country Build'!$A$5:$X$134,16,FALSE())</f>
        <v>4.4925440513479</v>
      </c>
      <c r="G20" s="42" t="n">
        <f aca="false">VLOOKUP(B20,'Country Build'!$A$5:$X$134,23,FALSE())</f>
        <v>160.720036410553</v>
      </c>
    </row>
    <row r="21" customFormat="false" ht="15" hidden="false" customHeight="true" outlineLevel="0" collapsed="false">
      <c r="A21" s="27" t="n">
        <v>18</v>
      </c>
      <c r="B21" s="5" t="s">
        <v>224</v>
      </c>
      <c r="C21" s="40" t="str">
        <f aca="false">VLOOKUP(B21,'Country Build'!$A$5:$X$134,3,FALSE())</f>
        <v>Rest of World</v>
      </c>
      <c r="D21" s="41" t="n">
        <f aca="false">VLOOKUP(B21,'Country Build'!$A$5:$X$134,13,FALSE())</f>
        <v>1.218363249132</v>
      </c>
      <c r="E21" s="41" t="n">
        <f aca="false">VLOOKUP(B21,'Country Build'!$A$5:$X$134,15,FALSE())</f>
        <v>5.64512971627155</v>
      </c>
      <c r="F21" s="41" t="n">
        <f aca="false">VLOOKUP(B21,'Country Build'!$A$5:$X$134,16,FALSE())</f>
        <v>4.42676646713955</v>
      </c>
      <c r="G21" s="42" t="n">
        <f aca="false">VLOOKUP(B21,'Country Build'!$A$5:$X$134,23,FALSE())</f>
        <v>73.8542986313347</v>
      </c>
    </row>
    <row r="22" customFormat="false" ht="15" hidden="false" customHeight="true" outlineLevel="0" collapsed="false">
      <c r="A22" s="27" t="n">
        <v>19</v>
      </c>
      <c r="B22" s="5" t="s">
        <v>248</v>
      </c>
      <c r="C22" s="40" t="str">
        <f aca="false">VLOOKUP(B22,'Country Build'!$A$5:$X$134,3,FALSE())</f>
        <v>Rest of World</v>
      </c>
      <c r="D22" s="41" t="n">
        <f aca="false">VLOOKUP(B22,'Country Build'!$A$5:$X$134,13,FALSE())</f>
        <v>1.35253651377572</v>
      </c>
      <c r="E22" s="41" t="n">
        <f aca="false">VLOOKUP(B22,'Country Build'!$A$5:$X$134,15,FALSE())</f>
        <v>5.12738534820646</v>
      </c>
      <c r="F22" s="41" t="n">
        <f aca="false">VLOOKUP(B22,'Country Build'!$A$5:$X$134,16,FALSE())</f>
        <v>3.77484883443074</v>
      </c>
      <c r="G22" s="42" t="n">
        <f aca="false">VLOOKUP(B22,'Country Build'!$A$5:$X$134,23,FALSE())</f>
        <v>215.858821251213</v>
      </c>
    </row>
    <row r="23" customFormat="false" ht="15" hidden="false" customHeight="true" outlineLevel="0" collapsed="false">
      <c r="A23" s="27" t="n">
        <v>20</v>
      </c>
      <c r="B23" s="5" t="s">
        <v>140</v>
      </c>
      <c r="C23" s="40" t="str">
        <f aca="false">VLOOKUP(B23,'Country Build'!$A$5:$X$134,3,FALSE())</f>
        <v>Latin America</v>
      </c>
      <c r="D23" s="41" t="n">
        <f aca="false">VLOOKUP(B23,'Country Build'!$A$5:$X$134,13,FALSE())</f>
        <v>4.42536699089264</v>
      </c>
      <c r="E23" s="41" t="n">
        <f aca="false">VLOOKUP(B23,'Country Build'!$A$5:$X$134,15,FALSE())</f>
        <v>4.8024885167634</v>
      </c>
      <c r="F23" s="41" t="n">
        <f aca="false">VLOOKUP(B23,'Country Build'!$A$5:$X$134,16,FALSE())</f>
        <v>0.377121525870761</v>
      </c>
      <c r="G23" s="42" t="n">
        <f aca="false">VLOOKUP(B23,'Country Build'!$A$5:$X$134,23,FALSE())</f>
        <v>128.15194625864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</cols>
  <sheetData>
    <row r="2" customFormat="false" ht="15.75" hidden="false" customHeight="true" outlineLevel="0" collapsed="false">
      <c r="B2" s="43" t="s">
        <v>416</v>
      </c>
    </row>
    <row r="4" customFormat="false" ht="15" hidden="false" customHeight="true" outlineLevel="0" collapsed="false">
      <c r="B4" s="4" t="s">
        <v>417</v>
      </c>
    </row>
    <row r="5" customFormat="false" ht="15" hidden="false" customHeight="true" outlineLevel="0" collapsed="false">
      <c r="B5" s="5" t="s">
        <v>418</v>
      </c>
      <c r="C5" s="44" t="n">
        <v>0.62</v>
      </c>
    </row>
    <row r="6" customFormat="false" ht="15" hidden="false" customHeight="true" outlineLevel="0" collapsed="false">
      <c r="B6" s="5" t="s">
        <v>419</v>
      </c>
      <c r="C6" s="44" t="n">
        <v>0.95</v>
      </c>
    </row>
    <row r="7" customFormat="false" ht="15" hidden="false" customHeight="true" outlineLevel="0" collapsed="false">
      <c r="B7" s="5" t="s">
        <v>420</v>
      </c>
      <c r="C7" s="44" t="n">
        <v>9</v>
      </c>
    </row>
    <row r="8" customFormat="false" ht="15" hidden="false" customHeight="true" outlineLevel="0" collapsed="false">
      <c r="B8" s="5" t="s">
        <v>421</v>
      </c>
      <c r="C8" s="44" t="n">
        <v>0.5</v>
      </c>
      <c r="D8" s="45" t="n">
        <f aca="false">EXP(C8)</f>
        <v>1.64872127070013</v>
      </c>
      <c r="E8" s="3" t="s">
        <v>422</v>
      </c>
    </row>
    <row r="10" customFormat="false" ht="15" hidden="false" customHeight="true" outlineLevel="0" collapsed="false">
      <c r="B10" s="4" t="s">
        <v>423</v>
      </c>
    </row>
    <row r="11" customFormat="false" ht="15" hidden="false" customHeight="true" outlineLevel="0" collapsed="false">
      <c r="B11" s="5" t="s">
        <v>335</v>
      </c>
      <c r="C11" s="46" t="n">
        <v>0.6</v>
      </c>
    </row>
    <row r="12" customFormat="false" ht="15" hidden="false" customHeight="true" outlineLevel="0" collapsed="false">
      <c r="B12" s="5" t="s">
        <v>338</v>
      </c>
      <c r="C12" s="46" t="n">
        <v>0.18</v>
      </c>
    </row>
    <row r="13" customFormat="false" ht="15" hidden="false" customHeight="true" outlineLevel="0" collapsed="false">
      <c r="B13" s="5" t="s">
        <v>337</v>
      </c>
      <c r="C13" s="46" t="n">
        <v>0.07</v>
      </c>
    </row>
    <row r="14" customFormat="false" ht="15" hidden="false" customHeight="true" outlineLevel="0" collapsed="false">
      <c r="B14" s="5" t="s">
        <v>336</v>
      </c>
      <c r="C14" s="46" t="n">
        <v>0.15</v>
      </c>
    </row>
    <row r="15" customFormat="false" ht="15" hidden="false" customHeight="true" outlineLevel="0" collapsed="false">
      <c r="B15" s="47" t="s">
        <v>424</v>
      </c>
      <c r="C15" s="48" t="n">
        <f aca="false">SUM(C11:C14)</f>
        <v>1</v>
      </c>
    </row>
    <row r="17" customFormat="false" ht="15" hidden="false" customHeight="true" outlineLevel="0" collapsed="false">
      <c r="B17" s="4" t="s">
        <v>425</v>
      </c>
      <c r="C17" s="49" t="n">
        <v>0.46</v>
      </c>
      <c r="D17" s="3" t="s">
        <v>426</v>
      </c>
    </row>
    <row r="19" customFormat="false" ht="15" hidden="false" customHeight="true" outlineLevel="0" collapsed="false">
      <c r="B19" s="4" t="s">
        <v>427</v>
      </c>
    </row>
    <row r="20" customFormat="false" ht="15" hidden="false" customHeight="true" outlineLevel="0" collapsed="false">
      <c r="B20" s="5" t="s">
        <v>14</v>
      </c>
      <c r="C20" s="50" t="n">
        <v>108</v>
      </c>
      <c r="E20" s="3" t="s">
        <v>428</v>
      </c>
    </row>
    <row r="21" customFormat="false" ht="15" hidden="false" customHeight="true" outlineLevel="0" collapsed="false">
      <c r="B21" s="5" t="s">
        <v>16</v>
      </c>
      <c r="C21" s="50" t="n">
        <v>74</v>
      </c>
    </row>
    <row r="22" customFormat="false" ht="15" hidden="false" customHeight="true" outlineLevel="0" collapsed="false">
      <c r="B22" s="5" t="s">
        <v>18</v>
      </c>
      <c r="C22" s="50" t="n">
        <v>67</v>
      </c>
    </row>
    <row r="23" customFormat="false" ht="15" hidden="false" customHeight="true" outlineLevel="0" collapsed="false">
      <c r="B23" s="5" t="s">
        <v>20</v>
      </c>
      <c r="C23" s="50" t="n">
        <v>41</v>
      </c>
    </row>
    <row r="24" customFormat="false" ht="15" hidden="false" customHeight="true" outlineLevel="0" collapsed="false">
      <c r="B24" s="47" t="s">
        <v>22</v>
      </c>
      <c r="C24" s="51" t="n">
        <f aca="false">SUM(C20:C23)</f>
        <v>290</v>
      </c>
    </row>
    <row r="26" customFormat="false" ht="15" hidden="false" customHeight="true" outlineLevel="0" collapsed="false">
      <c r="B26" s="3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15"/>
  </cols>
  <sheetData>
    <row r="2" customFormat="false" ht="15.75" hidden="false" customHeight="true" outlineLevel="0" collapsed="false">
      <c r="B2" s="43" t="s">
        <v>430</v>
      </c>
    </row>
    <row r="4" customFormat="false" ht="15" hidden="false" customHeight="true" outlineLevel="0" collapsed="false">
      <c r="B4" s="4" t="s">
        <v>431</v>
      </c>
    </row>
    <row r="5" customFormat="false" ht="15" hidden="false" customHeight="true" outlineLevel="0" collapsed="false">
      <c r="B5" s="52" t="s">
        <v>432</v>
      </c>
    </row>
    <row r="6" customFormat="false" ht="15" hidden="false" customHeight="true" outlineLevel="0" collapsed="false">
      <c r="B6" s="52" t="s">
        <v>433</v>
      </c>
    </row>
    <row r="7" customFormat="false" ht="15" hidden="false" customHeight="true" outlineLevel="0" collapsed="false">
      <c r="B7" s="52" t="s">
        <v>434</v>
      </c>
    </row>
    <row r="8" customFormat="false" ht="15" hidden="false" customHeight="true" outlineLevel="0" collapsed="false">
      <c r="B8" s="52" t="s">
        <v>435</v>
      </c>
    </row>
    <row r="9" customFormat="false" ht="15" hidden="false" customHeight="true" outlineLevel="0" collapsed="false">
      <c r="B9" s="52" t="s">
        <v>436</v>
      </c>
    </row>
    <row r="10" customFormat="false" ht="15" hidden="false" customHeight="true" outlineLevel="0" collapsed="false">
      <c r="B10" s="52"/>
    </row>
    <row r="11" customFormat="false" ht="15" hidden="false" customHeight="true" outlineLevel="0" collapsed="false">
      <c r="B11" s="4" t="s">
        <v>437</v>
      </c>
    </row>
    <row r="12" customFormat="false" ht="15" hidden="false" customHeight="true" outlineLevel="0" collapsed="false">
      <c r="B12" s="52" t="s">
        <v>438</v>
      </c>
    </row>
    <row r="13" customFormat="false" ht="15" hidden="false" customHeight="true" outlineLevel="0" collapsed="false">
      <c r="B13" s="52" t="s">
        <v>439</v>
      </c>
    </row>
    <row r="14" customFormat="false" ht="15" hidden="false" customHeight="true" outlineLevel="0" collapsed="false">
      <c r="B14" s="52" t="s">
        <v>440</v>
      </c>
    </row>
    <row r="15" customFormat="false" ht="15" hidden="false" customHeight="true" outlineLevel="0" collapsed="false">
      <c r="B15" s="52" t="s">
        <v>441</v>
      </c>
    </row>
    <row r="16" customFormat="false" ht="15" hidden="false" customHeight="true" outlineLevel="0" collapsed="false">
      <c r="B16" s="52" t="s">
        <v>442</v>
      </c>
    </row>
    <row r="17" customFormat="false" ht="15" hidden="false" customHeight="true" outlineLevel="0" collapsed="false">
      <c r="B17" s="52"/>
    </row>
    <row r="18" customFormat="false" ht="15" hidden="false" customHeight="true" outlineLevel="0" collapsed="false">
      <c r="B18" s="4" t="s">
        <v>443</v>
      </c>
    </row>
    <row r="19" customFormat="false" ht="15" hidden="false" customHeight="true" outlineLevel="0" collapsed="false">
      <c r="B19" s="52" t="s">
        <v>444</v>
      </c>
    </row>
    <row r="20" customFormat="false" ht="15" hidden="false" customHeight="true" outlineLevel="0" collapsed="false">
      <c r="B20" s="52" t="s">
        <v>445</v>
      </c>
    </row>
    <row r="21" customFormat="false" ht="15" hidden="false" customHeight="true" outlineLevel="0" collapsed="false">
      <c r="B21" s="52" t="s">
        <v>446</v>
      </c>
    </row>
    <row r="22" customFormat="false" ht="15" hidden="false" customHeight="true" outlineLevel="0" collapsed="false">
      <c r="B22" s="52" t="s">
        <v>447</v>
      </c>
    </row>
    <row r="23" customFormat="false" ht="15" hidden="false" customHeight="true" outlineLevel="0" collapsed="false">
      <c r="B23" s="52" t="s">
        <v>448</v>
      </c>
    </row>
    <row r="24" customFormat="false" ht="15" hidden="false" customHeight="true" outlineLevel="0" collapsed="false">
      <c r="B24" s="52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2026-06-24T15:29:21Z</dcterms:created>
  <dc:creator>openpyxl</dc:creator>
  <dc:description/>
  <dc:language>en-US</dc:language>
  <cp:lastModifiedBy/>
  <dcterms:modified xsi:type="dcterms:W3CDTF">2026-06-24T15:31:17Z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