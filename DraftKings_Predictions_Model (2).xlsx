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 Build" sheetId="2" state="visible" r:id="rId4"/>
    <sheet name="Margin Build" sheetId="3" state="visible" r:id="rId5"/>
    <sheet name="Valuation Build" sheetId="4" state="visible" r:id="rId6"/>
    <sheet name="Valuation #2 (Volume)" sheetId="5" state="visible" r:id="rId7"/>
    <sheet name="DKeX_Actuals" sheetId="6" state="visible" r:id="rId8"/>
    <sheet name="Reconcili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<sst xmlns="http://schemas.openxmlformats.org/spreadsheetml/2006/main" count="273" uniqueCount="212">
  <si>
    <t xml:space="preserve">DraftKings Predictions - Dashboard</t>
  </si>
  <si>
    <t xml:space="preserve">Summary. Edit inputs on the three build tabs (blue). Reconciliation ties to disclosures + DKeX actuals.</t>
  </si>
  <si>
    <t xml:space="preserve">REVENUE &amp; MARGIN (from builds)</t>
  </si>
  <si>
    <t xml:space="preserve">Metric</t>
  </si>
  <si>
    <t xml:space="preserve">FY2026</t>
  </si>
  <si>
    <t xml:space="preserve">FY2030</t>
  </si>
  <si>
    <t xml:space="preserve">Consumer volume ($M)</t>
  </si>
  <si>
    <t xml:space="preserve">Total volume traded ($M)</t>
  </si>
  <si>
    <t xml:space="preserve">DKeX volume ($M)</t>
  </si>
  <si>
    <t xml:space="preserve">  DKeX % of DK total</t>
  </si>
  <si>
    <t xml:space="preserve">Net Predictions revenue ($M)</t>
  </si>
  <si>
    <t xml:space="preserve">  Distribution</t>
  </si>
  <si>
    <t xml:space="preserve">  Exchange</t>
  </si>
  <si>
    <t xml:space="preserve">  FCM</t>
  </si>
  <si>
    <t xml:space="preserve">  Market-making</t>
  </si>
  <si>
    <t xml:space="preserve">Adjusted EBITDA ($M)</t>
  </si>
  <si>
    <t xml:space="preserve">  EBITDA margin</t>
  </si>
  <si>
    <t xml:space="preserve">VALUATION 2030E SOTP EV ($M)</t>
  </si>
  <si>
    <t xml:space="preserve">Bear</t>
  </si>
  <si>
    <t xml:space="preserve">Base</t>
  </si>
  <si>
    <t xml:space="preserve">Bull</t>
  </si>
  <si>
    <t xml:space="preserve">Uber-bull</t>
  </si>
  <si>
    <t xml:space="preserve">Enterprise value</t>
  </si>
  <si>
    <t xml:space="preserve">Valuation #2 (1x monthly vol, $B)</t>
  </si>
  <si>
    <t xml:space="preserve">Revenue Build</t>
  </si>
  <si>
    <t xml:space="preserve">Assumptions (blue) at top; build below. Consumer funnel -&gt; DKeX ramp -&gt; revenue by layer.</t>
  </si>
  <si>
    <t xml:space="preserve">ASSUMPTIONS</t>
  </si>
  <si>
    <t xml:space="preserve">Starting funded customers (000s)</t>
  </si>
  <si>
    <t xml:space="preserve">CAC per new customer ($)</t>
  </si>
  <si>
    <t xml:space="preserve">Monthly volume per active customer ($000)</t>
  </si>
  <si>
    <t xml:space="preserve">Monthly churn (%)</t>
  </si>
  <si>
    <t xml:space="preserve">Total 2026 Predictions investment / CAC ($M)</t>
  </si>
  <si>
    <t xml:space="preserve">MM gross-up multiple (x)</t>
  </si>
  <si>
    <t xml:space="preserve">Average contract price ($)</t>
  </si>
  <si>
    <t xml:space="preserve">Distribution gross take (% consumer notional)</t>
  </si>
  <si>
    <t xml:space="preserve">Exchange take (% DKeX notional)</t>
  </si>
  <si>
    <t xml:space="preserve">FCM take (% consumer notional)</t>
  </si>
  <si>
    <t xml:space="preserve">MM participation (% of total volume)</t>
  </si>
  <si>
    <t xml:space="preserve">MM net captured spread (bps)</t>
  </si>
  <si>
    <t xml:space="preserve">MM loss / risk haircut (%)</t>
  </si>
  <si>
    <t xml:space="preserve">Out-year consumer-vol growth (%/yr)</t>
  </si>
  <si>
    <t xml:space="preserve">Regulatory volume haircut (%)</t>
  </si>
  <si>
    <t xml:space="preserve">DKeX ramp speed vs Kalshi (x)</t>
  </si>
  <si>
    <t xml:space="preserve">FCM launch month (2026)</t>
  </si>
  <si>
    <t xml:space="preserve">July ramp uplift vs 7-day actual (x)</t>
  </si>
  <si>
    <t xml:space="preserve">MONTHLY PROFILES (blue)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</si>
  <si>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</si>
  <si>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</si>
  <si>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</si>
  <si>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</si>
  <si>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</si>
  <si>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</si>
  <si>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</si>
  <si>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</si>
  <si>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</si>
  <si>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</si>
  <si>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</si>
  <si>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</si>
  <si>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FY2027</t>
  </si>
  <si>
    <t xml:space="preserve">FY2028</t>
  </si>
  <si>
    <t xml:space="preserve">FY2029</t>
  </si>
  <si>
    <t xml:space="preserve">CAC spend weight (%)</t>
  </si>
  <si>
    <t xml:space="preserve">Consumer seasonality (x)</t>
  </si>
  <si>
    <t xml:space="preserve">DK disclosed consumer vol, ann. ($M)</t>
  </si>
  <si>
    <t xml:space="preserve">DK disclosed total vol, ann. ($M)</t>
  </si>
  <si>
    <t xml:space="preserve">Kalshi-analog DKeX growth (MoM 2026)</t>
  </si>
  <si>
    <t xml:space="preserve">DKeX sports seasonality (x)</t>
  </si>
  <si>
    <t xml:space="preserve">DKeX out-year migration (% of total)</t>
  </si>
  <si>
    <t xml:space="preserve">Promo intensity (% of Distribution)</t>
  </si>
  <si>
    <t xml:space="preserve">REVENUE BUILD</t>
  </si>
  <si>
    <t xml:space="preserve">CAC spend</t>
  </si>
  <si>
    <t xml:space="preserve">New customers (000s)</t>
  </si>
  <si>
    <t xml:space="preserve">Cumulative customers (000s)</t>
  </si>
  <si>
    <t xml:space="preserve">Consumer volume</t>
  </si>
  <si>
    <t xml:space="preserve">Consumer contracts (M)</t>
  </si>
  <si>
    <t xml:space="preserve">Total volume traded</t>
  </si>
  <si>
    <t xml:space="preserve">DKeX underlying trend ($M)</t>
  </si>
  <si>
    <t xml:space="preserve">DKeX volume</t>
  </si>
  <si>
    <t xml:space="preserve">DKeX contracts (M)</t>
  </si>
  <si>
    <t xml:space="preserve">DKeX % of DK total</t>
  </si>
  <si>
    <t xml:space="preserve">Distribution revenue</t>
  </si>
  <si>
    <t xml:space="preserve">Exchange revenue</t>
  </si>
  <si>
    <t xml:space="preserve">FCM revenue</t>
  </si>
  <si>
    <t xml:space="preserve">Market-making revenue</t>
  </si>
  <si>
    <t xml:space="preserve">Data &amp; other revenue</t>
  </si>
  <si>
    <t xml:space="preserve">Gross Predictions revenue</t>
  </si>
  <si>
    <t xml:space="preserve">Less: promotional deduction</t>
  </si>
  <si>
    <t xml:space="preserve">Net Predictions revenue</t>
  </si>
  <si>
    <t xml:space="preserve">Margin Build</t>
  </si>
  <si>
    <t xml:space="preserve">Pulls revenue from Revenue Build; subtracts costs (assumptions below) to Adj. EBITDA.</t>
  </si>
  <si>
    <t xml:space="preserve">Product &amp; tech (2026, $M)</t>
  </si>
  <si>
    <t xml:space="preserve">G&amp;A / compliance (2026, $M)</t>
  </si>
  <si>
    <t xml:space="preserve">Lobbying / advocacy (2026, $M)</t>
  </si>
  <si>
    <t xml:space="preserve">MM capital cost (2026, $M)</t>
  </si>
  <si>
    <t xml:space="preserve">Broker cost per contract, pre-FCM ($)</t>
  </si>
  <si>
    <t xml:space="preserve">Clearing cost per contract ($)</t>
  </si>
  <si>
    <t xml:space="preserve">Out-year opex growth (%/yr)</t>
  </si>
  <si>
    <t xml:space="preserve">Sportsbook 'Sports' revenue (2026, $M)</t>
  </si>
  <si>
    <t xml:space="preserve">MARGIN BUILD</t>
  </si>
  <si>
    <t xml:space="preserve">Total Predictions revenue</t>
  </si>
  <si>
    <t xml:space="preserve">CAC</t>
  </si>
  <si>
    <t xml:space="preserve">Product &amp; tech</t>
  </si>
  <si>
    <t xml:space="preserve">G&amp;A / compliance</t>
  </si>
  <si>
    <t xml:space="preserve">Lobbying / advocacy</t>
  </si>
  <si>
    <t xml:space="preserve">MM capital cost</t>
  </si>
  <si>
    <t xml:space="preserve">Broker cost (pre-FCM)</t>
  </si>
  <si>
    <t xml:space="preserve">Clearing cost</t>
  </si>
  <si>
    <t xml:space="preserve">Total costs</t>
  </si>
  <si>
    <t xml:space="preserve">Adjusted EBITDA</t>
  </si>
  <si>
    <t xml:space="preserve">Sportsbook 'Sports' revenue</t>
  </si>
  <si>
    <t xml:space="preserve">Sports Predictions revenue</t>
  </si>
  <si>
    <t xml:space="preserve">Combined 'Sports' revenue line</t>
  </si>
  <si>
    <t xml:space="preserve">Valuation Build - 2030E Sum-of-the-Parts</t>
  </si>
  <si>
    <t xml:space="preserve">Four cases across the columns. Bear/Base/Bull vary DK's own capture; Uber-bull = DKeX is the compliant rail every OSB operator must plug into.</t>
  </si>
  <si>
    <t xml:space="preserve">Category total PM volume ($B)</t>
  </si>
  <si>
    <t xml:space="preserve">Category revenue opportunity ($B)</t>
  </si>
  <si>
    <t xml:space="preserve">Promo intensity, 2030E (% of Distribution)</t>
  </si>
  <si>
    <t xml:space="preserve">FCM take (% intermediated notional)</t>
  </si>
  <si>
    <t xml:space="preserve">MM gross-up (total/consumer)</t>
  </si>
  <si>
    <t xml:space="preserve">Per case inputs:</t>
  </si>
  <si>
    <t xml:space="preserve">DK total volume 2030 ($M)</t>
  </si>
  <si>
    <t xml:space="preserve">DKeX migration (% of DK total)</t>
  </si>
  <si>
    <t xml:space="preserve">OSB share of category (uber-bull)</t>
  </si>
  <si>
    <t xml:space="preserve">Routing through DKeX (uber-bull)</t>
  </si>
  <si>
    <t xml:space="preserve">MM, data and other revenue ($M)</t>
  </si>
  <si>
    <t xml:space="preserve">Revenue multiples by layer:</t>
  </si>
  <si>
    <t xml:space="preserve">  MM, data and other</t>
  </si>
  <si>
    <t xml:space="preserve">VALUATION BUILD (2030E)</t>
  </si>
  <si>
    <t xml:space="preserve">DKeX-routed volume ($M)</t>
  </si>
  <si>
    <t xml:space="preserve">Consumer notional ($M)</t>
  </si>
  <si>
    <t xml:space="preserve">Revenue by layer ($M)</t>
  </si>
  <si>
    <t xml:space="preserve">Distribution gross</t>
  </si>
  <si>
    <t xml:space="preserve">Less: promo</t>
  </si>
  <si>
    <t xml:space="preserve">Distribution net</t>
  </si>
  <si>
    <t xml:space="preserve">Exchange</t>
  </si>
  <si>
    <t xml:space="preserve">FCM</t>
  </si>
  <si>
    <t xml:space="preserve">MM, data and other line</t>
  </si>
  <si>
    <t xml:space="preserve">TOTAL net revenue</t>
  </si>
  <si>
    <t xml:space="preserve">Implied share of $10B category</t>
  </si>
  <si>
    <t xml:space="preserve">SUM-OF-THE-PARTS EV ($M)</t>
  </si>
  <si>
    <t xml:space="preserve">Distribution</t>
  </si>
  <si>
    <t xml:space="preserve">MM, data and other</t>
  </si>
  <si>
    <t xml:space="preserve">TOTAL ENTERPRISE VALUE</t>
  </si>
  <si>
    <t xml:space="preserve">Multiples widen across cases. Uber-bull Exchange volume is the whole OSB slice of the category routed through DKeX.</t>
  </si>
  <si>
    <t xml:space="preserve">Valuation #2 - 1x Monthly Volume</t>
  </si>
  <si>
    <t xml:space="preserve">Heuristic cross-check: DK Predictions incremental value to core OSB ~ multiple x forward monthly TOTAL volume.</t>
  </si>
  <si>
    <t xml:space="preserve">INPUTS</t>
  </si>
  <si>
    <t xml:space="preserve">Forward monthly total volume, ~1yr out ($B)</t>
  </si>
  <si>
    <t xml:space="preserve">Value multiple (x monthly volume)</t>
  </si>
  <si>
    <t xml:space="preserve">IMPLIED INCREMENTAL VALUE</t>
  </si>
  <si>
    <t xml:space="preserve">Incremental value to core OSB ($B)</t>
  </si>
  <si>
    <t xml:space="preserve">MODEL CROSS-CHECK</t>
  </si>
  <si>
    <t xml:space="preserve">Revenue Build implied monthly total volume, 2027 ($B)</t>
  </si>
  <si>
    <t xml:space="preserve">Compare your forward view above to this model-implied figure.</t>
  </si>
  <si>
    <t xml:space="preserve">DKeX Actuals - from your Railbird daily files</t>
  </si>
  <si>
    <t xml:space="preserve">Anchors the July point of the Kalshi-follow ramp (Revenue Build).</t>
  </si>
  <si>
    <t xml:space="preserve">Date</t>
  </si>
  <si>
    <t xml:space="preserve">MLB $</t>
  </si>
  <si>
    <t xml:space="preserve">KBO $</t>
  </si>
  <si>
    <t xml:space="preserve">NPB $</t>
  </si>
  <si>
    <t xml:space="preserve">PGA $</t>
  </si>
  <si>
    <t xml:space="preserve">Total $</t>
  </si>
  <si>
    <t xml:space="preserve">Contracts</t>
  </si>
  <si>
    <t xml:space="preserve">Avg px</t>
  </si>
  <si>
    <t xml:space="preserve">Cum $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</si>
  <si>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</si>
  <si>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</si>
  <si>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</si>
  <si>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</si>
  <si>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</si>
  <si>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</si>
  <si>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</si>
  <si>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</si>
  <si>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</si>
  <si>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</si>
  <si>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</si>
  <si>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</si>
  <si>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</si>
  <si>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</si>
  <si>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</si>
  <si>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</si>
  <si>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</si>
  <si>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</si>
  <si>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</si>
  <si>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</si>
  <si>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</si>
  <si>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</si>
  <si>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</si>
  <si>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</si>
  <si>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</si>
  <si>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</si>
  <si>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CALIBRATION</t>
  </si>
  <si>
    <t xml:space="preserve">Period total notional ($)</t>
  </si>
  <si>
    <t xml:space="preserve">Implied avg contract price ($)</t>
  </si>
  <si>
    <t xml:space="preserve">Last-7-day daily avg notional ($)</t>
  </si>
  <si>
    <t xml:space="preserve">Annualized DKeX run-rate ($M)</t>
  </si>
  <si>
    <t xml:space="preserve">July monthly anchor ($M)</t>
  </si>
  <si>
    <t xml:space="preserve">Reconciliation - to disclosures &amp; DKeX actuals</t>
  </si>
  <si>
    <t xml:space="preserve">Check</t>
  </si>
  <si>
    <t xml:space="preserve">Modeled</t>
  </si>
  <si>
    <t xml:space="preserve">Disclosed/target</t>
  </si>
  <si>
    <t xml:space="preserve">Variance</t>
  </si>
  <si>
    <t xml:space="preserve">April consumer vol annualized ($B)</t>
  </si>
  <si>
    <t xml:space="preserve">May consumer vol annualized ($B)</t>
  </si>
  <si>
    <t xml:space="preserve">June consumer vol annualized ($B)</t>
  </si>
  <si>
    <t xml:space="preserve">June total vol annualized ($B)</t>
  </si>
  <si>
    <t xml:space="preserve">FY2026 Predictions investment ($M)</t>
  </si>
  <si>
    <t xml:space="preserve">FY2026 Predictions EBITDA ($M)</t>
  </si>
  <si>
    <t xml:space="preserve">FY2030 total volume ($B)</t>
  </si>
  <si>
    <t xml:space="preserve">FY2030 EBITDA margin</t>
  </si>
  <si>
    <t xml:space="preserve">DKeX July vol annualized ($M) vs actual</t>
  </si>
  <si>
    <t xml:space="preserve">Apr/May/Jun consumer &amp; total are locked to DK disclosures (Revenue Build profiles).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</si>
</sst>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"/>
    <numFmt numFmtId="167" formatCode="#,##0.0"/>
    <numFmt numFmtId="168" formatCode="#,##0"/>
    <numFmt numFmtId="169" formatCode="\$#,##0"/>
    <numFmt numFmtId="170" formatCode="0.000"/>
    <numFmt numFmtId="171" formatCode="0.0\x"/>
    <numFmt numFmtId="172" formatCode="\$0.000"/>
    <numFmt numFmtId="173" formatCode="0"/>
    <numFmt numFmtId="174" formatCode="0%"/>
    <numFmt numFmtId="175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4A6785"/>
        <bgColor rgb="FF4A7EBB"/>
      </patternFill>
    </fill>
    <fill>
      <patternFill patternType="solid">
        <fgColor rgb="FFF4F8FF"/>
        <bgColor rgb="FFFFFFFF"/>
      </patternFill>
    </fill>
    <fill>
      <patternFill patternType="solid">
        <fgColor rgb="FFFFF2CC"/>
        <bgColor rgb="FFF4F8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4A6785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DKeX volume ramp - 2026 ($M/mo)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Build'!$C$54:$N$54</c:f>
              <c:strCach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12</c:v>
                </c:pt>
                <c:pt idx="11">
                  <c:v>14</c:v>
                </c:pt>
              </c:strCache>
            </c:strRef>
          </c:cat>
          <c:val>
            <c:numRef>
              <c:f>'Revenue Build'!$C$44:$N$44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4.72069697470238</c:v>
                </c:pt>
                <c:pt idx="7">
                  <c:v>4.39024818647321</c:v>
                </c:pt>
                <c:pt idx="8">
                  <c:v>14.9268438340089</c:v>
                </c:pt>
                <c:pt idx="9">
                  <c:v>28.9207599283923</c:v>
                </c:pt>
                <c:pt idx="10">
                  <c:v>44.7307753559134</c:v>
                </c:pt>
                <c:pt idx="11">
                  <c:v>62.6230854982788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3981"/>
        <c:axId val="70719613"/>
      </c:lineChart>
      <c:catAx>
        <c:axId val="1783981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19613"/>
        <c:crosses val="autoZero"/>
        <c:auto val="1"/>
        <c:lblAlgn val="ctr"/>
        <c:lblOffset val="100"/>
        <c:noMultiLvlLbl val="0"/>
      </c:catAx>
      <c:valAx>
        <c:axId val="70719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3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54</xdr:row>
      <xdr:rowOff>160560</xdr:rowOff>
    </xdr:from>
    <xdr:to>
      <xdr:col>8</xdr:col>
      <xdr:colOff>237240</xdr:colOff>
      <xdr:row>65</xdr:row>
      <xdr:rowOff>44640</xdr:rowOff>
    </xdr:to>
    <xdr:graphicFrame>
      <xdr:nvGraphicFramePr>
        <xdr:cNvPr id="0" name="Chart 1"/>
        <xdr:cNvGraphicFramePr/>
      </xdr:nvGraphicFramePr>
      <xdr:xfrm>
        <a:off x="2819520" y="10477440"/>
        <a:ext cx="467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19" min="7" style="0" width="10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B6" s="6" t="s">
        <v>6</v>
      </c>
      <c r="C6" s="7" t="n">
        <f aca="false">'Revenue Build'!O40</f>
        <v>3526.63365683546</v>
      </c>
      <c r="D6" s="7" t="n">
        <f aca="false">'Revenue Build'!S40</f>
        <v>23112.1463334369</v>
      </c>
    </row>
    <row r="7" customFormat="false" ht="15" hidden="false" customHeight="false" outlineLevel="0" collapsed="false">
      <c r="B7" s="6" t="s">
        <v>7</v>
      </c>
      <c r="C7" s="7" t="n">
        <f aca="false">'Revenue Build'!O42</f>
        <v>11462.0577342237</v>
      </c>
      <c r="D7" s="7" t="n">
        <f aca="false">'Revenue Build'!S42</f>
        <v>76270.0829003417</v>
      </c>
    </row>
    <row r="8" customFormat="false" ht="15" hidden="false" customHeight="false" outlineLevel="0" collapsed="false">
      <c r="B8" s="8" t="s">
        <v>8</v>
      </c>
      <c r="C8" s="7" t="n">
        <f aca="false">'Revenue Build'!O44</f>
        <v>160.312409777769</v>
      </c>
      <c r="D8" s="7" t="n">
        <f aca="false">'Revenue Build'!S44</f>
        <v>30508.0331601367</v>
      </c>
    </row>
    <row r="9" customFormat="false" ht="15" hidden="false" customHeight="false" outlineLevel="0" collapsed="false">
      <c r="B9" s="8" t="s">
        <v>9</v>
      </c>
      <c r="C9" s="9" t="n">
        <f aca="false">'Revenue Build'!O46</f>
        <v>0.0139863551113605</v>
      </c>
      <c r="D9" s="9" t="n">
        <f aca="false">'Revenue Build'!S46</f>
        <v>0.4</v>
      </c>
    </row>
    <row r="10" customFormat="false" ht="15" hidden="false" customHeight="false" outlineLevel="0" collapsed="false">
      <c r="B10" s="6" t="s">
        <v>10</v>
      </c>
      <c r="C10" s="7" t="n">
        <f aca="false">'Revenue Build'!O54</f>
        <v>65.9700837583058</v>
      </c>
      <c r="D10" s="7" t="n">
        <f aca="false">'Revenue Build'!S54</f>
        <v>758.642386847906</v>
      </c>
    </row>
    <row r="11" customFormat="false" ht="15" hidden="false" customHeight="false" outlineLevel="0" collapsed="false">
      <c r="B11" s="8" t="s">
        <v>11</v>
      </c>
      <c r="C11" s="7" t="n">
        <f aca="false">'Revenue Build'!O47</f>
        <v>70.5326731367092</v>
      </c>
      <c r="D11" s="7" t="n">
        <f aca="false">'Revenue Build'!S47</f>
        <v>462.242926668737</v>
      </c>
    </row>
    <row r="12" customFormat="false" ht="15" hidden="false" customHeight="false" outlineLevel="0" collapsed="false">
      <c r="B12" s="8" t="s">
        <v>12</v>
      </c>
      <c r="C12" s="7" t="n">
        <f aca="false">'Revenue Build'!O48</f>
        <v>0.801562048888845</v>
      </c>
      <c r="D12" s="7" t="n">
        <f aca="false">'Revenue Build'!S48</f>
        <v>152.540165800683</v>
      </c>
    </row>
    <row r="13" customFormat="false" ht="15" hidden="false" customHeight="false" outlineLevel="0" collapsed="false">
      <c r="B13" s="8" t="s">
        <v>13</v>
      </c>
      <c r="C13" s="7" t="n">
        <f aca="false">'Revenue Build'!O49</f>
        <v>2.37180600049256</v>
      </c>
      <c r="D13" s="7" t="n">
        <f aca="false">'Revenue Build'!S49</f>
        <v>23.1121463334369</v>
      </c>
    </row>
    <row r="14" customFormat="false" ht="15" hidden="false" customHeight="false" outlineLevel="0" collapsed="false">
      <c r="B14" s="8" t="s">
        <v>14</v>
      </c>
      <c r="C14" s="7" t="n">
        <f aca="false">'Revenue Build'!O50</f>
        <v>12.0351606209349</v>
      </c>
      <c r="D14" s="7" t="n">
        <f aca="false">'Revenue Build'!S50</f>
        <v>80.0835870453588</v>
      </c>
    </row>
    <row r="15" customFormat="false" ht="15" hidden="false" customHeight="false" outlineLevel="0" collapsed="false">
      <c r="B15" s="6" t="s">
        <v>15</v>
      </c>
      <c r="C15" s="7" t="n">
        <f aca="false">'Margin Build'!O25</f>
        <v>-310.17568233016</v>
      </c>
      <c r="D15" s="7" t="n">
        <f aca="false">'Margin Build'!S25</f>
        <v>294.178384430954</v>
      </c>
    </row>
    <row r="16" customFormat="false" ht="15" hidden="false" customHeight="false" outlineLevel="0" collapsed="false">
      <c r="B16" s="8" t="s">
        <v>16</v>
      </c>
      <c r="C16" s="7" t="n">
        <f aca="false">'Margin Build'!O26</f>
        <v>-4.70176274849898</v>
      </c>
      <c r="D16" s="7" t="n">
        <f aca="false">'Margin Build'!S26</f>
        <v>0.387769507123429</v>
      </c>
    </row>
    <row r="18" customFormat="false" ht="15" hidden="false" customHeight="false" outlineLevel="0" collapsed="false">
      <c r="B18" s="3" t="s">
        <v>17</v>
      </c>
      <c r="C18" s="4"/>
      <c r="D18" s="4"/>
      <c r="E18" s="4"/>
      <c r="F18" s="4"/>
    </row>
    <row r="19" customFormat="false" ht="15" hidden="false" customHeight="false" outlineLevel="0" collapsed="false">
      <c r="C19" s="10" t="s">
        <v>18</v>
      </c>
      <c r="D19" s="10" t="s">
        <v>19</v>
      </c>
      <c r="E19" s="10" t="s">
        <v>20</v>
      </c>
      <c r="F19" s="10" t="s">
        <v>21</v>
      </c>
    </row>
    <row r="20" customFormat="false" ht="15" hidden="false" customHeight="false" outlineLevel="0" collapsed="false">
      <c r="B20" s="6" t="s">
        <v>22</v>
      </c>
      <c r="C20" s="7" t="n">
        <f aca="false">'Valuation Build'!C48</f>
        <v>1372.706652129</v>
      </c>
      <c r="D20" s="7" t="n">
        <f aca="false">'Valuation Build'!D48</f>
        <v>4807.71446218256</v>
      </c>
      <c r="E20" s="7" t="n">
        <f aca="false">'Valuation Build'!E48</f>
        <v>9424.24785425012</v>
      </c>
      <c r="F20" s="7" t="n">
        <f aca="false">'Valuation Build'!F48</f>
        <v>46624.2030421559</v>
      </c>
    </row>
    <row r="21" customFormat="false" ht="15" hidden="false" customHeight="false" outlineLevel="0" collapsed="false">
      <c r="B21" s="8" t="s">
        <v>23</v>
      </c>
      <c r="C21" s="11" t="n">
        <f aca="false">'Valuation #2 (Volume)'!C10</f>
        <v>1.5</v>
      </c>
      <c r="D21" s="11" t="n">
        <f aca="false">'Valuation #2 (Volume)'!D10</f>
        <v>2.5</v>
      </c>
      <c r="E21" s="11" t="n">
        <f aca="false">'Valuation #2 (Volume)'!E10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24</v>
      </c>
    </row>
    <row r="2" customFormat="false" ht="15" hidden="false" customHeight="false" outlineLevel="0" collapsed="false">
      <c r="B2" s="2" t="s">
        <v>25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B5" s="8" t="s">
        <v>27</v>
      </c>
      <c r="C5" s="12" t="n">
        <v>120</v>
      </c>
    </row>
    <row r="6" customFormat="false" ht="15" hidden="false" customHeight="false" outlineLevel="0" collapsed="false">
      <c r="B6" s="8" t="s">
        <v>28</v>
      </c>
      <c r="C6" s="13" t="n">
        <v>120</v>
      </c>
    </row>
    <row r="7" customFormat="false" ht="15" hidden="false" customHeight="false" outlineLevel="0" collapsed="false">
      <c r="B7" s="8" t="s">
        <v>29</v>
      </c>
      <c r="C7" s="14" t="n">
        <v>0.25</v>
      </c>
    </row>
    <row r="8" customFormat="false" ht="15" hidden="false" customHeight="false" outlineLevel="0" collapsed="false">
      <c r="B8" s="8" t="s">
        <v>30</v>
      </c>
      <c r="C8" s="15" t="n">
        <v>0.03</v>
      </c>
    </row>
    <row r="9" customFormat="false" ht="15" hidden="false" customHeight="false" outlineLevel="0" collapsed="false">
      <c r="B9" s="8" t="s">
        <v>31</v>
      </c>
      <c r="C9" s="12" t="n">
        <v>250</v>
      </c>
    </row>
    <row r="10" customFormat="false" ht="15" hidden="false" customHeight="false" outlineLevel="0" collapsed="false">
      <c r="B10" s="8" t="s">
        <v>32</v>
      </c>
      <c r="C10" s="16" t="n">
        <v>3.3</v>
      </c>
    </row>
    <row r="11" customFormat="false" ht="15" hidden="false" customHeight="false" outlineLevel="0" collapsed="false">
      <c r="B11" s="8" t="s">
        <v>33</v>
      </c>
      <c r="C11" s="17" t="n">
        <v>0.48</v>
      </c>
    </row>
    <row r="12" customFormat="false" ht="15" hidden="false" customHeight="false" outlineLevel="0" collapsed="false">
      <c r="B12" s="8" t="s">
        <v>34</v>
      </c>
      <c r="C12" s="15" t="n">
        <v>0.02</v>
      </c>
    </row>
    <row r="13" customFormat="false" ht="15" hidden="false" customHeight="false" outlineLevel="0" collapsed="false">
      <c r="B13" s="8" t="s">
        <v>35</v>
      </c>
      <c r="C13" s="15" t="n">
        <v>0.005</v>
      </c>
    </row>
    <row r="14" customFormat="false" ht="15" hidden="false" customHeight="false" outlineLevel="0" collapsed="false">
      <c r="B14" s="8" t="s">
        <v>36</v>
      </c>
      <c r="C14" s="15" t="n">
        <v>0.001</v>
      </c>
    </row>
    <row r="15" customFormat="false" ht="15" hidden="false" customHeight="false" outlineLevel="0" collapsed="false">
      <c r="B15" s="8" t="s">
        <v>37</v>
      </c>
      <c r="C15" s="15" t="n">
        <v>0.3</v>
      </c>
    </row>
    <row r="16" customFormat="false" ht="15" hidden="false" customHeight="false" outlineLevel="0" collapsed="false">
      <c r="B16" s="8" t="s">
        <v>38</v>
      </c>
      <c r="C16" s="12" t="n">
        <v>50</v>
      </c>
    </row>
    <row r="17" customFormat="false" ht="15" hidden="false" customHeight="false" outlineLevel="0" collapsed="false">
      <c r="B17" s="8" t="s">
        <v>39</v>
      </c>
      <c r="C17" s="15" t="n">
        <v>0.3</v>
      </c>
    </row>
    <row r="18" customFormat="false" ht="15" hidden="false" customHeight="false" outlineLevel="0" collapsed="false">
      <c r="B18" s="8" t="s">
        <v>40</v>
      </c>
      <c r="C18" s="15" t="n">
        <v>0.6</v>
      </c>
    </row>
    <row r="19" customFormat="false" ht="15" hidden="false" customHeight="false" outlineLevel="0" collapsed="false">
      <c r="B19" s="8" t="s">
        <v>41</v>
      </c>
      <c r="C19" s="15" t="n">
        <v>0</v>
      </c>
    </row>
    <row r="20" customFormat="false" ht="15" hidden="false" customHeight="false" outlineLevel="0" collapsed="false">
      <c r="B20" s="8" t="s">
        <v>42</v>
      </c>
      <c r="C20" s="16" t="n">
        <v>1</v>
      </c>
    </row>
    <row r="21" customFormat="false" ht="15" hidden="false" customHeight="false" outlineLevel="0" collapsed="false">
      <c r="B21" s="8" t="s">
        <v>43</v>
      </c>
      <c r="C21" s="18" t="n">
        <v>9</v>
      </c>
    </row>
    <row r="22" customFormat="false" ht="15" hidden="false" customHeight="false" outlineLevel="0" collapsed="false">
      <c r="B22" s="8" t="s">
        <v>44</v>
      </c>
      <c r="C22" s="16" t="n">
        <v>2.5</v>
      </c>
    </row>
    <row r="24" customFormat="false" ht="15" hidden="false" customHeight="false" outlineLevel="0" collapsed="false">
      <c r="B24" s="3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C25" s="10" t="s">
        <v>46</v>
      </c>
      <c r="D25" s="10" t="s">
        <v>47</v>
      </c>
      <c r="E25" s="10" t="s">
        <v>48</v>
      </c>
      <c r="F25" s="10" t="s">
        <v>49</v>
      </c>
      <c r="G25" s="10" t="s">
        <v>50</v>
      </c>
      <c r="H25" s="10" t="s">
        <v>51</v>
      </c>
      <c r="I25" s="10" t="s">
        <v>52</v>
      </c>
      <c r="J25" s="10" t="s">
        <v>53</v>
      </c>
      <c r="K25" s="10" t="s">
        <v>54</v>
      </c>
      <c r="L25" s="10" t="s">
        <v>55</v>
      </c>
      <c r="M25" s="10" t="s">
        <v>56</v>
      </c>
      <c r="N25" s="10" t="s">
        <v>57</v>
      </c>
      <c r="O25" s="10" t="s">
        <v>4</v>
      </c>
      <c r="P25" s="10" t="s">
        <v>58</v>
      </c>
      <c r="Q25" s="10" t="s">
        <v>59</v>
      </c>
      <c r="R25" s="10" t="s">
        <v>60</v>
      </c>
      <c r="S25" s="10" t="s">
        <v>5</v>
      </c>
    </row>
    <row r="26" customFormat="false" ht="15" hidden="false" customHeight="false" outlineLevel="0" collapsed="false">
      <c r="B26" s="8" t="s">
        <v>61</v>
      </c>
      <c r="C26" s="15" t="n">
        <v>0.02</v>
      </c>
      <c r="D26" s="15" t="n">
        <v>0.02</v>
      </c>
      <c r="E26" s="15" t="n">
        <v>0.03</v>
      </c>
      <c r="F26" s="15" t="n">
        <v>0.04</v>
      </c>
      <c r="G26" s="15" t="n">
        <v>0.05</v>
      </c>
      <c r="H26" s="15" t="n">
        <v>0.1</v>
      </c>
      <c r="I26" s="15" t="n">
        <v>0.08</v>
      </c>
      <c r="J26" s="15" t="n">
        <v>0.06</v>
      </c>
      <c r="K26" s="15" t="n">
        <v>0.14</v>
      </c>
      <c r="L26" s="15" t="n">
        <v>0.16</v>
      </c>
      <c r="M26" s="15" t="n">
        <v>0.15</v>
      </c>
      <c r="N26" s="15" t="n">
        <v>0.15</v>
      </c>
    </row>
    <row r="27" customFormat="false" ht="15" hidden="false" customHeight="false" outlineLevel="0" collapsed="false">
      <c r="B27" s="8" t="s">
        <v>62</v>
      </c>
      <c r="C27" s="16" t="n">
        <v>0.7</v>
      </c>
      <c r="D27" s="16" t="n">
        <v>0.7</v>
      </c>
      <c r="E27" s="16" t="n">
        <v>0.9</v>
      </c>
      <c r="F27" s="16" t="n">
        <v>0.85</v>
      </c>
      <c r="G27" s="16" t="n">
        <v>0.95</v>
      </c>
      <c r="H27" s="16" t="n">
        <v>1.6</v>
      </c>
      <c r="I27" s="16" t="n">
        <v>1.8</v>
      </c>
      <c r="J27" s="16" t="n">
        <v>1</v>
      </c>
      <c r="K27" s="16" t="n">
        <v>1.3</v>
      </c>
      <c r="L27" s="16" t="n">
        <v>1.5</v>
      </c>
      <c r="M27" s="16" t="n">
        <v>1.6</v>
      </c>
      <c r="N27" s="16" t="n">
        <v>1.6</v>
      </c>
    </row>
    <row r="28" customFormat="false" ht="15" hidden="false" customHeight="false" outlineLevel="0" collapsed="false">
      <c r="B28" s="8" t="s">
        <v>63</v>
      </c>
      <c r="F28" s="19" t="n">
        <v>1000</v>
      </c>
      <c r="G28" s="19" t="n">
        <v>1300</v>
      </c>
      <c r="H28" s="19" t="n">
        <v>3400</v>
      </c>
    </row>
    <row r="29" customFormat="false" ht="15" hidden="false" customHeight="false" outlineLevel="0" collapsed="false">
      <c r="B29" s="8" t="s">
        <v>64</v>
      </c>
      <c r="F29" s="19" t="n">
        <v>2300</v>
      </c>
      <c r="G29" s="19" t="n">
        <v>3100</v>
      </c>
      <c r="H29" s="19" t="n">
        <v>11300</v>
      </c>
    </row>
    <row r="30" customFormat="false" ht="15" hidden="false" customHeight="false" outlineLevel="0" collapsed="false">
      <c r="B30" s="8" t="s">
        <v>65</v>
      </c>
      <c r="J30" s="20" t="n">
        <v>0.55</v>
      </c>
      <c r="K30" s="20" t="n">
        <v>0.7</v>
      </c>
      <c r="L30" s="20" t="n">
        <v>0.55</v>
      </c>
      <c r="M30" s="20" t="n">
        <v>0.45</v>
      </c>
      <c r="N30" s="20" t="n">
        <v>0.4</v>
      </c>
    </row>
    <row r="31" customFormat="false" ht="15" hidden="false" customHeight="false" outlineLevel="0" collapsed="false">
      <c r="B31" s="8" t="s">
        <v>66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0.3</v>
      </c>
      <c r="I31" s="16" t="n">
        <v>1</v>
      </c>
      <c r="J31" s="16" t="n">
        <v>0.6</v>
      </c>
      <c r="K31" s="16" t="n">
        <v>1.2</v>
      </c>
      <c r="L31" s="16" t="n">
        <v>1.5</v>
      </c>
      <c r="M31" s="16" t="n">
        <v>1.6</v>
      </c>
      <c r="N31" s="16" t="n">
        <v>1.6</v>
      </c>
    </row>
    <row r="32" customFormat="false" ht="15" hidden="false" customHeight="false" outlineLevel="0" collapsed="false">
      <c r="B32" s="8" t="s">
        <v>67</v>
      </c>
      <c r="P32" s="15" t="n">
        <v>0.1</v>
      </c>
      <c r="Q32" s="15" t="n">
        <v>0.2</v>
      </c>
      <c r="R32" s="15" t="n">
        <v>0.3</v>
      </c>
      <c r="S32" s="15" t="n">
        <v>0.4</v>
      </c>
    </row>
    <row r="33" customFormat="false" ht="15" hidden="false" customHeight="false" outlineLevel="0" collapsed="false">
      <c r="B33" s="8" t="s">
        <v>68</v>
      </c>
      <c r="C33" s="15" t="n">
        <v>0.25</v>
      </c>
      <c r="D33" s="15" t="n">
        <v>0.25</v>
      </c>
      <c r="E33" s="15" t="n">
        <v>0.3</v>
      </c>
      <c r="F33" s="15" t="n">
        <v>0.28</v>
      </c>
      <c r="G33" s="15" t="n">
        <v>0.3</v>
      </c>
      <c r="H33" s="15" t="n">
        <v>0.42</v>
      </c>
      <c r="I33" s="15" t="n">
        <v>0.4</v>
      </c>
      <c r="J33" s="15" t="n">
        <v>0.25</v>
      </c>
      <c r="K33" s="15" t="n">
        <v>0.4</v>
      </c>
      <c r="L33" s="15" t="n">
        <v>0.36</v>
      </c>
      <c r="M33" s="15" t="n">
        <v>0.34</v>
      </c>
      <c r="N33" s="15" t="n">
        <v>0.34</v>
      </c>
      <c r="P33" s="15" t="n">
        <v>0.28</v>
      </c>
      <c r="Q33" s="15" t="n">
        <v>0.22</v>
      </c>
      <c r="R33" s="15" t="n">
        <v>0.18</v>
      </c>
      <c r="S33" s="15" t="n">
        <v>0.15</v>
      </c>
    </row>
    <row r="35" customFormat="false" ht="15" hidden="false" customHeight="false" outlineLevel="0" collapsed="false">
      <c r="B35" s="3" t="s">
        <v>69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Format="false" ht="15" hidden="false" customHeight="false" outlineLevel="0" collapsed="false">
      <c r="C36" s="10" t="s">
        <v>46</v>
      </c>
      <c r="D36" s="10" t="s">
        <v>47</v>
      </c>
      <c r="E36" s="10" t="s">
        <v>48</v>
      </c>
      <c r="F36" s="10" t="s">
        <v>49</v>
      </c>
      <c r="G36" s="10" t="s">
        <v>50</v>
      </c>
      <c r="H36" s="10" t="s">
        <v>51</v>
      </c>
      <c r="I36" s="10" t="s">
        <v>52</v>
      </c>
      <c r="J36" s="10" t="s">
        <v>53</v>
      </c>
      <c r="K36" s="10" t="s">
        <v>54</v>
      </c>
      <c r="L36" s="10" t="s">
        <v>55</v>
      </c>
      <c r="M36" s="10" t="s">
        <v>56</v>
      </c>
      <c r="N36" s="10" t="s">
        <v>57</v>
      </c>
      <c r="O36" s="10" t="s">
        <v>4</v>
      </c>
      <c r="P36" s="10" t="s">
        <v>58</v>
      </c>
      <c r="Q36" s="10" t="s">
        <v>59</v>
      </c>
      <c r="R36" s="10" t="s">
        <v>60</v>
      </c>
      <c r="S36" s="10" t="s">
        <v>5</v>
      </c>
    </row>
    <row r="37" customFormat="false" ht="15" hidden="false" customHeight="false" outlineLevel="0" collapsed="false">
      <c r="B37" s="8" t="s">
        <v>70</v>
      </c>
      <c r="C37" s="21" t="n">
        <f aca="false">$C$9*C26</f>
        <v>5</v>
      </c>
      <c r="D37" s="21" t="n">
        <f aca="false">$C$9*D26</f>
        <v>5</v>
      </c>
      <c r="E37" s="21" t="n">
        <f aca="false">$C$9*E26</f>
        <v>7.5</v>
      </c>
      <c r="F37" s="21" t="n">
        <f aca="false">$C$9*F26</f>
        <v>10</v>
      </c>
      <c r="G37" s="21" t="n">
        <f aca="false">$C$9*G26</f>
        <v>12.5</v>
      </c>
      <c r="H37" s="21" t="n">
        <f aca="false">$C$9*H26</f>
        <v>25</v>
      </c>
      <c r="I37" s="21" t="n">
        <f aca="false">$C$9*I26</f>
        <v>20</v>
      </c>
      <c r="J37" s="21" t="n">
        <f aca="false">$C$9*J26</f>
        <v>15</v>
      </c>
      <c r="K37" s="21" t="n">
        <f aca="false">$C$9*K26</f>
        <v>35</v>
      </c>
      <c r="L37" s="21" t="n">
        <f aca="false">$C$9*L26</f>
        <v>40</v>
      </c>
      <c r="M37" s="21" t="n">
        <f aca="false">$C$9*M26</f>
        <v>37.5</v>
      </c>
      <c r="N37" s="21" t="n">
        <f aca="false">$C$9*N26</f>
        <v>37.5</v>
      </c>
      <c r="O37" s="21" t="n">
        <f aca="false">SUM(C37:N37)</f>
        <v>250</v>
      </c>
    </row>
    <row r="38" customFormat="false" ht="15" hidden="false" customHeight="false" outlineLevel="0" collapsed="false">
      <c r="B38" s="8" t="s">
        <v>71</v>
      </c>
      <c r="C38" s="21" t="n">
        <f aca="false">C37*1000/$C$6</f>
        <v>41.6666666666667</v>
      </c>
      <c r="D38" s="21" t="n">
        <f aca="false">D37*1000/$C$6</f>
        <v>41.6666666666667</v>
      </c>
      <c r="E38" s="21" t="n">
        <f aca="false">E37*1000/$C$6</f>
        <v>62.5</v>
      </c>
      <c r="F38" s="21" t="n">
        <f aca="false">F37*1000/$C$6</f>
        <v>83.3333333333333</v>
      </c>
      <c r="G38" s="21" t="n">
        <f aca="false">G37*1000/$C$6</f>
        <v>104.166666666667</v>
      </c>
      <c r="H38" s="21" t="n">
        <f aca="false">H37*1000/$C$6</f>
        <v>208.333333333333</v>
      </c>
      <c r="I38" s="21" t="n">
        <f aca="false">I37*1000/$C$6</f>
        <v>166.666666666667</v>
      </c>
      <c r="J38" s="21" t="n">
        <f aca="false">J37*1000/$C$6</f>
        <v>125</v>
      </c>
      <c r="K38" s="21" t="n">
        <f aca="false">K37*1000/$C$6</f>
        <v>291.666666666667</v>
      </c>
      <c r="L38" s="21" t="n">
        <f aca="false">L37*1000/$C$6</f>
        <v>333.333333333333</v>
      </c>
      <c r="M38" s="21" t="n">
        <f aca="false">M37*1000/$C$6</f>
        <v>312.5</v>
      </c>
      <c r="N38" s="21" t="n">
        <f aca="false">N37*1000/$C$6</f>
        <v>312.5</v>
      </c>
      <c r="O38" s="21" t="n">
        <f aca="false">SUM(C38:N38)</f>
        <v>2083.33333333333</v>
      </c>
    </row>
    <row r="39" customFormat="false" ht="15" hidden="false" customHeight="false" outlineLevel="0" collapsed="false">
      <c r="B39" s="8" t="s">
        <v>72</v>
      </c>
      <c r="C39" s="21" t="n">
        <f aca="false">$C$5*(1-$C$8)+C38</f>
        <v>158.066666666667</v>
      </c>
      <c r="D39" s="21" t="n">
        <f aca="false">C39*(1-$C$8)+D38</f>
        <v>194.991333333333</v>
      </c>
      <c r="E39" s="21" t="n">
        <f aca="false">D39*(1-$C$8)+E38</f>
        <v>251.641593333333</v>
      </c>
      <c r="F39" s="21" t="n">
        <f aca="false">E39*(1-$C$8)+F38</f>
        <v>327.425678866667</v>
      </c>
      <c r="G39" s="21" t="n">
        <f aca="false">F39*(1-$C$8)+G38</f>
        <v>421.769575167333</v>
      </c>
      <c r="H39" s="21" t="n">
        <f aca="false">G39*(1-$C$8)+H38</f>
        <v>617.449821245647</v>
      </c>
      <c r="I39" s="21" t="n">
        <f aca="false">H39*(1-$C$8)+I38</f>
        <v>765.592993274944</v>
      </c>
      <c r="J39" s="21" t="n">
        <f aca="false">I39*(1-$C$8)+J38</f>
        <v>867.625203476696</v>
      </c>
      <c r="K39" s="21" t="n">
        <f aca="false">J39*(1-$C$8)+K38</f>
        <v>1133.26311403906</v>
      </c>
      <c r="L39" s="21" t="n">
        <f aca="false">K39*(1-$C$8)+L38</f>
        <v>1432.59855395122</v>
      </c>
      <c r="M39" s="21" t="n">
        <f aca="false">L39*(1-$C$8)+M38</f>
        <v>1702.12059733269</v>
      </c>
      <c r="N39" s="21" t="n">
        <f aca="false">M39*(1-$C$8)+N38</f>
        <v>1963.55697941271</v>
      </c>
      <c r="O39" s="21" t="n">
        <f aca="false">N39</f>
        <v>1963.55697941271</v>
      </c>
    </row>
    <row r="40" customFormat="false" ht="15" hidden="false" customHeight="false" outlineLevel="0" collapsed="false">
      <c r="B40" s="6" t="s">
        <v>73</v>
      </c>
      <c r="C40" s="21" t="n">
        <f aca="false">IF(C28&gt;0,C28/12,C39*$C$7*C27*(1-$C$19))</f>
        <v>27.6616666666667</v>
      </c>
      <c r="D40" s="21" t="n">
        <f aca="false">IF(D28&gt;0,D28/12,D39*$C$7*D27*(1-$C$19))</f>
        <v>34.1234833333333</v>
      </c>
      <c r="E40" s="21" t="n">
        <f aca="false">IF(E28&gt;0,E28/12,E39*$C$7*E27*(1-$C$19))</f>
        <v>56.6193585</v>
      </c>
      <c r="F40" s="21" t="n">
        <f aca="false">IF(F28&gt;0,F28/12,F39*$C$7*F27*(1-$C$19))</f>
        <v>83.3333333333333</v>
      </c>
      <c r="G40" s="21" t="n">
        <f aca="false">IF(G28&gt;0,G28/12,G39*$C$7*G27*(1-$C$19))</f>
        <v>108.333333333333</v>
      </c>
      <c r="H40" s="21" t="n">
        <f aca="false">IF(H28&gt;0,H28/12,H39*$C$7*H27*(1-$C$19))</f>
        <v>283.333333333333</v>
      </c>
      <c r="I40" s="21" t="n">
        <f aca="false">IF(I28&gt;0,I28/12,I39*$C$7*I27*(1-$C$19))</f>
        <v>344.516846973725</v>
      </c>
      <c r="J40" s="21" t="n">
        <f aca="false">IF(J28&gt;0,J28/12,J39*$C$7*J27*(1-$C$19))</f>
        <v>216.906300869174</v>
      </c>
      <c r="K40" s="21" t="n">
        <f aca="false">IF(K28&gt;0,K28/12,K39*$C$7*K27*(1-$C$19))</f>
        <v>368.310512062695</v>
      </c>
      <c r="L40" s="21" t="n">
        <f aca="false">IF(L28&gt;0,L28/12,L39*$C$7*L27*(1-$C$19))</f>
        <v>537.224457731709</v>
      </c>
      <c r="M40" s="21" t="n">
        <f aca="false">IF(M28&gt;0,M28/12,M39*$C$7*M27*(1-$C$19))</f>
        <v>680.848238933075</v>
      </c>
      <c r="N40" s="21" t="n">
        <f aca="false">IF(N28&gt;0,N28/12,N39*$C$7*N27*(1-$C$19))</f>
        <v>785.422791765082</v>
      </c>
      <c r="O40" s="21" t="n">
        <f aca="false">SUM(C40:N40)</f>
        <v>3526.63365683546</v>
      </c>
      <c r="P40" s="21" t="n">
        <f aca="false">O40*(1+$C$18)</f>
        <v>5642.61385093674</v>
      </c>
      <c r="Q40" s="21" t="n">
        <f aca="false">P40*(1+$C$18)</f>
        <v>9028.18216149878</v>
      </c>
      <c r="R40" s="21" t="n">
        <f aca="false">Q40*(1+$C$18)</f>
        <v>14445.091458398</v>
      </c>
      <c r="S40" s="21" t="n">
        <f aca="false">R40*(1+$C$18)</f>
        <v>23112.1463334369</v>
      </c>
    </row>
    <row r="41" customFormat="false" ht="15" hidden="false" customHeight="false" outlineLevel="0" collapsed="false">
      <c r="B41" s="8" t="s">
        <v>74</v>
      </c>
      <c r="C41" s="22" t="n">
        <f aca="false">C40/$C$11</f>
        <v>57.6284722222222</v>
      </c>
      <c r="D41" s="22" t="n">
        <f aca="false">D40/$C$11</f>
        <v>71.0905902777778</v>
      </c>
      <c r="E41" s="22" t="n">
        <f aca="false">E40/$C$11</f>
        <v>117.956996875</v>
      </c>
      <c r="F41" s="22" t="n">
        <f aca="false">F40/$C$11</f>
        <v>173.611111111111</v>
      </c>
      <c r="G41" s="22" t="n">
        <f aca="false">G40/$C$11</f>
        <v>225.694444444444</v>
      </c>
      <c r="H41" s="22" t="n">
        <f aca="false">H40/$C$11</f>
        <v>590.277777777778</v>
      </c>
      <c r="I41" s="22" t="n">
        <f aca="false">I40/$C$11</f>
        <v>717.74343119526</v>
      </c>
      <c r="J41" s="22" t="n">
        <f aca="false">J40/$C$11</f>
        <v>451.888126810779</v>
      </c>
      <c r="K41" s="22" t="n">
        <f aca="false">K40/$C$11</f>
        <v>767.313566797281</v>
      </c>
      <c r="L41" s="22" t="n">
        <f aca="false">L40/$C$11</f>
        <v>1119.21762027439</v>
      </c>
      <c r="M41" s="22" t="n">
        <f aca="false">M40/$C$11</f>
        <v>1418.43383111057</v>
      </c>
      <c r="N41" s="22" t="n">
        <f aca="false">N40/$C$11</f>
        <v>1636.29748284392</v>
      </c>
      <c r="O41" s="21" t="n">
        <f aca="false">SUM(C41:N41)</f>
        <v>7347.15345174054</v>
      </c>
      <c r="P41" s="22" t="n">
        <f aca="false">P40/$C$11</f>
        <v>11755.4455227849</v>
      </c>
      <c r="Q41" s="22" t="n">
        <f aca="false">Q40/$C$11</f>
        <v>18808.7128364558</v>
      </c>
      <c r="R41" s="22" t="n">
        <f aca="false">R40/$C$11</f>
        <v>30093.9405383293</v>
      </c>
      <c r="S41" s="22" t="n">
        <f aca="false">S40/$C$11</f>
        <v>48150.3048613268</v>
      </c>
    </row>
    <row r="42" customFormat="false" ht="15" hidden="false" customHeight="false" outlineLevel="0" collapsed="false">
      <c r="B42" s="6" t="s">
        <v>75</v>
      </c>
      <c r="C42" s="21" t="n">
        <f aca="false">IF(C29&gt;0,C29/12,C40*$C$10)</f>
        <v>91.2835</v>
      </c>
      <c r="D42" s="21" t="n">
        <f aca="false">IF(D29&gt;0,D29/12,D40*$C$10)</f>
        <v>112.607495</v>
      </c>
      <c r="E42" s="21" t="n">
        <f aca="false">IF(E29&gt;0,E29/12,E40*$C$10)</f>
        <v>186.84388305</v>
      </c>
      <c r="F42" s="21" t="n">
        <f aca="false">IF(F29&gt;0,F29/12,F40*$C$10)</f>
        <v>191.666666666667</v>
      </c>
      <c r="G42" s="21" t="n">
        <f aca="false">IF(G29&gt;0,G29/12,G40*$C$10)</f>
        <v>258.333333333333</v>
      </c>
      <c r="H42" s="21" t="n">
        <f aca="false">IF(H29&gt;0,H29/12,H40*$C$10)</f>
        <v>941.666666666667</v>
      </c>
      <c r="I42" s="21" t="n">
        <f aca="false">IF(I29&gt;0,I29/12,I40*$C$10)</f>
        <v>1136.90559501329</v>
      </c>
      <c r="J42" s="21" t="n">
        <f aca="false">IF(J29&gt;0,J29/12,J40*$C$10)</f>
        <v>715.790792868274</v>
      </c>
      <c r="K42" s="21" t="n">
        <f aca="false">IF(K29&gt;0,K29/12,K40*$C$10)</f>
        <v>1215.42468980689</v>
      </c>
      <c r="L42" s="21" t="n">
        <f aca="false">IF(L29&gt;0,L29/12,L40*$C$10)</f>
        <v>1772.84071051464</v>
      </c>
      <c r="M42" s="21" t="n">
        <f aca="false">IF(M29&gt;0,M29/12,M40*$C$10)</f>
        <v>2246.79918847915</v>
      </c>
      <c r="N42" s="21" t="n">
        <f aca="false">IF(N29&gt;0,N29/12,N40*$C$10)</f>
        <v>2591.89521282477</v>
      </c>
      <c r="O42" s="21" t="n">
        <f aca="false">SUM(C42:N42)</f>
        <v>11462.0577342237</v>
      </c>
      <c r="P42" s="21" t="n">
        <f aca="false">P40*$C$10</f>
        <v>18620.6257080912</v>
      </c>
      <c r="Q42" s="21" t="n">
        <f aca="false">Q40*$C$10</f>
        <v>29793.001132946</v>
      </c>
      <c r="R42" s="21" t="n">
        <f aca="false">R40*$C$10</f>
        <v>47668.8018127135</v>
      </c>
      <c r="S42" s="21" t="n">
        <f aca="false">S40*$C$10</f>
        <v>76270.0829003417</v>
      </c>
    </row>
    <row r="43" customFormat="false" ht="15" hidden="false" customHeight="false" outlineLevel="0" collapsed="false">
      <c r="B43" s="8" t="s">
        <v>76</v>
      </c>
      <c r="C43" s="21" t="n">
        <f aca="false">0</f>
        <v>0</v>
      </c>
      <c r="D43" s="21" t="n">
        <f aca="false">0</f>
        <v>0</v>
      </c>
      <c r="E43" s="21" t="n">
        <f aca="false">0</f>
        <v>0</v>
      </c>
      <c r="F43" s="21" t="n">
        <f aca="false">0</f>
        <v>0</v>
      </c>
      <c r="G43" s="21" t="n">
        <f aca="false">0</f>
        <v>0</v>
      </c>
      <c r="H43" s="21" t="n">
        <f aca="false">0</f>
        <v>0</v>
      </c>
      <c r="I43" s="21" t="n">
        <f aca="false">DKeX_Actuals!$C$37*$C$22</f>
        <v>4.72069697470238</v>
      </c>
      <c r="J43" s="21" t="n">
        <f aca="false">I43*(1+J30*$C$20)</f>
        <v>7.31708031078869</v>
      </c>
      <c r="K43" s="21" t="n">
        <f aca="false">J43*(1+K30*$C$20)</f>
        <v>12.4390365283408</v>
      </c>
      <c r="L43" s="21" t="n">
        <f aca="false">K43*(1+L30*$C$20)</f>
        <v>19.2805066189282</v>
      </c>
      <c r="M43" s="21" t="n">
        <f aca="false">L43*(1+M30*$C$20)</f>
        <v>27.9567345974459</v>
      </c>
      <c r="N43" s="21" t="n">
        <f aca="false">M43*(1+N30*$C$20)</f>
        <v>39.1394284364243</v>
      </c>
    </row>
    <row r="44" customFormat="false" ht="15" hidden="false" customHeight="false" outlineLevel="0" collapsed="false">
      <c r="B44" s="6" t="s">
        <v>77</v>
      </c>
      <c r="C44" s="21" t="n">
        <f aca="false">C43*C31</f>
        <v>0</v>
      </c>
      <c r="D44" s="21" t="n">
        <f aca="false">D43*D31</f>
        <v>0</v>
      </c>
      <c r="E44" s="21" t="n">
        <f aca="false">E43*E31</f>
        <v>0</v>
      </c>
      <c r="F44" s="21" t="n">
        <f aca="false">F43*F31</f>
        <v>0</v>
      </c>
      <c r="G44" s="21" t="n">
        <f aca="false">G43*G31</f>
        <v>0</v>
      </c>
      <c r="H44" s="21" t="n">
        <f aca="false">H43*H31</f>
        <v>0</v>
      </c>
      <c r="I44" s="21" t="n">
        <f aca="false">I43*I31</f>
        <v>4.72069697470238</v>
      </c>
      <c r="J44" s="21" t="n">
        <f aca="false">J43*J31</f>
        <v>4.39024818647321</v>
      </c>
      <c r="K44" s="21" t="n">
        <f aca="false">K43*K31</f>
        <v>14.9268438340089</v>
      </c>
      <c r="L44" s="21" t="n">
        <f aca="false">L43*L31</f>
        <v>28.9207599283923</v>
      </c>
      <c r="M44" s="21" t="n">
        <f aca="false">M43*M31</f>
        <v>44.7307753559134</v>
      </c>
      <c r="N44" s="21" t="n">
        <f aca="false">N43*N31</f>
        <v>62.6230854982788</v>
      </c>
      <c r="O44" s="21" t="n">
        <f aca="false">SUM(C44:N44)</f>
        <v>160.312409777769</v>
      </c>
      <c r="P44" s="21" t="n">
        <f aca="false">P42*P32</f>
        <v>1862.06257080912</v>
      </c>
      <c r="Q44" s="21" t="n">
        <f aca="false">Q42*Q32</f>
        <v>5958.60022658919</v>
      </c>
      <c r="R44" s="21" t="n">
        <f aca="false">R42*R32</f>
        <v>14300.6405438141</v>
      </c>
      <c r="S44" s="21" t="n">
        <f aca="false">S42*S32</f>
        <v>30508.0331601367</v>
      </c>
    </row>
    <row r="45" customFormat="false" ht="15" hidden="false" customHeight="false" outlineLevel="0" collapsed="false">
      <c r="B45" s="8" t="s">
        <v>78</v>
      </c>
      <c r="C45" s="22" t="n">
        <f aca="false">C44/$C$11</f>
        <v>0</v>
      </c>
      <c r="D45" s="22" t="n">
        <f aca="false">D44/$C$11</f>
        <v>0</v>
      </c>
      <c r="E45" s="22" t="n">
        <f aca="false">E44/$C$11</f>
        <v>0</v>
      </c>
      <c r="F45" s="22" t="n">
        <f aca="false">F44/$C$11</f>
        <v>0</v>
      </c>
      <c r="G45" s="22" t="n">
        <f aca="false">G44/$C$11</f>
        <v>0</v>
      </c>
      <c r="H45" s="22" t="n">
        <f aca="false">H44/$C$11</f>
        <v>0</v>
      </c>
      <c r="I45" s="22" t="n">
        <f aca="false">I44/$C$11</f>
        <v>9.8347853639633</v>
      </c>
      <c r="J45" s="22" t="n">
        <f aca="false">J44/$C$11</f>
        <v>9.14635038848586</v>
      </c>
      <c r="K45" s="22" t="n">
        <f aca="false">K44/$C$11</f>
        <v>31.0975913208519</v>
      </c>
      <c r="L45" s="22" t="n">
        <f aca="false">L44/$C$11</f>
        <v>60.2515831841506</v>
      </c>
      <c r="M45" s="22" t="n">
        <f aca="false">M44/$C$11</f>
        <v>93.1891153248197</v>
      </c>
      <c r="N45" s="22" t="n">
        <f aca="false">N44/$C$11</f>
        <v>130.464761454748</v>
      </c>
      <c r="O45" s="21" t="n">
        <f aca="false">SUM(C45:N45)</f>
        <v>333.984187037019</v>
      </c>
      <c r="P45" s="22" t="n">
        <f aca="false">P44/$C$11</f>
        <v>3879.297022519</v>
      </c>
      <c r="Q45" s="22" t="n">
        <f aca="false">Q44/$C$11</f>
        <v>12413.7504720608</v>
      </c>
      <c r="R45" s="22" t="n">
        <f aca="false">R44/$C$11</f>
        <v>29793.001132946</v>
      </c>
      <c r="S45" s="22" t="n">
        <f aca="false">S44/$C$11</f>
        <v>63558.4024169514</v>
      </c>
    </row>
    <row r="46" customFormat="false" ht="15" hidden="false" customHeight="false" outlineLevel="0" collapsed="false">
      <c r="B46" s="8" t="s">
        <v>79</v>
      </c>
      <c r="C46" s="23" t="n">
        <f aca="false">IF(C42=0,0,C44/C42)</f>
        <v>0</v>
      </c>
      <c r="D46" s="23" t="n">
        <f aca="false">IF(D42=0,0,D44/D42)</f>
        <v>0</v>
      </c>
      <c r="E46" s="23" t="n">
        <f aca="false">IF(E42=0,0,E44/E42)</f>
        <v>0</v>
      </c>
      <c r="F46" s="23" t="n">
        <f aca="false">IF(F42=0,0,F44/F42)</f>
        <v>0</v>
      </c>
      <c r="G46" s="23" t="n">
        <f aca="false">IF(G42=0,0,G44/G42)</f>
        <v>0</v>
      </c>
      <c r="H46" s="23" t="n">
        <f aca="false">IF(H42=0,0,H44/H42)</f>
        <v>0</v>
      </c>
      <c r="I46" s="23" t="n">
        <f aca="false">IF(I42=0,0,I44/I42)</f>
        <v>0.00415223303976017</v>
      </c>
      <c r="J46" s="23" t="n">
        <f aca="false">IF(J42=0,0,J44/J42)</f>
        <v>0.00613342366263315</v>
      </c>
      <c r="K46" s="23" t="n">
        <f aca="false">IF(K42=0,0,K44/K42)</f>
        <v>0.0122811754271509</v>
      </c>
      <c r="L46" s="23" t="n">
        <f aca="false">IF(L42=0,0,L44/L42)</f>
        <v>0.0163132309388343</v>
      </c>
      <c r="M46" s="23" t="n">
        <f aca="false">IF(M42=0,0,M44/M42)</f>
        <v>0.0199086663308756</v>
      </c>
      <c r="N46" s="23" t="n">
        <f aca="false">IF(N42=0,0,N44/N42)</f>
        <v>0.0241611177752935</v>
      </c>
      <c r="O46" s="23" t="n">
        <f aca="false">IF(O42=0,0,O44/O42)</f>
        <v>0.0139863551113605</v>
      </c>
      <c r="P46" s="23" t="n">
        <f aca="false">IF(P42=0,0,P44/P42)</f>
        <v>0.1</v>
      </c>
      <c r="Q46" s="23" t="n">
        <f aca="false">IF(Q42=0,0,Q44/Q42)</f>
        <v>0.2</v>
      </c>
      <c r="R46" s="23" t="n">
        <f aca="false">IF(R42=0,0,R44/R42)</f>
        <v>0.3</v>
      </c>
      <c r="S46" s="23" t="n">
        <f aca="false">IF(S42=0,0,S44/S42)</f>
        <v>0.4</v>
      </c>
    </row>
    <row r="47" customFormat="false" ht="15" hidden="false" customHeight="false" outlineLevel="0" collapsed="false">
      <c r="B47" s="8" t="s">
        <v>80</v>
      </c>
      <c r="C47" s="21" t="n">
        <f aca="false">C40*$C$12</f>
        <v>0.553233333333333</v>
      </c>
      <c r="D47" s="21" t="n">
        <f aca="false">D40*$C$12</f>
        <v>0.682469666666667</v>
      </c>
      <c r="E47" s="21" t="n">
        <f aca="false">E40*$C$12</f>
        <v>1.13238717</v>
      </c>
      <c r="F47" s="21" t="n">
        <f aca="false">F40*$C$12</f>
        <v>1.66666666666667</v>
      </c>
      <c r="G47" s="21" t="n">
        <f aca="false">G40*$C$12</f>
        <v>2.16666666666667</v>
      </c>
      <c r="H47" s="21" t="n">
        <f aca="false">H40*$C$12</f>
        <v>5.66666666666667</v>
      </c>
      <c r="I47" s="21" t="n">
        <f aca="false">I40*$C$12</f>
        <v>6.8903369394745</v>
      </c>
      <c r="J47" s="21" t="n">
        <f aca="false">J40*$C$12</f>
        <v>4.33812601738348</v>
      </c>
      <c r="K47" s="21" t="n">
        <f aca="false">K40*$C$12</f>
        <v>7.3662102412539</v>
      </c>
      <c r="L47" s="21" t="n">
        <f aca="false">L40*$C$12</f>
        <v>10.7444891546342</v>
      </c>
      <c r="M47" s="21" t="n">
        <f aca="false">M40*$C$12</f>
        <v>13.6169647786615</v>
      </c>
      <c r="N47" s="21" t="n">
        <f aca="false">N40*$C$12</f>
        <v>15.7084558353016</v>
      </c>
      <c r="O47" s="21" t="n">
        <f aca="false">SUM(C47:N47)</f>
        <v>70.5326731367092</v>
      </c>
      <c r="P47" s="21" t="n">
        <f aca="false">P40*$C$12</f>
        <v>112.852277018735</v>
      </c>
      <c r="Q47" s="21" t="n">
        <f aca="false">Q40*$C$12</f>
        <v>180.563643229976</v>
      </c>
      <c r="R47" s="21" t="n">
        <f aca="false">R40*$C$12</f>
        <v>288.901829167961</v>
      </c>
      <c r="S47" s="21" t="n">
        <f aca="false">S40*$C$12</f>
        <v>462.242926668737</v>
      </c>
    </row>
    <row r="48" customFormat="false" ht="15" hidden="false" customHeight="false" outlineLevel="0" collapsed="false">
      <c r="B48" s="8" t="s">
        <v>81</v>
      </c>
      <c r="C48" s="21" t="n">
        <f aca="false">C44*$C$13</f>
        <v>0</v>
      </c>
      <c r="D48" s="21" t="n">
        <f aca="false">D44*$C$13</f>
        <v>0</v>
      </c>
      <c r="E48" s="21" t="n">
        <f aca="false">E44*$C$13</f>
        <v>0</v>
      </c>
      <c r="F48" s="21" t="n">
        <f aca="false">F44*$C$13</f>
        <v>0</v>
      </c>
      <c r="G48" s="21" t="n">
        <f aca="false">G44*$C$13</f>
        <v>0</v>
      </c>
      <c r="H48" s="21" t="n">
        <f aca="false">H44*$C$13</f>
        <v>0</v>
      </c>
      <c r="I48" s="21" t="n">
        <f aca="false">I44*$C$13</f>
        <v>0.0236034848735119</v>
      </c>
      <c r="J48" s="21" t="n">
        <f aca="false">J44*$C$13</f>
        <v>0.0219512409323661</v>
      </c>
      <c r="K48" s="21" t="n">
        <f aca="false">K44*$C$13</f>
        <v>0.0746342191700447</v>
      </c>
      <c r="L48" s="21" t="n">
        <f aca="false">L44*$C$13</f>
        <v>0.144603799641962</v>
      </c>
      <c r="M48" s="21" t="n">
        <f aca="false">M44*$C$13</f>
        <v>0.223653876779567</v>
      </c>
      <c r="N48" s="21" t="n">
        <f aca="false">N44*$C$13</f>
        <v>0.313115427491394</v>
      </c>
      <c r="O48" s="21" t="n">
        <f aca="false">SUM(C48:N48)</f>
        <v>0.801562048888845</v>
      </c>
      <c r="P48" s="21" t="n">
        <f aca="false">P44*$C$13</f>
        <v>9.31031285404561</v>
      </c>
      <c r="Q48" s="21" t="n">
        <f aca="false">Q44*$C$13</f>
        <v>29.793001132946</v>
      </c>
      <c r="R48" s="21" t="n">
        <f aca="false">R44*$C$13</f>
        <v>71.5032027190703</v>
      </c>
      <c r="S48" s="21" t="n">
        <f aca="false">S44*$C$13</f>
        <v>152.540165800683</v>
      </c>
    </row>
    <row r="49" customFormat="false" ht="15" hidden="false" customHeight="false" outlineLevel="0" collapsed="false">
      <c r="B49" s="8" t="s">
        <v>82</v>
      </c>
      <c r="C49" s="21" t="n">
        <f aca="false">IF(1&gt;=$C$21,C40*$C$14,0)</f>
        <v>0</v>
      </c>
      <c r="D49" s="21" t="n">
        <f aca="false">IF(2&gt;=$C$21,D40*$C$14,0)</f>
        <v>0</v>
      </c>
      <c r="E49" s="21" t="n">
        <f aca="false">IF(3&gt;=$C$21,E40*$C$14,0)</f>
        <v>0</v>
      </c>
      <c r="F49" s="21" t="n">
        <f aca="false">IF(4&gt;=$C$21,F40*$C$14,0)</f>
        <v>0</v>
      </c>
      <c r="G49" s="21" t="n">
        <f aca="false">IF(5&gt;=$C$21,G40*$C$14,0)</f>
        <v>0</v>
      </c>
      <c r="H49" s="21" t="n">
        <f aca="false">IF(6&gt;=$C$21,H40*$C$14,0)</f>
        <v>0</v>
      </c>
      <c r="I49" s="21" t="n">
        <f aca="false">IF(7&gt;=$C$21,I40*$C$14,0)</f>
        <v>0</v>
      </c>
      <c r="J49" s="21" t="n">
        <f aca="false">IF(8&gt;=$C$21,J40*$C$14,0)</f>
        <v>0</v>
      </c>
      <c r="K49" s="21" t="n">
        <f aca="false">IF(9&gt;=$C$21,K40*$C$14,0)</f>
        <v>0.368310512062695</v>
      </c>
      <c r="L49" s="21" t="n">
        <f aca="false">IF(10&gt;=$C$21,L40*$C$14,0)</f>
        <v>0.537224457731709</v>
      </c>
      <c r="M49" s="21" t="n">
        <f aca="false">IF(11&gt;=$C$21,M40*$C$14,0)</f>
        <v>0.680848238933075</v>
      </c>
      <c r="N49" s="21" t="n">
        <f aca="false">IF(12&gt;=$C$21,N40*$C$14,0)</f>
        <v>0.785422791765082</v>
      </c>
      <c r="O49" s="21" t="n">
        <f aca="false">SUM(C49:N49)</f>
        <v>2.37180600049256</v>
      </c>
      <c r="P49" s="21" t="n">
        <f aca="false">P40*$C$14</f>
        <v>5.64261385093674</v>
      </c>
      <c r="Q49" s="21" t="n">
        <f aca="false">Q40*$C$14</f>
        <v>9.02818216149878</v>
      </c>
      <c r="R49" s="21" t="n">
        <f aca="false">R40*$C$14</f>
        <v>14.445091458398</v>
      </c>
      <c r="S49" s="21" t="n">
        <f aca="false">S40*$C$14</f>
        <v>23.1121463334369</v>
      </c>
    </row>
    <row r="50" customFormat="false" ht="15" hidden="false" customHeight="false" outlineLevel="0" collapsed="false">
      <c r="B50" s="8" t="s">
        <v>83</v>
      </c>
      <c r="C50" s="21" t="n">
        <f aca="false">C42*$C$15*($C$16/10000)*(1-$C$17)</f>
        <v>0.095847675</v>
      </c>
      <c r="D50" s="21" t="n">
        <f aca="false">D42*$C$15*($C$16/10000)*(1-$C$17)</f>
        <v>0.11823786975</v>
      </c>
      <c r="E50" s="21" t="n">
        <f aca="false">E42*$C$15*($C$16/10000)*(1-$C$17)</f>
        <v>0.1961860772025</v>
      </c>
      <c r="F50" s="21" t="n">
        <f aca="false">F42*$C$15*($C$16/10000)*(1-$C$17)</f>
        <v>0.20125</v>
      </c>
      <c r="G50" s="21" t="n">
        <f aca="false">G42*$C$15*($C$16/10000)*(1-$C$17)</f>
        <v>0.27125</v>
      </c>
      <c r="H50" s="21" t="n">
        <f aca="false">H42*$C$15*($C$16/10000)*(1-$C$17)</f>
        <v>0.98875</v>
      </c>
      <c r="I50" s="21" t="n">
        <f aca="false">I42*$C$15*($C$16/10000)*(1-$C$17)</f>
        <v>1.19375087476396</v>
      </c>
      <c r="J50" s="21" t="n">
        <f aca="false">J42*$C$15*($C$16/10000)*(1-$C$17)</f>
        <v>0.751580332511688</v>
      </c>
      <c r="K50" s="21" t="n">
        <f aca="false">K42*$C$15*($C$16/10000)*(1-$C$17)</f>
        <v>1.27619592429724</v>
      </c>
      <c r="L50" s="21" t="n">
        <f aca="false">L42*$C$15*($C$16/10000)*(1-$C$17)</f>
        <v>1.86148274604037</v>
      </c>
      <c r="M50" s="21" t="n">
        <f aca="false">M42*$C$15*($C$16/10000)*(1-$C$17)</f>
        <v>2.3591391479031</v>
      </c>
      <c r="N50" s="21" t="n">
        <f aca="false">N42*$C$15*($C$16/10000)*(1-$C$17)</f>
        <v>2.72148997346601</v>
      </c>
      <c r="O50" s="21" t="n">
        <f aca="false">SUM(C50:N50)</f>
        <v>12.0351606209349</v>
      </c>
      <c r="P50" s="21" t="n">
        <f aca="false">P42*$C$15*($C$16/10000)*(1-$C$17)</f>
        <v>19.5516569934958</v>
      </c>
      <c r="Q50" s="21" t="n">
        <f aca="false">Q42*$C$15*($C$16/10000)*(1-$C$17)</f>
        <v>31.2826511895933</v>
      </c>
      <c r="R50" s="21" t="n">
        <f aca="false">R42*$C$15*($C$16/10000)*(1-$C$17)</f>
        <v>50.0522419033492</v>
      </c>
      <c r="S50" s="21" t="n">
        <f aca="false">S42*$C$15*($C$16/10000)*(1-$C$17)</f>
        <v>80.0835870453588</v>
      </c>
    </row>
    <row r="51" customFormat="false" ht="15" hidden="false" customHeight="false" outlineLevel="0" collapsed="false">
      <c r="B51" s="8" t="s">
        <v>84</v>
      </c>
      <c r="C51" s="21" t="n">
        <v>0</v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19" t="n">
        <v>5</v>
      </c>
      <c r="P51" s="19" t="n">
        <v>20</v>
      </c>
      <c r="Q51" s="19" t="n">
        <v>45</v>
      </c>
      <c r="R51" s="19" t="n">
        <v>75</v>
      </c>
      <c r="S51" s="19" t="n">
        <v>110</v>
      </c>
    </row>
    <row r="52" customFormat="false" ht="15" hidden="false" customHeight="false" outlineLevel="0" collapsed="false">
      <c r="B52" s="6" t="s">
        <v>85</v>
      </c>
      <c r="C52" s="21" t="n">
        <f aca="false">SUM(C47:C51)</f>
        <v>0.649081008333333</v>
      </c>
      <c r="D52" s="21" t="n">
        <f aca="false">SUM(D47:D51)</f>
        <v>0.800707536416667</v>
      </c>
      <c r="E52" s="21" t="n">
        <f aca="false">SUM(E47:E51)</f>
        <v>1.3285732472025</v>
      </c>
      <c r="F52" s="21" t="n">
        <f aca="false">SUM(F47:F51)</f>
        <v>1.86791666666667</v>
      </c>
      <c r="G52" s="21" t="n">
        <f aca="false">SUM(G47:G51)</f>
        <v>2.43791666666667</v>
      </c>
      <c r="H52" s="21" t="n">
        <f aca="false">SUM(H47:H51)</f>
        <v>6.65541666666667</v>
      </c>
      <c r="I52" s="21" t="n">
        <f aca="false">SUM(I47:I51)</f>
        <v>8.10769129911197</v>
      </c>
      <c r="J52" s="21" t="n">
        <f aca="false">SUM(J47:J51)</f>
        <v>5.11165759082753</v>
      </c>
      <c r="K52" s="21" t="n">
        <f aca="false">SUM(K47:K51)</f>
        <v>9.08535089678388</v>
      </c>
      <c r="L52" s="21" t="n">
        <f aca="false">SUM(L47:L51)</f>
        <v>13.2878001580482</v>
      </c>
      <c r="M52" s="21" t="n">
        <f aca="false">SUM(M47:M51)</f>
        <v>16.8806060422772</v>
      </c>
      <c r="N52" s="21" t="n">
        <f aca="false">SUM(N47:N51)</f>
        <v>19.5284840280241</v>
      </c>
      <c r="O52" s="21" t="n">
        <f aca="false">SUM(O47:O51)</f>
        <v>90.7412018070255</v>
      </c>
      <c r="P52" s="21" t="n">
        <f aca="false">SUM(P47:P51)</f>
        <v>167.356860717213</v>
      </c>
      <c r="Q52" s="21" t="n">
        <f aca="false">SUM(Q47:Q51)</f>
        <v>295.667477714014</v>
      </c>
      <c r="R52" s="21" t="n">
        <f aca="false">SUM(R47:R51)</f>
        <v>499.902365248778</v>
      </c>
      <c r="S52" s="21" t="n">
        <f aca="false">SUM(S47:S51)</f>
        <v>827.978825848216</v>
      </c>
    </row>
    <row r="53" customFormat="false" ht="15" hidden="false" customHeight="false" outlineLevel="0" collapsed="false">
      <c r="B53" s="8" t="s">
        <v>86</v>
      </c>
      <c r="C53" s="21" t="n">
        <f aca="false">-C47*C33</f>
        <v>-0.138308333333333</v>
      </c>
      <c r="D53" s="21" t="n">
        <f aca="false">-D47*D33</f>
        <v>-0.170617416666667</v>
      </c>
      <c r="E53" s="21" t="n">
        <f aca="false">-E47*E33</f>
        <v>-0.339716151</v>
      </c>
      <c r="F53" s="21" t="n">
        <f aca="false">-F47*F33</f>
        <v>-0.466666666666667</v>
      </c>
      <c r="G53" s="21" t="n">
        <f aca="false">-G47*G33</f>
        <v>-0.65</v>
      </c>
      <c r="H53" s="21" t="n">
        <f aca="false">-H47*H33</f>
        <v>-2.38</v>
      </c>
      <c r="I53" s="21" t="n">
        <f aca="false">-I47*I33</f>
        <v>-2.7561347757898</v>
      </c>
      <c r="J53" s="21" t="n">
        <f aca="false">-J47*J33</f>
        <v>-1.08453150434587</v>
      </c>
      <c r="K53" s="21" t="n">
        <f aca="false">-K47*K33</f>
        <v>-2.94648409650156</v>
      </c>
      <c r="L53" s="21" t="n">
        <f aca="false">-L47*L33</f>
        <v>-3.8680160956683</v>
      </c>
      <c r="M53" s="21" t="n">
        <f aca="false">-M47*M33</f>
        <v>-4.62976802474491</v>
      </c>
      <c r="N53" s="21" t="n">
        <f aca="false">-N47*N33</f>
        <v>-5.34087498400256</v>
      </c>
      <c r="O53" s="21" t="n">
        <f aca="false">SUM(C53:N53)</f>
        <v>-24.7711180487197</v>
      </c>
      <c r="P53" s="21" t="n">
        <f aca="false">-P47*P33</f>
        <v>-31.5986375652457</v>
      </c>
      <c r="Q53" s="21" t="n">
        <f aca="false">-Q47*Q33</f>
        <v>-39.7240015105946</v>
      </c>
      <c r="R53" s="21" t="n">
        <f aca="false">-R47*R33</f>
        <v>-52.002329250233</v>
      </c>
      <c r="S53" s="21" t="n">
        <f aca="false">-S47*S33</f>
        <v>-69.3364390003106</v>
      </c>
    </row>
    <row r="54" customFormat="false" ht="15" hidden="false" customHeight="false" outlineLevel="0" collapsed="false">
      <c r="B54" s="6" t="s">
        <v>87</v>
      </c>
      <c r="C54" s="21" t="n">
        <f aca="false">C52+C53</f>
        <v>0.510772675</v>
      </c>
      <c r="D54" s="21" t="n">
        <f aca="false">D52+D53</f>
        <v>0.63009011975</v>
      </c>
      <c r="E54" s="21" t="n">
        <f aca="false">E52+E53</f>
        <v>0.9888570962025</v>
      </c>
      <c r="F54" s="21" t="n">
        <f aca="false">F52+F53</f>
        <v>1.40125</v>
      </c>
      <c r="G54" s="21" t="n">
        <f aca="false">G52+G53</f>
        <v>1.78791666666667</v>
      </c>
      <c r="H54" s="21" t="n">
        <f aca="false">H52+H53</f>
        <v>4.27541666666667</v>
      </c>
      <c r="I54" s="21" t="n">
        <f aca="false">I52+I53</f>
        <v>5.35155652332217</v>
      </c>
      <c r="J54" s="21" t="n">
        <f aca="false">J52+J53</f>
        <v>4.02712608648166</v>
      </c>
      <c r="K54" s="21" t="n">
        <f aca="false">K52+K53</f>
        <v>6.13886680028232</v>
      </c>
      <c r="L54" s="21" t="n">
        <f aca="false">L52+L53</f>
        <v>9.41978406237991</v>
      </c>
      <c r="M54" s="21" t="n">
        <f aca="false">M52+M53</f>
        <v>12.2508380175323</v>
      </c>
      <c r="N54" s="21" t="n">
        <f aca="false">N52+N53</f>
        <v>14.1876090440216</v>
      </c>
      <c r="O54" s="21" t="n">
        <f aca="false">O52+O53</f>
        <v>65.9700837583058</v>
      </c>
      <c r="P54" s="21" t="n">
        <f aca="false">P52+P53</f>
        <v>135.758223151967</v>
      </c>
      <c r="Q54" s="21" t="n">
        <f aca="false">Q52+Q53</f>
        <v>255.943476203419</v>
      </c>
      <c r="R54" s="21" t="n">
        <f aca="false">R52+R53</f>
        <v>447.900035998545</v>
      </c>
      <c r="S54" s="21" t="n">
        <f aca="false">S52+S53</f>
        <v>758.642386847906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88</v>
      </c>
    </row>
    <row r="2" customFormat="false" ht="15" hidden="false" customHeight="false" outlineLevel="0" collapsed="false">
      <c r="B2" s="2" t="s">
        <v>89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B5" s="8" t="s">
        <v>90</v>
      </c>
      <c r="C5" s="12" t="n">
        <v>45</v>
      </c>
    </row>
    <row r="6" customFormat="false" ht="15" hidden="false" customHeight="false" outlineLevel="0" collapsed="false">
      <c r="B6" s="8" t="s">
        <v>91</v>
      </c>
      <c r="C6" s="12" t="n">
        <v>35</v>
      </c>
    </row>
    <row r="7" customFormat="false" ht="15" hidden="false" customHeight="false" outlineLevel="0" collapsed="false">
      <c r="B7" s="8" t="s">
        <v>92</v>
      </c>
      <c r="C7" s="12" t="n">
        <v>26</v>
      </c>
    </row>
    <row r="8" customFormat="false" ht="15" hidden="false" customHeight="false" outlineLevel="0" collapsed="false">
      <c r="B8" s="8" t="s">
        <v>93</v>
      </c>
      <c r="C8" s="12" t="n">
        <v>15</v>
      </c>
    </row>
    <row r="9" customFormat="false" ht="15" hidden="false" customHeight="false" outlineLevel="0" collapsed="false">
      <c r="B9" s="8" t="s">
        <v>94</v>
      </c>
      <c r="C9" s="17" t="n">
        <v>0.002</v>
      </c>
    </row>
    <row r="10" customFormat="false" ht="15" hidden="false" customHeight="false" outlineLevel="0" collapsed="false">
      <c r="B10" s="8" t="s">
        <v>95</v>
      </c>
      <c r="C10" s="17" t="n">
        <v>0.001</v>
      </c>
    </row>
    <row r="11" customFormat="false" ht="15" hidden="false" customHeight="false" outlineLevel="0" collapsed="false">
      <c r="B11" s="8" t="s">
        <v>96</v>
      </c>
      <c r="C11" s="15" t="n">
        <v>0.2</v>
      </c>
    </row>
    <row r="12" customFormat="false" ht="15" hidden="false" customHeight="false" outlineLevel="0" collapsed="false">
      <c r="B12" s="8" t="s">
        <v>97</v>
      </c>
      <c r="C12" s="12" t="n">
        <v>4600</v>
      </c>
    </row>
    <row r="14" customFormat="false" ht="15" hidden="false" customHeight="false" outlineLevel="0" collapsed="false">
      <c r="B14" s="3" t="s">
        <v>98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5" hidden="false" customHeight="false" outlineLevel="0" collapsed="false">
      <c r="C15" s="10" t="s">
        <v>46</v>
      </c>
      <c r="D15" s="10" t="s">
        <v>47</v>
      </c>
      <c r="E15" s="10" t="s">
        <v>48</v>
      </c>
      <c r="F15" s="10" t="s">
        <v>49</v>
      </c>
      <c r="G15" s="10" t="s">
        <v>50</v>
      </c>
      <c r="H15" s="10" t="s">
        <v>51</v>
      </c>
      <c r="I15" s="10" t="s">
        <v>52</v>
      </c>
      <c r="J15" s="10" t="s">
        <v>53</v>
      </c>
      <c r="K15" s="10" t="s">
        <v>54</v>
      </c>
      <c r="L15" s="10" t="s">
        <v>55</v>
      </c>
      <c r="M15" s="10" t="s">
        <v>56</v>
      </c>
      <c r="N15" s="10" t="s">
        <v>57</v>
      </c>
      <c r="O15" s="10" t="s">
        <v>4</v>
      </c>
      <c r="P15" s="10" t="s">
        <v>58</v>
      </c>
      <c r="Q15" s="10" t="s">
        <v>59</v>
      </c>
      <c r="R15" s="10" t="s">
        <v>60</v>
      </c>
      <c r="S15" s="10" t="s">
        <v>5</v>
      </c>
    </row>
    <row r="16" customFormat="false" ht="15" hidden="false" customHeight="false" outlineLevel="0" collapsed="false">
      <c r="B16" s="6" t="s">
        <v>99</v>
      </c>
      <c r="C16" s="7" t="n">
        <f aca="false">'Revenue Build'!C54</f>
        <v>0.510772675</v>
      </c>
      <c r="D16" s="7" t="n">
        <f aca="false">'Revenue Build'!D54</f>
        <v>0.63009011975</v>
      </c>
      <c r="E16" s="7" t="n">
        <f aca="false">'Revenue Build'!E54</f>
        <v>0.9888570962025</v>
      </c>
      <c r="F16" s="7" t="n">
        <f aca="false">'Revenue Build'!F54</f>
        <v>1.40125</v>
      </c>
      <c r="G16" s="7" t="n">
        <f aca="false">'Revenue Build'!G54</f>
        <v>1.78791666666667</v>
      </c>
      <c r="H16" s="7" t="n">
        <f aca="false">'Revenue Build'!H54</f>
        <v>4.27541666666667</v>
      </c>
      <c r="I16" s="7" t="n">
        <f aca="false">'Revenue Build'!I54</f>
        <v>5.35155652332217</v>
      </c>
      <c r="J16" s="7" t="n">
        <f aca="false">'Revenue Build'!J54</f>
        <v>4.02712608648166</v>
      </c>
      <c r="K16" s="7" t="n">
        <f aca="false">'Revenue Build'!K54</f>
        <v>6.13886680028232</v>
      </c>
      <c r="L16" s="7" t="n">
        <f aca="false">'Revenue Build'!L54</f>
        <v>9.41978406237991</v>
      </c>
      <c r="M16" s="7" t="n">
        <f aca="false">'Revenue Build'!M54</f>
        <v>12.2508380175323</v>
      </c>
      <c r="N16" s="7" t="n">
        <f aca="false">'Revenue Build'!N54</f>
        <v>14.1876090440216</v>
      </c>
      <c r="O16" s="7" t="n">
        <f aca="false">'Revenue Build'!O54</f>
        <v>65.9700837583058</v>
      </c>
      <c r="P16" s="7" t="n">
        <f aca="false">'Revenue Build'!P54</f>
        <v>135.758223151967</v>
      </c>
      <c r="Q16" s="7" t="n">
        <f aca="false">'Revenue Build'!Q54</f>
        <v>255.943476203419</v>
      </c>
      <c r="R16" s="7" t="n">
        <f aca="false">'Revenue Build'!R54</f>
        <v>447.900035998545</v>
      </c>
      <c r="S16" s="7" t="n">
        <f aca="false">'Revenue Build'!S54</f>
        <v>758.642386847906</v>
      </c>
    </row>
    <row r="17" customFormat="false" ht="15" hidden="false" customHeight="false" outlineLevel="0" collapsed="false">
      <c r="B17" s="8" t="s">
        <v>100</v>
      </c>
      <c r="C17" s="7" t="n">
        <f aca="false">'Revenue Build'!C37</f>
        <v>5</v>
      </c>
      <c r="D17" s="7" t="n">
        <f aca="false">'Revenue Build'!D37</f>
        <v>5</v>
      </c>
      <c r="E17" s="7" t="n">
        <f aca="false">'Revenue Build'!E37</f>
        <v>7.5</v>
      </c>
      <c r="F17" s="7" t="n">
        <f aca="false">'Revenue Build'!F37</f>
        <v>10</v>
      </c>
      <c r="G17" s="7" t="n">
        <f aca="false">'Revenue Build'!G37</f>
        <v>12.5</v>
      </c>
      <c r="H17" s="7" t="n">
        <f aca="false">'Revenue Build'!H37</f>
        <v>25</v>
      </c>
      <c r="I17" s="7" t="n">
        <f aca="false">'Revenue Build'!I37</f>
        <v>20</v>
      </c>
      <c r="J17" s="7" t="n">
        <f aca="false">'Revenue Build'!J37</f>
        <v>15</v>
      </c>
      <c r="K17" s="7" t="n">
        <f aca="false">'Revenue Build'!K37</f>
        <v>35</v>
      </c>
      <c r="L17" s="7" t="n">
        <f aca="false">'Revenue Build'!L37</f>
        <v>40</v>
      </c>
      <c r="M17" s="7" t="n">
        <f aca="false">'Revenue Build'!M37</f>
        <v>37.5</v>
      </c>
      <c r="N17" s="7" t="n">
        <f aca="false">'Revenue Build'!N37</f>
        <v>37.5</v>
      </c>
      <c r="O17" s="7" t="n">
        <f aca="false">'Revenue Build'!O37</f>
        <v>250</v>
      </c>
      <c r="P17" s="19" t="n">
        <v>250</v>
      </c>
      <c r="Q17" s="19" t="n">
        <v>250</v>
      </c>
      <c r="R17" s="19" t="n">
        <v>200</v>
      </c>
      <c r="S17" s="19" t="n">
        <v>150</v>
      </c>
    </row>
    <row r="18" customFormat="false" ht="15" hidden="false" customHeight="false" outlineLevel="0" collapsed="false">
      <c r="B18" s="8" t="s">
        <v>101</v>
      </c>
      <c r="C18" s="21" t="n">
        <f aca="false">$C$5/12</f>
        <v>3.75</v>
      </c>
      <c r="D18" s="21" t="n">
        <f aca="false">$C$5/12</f>
        <v>3.75</v>
      </c>
      <c r="E18" s="21" t="n">
        <f aca="false">$C$5/12</f>
        <v>3.75</v>
      </c>
      <c r="F18" s="21" t="n">
        <f aca="false">$C$5/12</f>
        <v>3.75</v>
      </c>
      <c r="G18" s="21" t="n">
        <f aca="false">$C$5/12</f>
        <v>3.75</v>
      </c>
      <c r="H18" s="21" t="n">
        <f aca="false">$C$5/12</f>
        <v>3.75</v>
      </c>
      <c r="I18" s="21" t="n">
        <f aca="false">$C$5/12</f>
        <v>3.75</v>
      </c>
      <c r="J18" s="21" t="n">
        <f aca="false">$C$5/12</f>
        <v>3.75</v>
      </c>
      <c r="K18" s="21" t="n">
        <f aca="false">$C$5/12</f>
        <v>3.75</v>
      </c>
      <c r="L18" s="21" t="n">
        <f aca="false">$C$5/12</f>
        <v>3.75</v>
      </c>
      <c r="M18" s="21" t="n">
        <f aca="false">$C$5/12</f>
        <v>3.75</v>
      </c>
      <c r="N18" s="21" t="n">
        <f aca="false">$C$5/12</f>
        <v>3.75</v>
      </c>
      <c r="O18" s="21" t="n">
        <f aca="false">$C$5</f>
        <v>45</v>
      </c>
      <c r="P18" s="21" t="n">
        <f aca="false">O18*(1+$C$11)</f>
        <v>54</v>
      </c>
      <c r="Q18" s="21" t="n">
        <f aca="false">P18*(1+$C$11)</f>
        <v>64.8</v>
      </c>
      <c r="R18" s="21" t="n">
        <f aca="false">Q18*(1+$C$11)</f>
        <v>77.76</v>
      </c>
      <c r="S18" s="21" t="n">
        <f aca="false">R18*(1+$C$11)</f>
        <v>93.312</v>
      </c>
    </row>
    <row r="19" customFormat="false" ht="15" hidden="false" customHeight="false" outlineLevel="0" collapsed="false">
      <c r="B19" s="8" t="s">
        <v>102</v>
      </c>
      <c r="C19" s="21" t="n">
        <f aca="false">$C$6/12</f>
        <v>2.91666666666667</v>
      </c>
      <c r="D19" s="21" t="n">
        <f aca="false">$C$6/12</f>
        <v>2.91666666666667</v>
      </c>
      <c r="E19" s="21" t="n">
        <f aca="false">$C$6/12</f>
        <v>2.91666666666667</v>
      </c>
      <c r="F19" s="21" t="n">
        <f aca="false">$C$6/12</f>
        <v>2.91666666666667</v>
      </c>
      <c r="G19" s="21" t="n">
        <f aca="false">$C$6/12</f>
        <v>2.91666666666667</v>
      </c>
      <c r="H19" s="21" t="n">
        <f aca="false">$C$6/12</f>
        <v>2.91666666666667</v>
      </c>
      <c r="I19" s="21" t="n">
        <f aca="false">$C$6/12</f>
        <v>2.91666666666667</v>
      </c>
      <c r="J19" s="21" t="n">
        <f aca="false">$C$6/12</f>
        <v>2.91666666666667</v>
      </c>
      <c r="K19" s="21" t="n">
        <f aca="false">$C$6/12</f>
        <v>2.91666666666667</v>
      </c>
      <c r="L19" s="21" t="n">
        <f aca="false">$C$6/12</f>
        <v>2.91666666666667</v>
      </c>
      <c r="M19" s="21" t="n">
        <f aca="false">$C$6/12</f>
        <v>2.91666666666667</v>
      </c>
      <c r="N19" s="21" t="n">
        <f aca="false">$C$6/12</f>
        <v>2.91666666666667</v>
      </c>
      <c r="O19" s="21" t="n">
        <f aca="false">$C$6</f>
        <v>35</v>
      </c>
      <c r="P19" s="21" t="n">
        <f aca="false">O19*(1+$C$11)</f>
        <v>42</v>
      </c>
      <c r="Q19" s="21" t="n">
        <f aca="false">P19*(1+$C$11)</f>
        <v>50.4</v>
      </c>
      <c r="R19" s="21" t="n">
        <f aca="false">Q19*(1+$C$11)</f>
        <v>60.48</v>
      </c>
      <c r="S19" s="21" t="n">
        <f aca="false">R19*(1+$C$11)</f>
        <v>72.576</v>
      </c>
    </row>
    <row r="20" customFormat="false" ht="15" hidden="false" customHeight="false" outlineLevel="0" collapsed="false">
      <c r="B20" s="8" t="s">
        <v>103</v>
      </c>
      <c r="C20" s="21" t="n">
        <f aca="false">$C$7/12</f>
        <v>2.16666666666667</v>
      </c>
      <c r="D20" s="21" t="n">
        <f aca="false">$C$7/12</f>
        <v>2.16666666666667</v>
      </c>
      <c r="E20" s="21" t="n">
        <f aca="false">$C$7/12</f>
        <v>2.16666666666667</v>
      </c>
      <c r="F20" s="21" t="n">
        <f aca="false">$C$7/12</f>
        <v>2.16666666666667</v>
      </c>
      <c r="G20" s="21" t="n">
        <f aca="false">$C$7/12</f>
        <v>2.16666666666667</v>
      </c>
      <c r="H20" s="21" t="n">
        <f aca="false">$C$7/12</f>
        <v>2.16666666666667</v>
      </c>
      <c r="I20" s="21" t="n">
        <f aca="false">$C$7/12</f>
        <v>2.16666666666667</v>
      </c>
      <c r="J20" s="21" t="n">
        <f aca="false">$C$7/12</f>
        <v>2.16666666666667</v>
      </c>
      <c r="K20" s="21" t="n">
        <f aca="false">$C$7/12</f>
        <v>2.16666666666667</v>
      </c>
      <c r="L20" s="21" t="n">
        <f aca="false">$C$7/12</f>
        <v>2.16666666666667</v>
      </c>
      <c r="M20" s="21" t="n">
        <f aca="false">$C$7/12</f>
        <v>2.16666666666667</v>
      </c>
      <c r="N20" s="21" t="n">
        <f aca="false">$C$7/12</f>
        <v>2.16666666666667</v>
      </c>
      <c r="O20" s="21" t="n">
        <f aca="false">$C$7</f>
        <v>26</v>
      </c>
      <c r="P20" s="21" t="n">
        <f aca="false">O20*(1+$C$11)</f>
        <v>31.2</v>
      </c>
      <c r="Q20" s="21" t="n">
        <f aca="false">P20*(1+$C$11)</f>
        <v>37.44</v>
      </c>
      <c r="R20" s="21" t="n">
        <f aca="false">Q20*(1+$C$11)</f>
        <v>44.928</v>
      </c>
      <c r="S20" s="21" t="n">
        <f aca="false">R20*(1+$C$11)</f>
        <v>53.9136</v>
      </c>
    </row>
    <row r="21" customFormat="false" ht="15" hidden="false" customHeight="false" outlineLevel="0" collapsed="false">
      <c r="B21" s="8" t="s">
        <v>104</v>
      </c>
      <c r="C21" s="21" t="n">
        <f aca="false">$C$8/12</f>
        <v>1.25</v>
      </c>
      <c r="D21" s="21" t="n">
        <f aca="false">$C$8/12</f>
        <v>1.25</v>
      </c>
      <c r="E21" s="21" t="n">
        <f aca="false">$C$8/12</f>
        <v>1.25</v>
      </c>
      <c r="F21" s="21" t="n">
        <f aca="false">$C$8/12</f>
        <v>1.25</v>
      </c>
      <c r="G21" s="21" t="n">
        <f aca="false">$C$8/12</f>
        <v>1.25</v>
      </c>
      <c r="H21" s="21" t="n">
        <f aca="false">$C$8/12</f>
        <v>1.25</v>
      </c>
      <c r="I21" s="21" t="n">
        <f aca="false">$C$8/12</f>
        <v>1.25</v>
      </c>
      <c r="J21" s="21" t="n">
        <f aca="false">$C$8/12</f>
        <v>1.25</v>
      </c>
      <c r="K21" s="21" t="n">
        <f aca="false">$C$8/12</f>
        <v>1.25</v>
      </c>
      <c r="L21" s="21" t="n">
        <f aca="false">$C$8/12</f>
        <v>1.25</v>
      </c>
      <c r="M21" s="21" t="n">
        <f aca="false">$C$8/12</f>
        <v>1.25</v>
      </c>
      <c r="N21" s="21" t="n">
        <f aca="false">$C$8/12</f>
        <v>1.25</v>
      </c>
      <c r="O21" s="21" t="n">
        <f aca="false">$C$8</f>
        <v>15</v>
      </c>
      <c r="P21" s="21" t="n">
        <f aca="false">O21*(1+$C$11)</f>
        <v>18</v>
      </c>
      <c r="Q21" s="21" t="n">
        <f aca="false">P21*(1+$C$11)</f>
        <v>21.6</v>
      </c>
      <c r="R21" s="21" t="n">
        <f aca="false">Q21*(1+$C$11)</f>
        <v>25.92</v>
      </c>
      <c r="S21" s="21" t="n">
        <f aca="false">R21*(1+$C$11)</f>
        <v>31.104</v>
      </c>
    </row>
    <row r="22" customFormat="false" ht="15" hidden="false" customHeight="false" outlineLevel="0" collapsed="false">
      <c r="B22" s="8" t="s">
        <v>105</v>
      </c>
      <c r="C22" s="21" t="n">
        <f aca="false">IF(1&gt;='Revenue Build'!$C$21,0,'Revenue Build'!C41*$C$9)</f>
        <v>0.115256944444444</v>
      </c>
      <c r="D22" s="21" t="n">
        <f aca="false">IF(2&gt;='Revenue Build'!$C$21,0,'Revenue Build'!D41*$C$9)</f>
        <v>0.142181180555556</v>
      </c>
      <c r="E22" s="21" t="n">
        <f aca="false">IF(3&gt;='Revenue Build'!$C$21,0,'Revenue Build'!E41*$C$9)</f>
        <v>0.23591399375</v>
      </c>
      <c r="F22" s="21" t="n">
        <f aca="false">IF(4&gt;='Revenue Build'!$C$21,0,'Revenue Build'!F41*$C$9)</f>
        <v>0.347222222222222</v>
      </c>
      <c r="G22" s="21" t="n">
        <f aca="false">IF(5&gt;='Revenue Build'!$C$21,0,'Revenue Build'!G41*$C$9)</f>
        <v>0.451388888888889</v>
      </c>
      <c r="H22" s="21" t="n">
        <f aca="false">IF(6&gt;='Revenue Build'!$C$21,0,'Revenue Build'!H41*$C$9)</f>
        <v>1.18055555555556</v>
      </c>
      <c r="I22" s="21" t="n">
        <f aca="false">IF(7&gt;='Revenue Build'!$C$21,0,'Revenue Build'!I41*$C$9)</f>
        <v>1.43548686239052</v>
      </c>
      <c r="J22" s="21" t="n">
        <f aca="false">IF(8&gt;='Revenue Build'!$C$21,0,'Revenue Build'!J41*$C$9)</f>
        <v>0.903776253621558</v>
      </c>
      <c r="K22" s="21" t="n">
        <f aca="false">IF(9&gt;='Revenue Build'!$C$21,0,'Revenue Build'!K41*$C$9)</f>
        <v>0</v>
      </c>
      <c r="L22" s="21" t="n">
        <f aca="false">IF(10&gt;='Revenue Build'!$C$21,0,'Revenue Build'!L41*$C$9)</f>
        <v>0</v>
      </c>
      <c r="M22" s="21" t="n">
        <f aca="false">IF(11&gt;='Revenue Build'!$C$21,0,'Revenue Build'!M41*$C$9)</f>
        <v>0</v>
      </c>
      <c r="N22" s="21" t="n">
        <f aca="false">IF(12&gt;='Revenue Build'!$C$21,0,'Revenue Build'!N41*$C$9)</f>
        <v>0</v>
      </c>
      <c r="O22" s="21" t="n">
        <f aca="false">SUM(C22:N22)</f>
        <v>4.81178190142874</v>
      </c>
      <c r="P22" s="21" t="n">
        <f aca="false">0</f>
        <v>0</v>
      </c>
      <c r="Q22" s="21" t="n">
        <f aca="false">0</f>
        <v>0</v>
      </c>
      <c r="R22" s="21" t="n">
        <f aca="false">0</f>
        <v>0</v>
      </c>
      <c r="S22" s="21" t="n">
        <f aca="false">0</f>
        <v>0</v>
      </c>
    </row>
    <row r="23" customFormat="false" ht="15" hidden="false" customHeight="false" outlineLevel="0" collapsed="false">
      <c r="B23" s="8" t="s">
        <v>106</v>
      </c>
      <c r="C23" s="21" t="n">
        <f aca="false">'Revenue Build'!C45*$C$10</f>
        <v>0</v>
      </c>
      <c r="D23" s="21" t="n">
        <f aca="false">'Revenue Build'!D45*$C$10</f>
        <v>0</v>
      </c>
      <c r="E23" s="21" t="n">
        <f aca="false">'Revenue Build'!E45*$C$10</f>
        <v>0</v>
      </c>
      <c r="F23" s="21" t="n">
        <f aca="false">'Revenue Build'!F45*$C$10</f>
        <v>0</v>
      </c>
      <c r="G23" s="21" t="n">
        <f aca="false">'Revenue Build'!G45*$C$10</f>
        <v>0</v>
      </c>
      <c r="H23" s="21" t="n">
        <f aca="false">'Revenue Build'!H45*$C$10</f>
        <v>0</v>
      </c>
      <c r="I23" s="21" t="n">
        <f aca="false">'Revenue Build'!I45*$C$10</f>
        <v>0.0098347853639633</v>
      </c>
      <c r="J23" s="21" t="n">
        <f aca="false">'Revenue Build'!J45*$C$10</f>
        <v>0.00914635038848586</v>
      </c>
      <c r="K23" s="21" t="n">
        <f aca="false">'Revenue Build'!K45*$C$10</f>
        <v>0.0310975913208519</v>
      </c>
      <c r="L23" s="21" t="n">
        <f aca="false">'Revenue Build'!L45*$C$10</f>
        <v>0.0602515831841506</v>
      </c>
      <c r="M23" s="21" t="n">
        <f aca="false">'Revenue Build'!M45*$C$10</f>
        <v>0.0931891153248197</v>
      </c>
      <c r="N23" s="21" t="n">
        <f aca="false">'Revenue Build'!N45*$C$10</f>
        <v>0.130464761454748</v>
      </c>
      <c r="O23" s="21" t="n">
        <f aca="false">'Revenue Build'!O45*$C$10</f>
        <v>0.333984187037019</v>
      </c>
      <c r="P23" s="21" t="n">
        <f aca="false">'Revenue Build'!P45*$C$10</f>
        <v>3.879297022519</v>
      </c>
      <c r="Q23" s="21" t="n">
        <f aca="false">'Revenue Build'!Q45*$C$10</f>
        <v>12.4137504720608</v>
      </c>
      <c r="R23" s="21" t="n">
        <f aca="false">'Revenue Build'!R45*$C$10</f>
        <v>29.793001132946</v>
      </c>
      <c r="S23" s="21" t="n">
        <f aca="false">'Revenue Build'!S45*$C$10</f>
        <v>63.5584024169514</v>
      </c>
    </row>
    <row r="24" customFormat="false" ht="15" hidden="false" customHeight="false" outlineLevel="0" collapsed="false">
      <c r="B24" s="6" t="s">
        <v>107</v>
      </c>
      <c r="C24" s="21" t="n">
        <f aca="false">SUM(C17:C23)</f>
        <v>15.1985902777778</v>
      </c>
      <c r="D24" s="21" t="n">
        <f aca="false">SUM(D17:D23)</f>
        <v>15.2255145138889</v>
      </c>
      <c r="E24" s="21" t="n">
        <f aca="false">SUM(E17:E23)</f>
        <v>17.8192473270833</v>
      </c>
      <c r="F24" s="21" t="n">
        <f aca="false">SUM(F17:F23)</f>
        <v>20.4305555555556</v>
      </c>
      <c r="G24" s="21" t="n">
        <f aca="false">SUM(G17:G23)</f>
        <v>23.0347222222222</v>
      </c>
      <c r="H24" s="21" t="n">
        <f aca="false">SUM(H17:H23)</f>
        <v>36.2638888888889</v>
      </c>
      <c r="I24" s="21" t="n">
        <f aca="false">SUM(I17:I23)</f>
        <v>31.5286549810878</v>
      </c>
      <c r="J24" s="21" t="n">
        <f aca="false">SUM(J17:J23)</f>
        <v>25.9962559373434</v>
      </c>
      <c r="K24" s="21" t="n">
        <f aca="false">SUM(K17:K23)</f>
        <v>45.1144309246542</v>
      </c>
      <c r="L24" s="21" t="n">
        <f aca="false">SUM(L17:L23)</f>
        <v>50.1435849165175</v>
      </c>
      <c r="M24" s="21" t="n">
        <f aca="false">SUM(M17:M23)</f>
        <v>47.6765224486582</v>
      </c>
      <c r="N24" s="21" t="n">
        <f aca="false">SUM(N17:N23)</f>
        <v>47.7137980947881</v>
      </c>
      <c r="O24" s="21" t="n">
        <f aca="false">SUM(O17:O23)</f>
        <v>376.145766088466</v>
      </c>
      <c r="P24" s="21" t="n">
        <f aca="false">SUM(P17:P23)</f>
        <v>399.079297022519</v>
      </c>
      <c r="Q24" s="21" t="n">
        <f aca="false">SUM(Q17:Q23)</f>
        <v>436.653750472061</v>
      </c>
      <c r="R24" s="21" t="n">
        <f aca="false">SUM(R17:R23)</f>
        <v>438.881001132946</v>
      </c>
      <c r="S24" s="21" t="n">
        <f aca="false">SUM(S17:S23)</f>
        <v>464.464002416951</v>
      </c>
    </row>
    <row r="25" customFormat="false" ht="15" hidden="false" customHeight="false" outlineLevel="0" collapsed="false">
      <c r="B25" s="6" t="s">
        <v>108</v>
      </c>
      <c r="C25" s="21" t="n">
        <f aca="false">C16-C24</f>
        <v>-14.6878176027778</v>
      </c>
      <c r="D25" s="21" t="n">
        <f aca="false">D16-D24</f>
        <v>-14.5954243941389</v>
      </c>
      <c r="E25" s="21" t="n">
        <f aca="false">E16-E24</f>
        <v>-16.8303902308808</v>
      </c>
      <c r="F25" s="21" t="n">
        <f aca="false">F16-F24</f>
        <v>-19.0293055555556</v>
      </c>
      <c r="G25" s="21" t="n">
        <f aca="false">G16-G24</f>
        <v>-21.2468055555556</v>
      </c>
      <c r="H25" s="21" t="n">
        <f aca="false">H16-H24</f>
        <v>-31.9884722222222</v>
      </c>
      <c r="I25" s="21" t="n">
        <f aca="false">I16-I24</f>
        <v>-26.1770984577657</v>
      </c>
      <c r="J25" s="21" t="n">
        <f aca="false">J16-J24</f>
        <v>-21.9691298508617</v>
      </c>
      <c r="K25" s="21" t="n">
        <f aca="false">K16-K24</f>
        <v>-38.9755641243719</v>
      </c>
      <c r="L25" s="21" t="n">
        <f aca="false">L16-L24</f>
        <v>-40.7238008541376</v>
      </c>
      <c r="M25" s="21" t="n">
        <f aca="false">M16-M24</f>
        <v>-35.4256844311258</v>
      </c>
      <c r="N25" s="21" t="n">
        <f aca="false">N16-N24</f>
        <v>-33.5261890507665</v>
      </c>
      <c r="O25" s="21" t="n">
        <f aca="false">O16-O24</f>
        <v>-310.17568233016</v>
      </c>
      <c r="P25" s="21" t="n">
        <f aca="false">P16-P24</f>
        <v>-263.321073870552</v>
      </c>
      <c r="Q25" s="21" t="n">
        <f aca="false">Q16-Q24</f>
        <v>-180.710274268642</v>
      </c>
      <c r="R25" s="21" t="n">
        <f aca="false">R16-R24</f>
        <v>9.01903486559951</v>
      </c>
      <c r="S25" s="21" t="n">
        <f aca="false">S16-S24</f>
        <v>294.178384430954</v>
      </c>
    </row>
    <row r="26" customFormat="false" ht="15" hidden="false" customHeight="false" outlineLevel="0" collapsed="false">
      <c r="B26" s="8" t="s">
        <v>16</v>
      </c>
      <c r="C26" s="23" t="n">
        <f aca="false">IF(C16=0,0,C25/C16)</f>
        <v>-28.7560754944022</v>
      </c>
      <c r="D26" s="23" t="n">
        <f aca="false">IF(D16=0,0,D25/D16)</f>
        <v>-23.1640267584737</v>
      </c>
      <c r="E26" s="23" t="n">
        <f aca="false">IF(E16=0,0,E25/E16)</f>
        <v>-17.0200429319003</v>
      </c>
      <c r="F26" s="23" t="n">
        <f aca="false">IF(F16=0,0,F25/F16)</f>
        <v>-13.5802359004857</v>
      </c>
      <c r="G26" s="23" t="n">
        <f aca="false">IF(G16=0,0,G25/G16)</f>
        <v>-11.8835547269479</v>
      </c>
      <c r="H26" s="23" t="n">
        <f aca="false">IF(H16=0,0,H25/H16)</f>
        <v>-7.48195432543937</v>
      </c>
      <c r="I26" s="23" t="n">
        <f aca="false">IF(I16=0,0,I25/I16)</f>
        <v>-4.89149247395322</v>
      </c>
      <c r="J26" s="23" t="n">
        <f aca="false">IF(J16=0,0,J25/J16)</f>
        <v>-5.45528731385097</v>
      </c>
      <c r="K26" s="23" t="n">
        <f aca="false">IF(K16=0,0,K25/K16)</f>
        <v>-6.34898351640069</v>
      </c>
      <c r="L26" s="23" t="n">
        <f aca="false">IF(L16=0,0,L25/L16)</f>
        <v>-4.32322021231649</v>
      </c>
      <c r="M26" s="23" t="n">
        <f aca="false">IF(M16=0,0,M25/M16)</f>
        <v>-2.89169478695479</v>
      </c>
      <c r="N26" s="23" t="n">
        <f aca="false">IF(N16=0,0,N25/N16)</f>
        <v>-2.36306124215439</v>
      </c>
      <c r="O26" s="23" t="n">
        <f aca="false">IF(O16=0,0,O25/O16)</f>
        <v>-4.70176274849898</v>
      </c>
      <c r="P26" s="23" t="n">
        <f aca="false">IF(P16=0,0,P25/P16)</f>
        <v>-1.93963258914925</v>
      </c>
      <c r="Q26" s="23" t="n">
        <f aca="false">IF(Q16=0,0,Q25/Q16)</f>
        <v>-0.706055403127435</v>
      </c>
      <c r="R26" s="23" t="n">
        <f aca="false">IF(R16=0,0,R25/R16)</f>
        <v>0.0201362673380736</v>
      </c>
      <c r="S26" s="23" t="n">
        <f aca="false">IF(S16=0,0,S25/S16)</f>
        <v>0.387769507123429</v>
      </c>
    </row>
    <row r="27" customFormat="false" ht="15" hidden="false" customHeight="false" outlineLevel="0" collapsed="false">
      <c r="B27" s="8" t="s">
        <v>109</v>
      </c>
      <c r="C27" s="21" t="n">
        <f aca="false">$C$12/12</f>
        <v>383.333333333333</v>
      </c>
      <c r="D27" s="21" t="n">
        <f aca="false">$C$12/12</f>
        <v>383.333333333333</v>
      </c>
      <c r="E27" s="21" t="n">
        <f aca="false">$C$12/12</f>
        <v>383.333333333333</v>
      </c>
      <c r="F27" s="21" t="n">
        <f aca="false">$C$12/12</f>
        <v>383.333333333333</v>
      </c>
      <c r="G27" s="21" t="n">
        <f aca="false">$C$12/12</f>
        <v>383.333333333333</v>
      </c>
      <c r="H27" s="21" t="n">
        <f aca="false">$C$12/12</f>
        <v>383.333333333333</v>
      </c>
      <c r="I27" s="21" t="n">
        <f aca="false">$C$12/12</f>
        <v>383.333333333333</v>
      </c>
      <c r="J27" s="21" t="n">
        <f aca="false">$C$12/12</f>
        <v>383.333333333333</v>
      </c>
      <c r="K27" s="21" t="n">
        <f aca="false">$C$12/12</f>
        <v>383.333333333333</v>
      </c>
      <c r="L27" s="21" t="n">
        <f aca="false">$C$12/12</f>
        <v>383.333333333333</v>
      </c>
      <c r="M27" s="21" t="n">
        <f aca="false">$C$12/12</f>
        <v>383.333333333333</v>
      </c>
      <c r="N27" s="21" t="n">
        <f aca="false">$C$12/12</f>
        <v>383.333333333333</v>
      </c>
      <c r="O27" s="21" t="n">
        <f aca="false">$C$12</f>
        <v>4600</v>
      </c>
      <c r="P27" s="21" t="n">
        <f aca="false">O27*(1+$C$11)</f>
        <v>5520</v>
      </c>
      <c r="Q27" s="21" t="n">
        <f aca="false">P27*(1+$C$11)</f>
        <v>6624</v>
      </c>
      <c r="R27" s="21" t="n">
        <f aca="false">Q27*(1+$C$11)</f>
        <v>7948.8</v>
      </c>
      <c r="S27" s="21" t="n">
        <f aca="false">R27*(1+$C$11)</f>
        <v>9538.56</v>
      </c>
    </row>
    <row r="28" customFormat="false" ht="15" hidden="false" customHeight="false" outlineLevel="0" collapsed="false">
      <c r="B28" s="8" t="s">
        <v>110</v>
      </c>
      <c r="C28" s="7" t="n">
        <f aca="false">C16</f>
        <v>0.510772675</v>
      </c>
      <c r="D28" s="7" t="n">
        <f aca="false">D16</f>
        <v>0.63009011975</v>
      </c>
      <c r="E28" s="7" t="n">
        <f aca="false">E16</f>
        <v>0.9888570962025</v>
      </c>
      <c r="F28" s="7" t="n">
        <f aca="false">F16</f>
        <v>1.40125</v>
      </c>
      <c r="G28" s="7" t="n">
        <f aca="false">G16</f>
        <v>1.78791666666667</v>
      </c>
      <c r="H28" s="7" t="n">
        <f aca="false">H16</f>
        <v>4.27541666666667</v>
      </c>
      <c r="I28" s="7" t="n">
        <f aca="false">I16</f>
        <v>5.35155652332217</v>
      </c>
      <c r="J28" s="7" t="n">
        <f aca="false">J16</f>
        <v>4.02712608648166</v>
      </c>
      <c r="K28" s="7" t="n">
        <f aca="false">K16</f>
        <v>6.13886680028232</v>
      </c>
      <c r="L28" s="7" t="n">
        <f aca="false">L16</f>
        <v>9.41978406237991</v>
      </c>
      <c r="M28" s="7" t="n">
        <f aca="false">M16</f>
        <v>12.2508380175323</v>
      </c>
      <c r="N28" s="7" t="n">
        <f aca="false">N16</f>
        <v>14.1876090440216</v>
      </c>
      <c r="O28" s="7" t="n">
        <f aca="false">O16</f>
        <v>65.9700837583058</v>
      </c>
      <c r="P28" s="7" t="n">
        <f aca="false">P16</f>
        <v>135.758223151967</v>
      </c>
      <c r="Q28" s="7" t="n">
        <f aca="false">Q16</f>
        <v>255.943476203419</v>
      </c>
      <c r="R28" s="7" t="n">
        <f aca="false">R16</f>
        <v>447.900035998545</v>
      </c>
      <c r="S28" s="7" t="n">
        <f aca="false">S16</f>
        <v>758.642386847906</v>
      </c>
    </row>
    <row r="29" customFormat="false" ht="15" hidden="false" customHeight="false" outlineLevel="0" collapsed="false">
      <c r="B29" s="6" t="s">
        <v>111</v>
      </c>
      <c r="C29" s="21" t="n">
        <f aca="false">C27+C28</f>
        <v>383.844106008333</v>
      </c>
      <c r="D29" s="21" t="n">
        <f aca="false">D27+D28</f>
        <v>383.963423453083</v>
      </c>
      <c r="E29" s="21" t="n">
        <f aca="false">E27+E28</f>
        <v>384.322190429536</v>
      </c>
      <c r="F29" s="21" t="n">
        <f aca="false">F27+F28</f>
        <v>384.734583333333</v>
      </c>
      <c r="G29" s="21" t="n">
        <f aca="false">G27+G28</f>
        <v>385.12125</v>
      </c>
      <c r="H29" s="21" t="n">
        <f aca="false">H27+H28</f>
        <v>387.60875</v>
      </c>
      <c r="I29" s="21" t="n">
        <f aca="false">I27+I28</f>
        <v>388.684889856656</v>
      </c>
      <c r="J29" s="21" t="n">
        <f aca="false">J27+J28</f>
        <v>387.360459419815</v>
      </c>
      <c r="K29" s="21" t="n">
        <f aca="false">K27+K28</f>
        <v>389.472200133616</v>
      </c>
      <c r="L29" s="21" t="n">
        <f aca="false">L27+L28</f>
        <v>392.753117395713</v>
      </c>
      <c r="M29" s="21" t="n">
        <f aca="false">M27+M28</f>
        <v>395.584171350866</v>
      </c>
      <c r="N29" s="21" t="n">
        <f aca="false">N27+N28</f>
        <v>397.520942377355</v>
      </c>
      <c r="O29" s="21" t="n">
        <f aca="false">O27+O28</f>
        <v>4665.97008375831</v>
      </c>
      <c r="P29" s="21" t="n">
        <f aca="false">P27+P28</f>
        <v>5655.75822315197</v>
      </c>
      <c r="Q29" s="21" t="n">
        <f aca="false">Q27+Q28</f>
        <v>6879.94347620342</v>
      </c>
      <c r="R29" s="21" t="n">
        <f aca="false">R27+R28</f>
        <v>8396.70003599855</v>
      </c>
      <c r="S29" s="21" t="n">
        <f aca="false">S27+S28</f>
        <v>10297.2023868479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3"/>
    <col collapsed="false" customWidth="true" hidden="false" outlineLevel="0" max="19" min="10" style="0" width="10.51"/>
  </cols>
  <sheetData>
    <row r="1" customFormat="false" ht="17.35" hidden="false" customHeight="false" outlineLevel="0" collapsed="false">
      <c r="B1" s="1" t="s">
        <v>112</v>
      </c>
    </row>
    <row r="2" customFormat="false" ht="15" hidden="false" customHeight="false" outlineLevel="0" collapsed="false">
      <c r="B2" s="2" t="s">
        <v>113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</row>
    <row r="5" customFormat="false" ht="15" hidden="false" customHeight="false" outlineLevel="0" collapsed="false">
      <c r="C5" s="10" t="s">
        <v>18</v>
      </c>
      <c r="D5" s="10" t="s">
        <v>19</v>
      </c>
      <c r="E5" s="10" t="s">
        <v>20</v>
      </c>
      <c r="F5" s="10" t="s">
        <v>21</v>
      </c>
    </row>
    <row r="6" customFormat="false" ht="15" hidden="false" customHeight="false" outlineLevel="0" collapsed="false">
      <c r="B6" s="8" t="s">
        <v>114</v>
      </c>
      <c r="C6" s="12" t="n">
        <v>1000</v>
      </c>
    </row>
    <row r="7" customFormat="false" ht="15" hidden="false" customHeight="false" outlineLevel="0" collapsed="false">
      <c r="B7" s="8" t="s">
        <v>115</v>
      </c>
      <c r="C7" s="24" t="n">
        <v>10</v>
      </c>
    </row>
    <row r="8" customFormat="false" ht="15" hidden="false" customHeight="false" outlineLevel="0" collapsed="false">
      <c r="B8" s="8" t="s">
        <v>34</v>
      </c>
      <c r="C8" s="15" t="n">
        <v>0.02</v>
      </c>
    </row>
    <row r="9" customFormat="false" ht="15" hidden="false" customHeight="false" outlineLevel="0" collapsed="false">
      <c r="B9" s="8" t="s">
        <v>116</v>
      </c>
      <c r="C9" s="25" t="n">
        <f aca="false">'Revenue Build'!S33</f>
        <v>0.15</v>
      </c>
    </row>
    <row r="10" customFormat="false" ht="15" hidden="false" customHeight="false" outlineLevel="0" collapsed="false">
      <c r="B10" s="8" t="s">
        <v>35</v>
      </c>
      <c r="C10" s="15" t="n">
        <v>0.005</v>
      </c>
    </row>
    <row r="11" customFormat="false" ht="15" hidden="false" customHeight="false" outlineLevel="0" collapsed="false">
      <c r="B11" s="8" t="s">
        <v>117</v>
      </c>
      <c r="C11" s="15" t="n">
        <v>0.001</v>
      </c>
    </row>
    <row r="12" customFormat="false" ht="15" hidden="false" customHeight="false" outlineLevel="0" collapsed="false">
      <c r="B12" s="8" t="s">
        <v>118</v>
      </c>
      <c r="C12" s="16" t="n">
        <v>3.3</v>
      </c>
    </row>
    <row r="14" customFormat="false" ht="15" hidden="false" customHeight="false" outlineLevel="0" collapsed="false">
      <c r="B14" s="6" t="s">
        <v>119</v>
      </c>
    </row>
    <row r="15" customFormat="false" ht="15" hidden="false" customHeight="false" outlineLevel="0" collapsed="false">
      <c r="B15" s="8" t="s">
        <v>120</v>
      </c>
      <c r="C15" s="21" t="n">
        <f aca="false">'Revenue Build'!S42*0.75</f>
        <v>57202.5621752563</v>
      </c>
      <c r="D15" s="21" t="n">
        <f aca="false">'Revenue Build'!S42</f>
        <v>76270.0829003417</v>
      </c>
      <c r="E15" s="21" t="n">
        <f aca="false">'Revenue Build'!S42*1.3</f>
        <v>99151.1077704442</v>
      </c>
      <c r="F15" s="21" t="n">
        <f aca="false">'Revenue Build'!S42*1.6</f>
        <v>122032.132640547</v>
      </c>
    </row>
    <row r="16" customFormat="false" ht="15" hidden="false" customHeight="false" outlineLevel="0" collapsed="false">
      <c r="B16" s="8" t="s">
        <v>121</v>
      </c>
      <c r="C16" s="15" t="n">
        <v>0.2</v>
      </c>
      <c r="D16" s="15" t="n">
        <v>0.4</v>
      </c>
      <c r="E16" s="15" t="n">
        <v>0.6</v>
      </c>
    </row>
    <row r="17" customFormat="false" ht="15" hidden="false" customHeight="false" outlineLevel="0" collapsed="false">
      <c r="B17" s="8" t="s">
        <v>122</v>
      </c>
      <c r="F17" s="15" t="n">
        <v>0.45</v>
      </c>
    </row>
    <row r="18" customFormat="false" ht="15" hidden="false" customHeight="false" outlineLevel="0" collapsed="false">
      <c r="B18" s="8" t="s">
        <v>123</v>
      </c>
      <c r="F18" s="15" t="n">
        <v>0.9</v>
      </c>
    </row>
    <row r="19" customFormat="false" ht="15" hidden="false" customHeight="false" outlineLevel="0" collapsed="false">
      <c r="B19" s="8" t="s">
        <v>124</v>
      </c>
      <c r="C19" s="19" t="n">
        <v>120</v>
      </c>
      <c r="D19" s="19" t="n">
        <v>180</v>
      </c>
      <c r="E19" s="19" t="n">
        <v>300</v>
      </c>
      <c r="F19" s="19" t="n">
        <v>800</v>
      </c>
    </row>
    <row r="21" customFormat="false" ht="15" hidden="false" customHeight="false" outlineLevel="0" collapsed="false">
      <c r="B21" s="6" t="s">
        <v>125</v>
      </c>
    </row>
    <row r="22" customFormat="false" ht="15" hidden="false" customHeight="false" outlineLevel="0" collapsed="false">
      <c r="B22" s="8" t="s">
        <v>11</v>
      </c>
      <c r="C22" s="16" t="n">
        <v>2</v>
      </c>
      <c r="D22" s="16" t="n">
        <v>5</v>
      </c>
      <c r="E22" s="16" t="n">
        <v>6</v>
      </c>
      <c r="F22" s="16" t="n">
        <v>8</v>
      </c>
    </row>
    <row r="23" customFormat="false" ht="15" hidden="false" customHeight="false" outlineLevel="0" collapsed="false">
      <c r="B23" s="8" t="s">
        <v>12</v>
      </c>
      <c r="C23" s="16" t="n">
        <v>5</v>
      </c>
      <c r="D23" s="16" t="n">
        <v>10</v>
      </c>
      <c r="E23" s="16" t="n">
        <v>12</v>
      </c>
      <c r="F23" s="16" t="n">
        <v>15</v>
      </c>
    </row>
    <row r="24" customFormat="false" ht="15" hidden="false" customHeight="false" outlineLevel="0" collapsed="false">
      <c r="B24" s="8" t="s">
        <v>13</v>
      </c>
      <c r="C24" s="16" t="n">
        <v>1</v>
      </c>
      <c r="D24" s="16" t="n">
        <v>2.5</v>
      </c>
      <c r="E24" s="16" t="n">
        <v>3</v>
      </c>
      <c r="F24" s="16" t="n">
        <v>4</v>
      </c>
    </row>
    <row r="25" customFormat="false" ht="15" hidden="false" customHeight="false" outlineLevel="0" collapsed="false">
      <c r="B25" s="8" t="s">
        <v>126</v>
      </c>
      <c r="C25" s="16" t="n">
        <v>4</v>
      </c>
      <c r="D25" s="16" t="n">
        <v>7</v>
      </c>
      <c r="E25" s="16" t="n">
        <v>9</v>
      </c>
      <c r="F25" s="16" t="n">
        <v>12</v>
      </c>
    </row>
    <row r="27" customFormat="false" ht="15" hidden="false" customHeight="false" outlineLevel="0" collapsed="false">
      <c r="B27" s="3" t="s">
        <v>127</v>
      </c>
      <c r="C27" s="4"/>
      <c r="D27" s="4"/>
      <c r="E27" s="4"/>
      <c r="F27" s="4"/>
    </row>
    <row r="28" customFormat="false" ht="15" hidden="false" customHeight="false" outlineLevel="0" collapsed="false">
      <c r="C28" s="10" t="s">
        <v>18</v>
      </c>
      <c r="D28" s="10" t="s">
        <v>19</v>
      </c>
      <c r="E28" s="10" t="s">
        <v>20</v>
      </c>
      <c r="F28" s="10" t="s">
        <v>21</v>
      </c>
    </row>
    <row r="29" customFormat="false" ht="15" hidden="false" customHeight="false" outlineLevel="0" collapsed="false">
      <c r="B29" s="6" t="s">
        <v>128</v>
      </c>
      <c r="C29" s="21" t="n">
        <f aca="false">C15*C16</f>
        <v>11440.5124350513</v>
      </c>
      <c r="D29" s="21" t="n">
        <f aca="false">D15*D16</f>
        <v>30508.0331601367</v>
      </c>
      <c r="E29" s="21" t="n">
        <f aca="false">E15*E16</f>
        <v>59490.6646622665</v>
      </c>
      <c r="F29" s="21" t="n">
        <f aca="false">$C$6*1000*F17*F18</f>
        <v>405000</v>
      </c>
    </row>
    <row r="30" customFormat="false" ht="15" hidden="false" customHeight="false" outlineLevel="0" collapsed="false">
      <c r="B30" s="8" t="s">
        <v>129</v>
      </c>
      <c r="C30" s="21" t="n">
        <f aca="false">C15/$C$12</f>
        <v>17334.1097500777</v>
      </c>
      <c r="D30" s="21" t="n">
        <f aca="false">D15/$C$12</f>
        <v>23112.1463334369</v>
      </c>
      <c r="E30" s="21" t="n">
        <f aca="false">E15/$C$12</f>
        <v>30045.7902334679</v>
      </c>
      <c r="F30" s="21" t="n">
        <f aca="false">F15/$C$12</f>
        <v>36979.434133499</v>
      </c>
    </row>
    <row r="32" customFormat="false" ht="15" hidden="false" customHeight="false" outlineLevel="0" collapsed="false">
      <c r="B32" s="6" t="s">
        <v>130</v>
      </c>
    </row>
    <row r="33" customFormat="false" ht="15" hidden="false" customHeight="false" outlineLevel="0" collapsed="false">
      <c r="B33" s="8" t="s">
        <v>131</v>
      </c>
      <c r="C33" s="21" t="n">
        <f aca="false">C30*$C$8</f>
        <v>346.682195001553</v>
      </c>
      <c r="D33" s="21" t="n">
        <f aca="false">D30*$C$8</f>
        <v>462.242926668737</v>
      </c>
      <c r="E33" s="21" t="n">
        <f aca="false">E30*$C$8</f>
        <v>600.915804669359</v>
      </c>
      <c r="F33" s="21" t="n">
        <f aca="false">F30*$C$8</f>
        <v>739.58868266998</v>
      </c>
    </row>
    <row r="34" customFormat="false" ht="15" hidden="false" customHeight="false" outlineLevel="0" collapsed="false">
      <c r="B34" s="8" t="s">
        <v>132</v>
      </c>
      <c r="C34" s="21" t="n">
        <f aca="false">-C33*$C$9</f>
        <v>-52.002329250233</v>
      </c>
      <c r="D34" s="21" t="n">
        <f aca="false">-D33*$C$9</f>
        <v>-69.3364390003106</v>
      </c>
      <c r="E34" s="21" t="n">
        <f aca="false">-E33*$C$9</f>
        <v>-90.1373707004038</v>
      </c>
      <c r="F34" s="21" t="n">
        <f aca="false">-F33*$C$9</f>
        <v>-110.938302400497</v>
      </c>
    </row>
    <row r="35" customFormat="false" ht="15" hidden="false" customHeight="false" outlineLevel="0" collapsed="false">
      <c r="B35" s="8" t="s">
        <v>133</v>
      </c>
      <c r="C35" s="21" t="n">
        <f aca="false">C33+C34</f>
        <v>294.67986575132</v>
      </c>
      <c r="D35" s="21" t="n">
        <f aca="false">D33+D34</f>
        <v>392.906487668427</v>
      </c>
      <c r="E35" s="21" t="n">
        <f aca="false">E33+E34</f>
        <v>510.778433968955</v>
      </c>
      <c r="F35" s="21" t="n">
        <f aca="false">F33+F34</f>
        <v>628.650380269483</v>
      </c>
    </row>
    <row r="36" customFormat="false" ht="15" hidden="false" customHeight="false" outlineLevel="0" collapsed="false">
      <c r="B36" s="8" t="s">
        <v>134</v>
      </c>
      <c r="C36" s="21" t="n">
        <f aca="false">C29*$C$10</f>
        <v>57.2025621752563</v>
      </c>
      <c r="D36" s="21" t="n">
        <f aca="false">D29*$C$10</f>
        <v>152.540165800683</v>
      </c>
      <c r="E36" s="21" t="n">
        <f aca="false">E29*$C$10</f>
        <v>297.453323311333</v>
      </c>
      <c r="F36" s="21" t="n">
        <f aca="false">F29*$C$10</f>
        <v>2025</v>
      </c>
    </row>
    <row r="37" customFormat="false" ht="15" hidden="false" customHeight="false" outlineLevel="0" collapsed="false">
      <c r="B37" s="8" t="s">
        <v>135</v>
      </c>
      <c r="C37" s="21" t="n">
        <f aca="false">C30*$C$11</f>
        <v>17.3341097500777</v>
      </c>
      <c r="D37" s="21" t="n">
        <f aca="false">D30*$C$11</f>
        <v>23.1121463334369</v>
      </c>
      <c r="E37" s="21" t="n">
        <f aca="false">E30*$C$11</f>
        <v>30.0457902334679</v>
      </c>
      <c r="F37" s="21" t="n">
        <f aca="false">F29*$C$11</f>
        <v>405</v>
      </c>
    </row>
    <row r="38" customFormat="false" ht="15" hidden="false" customHeight="false" outlineLevel="0" collapsed="false">
      <c r="B38" s="8" t="s">
        <v>136</v>
      </c>
      <c r="C38" s="21" t="n">
        <f aca="false">C19</f>
        <v>120</v>
      </c>
      <c r="D38" s="21" t="n">
        <f aca="false">D19</f>
        <v>180</v>
      </c>
      <c r="E38" s="21" t="n">
        <f aca="false">E19</f>
        <v>300</v>
      </c>
      <c r="F38" s="21" t="n">
        <f aca="false">F19</f>
        <v>800</v>
      </c>
    </row>
    <row r="39" customFormat="false" ht="15" hidden="false" customHeight="false" outlineLevel="0" collapsed="false">
      <c r="B39" s="6" t="s">
        <v>137</v>
      </c>
      <c r="C39" s="21" t="n">
        <f aca="false">C35+C36+C37+C38</f>
        <v>489.216537676654</v>
      </c>
      <c r="D39" s="21" t="n">
        <f aca="false">D35+D36+D37+D38</f>
        <v>748.558799802547</v>
      </c>
      <c r="E39" s="21" t="n">
        <f aca="false">E35+E36+E37+E38</f>
        <v>1138.27754751376</v>
      </c>
      <c r="F39" s="21" t="n">
        <f aca="false">F35+F36+F37+F38</f>
        <v>3858.65038026948</v>
      </c>
    </row>
    <row r="40" customFormat="false" ht="15" hidden="false" customHeight="false" outlineLevel="0" collapsed="false">
      <c r="B40" s="8" t="s">
        <v>138</v>
      </c>
      <c r="C40" s="23" t="n">
        <f aca="false">C39/($C$7*1000)</f>
        <v>0.0489216537676654</v>
      </c>
      <c r="D40" s="23" t="n">
        <f aca="false">D39/($C$7*1000)</f>
        <v>0.0748558799802547</v>
      </c>
      <c r="E40" s="23" t="n">
        <f aca="false">E39/($C$7*1000)</f>
        <v>0.113827754751376</v>
      </c>
      <c r="F40" s="23" t="n">
        <f aca="false">F39/($C$7*1000)</f>
        <v>0.385865038026948</v>
      </c>
    </row>
    <row r="42" customFormat="false" ht="15" hidden="false" customHeight="false" outlineLevel="0" collapsed="false">
      <c r="B42" s="3" t="s">
        <v>139</v>
      </c>
      <c r="C42" s="4"/>
      <c r="D42" s="4"/>
      <c r="E42" s="4"/>
      <c r="F42" s="4"/>
    </row>
    <row r="43" customFormat="false" ht="15" hidden="false" customHeight="false" outlineLevel="0" collapsed="false">
      <c r="C43" s="10" t="s">
        <v>18</v>
      </c>
      <c r="D43" s="10" t="s">
        <v>19</v>
      </c>
      <c r="E43" s="10" t="s">
        <v>20</v>
      </c>
      <c r="F43" s="10" t="s">
        <v>21</v>
      </c>
    </row>
    <row r="44" customFormat="false" ht="15" hidden="false" customHeight="false" outlineLevel="0" collapsed="false">
      <c r="B44" s="8" t="s">
        <v>140</v>
      </c>
      <c r="C44" s="21" t="n">
        <f aca="false">C35*C22</f>
        <v>589.35973150264</v>
      </c>
      <c r="D44" s="21" t="n">
        <f aca="false">D35*D22</f>
        <v>1964.53243834213</v>
      </c>
      <c r="E44" s="21" t="n">
        <f aca="false">E35*E22</f>
        <v>3064.67060381373</v>
      </c>
      <c r="F44" s="21" t="n">
        <f aca="false">F35*F22</f>
        <v>5029.20304215586</v>
      </c>
    </row>
    <row r="45" customFormat="false" ht="15" hidden="false" customHeight="false" outlineLevel="0" collapsed="false">
      <c r="B45" s="8" t="s">
        <v>134</v>
      </c>
      <c r="C45" s="21" t="n">
        <f aca="false">C36*C23</f>
        <v>286.012810876281</v>
      </c>
      <c r="D45" s="21" t="n">
        <f aca="false">D36*D23</f>
        <v>1525.40165800683</v>
      </c>
      <c r="E45" s="21" t="n">
        <f aca="false">E36*E23</f>
        <v>3569.43987973599</v>
      </c>
      <c r="F45" s="21" t="n">
        <f aca="false">F36*F23</f>
        <v>30375</v>
      </c>
    </row>
    <row r="46" customFormat="false" ht="15" hidden="false" customHeight="false" outlineLevel="0" collapsed="false">
      <c r="B46" s="8" t="s">
        <v>135</v>
      </c>
      <c r="C46" s="21" t="n">
        <f aca="false">C37*C24</f>
        <v>17.3341097500777</v>
      </c>
      <c r="D46" s="21" t="n">
        <f aca="false">D37*D24</f>
        <v>57.7803658335922</v>
      </c>
      <c r="E46" s="21" t="n">
        <f aca="false">E37*E24</f>
        <v>90.1373707004038</v>
      </c>
      <c r="F46" s="21" t="n">
        <f aca="false">F37*F24</f>
        <v>1620</v>
      </c>
    </row>
    <row r="47" customFormat="false" ht="15" hidden="false" customHeight="false" outlineLevel="0" collapsed="false">
      <c r="B47" s="8" t="s">
        <v>141</v>
      </c>
      <c r="C47" s="21" t="n">
        <f aca="false">C38*C25</f>
        <v>480</v>
      </c>
      <c r="D47" s="21" t="n">
        <f aca="false">D38*D25</f>
        <v>1260</v>
      </c>
      <c r="E47" s="21" t="n">
        <f aca="false">E38*E25</f>
        <v>2700</v>
      </c>
      <c r="F47" s="21" t="n">
        <f aca="false">F38*F25</f>
        <v>9600</v>
      </c>
    </row>
    <row r="48" customFormat="false" ht="15" hidden="false" customHeight="false" outlineLevel="0" collapsed="false">
      <c r="B48" s="26" t="s">
        <v>142</v>
      </c>
      <c r="C48" s="27" t="n">
        <f aca="false">SUM(C44:C47)</f>
        <v>1372.706652129</v>
      </c>
      <c r="D48" s="27" t="n">
        <f aca="false">SUM(D44:D47)</f>
        <v>4807.71446218256</v>
      </c>
      <c r="E48" s="27" t="n">
        <f aca="false">SUM(E44:E47)</f>
        <v>9424.24785425012</v>
      </c>
      <c r="F48" s="27" t="n">
        <f aca="false">SUM(F44:F47)</f>
        <v>46624.2030421559</v>
      </c>
    </row>
    <row r="50" customFormat="false" ht="15" hidden="false" customHeight="false" outlineLevel="0" collapsed="false">
      <c r="B50" s="28" t="s">
        <v>143</v>
      </c>
      <c r="C50" s="28"/>
      <c r="D50" s="28"/>
      <c r="E50" s="28"/>
      <c r="F50" s="28"/>
      <c r="G50" s="28"/>
      <c r="H50" s="28"/>
    </row>
  </sheetData>
  <mergeCells count="1">
    <mergeCell ref="B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3"/>
    <col collapsed="false" customWidth="true" hidden="false" outlineLevel="0" max="19" min="7" style="0" width="10.51"/>
  </cols>
  <sheetData>
    <row r="1" customFormat="false" ht="17.35" hidden="false" customHeight="false" outlineLevel="0" collapsed="false">
      <c r="B1" s="1" t="s">
        <v>144</v>
      </c>
    </row>
    <row r="2" customFormat="false" ht="15" hidden="false" customHeight="false" outlineLevel="0" collapsed="false">
      <c r="B2" s="2" t="s">
        <v>145</v>
      </c>
    </row>
    <row r="4" customFormat="false" ht="15" hidden="false" customHeight="false" outlineLevel="0" collapsed="false">
      <c r="B4" s="3" t="s">
        <v>146</v>
      </c>
      <c r="C4" s="4"/>
      <c r="D4" s="4"/>
      <c r="E4" s="4"/>
    </row>
    <row r="5" customFormat="false" ht="15" hidden="false" customHeight="false" outlineLevel="0" collapsed="false">
      <c r="C5" s="10" t="s">
        <v>18</v>
      </c>
      <c r="D5" s="10" t="s">
        <v>19</v>
      </c>
      <c r="E5" s="10" t="s">
        <v>20</v>
      </c>
    </row>
    <row r="6" customFormat="false" ht="15" hidden="false" customHeight="false" outlineLevel="0" collapsed="false">
      <c r="B6" s="8" t="s">
        <v>147</v>
      </c>
      <c r="C6" s="24" t="n">
        <v>2</v>
      </c>
      <c r="D6" s="24" t="n">
        <v>2.5</v>
      </c>
      <c r="E6" s="24" t="n">
        <v>3</v>
      </c>
    </row>
    <row r="7" customFormat="false" ht="15" hidden="false" customHeight="false" outlineLevel="0" collapsed="false">
      <c r="B7" s="8" t="s">
        <v>148</v>
      </c>
      <c r="C7" s="16" t="n">
        <v>0.75</v>
      </c>
      <c r="D7" s="16" t="n">
        <v>1</v>
      </c>
      <c r="E7" s="16" t="n">
        <v>1</v>
      </c>
    </row>
    <row r="9" customFormat="false" ht="15" hidden="false" customHeight="false" outlineLevel="0" collapsed="false">
      <c r="B9" s="3" t="s">
        <v>149</v>
      </c>
      <c r="C9" s="4"/>
      <c r="D9" s="4"/>
      <c r="E9" s="4"/>
    </row>
    <row r="10" customFormat="false" ht="15" hidden="false" customHeight="false" outlineLevel="0" collapsed="false">
      <c r="B10" s="6" t="s">
        <v>150</v>
      </c>
      <c r="C10" s="29" t="n">
        <f aca="false">C6*C7</f>
        <v>1.5</v>
      </c>
      <c r="D10" s="29" t="n">
        <f aca="false">D6*D7</f>
        <v>2.5</v>
      </c>
      <c r="E10" s="29" t="n">
        <f aca="false">E6*E7</f>
        <v>3</v>
      </c>
    </row>
    <row r="12" customFormat="false" ht="15" hidden="false" customHeight="false" outlineLevel="0" collapsed="false">
      <c r="B12" s="3" t="s">
        <v>151</v>
      </c>
      <c r="C12" s="4"/>
      <c r="D12" s="4"/>
      <c r="E12" s="4"/>
    </row>
    <row r="13" customFormat="false" ht="15" hidden="false" customHeight="false" outlineLevel="0" collapsed="false">
      <c r="B13" s="8" t="s">
        <v>152</v>
      </c>
      <c r="C13" s="11" t="n">
        <f aca="false">'Revenue Build'!P42/12/1000</f>
        <v>1.5517188090076</v>
      </c>
    </row>
    <row r="14" customFormat="false" ht="15" hidden="false" customHeight="false" outlineLevel="0" collapsed="false">
      <c r="B14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154</v>
      </c>
    </row>
    <row r="2" customFormat="false" ht="15" hidden="false" customHeight="false" outlineLevel="0" collapsed="false">
      <c r="B2" s="2" t="s">
        <v>155</v>
      </c>
    </row>
    <row r="4" customFormat="false" ht="15" hidden="false" customHeight="false" outlineLevel="0" collapsed="false">
      <c r="B4" s="30" t="s">
        <v>156</v>
      </c>
      <c r="C4" s="30" t="s">
        <v>157</v>
      </c>
      <c r="D4" s="30" t="s">
        <v>158</v>
      </c>
      <c r="E4" s="30" t="s">
        <v>159</v>
      </c>
      <c r="F4" s="30" t="s">
        <v>160</v>
      </c>
      <c r="G4" s="30" t="s">
        <v>161</v>
      </c>
      <c r="H4" s="30" t="s">
        <v>162</v>
      </c>
      <c r="I4" s="30" t="s">
        <v>163</v>
      </c>
      <c r="J4" s="30" t="s">
        <v>164</v>
      </c>
    </row>
    <row r="5" customFormat="false" ht="15" hidden="false" customHeight="false" outlineLevel="0" collapsed="false">
      <c r="B5" s="31" t="s">
        <v>165</v>
      </c>
      <c r="C5" s="32" t="n">
        <v>0.5</v>
      </c>
      <c r="D5" s="32" t="n">
        <v>0</v>
      </c>
      <c r="E5" s="32" t="n">
        <v>0</v>
      </c>
      <c r="F5" s="32" t="n">
        <v>0</v>
      </c>
      <c r="G5" s="33" t="n">
        <f aca="false">SUM(C5:F5)</f>
        <v>0.5</v>
      </c>
      <c r="H5" s="32" t="n">
        <v>1</v>
      </c>
      <c r="I5" s="34" t="n">
        <f aca="false">IF(H5=0,0,G5/H5)</f>
        <v>0.5</v>
      </c>
      <c r="J5" s="33" t="n">
        <f aca="false">G5</f>
        <v>0.5</v>
      </c>
    </row>
    <row r="6" customFormat="false" ht="15" hidden="false" customHeight="false" outlineLevel="0" collapsed="false">
      <c r="B6" s="31" t="s">
        <v>166</v>
      </c>
      <c r="C6" s="32" t="n">
        <v>0</v>
      </c>
      <c r="D6" s="32" t="n">
        <v>0</v>
      </c>
      <c r="E6" s="32" t="n">
        <v>0</v>
      </c>
      <c r="F6" s="32" t="n">
        <v>0</v>
      </c>
      <c r="G6" s="33" t="n">
        <f aca="false">SUM(C6:F6)</f>
        <v>0</v>
      </c>
      <c r="H6" s="32" t="n">
        <v>0</v>
      </c>
      <c r="I6" s="34" t="n">
        <f aca="false">IF(H6=0,0,G6/H6)</f>
        <v>0</v>
      </c>
      <c r="J6" s="33" t="n">
        <f aca="false">J5+G6</f>
        <v>0.5</v>
      </c>
    </row>
    <row r="7" customFormat="false" ht="15" hidden="false" customHeight="false" outlineLevel="0" collapsed="false">
      <c r="B7" s="31" t="s">
        <v>167</v>
      </c>
      <c r="C7" s="32" t="n">
        <v>0</v>
      </c>
      <c r="D7" s="32" t="n">
        <v>0</v>
      </c>
      <c r="E7" s="32" t="n">
        <v>0</v>
      </c>
      <c r="F7" s="32" t="n">
        <v>0</v>
      </c>
      <c r="G7" s="33" t="n">
        <f aca="false">SUM(C7:F7)</f>
        <v>0</v>
      </c>
      <c r="H7" s="32" t="n">
        <v>0</v>
      </c>
      <c r="I7" s="34" t="n">
        <f aca="false">IF(H7=0,0,G7/H7)</f>
        <v>0</v>
      </c>
      <c r="J7" s="33" t="n">
        <f aca="false">J6+G7</f>
        <v>0.5</v>
      </c>
    </row>
    <row r="8" customFormat="false" ht="15" hidden="false" customHeight="false" outlineLevel="0" collapsed="false">
      <c r="B8" s="31" t="s">
        <v>168</v>
      </c>
      <c r="C8" s="32" t="n">
        <v>0</v>
      </c>
      <c r="D8" s="32" t="n">
        <v>0</v>
      </c>
      <c r="E8" s="32" t="n">
        <v>0</v>
      </c>
      <c r="F8" s="32" t="n">
        <v>0</v>
      </c>
      <c r="G8" s="33" t="n">
        <f aca="false">SUM(C8:F8)</f>
        <v>0</v>
      </c>
      <c r="H8" s="32" t="n">
        <v>0</v>
      </c>
      <c r="I8" s="34" t="n">
        <f aca="false">IF(H8=0,0,G8/H8)</f>
        <v>0</v>
      </c>
      <c r="J8" s="33" t="n">
        <f aca="false">J7+G8</f>
        <v>0.5</v>
      </c>
    </row>
    <row r="9" customFormat="false" ht="15" hidden="false" customHeight="false" outlineLevel="0" collapsed="false">
      <c r="B9" s="31" t="s">
        <v>169</v>
      </c>
      <c r="C9" s="32" t="n">
        <v>0</v>
      </c>
      <c r="D9" s="32" t="n">
        <v>0</v>
      </c>
      <c r="E9" s="32" t="n">
        <v>0</v>
      </c>
      <c r="F9" s="32" t="n">
        <v>0</v>
      </c>
      <c r="G9" s="33" t="n">
        <f aca="false">SUM(C9:F9)</f>
        <v>0</v>
      </c>
      <c r="H9" s="32" t="n">
        <v>0</v>
      </c>
      <c r="I9" s="34" t="n">
        <f aca="false">IF(H9=0,0,G9/H9)</f>
        <v>0</v>
      </c>
      <c r="J9" s="33" t="n">
        <f aca="false">J8+G9</f>
        <v>0.5</v>
      </c>
    </row>
    <row r="10" customFormat="false" ht="15" hidden="false" customHeight="false" outlineLevel="0" collapsed="false">
      <c r="B10" s="31" t="s">
        <v>170</v>
      </c>
      <c r="C10" s="32" t="n">
        <v>0</v>
      </c>
      <c r="D10" s="32" t="n">
        <v>0</v>
      </c>
      <c r="E10" s="32" t="n">
        <v>0</v>
      </c>
      <c r="F10" s="32" t="n">
        <v>0</v>
      </c>
      <c r="G10" s="33" t="n">
        <f aca="false">SUM(C10:F10)</f>
        <v>0</v>
      </c>
      <c r="H10" s="32" t="n">
        <v>0</v>
      </c>
      <c r="I10" s="34" t="n">
        <f aca="false">IF(H10=0,0,G10/H10)</f>
        <v>0</v>
      </c>
      <c r="J10" s="33" t="n">
        <f aca="false">J9+G10</f>
        <v>0.5</v>
      </c>
    </row>
    <row r="11" customFormat="false" ht="15" hidden="false" customHeight="false" outlineLevel="0" collapsed="false">
      <c r="B11" s="31" t="s">
        <v>171</v>
      </c>
      <c r="C11" s="32" t="n">
        <v>0</v>
      </c>
      <c r="D11" s="32" t="n">
        <v>0</v>
      </c>
      <c r="E11" s="32" t="n">
        <v>0</v>
      </c>
      <c r="F11" s="32" t="n">
        <v>0</v>
      </c>
      <c r="G11" s="33" t="n">
        <f aca="false">SUM(C11:F11)</f>
        <v>0</v>
      </c>
      <c r="H11" s="32" t="n">
        <v>0</v>
      </c>
      <c r="I11" s="34" t="n">
        <f aca="false">IF(H11=0,0,G11/H11)</f>
        <v>0</v>
      </c>
      <c r="J11" s="33" t="n">
        <f aca="false">J10+G11</f>
        <v>0.5</v>
      </c>
    </row>
    <row r="12" customFormat="false" ht="15" hidden="false" customHeight="false" outlineLevel="0" collapsed="false">
      <c r="B12" s="31" t="s">
        <v>172</v>
      </c>
      <c r="C12" s="32" t="n">
        <v>0</v>
      </c>
      <c r="D12" s="32" t="n">
        <v>0</v>
      </c>
      <c r="E12" s="32" t="n">
        <v>0</v>
      </c>
      <c r="F12" s="32" t="n">
        <v>0</v>
      </c>
      <c r="G12" s="33" t="n">
        <f aca="false">SUM(C12:F12)</f>
        <v>0</v>
      </c>
      <c r="H12" s="32" t="n">
        <v>25</v>
      </c>
      <c r="I12" s="34" t="n">
        <f aca="false">IF(H12=0,0,G12/H12)</f>
        <v>0</v>
      </c>
      <c r="J12" s="33" t="n">
        <f aca="false">J11+G12</f>
        <v>0.5</v>
      </c>
    </row>
    <row r="13" customFormat="false" ht="15" hidden="false" customHeight="false" outlineLevel="0" collapsed="false">
      <c r="B13" s="31" t="s">
        <v>173</v>
      </c>
      <c r="C13" s="32" t="n">
        <v>0</v>
      </c>
      <c r="D13" s="32" t="n">
        <v>0</v>
      </c>
      <c r="E13" s="32" t="n">
        <v>0</v>
      </c>
      <c r="F13" s="32" t="n">
        <v>0</v>
      </c>
      <c r="G13" s="33" t="n">
        <f aca="false">SUM(C13:F13)</f>
        <v>0</v>
      </c>
      <c r="H13" s="32" t="n">
        <v>0</v>
      </c>
      <c r="I13" s="34" t="n">
        <f aca="false">IF(H13=0,0,G13/H13)</f>
        <v>0</v>
      </c>
      <c r="J13" s="33" t="n">
        <f aca="false">J12+G13</f>
        <v>0.5</v>
      </c>
    </row>
    <row r="14" customFormat="false" ht="15" hidden="false" customHeight="false" outlineLevel="0" collapsed="false">
      <c r="B14" s="31" t="s">
        <v>174</v>
      </c>
      <c r="C14" s="32" t="n">
        <v>0</v>
      </c>
      <c r="D14" s="32" t="n">
        <v>0</v>
      </c>
      <c r="E14" s="32" t="n">
        <v>0</v>
      </c>
      <c r="F14" s="32" t="n">
        <v>0</v>
      </c>
      <c r="G14" s="33" t="n">
        <f aca="false">SUM(C14:F14)</f>
        <v>0</v>
      </c>
      <c r="H14" s="32" t="n">
        <v>0</v>
      </c>
      <c r="I14" s="34" t="n">
        <f aca="false">IF(H14=0,0,G14/H14)</f>
        <v>0</v>
      </c>
      <c r="J14" s="33" t="n">
        <f aca="false">J13+G14</f>
        <v>0.5</v>
      </c>
    </row>
    <row r="15" customFormat="false" ht="15" hidden="false" customHeight="false" outlineLevel="0" collapsed="false">
      <c r="B15" s="31" t="s">
        <v>175</v>
      </c>
      <c r="C15" s="32" t="n">
        <v>0</v>
      </c>
      <c r="D15" s="32" t="n">
        <v>0</v>
      </c>
      <c r="E15" s="32" t="n">
        <v>0</v>
      </c>
      <c r="F15" s="32" t="n">
        <v>0</v>
      </c>
      <c r="G15" s="33" t="n">
        <f aca="false">SUM(C15:F15)</f>
        <v>0</v>
      </c>
      <c r="H15" s="32" t="n">
        <v>0</v>
      </c>
      <c r="I15" s="34" t="n">
        <f aca="false">IF(H15=0,0,G15/H15)</f>
        <v>0</v>
      </c>
      <c r="J15" s="33" t="n">
        <f aca="false">J14+G15</f>
        <v>0.5</v>
      </c>
    </row>
    <row r="16" customFormat="false" ht="15" hidden="false" customHeight="false" outlineLevel="0" collapsed="false">
      <c r="B16" s="31" t="s">
        <v>176</v>
      </c>
      <c r="C16" s="32" t="n">
        <v>0</v>
      </c>
      <c r="D16" s="32" t="n">
        <v>0</v>
      </c>
      <c r="E16" s="32" t="n">
        <v>0</v>
      </c>
      <c r="F16" s="32" t="n">
        <v>0</v>
      </c>
      <c r="G16" s="33" t="n">
        <f aca="false">SUM(C16:F16)</f>
        <v>0</v>
      </c>
      <c r="H16" s="32" t="n">
        <v>0</v>
      </c>
      <c r="I16" s="34" t="n">
        <f aca="false">IF(H16=0,0,G16/H16)</f>
        <v>0</v>
      </c>
      <c r="J16" s="33" t="n">
        <f aca="false">J15+G16</f>
        <v>0.5</v>
      </c>
    </row>
    <row r="17" customFormat="false" ht="15" hidden="false" customHeight="false" outlineLevel="0" collapsed="false">
      <c r="B17" s="31" t="s">
        <v>177</v>
      </c>
      <c r="C17" s="32" t="n">
        <v>0</v>
      </c>
      <c r="D17" s="32" t="n">
        <v>0</v>
      </c>
      <c r="E17" s="32" t="n">
        <v>0</v>
      </c>
      <c r="F17" s="32" t="n">
        <v>0</v>
      </c>
      <c r="G17" s="33" t="n">
        <f aca="false">SUM(C17:F17)</f>
        <v>0</v>
      </c>
      <c r="H17" s="32" t="n">
        <v>0</v>
      </c>
      <c r="I17" s="34" t="n">
        <f aca="false">IF(H17=0,0,G17/H17)</f>
        <v>0</v>
      </c>
      <c r="J17" s="33" t="n">
        <f aca="false">J16+G17</f>
        <v>0.5</v>
      </c>
    </row>
    <row r="18" customFormat="false" ht="15" hidden="false" customHeight="false" outlineLevel="0" collapsed="false">
      <c r="B18" s="31" t="s">
        <v>178</v>
      </c>
      <c r="C18" s="32" t="n">
        <v>0</v>
      </c>
      <c r="D18" s="32" t="n">
        <v>0</v>
      </c>
      <c r="E18" s="32" t="n">
        <v>0</v>
      </c>
      <c r="F18" s="32" t="n">
        <v>0</v>
      </c>
      <c r="G18" s="33" t="n">
        <f aca="false">SUM(C18:F18)</f>
        <v>0</v>
      </c>
      <c r="H18" s="32" t="n">
        <v>0</v>
      </c>
      <c r="I18" s="34" t="n">
        <f aca="false">IF(H18=0,0,G18/H18)</f>
        <v>0</v>
      </c>
      <c r="J18" s="33" t="n">
        <f aca="false">J17+G18</f>
        <v>0.5</v>
      </c>
    </row>
    <row r="19" customFormat="false" ht="15" hidden="false" customHeight="false" outlineLevel="0" collapsed="false">
      <c r="B19" s="31" t="s">
        <v>179</v>
      </c>
      <c r="C19" s="32" t="n">
        <v>188.28</v>
      </c>
      <c r="D19" s="32" t="n">
        <v>0</v>
      </c>
      <c r="E19" s="32" t="n">
        <v>0</v>
      </c>
      <c r="F19" s="32" t="n">
        <v>0</v>
      </c>
      <c r="G19" s="33" t="n">
        <f aca="false">SUM(C19:F19)</f>
        <v>188.28</v>
      </c>
      <c r="H19" s="32" t="n">
        <v>381</v>
      </c>
      <c r="I19" s="34" t="n">
        <f aca="false">IF(H19=0,0,G19/H19)</f>
        <v>0.494173228346457</v>
      </c>
      <c r="J19" s="33" t="n">
        <f aca="false">J18+G19</f>
        <v>188.78</v>
      </c>
    </row>
    <row r="20" customFormat="false" ht="15" hidden="false" customHeight="false" outlineLevel="0" collapsed="false">
      <c r="B20" s="31" t="s">
        <v>180</v>
      </c>
      <c r="C20" s="32" t="n">
        <v>325</v>
      </c>
      <c r="D20" s="32" t="n">
        <v>0</v>
      </c>
      <c r="E20" s="32" t="n">
        <v>0</v>
      </c>
      <c r="F20" s="32" t="n">
        <v>0</v>
      </c>
      <c r="G20" s="33" t="n">
        <f aca="false">SUM(C20:F20)</f>
        <v>325</v>
      </c>
      <c r="H20" s="32" t="n">
        <v>988</v>
      </c>
      <c r="I20" s="34" t="n">
        <f aca="false">IF(H20=0,0,G20/H20)</f>
        <v>0.328947368421053</v>
      </c>
      <c r="J20" s="33" t="n">
        <f aca="false">J19+G20</f>
        <v>513.78</v>
      </c>
    </row>
    <row r="21" customFormat="false" ht="15" hidden="false" customHeight="false" outlineLevel="0" collapsed="false">
      <c r="B21" s="31" t="s">
        <v>181</v>
      </c>
      <c r="C21" s="32" t="n">
        <v>1104</v>
      </c>
      <c r="D21" s="32" t="n">
        <v>0</v>
      </c>
      <c r="E21" s="32" t="n">
        <v>0</v>
      </c>
      <c r="F21" s="32" t="n">
        <v>0</v>
      </c>
      <c r="G21" s="33" t="n">
        <f aca="false">SUM(C21:F21)</f>
        <v>1104</v>
      </c>
      <c r="H21" s="32" t="n">
        <v>3583</v>
      </c>
      <c r="I21" s="34" t="n">
        <f aca="false">IF(H21=0,0,G21/H21)</f>
        <v>0.308121685738208</v>
      </c>
      <c r="J21" s="33" t="n">
        <f aca="false">J20+G21</f>
        <v>1617.78</v>
      </c>
    </row>
    <row r="22" customFormat="false" ht="15" hidden="false" customHeight="false" outlineLevel="0" collapsed="false">
      <c r="B22" s="31" t="s">
        <v>182</v>
      </c>
      <c r="C22" s="32" t="n">
        <v>0</v>
      </c>
      <c r="D22" s="32" t="n">
        <v>0</v>
      </c>
      <c r="E22" s="32" t="n">
        <v>0</v>
      </c>
      <c r="F22" s="32" t="n">
        <v>0</v>
      </c>
      <c r="G22" s="33" t="n">
        <f aca="false">SUM(C22:F22)</f>
        <v>0</v>
      </c>
      <c r="H22" s="32" t="n">
        <v>0</v>
      </c>
      <c r="I22" s="34" t="n">
        <f aca="false">IF(H22=0,0,G22/H22)</f>
        <v>0</v>
      </c>
      <c r="J22" s="33" t="n">
        <f aca="false">J21+G22</f>
        <v>1617.78</v>
      </c>
    </row>
    <row r="23" customFormat="false" ht="15" hidden="false" customHeight="false" outlineLevel="0" collapsed="false">
      <c r="B23" s="31" t="s">
        <v>183</v>
      </c>
      <c r="C23" s="32" t="n">
        <v>2326</v>
      </c>
      <c r="D23" s="32" t="n">
        <v>0</v>
      </c>
      <c r="E23" s="32" t="n">
        <v>0</v>
      </c>
      <c r="F23" s="32" t="n">
        <v>0</v>
      </c>
      <c r="G23" s="33" t="n">
        <f aca="false">SUM(C23:F23)</f>
        <v>2326</v>
      </c>
      <c r="H23" s="32" t="n">
        <v>3274</v>
      </c>
      <c r="I23" s="34" t="n">
        <f aca="false">IF(H23=0,0,G23/H23)</f>
        <v>0.710445937690898</v>
      </c>
      <c r="J23" s="33" t="n">
        <f aca="false">J22+G23</f>
        <v>3943.78</v>
      </c>
    </row>
    <row r="24" customFormat="false" ht="15" hidden="false" customHeight="false" outlineLevel="0" collapsed="false">
      <c r="B24" s="31" t="s">
        <v>184</v>
      </c>
      <c r="C24" s="32" t="n">
        <v>1939</v>
      </c>
      <c r="D24" s="32" t="n">
        <v>20.17</v>
      </c>
      <c r="E24" s="32" t="n">
        <v>58.24</v>
      </c>
      <c r="F24" s="32" t="n">
        <v>0</v>
      </c>
      <c r="G24" s="33" t="n">
        <f aca="false">SUM(C24:F24)</f>
        <v>2017.41</v>
      </c>
      <c r="H24" s="32" t="n">
        <v>5795</v>
      </c>
      <c r="I24" s="34" t="n">
        <f aca="false">IF(H24=0,0,G24/H24)</f>
        <v>0.348129421915444</v>
      </c>
      <c r="J24" s="33" t="n">
        <f aca="false">J23+G24</f>
        <v>5961.19</v>
      </c>
    </row>
    <row r="25" customFormat="false" ht="15" hidden="false" customHeight="false" outlineLevel="0" collapsed="false">
      <c r="B25" s="31" t="s">
        <v>185</v>
      </c>
      <c r="C25" s="32" t="n">
        <v>23535</v>
      </c>
      <c r="D25" s="32" t="n">
        <v>364.87</v>
      </c>
      <c r="E25" s="32" t="n">
        <v>72.54</v>
      </c>
      <c r="F25" s="32" t="n">
        <v>0</v>
      </c>
      <c r="G25" s="33" t="n">
        <f aca="false">SUM(C25:F25)</f>
        <v>23972.41</v>
      </c>
      <c r="H25" s="32" t="n">
        <v>46038</v>
      </c>
      <c r="I25" s="34" t="n">
        <f aca="false">IF(H25=0,0,G25/H25)</f>
        <v>0.52070919675051</v>
      </c>
      <c r="J25" s="33" t="n">
        <f aca="false">J24+G25</f>
        <v>29933.6</v>
      </c>
    </row>
    <row r="26" customFormat="false" ht="15" hidden="false" customHeight="false" outlineLevel="0" collapsed="false">
      <c r="B26" s="31" t="s">
        <v>186</v>
      </c>
      <c r="C26" s="32" t="n">
        <v>46763.81</v>
      </c>
      <c r="D26" s="32" t="n">
        <v>4950.46</v>
      </c>
      <c r="E26" s="32" t="n">
        <v>1646.17</v>
      </c>
      <c r="F26" s="32" t="n">
        <v>0</v>
      </c>
      <c r="G26" s="33" t="n">
        <f aca="false">SUM(C26:F26)</f>
        <v>53360.44</v>
      </c>
      <c r="H26" s="32" t="n">
        <v>106752</v>
      </c>
      <c r="I26" s="34" t="n">
        <f aca="false">IF(H26=0,0,G26/H26)</f>
        <v>0.499854241606715</v>
      </c>
      <c r="J26" s="33" t="n">
        <f aca="false">J25+G26</f>
        <v>83294.04</v>
      </c>
    </row>
    <row r="27" customFormat="false" ht="15" hidden="false" customHeight="false" outlineLevel="0" collapsed="false">
      <c r="B27" s="31" t="s">
        <v>187</v>
      </c>
      <c r="C27" s="32" t="n">
        <v>47745.5</v>
      </c>
      <c r="D27" s="32" t="n">
        <v>14249.05</v>
      </c>
      <c r="E27" s="32" t="n">
        <v>4399.54</v>
      </c>
      <c r="F27" s="32" t="n">
        <v>0</v>
      </c>
      <c r="G27" s="33" t="n">
        <f aca="false">SUM(C27:F27)</f>
        <v>66394.09</v>
      </c>
      <c r="H27" s="32" t="n">
        <v>136831</v>
      </c>
      <c r="I27" s="34" t="n">
        <f aca="false">IF(H27=0,0,G27/H27)</f>
        <v>0.485226958803195</v>
      </c>
      <c r="J27" s="33" t="n">
        <f aca="false">J26+G27</f>
        <v>149688.13</v>
      </c>
    </row>
    <row r="28" customFormat="false" ht="15" hidden="false" customHeight="false" outlineLevel="0" collapsed="false">
      <c r="B28" s="31" t="s">
        <v>188</v>
      </c>
      <c r="C28" s="32" t="n">
        <v>70252</v>
      </c>
      <c r="D28" s="32" t="n">
        <v>8675.31</v>
      </c>
      <c r="E28" s="32" t="n">
        <v>26797.09</v>
      </c>
      <c r="F28" s="32" t="n">
        <v>0</v>
      </c>
      <c r="G28" s="33" t="n">
        <f aca="false">SUM(C28:F28)</f>
        <v>105724.4</v>
      </c>
      <c r="H28" s="32" t="n">
        <v>243334</v>
      </c>
      <c r="I28" s="34" t="n">
        <f aca="false">IF(H28=0,0,G28/H28)</f>
        <v>0.434482645253027</v>
      </c>
      <c r="J28" s="33" t="n">
        <f aca="false">J27+G28</f>
        <v>255412.53</v>
      </c>
    </row>
    <row r="29" customFormat="false" ht="15" hidden="false" customHeight="false" outlineLevel="0" collapsed="false">
      <c r="B29" s="31" t="s">
        <v>189</v>
      </c>
      <c r="C29" s="32" t="n">
        <v>72350</v>
      </c>
      <c r="D29" s="32" t="n">
        <v>17536.78</v>
      </c>
      <c r="E29" s="32" t="n">
        <v>29387</v>
      </c>
      <c r="F29" s="32" t="n">
        <v>0</v>
      </c>
      <c r="G29" s="33" t="n">
        <f aca="false">SUM(C29:F29)</f>
        <v>119273.78</v>
      </c>
      <c r="H29" s="32" t="n">
        <v>263126</v>
      </c>
      <c r="I29" s="34" t="n">
        <f aca="false">IF(H29=0,0,G29/H29)</f>
        <v>0.453295303390771</v>
      </c>
      <c r="J29" s="33" t="n">
        <f aca="false">J28+G29</f>
        <v>374686.31</v>
      </c>
    </row>
    <row r="30" customFormat="false" ht="15" hidden="false" customHeight="false" outlineLevel="0" collapsed="false">
      <c r="B30" s="31" t="s">
        <v>190</v>
      </c>
      <c r="C30" s="32" t="n">
        <v>63440</v>
      </c>
      <c r="D30" s="32" t="n">
        <v>219.88</v>
      </c>
      <c r="E30" s="32" t="n">
        <v>160.38</v>
      </c>
      <c r="F30" s="32" t="n">
        <v>0</v>
      </c>
      <c r="G30" s="33" t="n">
        <f aca="false">SUM(C30:F30)</f>
        <v>63820.26</v>
      </c>
      <c r="H30" s="32" t="n">
        <v>98526</v>
      </c>
      <c r="I30" s="34" t="n">
        <f aca="false">IF(H30=0,0,G30/H30)</f>
        <v>0.647750441507825</v>
      </c>
      <c r="J30" s="33" t="n">
        <f aca="false">J29+G30</f>
        <v>438506.57</v>
      </c>
    </row>
    <row r="32" customFormat="false" ht="15" hidden="false" customHeight="false" outlineLevel="0" collapsed="false">
      <c r="B32" s="6" t="s">
        <v>191</v>
      </c>
    </row>
    <row r="33" customFormat="false" ht="15" hidden="false" customHeight="false" outlineLevel="0" collapsed="false">
      <c r="B33" s="8" t="s">
        <v>192</v>
      </c>
      <c r="C33" s="33" t="n">
        <f aca="false">SUM(G5:G30)</f>
        <v>438506.57</v>
      </c>
    </row>
    <row r="34" customFormat="false" ht="15" hidden="false" customHeight="false" outlineLevel="0" collapsed="false">
      <c r="B34" s="8" t="s">
        <v>193</v>
      </c>
      <c r="C34" s="34" t="n">
        <f aca="false">IF(SUM(H5:H30)=0,0,C33/SUM(H5:H30))</f>
        <v>0.482589159349984</v>
      </c>
    </row>
    <row r="35" customFormat="false" ht="15" hidden="false" customHeight="false" outlineLevel="0" collapsed="false">
      <c r="B35" s="8" t="s">
        <v>194</v>
      </c>
      <c r="C35" s="33" t="n">
        <f aca="false">AVERAGE(G24:G30)</f>
        <v>62080.3985714286</v>
      </c>
    </row>
    <row r="36" customFormat="false" ht="15" hidden="false" customHeight="false" outlineLevel="0" collapsed="false">
      <c r="B36" s="8" t="s">
        <v>195</v>
      </c>
      <c r="C36" s="35" t="n">
        <f aca="false">C35*365/1000000</f>
        <v>22.6593454785714</v>
      </c>
    </row>
    <row r="37" customFormat="false" ht="15" hidden="false" customHeight="false" outlineLevel="0" collapsed="false">
      <c r="B37" s="8" t="s">
        <v>196</v>
      </c>
      <c r="C37" s="35" t="n">
        <f aca="false">C36/12</f>
        <v>1.88827878988095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19" min="6" style="0" width="10.51"/>
  </cols>
  <sheetData>
    <row r="1" customFormat="false" ht="17.35" hidden="false" customHeight="false" outlineLevel="0" collapsed="false">
      <c r="B1" s="1" t="s">
        <v>197</v>
      </c>
    </row>
    <row r="4" customFormat="false" ht="15" hidden="false" customHeight="false" outlineLevel="0" collapsed="false">
      <c r="B4" s="30" t="s">
        <v>198</v>
      </c>
      <c r="C4" s="30" t="s">
        <v>199</v>
      </c>
      <c r="D4" s="30" t="s">
        <v>200</v>
      </c>
      <c r="E4" s="30" t="s">
        <v>201</v>
      </c>
    </row>
    <row r="5" customFormat="false" ht="15" hidden="false" customHeight="false" outlineLevel="0" collapsed="false">
      <c r="B5" s="8" t="s">
        <v>202</v>
      </c>
      <c r="C5" s="11" t="n">
        <f aca="false">'Revenue Build'!F40*12/1000</f>
        <v>1</v>
      </c>
      <c r="D5" s="24" t="n">
        <v>1</v>
      </c>
      <c r="E5" s="23" t="n">
        <f aca="false">IF(D5=0,0,C5/D5-1)</f>
        <v>0</v>
      </c>
    </row>
    <row r="6" customFormat="false" ht="15" hidden="false" customHeight="false" outlineLevel="0" collapsed="false">
      <c r="B6" s="8" t="s">
        <v>203</v>
      </c>
      <c r="C6" s="11" t="n">
        <f aca="false">'Revenue Build'!G40*12/1000</f>
        <v>1.3</v>
      </c>
      <c r="D6" s="24" t="n">
        <v>1.3</v>
      </c>
      <c r="E6" s="23" t="n">
        <f aca="false">IF(D6=0,0,C6/D6-1)</f>
        <v>0</v>
      </c>
    </row>
    <row r="7" customFormat="false" ht="15" hidden="false" customHeight="false" outlineLevel="0" collapsed="false">
      <c r="B7" s="8" t="s">
        <v>204</v>
      </c>
      <c r="C7" s="11" t="n">
        <f aca="false">'Revenue Build'!H40*12/1000</f>
        <v>3.4</v>
      </c>
      <c r="D7" s="24" t="n">
        <v>3.4</v>
      </c>
      <c r="E7" s="23" t="n">
        <f aca="false">IF(D7=0,0,C7/D7-1)</f>
        <v>0</v>
      </c>
    </row>
    <row r="8" customFormat="false" ht="15" hidden="false" customHeight="false" outlineLevel="0" collapsed="false">
      <c r="B8" s="8" t="s">
        <v>205</v>
      </c>
      <c r="C8" s="11" t="n">
        <f aca="false">'Revenue Build'!H42*12/1000</f>
        <v>11.3</v>
      </c>
      <c r="D8" s="24" t="n">
        <v>11.3</v>
      </c>
      <c r="E8" s="23" t="n">
        <f aca="false">IF(D8=0,0,C8/D8-1)</f>
        <v>0</v>
      </c>
    </row>
    <row r="9" customFormat="false" ht="15" hidden="false" customHeight="false" outlineLevel="0" collapsed="false">
      <c r="B9" s="8" t="s">
        <v>206</v>
      </c>
      <c r="C9" s="7" t="n">
        <f aca="false">'Margin Build'!O17</f>
        <v>250</v>
      </c>
      <c r="D9" s="19" t="n">
        <v>250</v>
      </c>
      <c r="E9" s="23" t="n">
        <f aca="false">IF(D9=0,0,C9/D9-1)</f>
        <v>0</v>
      </c>
    </row>
    <row r="10" customFormat="false" ht="15" hidden="false" customHeight="false" outlineLevel="0" collapsed="false">
      <c r="B10" s="8" t="s">
        <v>207</v>
      </c>
      <c r="C10" s="7" t="n">
        <f aca="false">'Margin Build'!O25</f>
        <v>-310.17568233016</v>
      </c>
      <c r="D10" s="19" t="n">
        <v>-300</v>
      </c>
      <c r="E10" s="23" t="n">
        <f aca="false">IF(D10=0,0,C10/D10-1)</f>
        <v>0.0339189411005332</v>
      </c>
    </row>
    <row r="11" customFormat="false" ht="15" hidden="false" customHeight="false" outlineLevel="0" collapsed="false">
      <c r="B11" s="8" t="s">
        <v>208</v>
      </c>
      <c r="C11" s="11" t="n">
        <f aca="false">'Revenue Build'!S42/1000</f>
        <v>76.2700829003417</v>
      </c>
      <c r="D11" s="24" t="n">
        <v>67.5</v>
      </c>
      <c r="E11" s="23" t="n">
        <f aca="false">IF(D11=0,0,C11/D11-1)</f>
        <v>0.129927154079136</v>
      </c>
    </row>
    <row r="12" customFormat="false" ht="15" hidden="false" customHeight="false" outlineLevel="0" collapsed="false">
      <c r="B12" s="8" t="s">
        <v>209</v>
      </c>
      <c r="C12" s="9" t="n">
        <f aca="false">'Margin Build'!S26</f>
        <v>0.387769507123429</v>
      </c>
      <c r="D12" s="15" t="n">
        <v>0.3</v>
      </c>
      <c r="E12" s="23" t="n">
        <f aca="false">IF(D12=0,0,C12/D12-1)</f>
        <v>0.292565023744764</v>
      </c>
    </row>
    <row r="13" customFormat="false" ht="15" hidden="false" customHeight="false" outlineLevel="0" collapsed="false">
      <c r="B13" s="8" t="s">
        <v>210</v>
      </c>
      <c r="C13" s="11" t="n">
        <f aca="false">'Revenue Build'!I44*12</f>
        <v>56.6483636964286</v>
      </c>
      <c r="D13" s="11" t="n">
        <f aca="false">DKeX_Actuals!C36</f>
        <v>22.6593454785714</v>
      </c>
      <c r="E13" s="23" t="n">
        <f aca="false">IF(D13=0,0,C13/D13-1)</f>
        <v>1.5</v>
      </c>
    </row>
    <row r="15" customFormat="false" ht="15" hidden="false" customHeight="false" outlineLevel="0" collapsed="false">
      <c r="B15" s="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2026-07-08T16:40:15Z</dcterms:created>
  <dc:creator>openpyxl</dc:creator>
  <dc:description/>
  <dc:language>en-US</dc:language>
  <cp:lastModifiedBy/>
  <dcterms:modified xsi:type="dcterms:W3CDTF">2026-07-08T16:40:18Z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