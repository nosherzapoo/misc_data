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ibit" sheetId="1" state="visible" r:id="rId3"/>
    <sheet name="EV-EBITDA Walk" sheetId="2" state="visible" r:id="rId4"/>
    <sheet name="Assumptions" sheetId="3" state="visible" r:id="rId5"/>
    <sheet name="2026 Scenarios" sheetId="4" state="visible" r:id="rId6"/>
    <sheet name="2027 Scenarios" sheetId="5" state="visible" r:id="rId7"/>
    <sheet name="Implied Price" sheetId="6" state="visible" r:id="rId8"/>
    <sheet name="Bridge" sheetId="7" state="visible" r:id="rId9"/>
    <sheet name="Exhibit - Bridg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<sst xmlns="http://schemas.openxmlformats.org/spreadsheetml/2006/main" count="477" uniqueCount="337">
  <si>
    <t xml:space="preserve">Year</t>
  </si>
  <si>
    <t xml:space="preserve">EV/EBITDA</t>
  </si>
  <si>
    <t xml:space="preserve">2026E</t>
  </si>
  <si>
    <t xml:space="preserve">2027E</t>
  </si>
  <si>
    <t xml:space="preserve">2028E</t>
  </si>
  <si>
    <t xml:space="preserve">2026
Scenarios</t>
  </si>
  <si>
    <t xml:space="preserve">2 WWE Saudi PLEs cancelled; rest runs</t>
  </si>
  <si>
    <t xml:space="preserve">Full ME out; US/EU repl. for WWE/UFC</t>
  </si>
  <si>
    <t xml:space="preserve">Full ME out; NO replacements</t>
  </si>
  <si>
    <t xml:space="preserve">2026 + 2027
Combined
Scenarios</t>
  </si>
  <si>
    <t xml:space="preserve">'26: WWE PLEs | '27: No repl (incl. WM43)</t>
  </si>
  <si>
    <t xml:space="preserve">'26: WWE PLEs | '27: WM43→US + repl</t>
  </si>
  <si>
    <t xml:space="preserve">'26: Full ME repl | '27: No repl</t>
  </si>
  <si>
    <t xml:space="preserve">'26: Full ME repl | '27: WM43→US + repl</t>
  </si>
  <si>
    <t xml:space="preserve">'26: No repl | '27: No repl</t>
  </si>
  <si>
    <t xml:space="preserve">'26: No repl | '27: WM43→US + repl</t>
  </si>
  <si>
    <t xml:space="preserve">TKO — LOOK THROUGH THE NOISE: 2028E ANCHORS AT ~15x REGARDLESS</t>
  </si>
  <si>
    <t xml:space="preserve">EV ~$41.7B | &gt;$15B locked media rights | ME = ~6% of EBITDA | FCF assumptions are placeholders</t>
  </si>
  <si>
    <t xml:space="preserve">26 uFCF/EV</t>
  </si>
  <si>
    <t xml:space="preserve">27 uFCF/EV</t>
  </si>
  <si>
    <t xml:space="preserve">28 uFCF/EV</t>
  </si>
  <si>
    <t xml:space="preserve">26 lFCF/Eq</t>
  </si>
  <si>
    <t xml:space="preserve">27 lFCF/Eq</t>
  </si>
  <si>
    <t xml:space="preserve">28 lFCF/Eq</t>
  </si>
  <si>
    <t xml:space="preserve">TKO Adj. EBITDA — Base Case</t>
  </si>
  <si>
    <t xml:space="preserve">Base Case EV / EBITDA</t>
  </si>
  <si>
    <t xml:space="preserve">2026 SCENARIOS</t>
  </si>
  <si>
    <t xml:space="preserve">A) 2 WWE Saudi PLEs cancelled</t>
  </si>
  <si>
    <t xml:space="preserve">    EV / EBITDA</t>
  </si>
  <si>
    <t xml:space="preserve">B) Full ME out, with replacements</t>
  </si>
  <si>
    <t xml:space="preserve">C) Full ME out, NO replacements</t>
  </si>
  <si>
    <t xml:space="preserve">2026 + 2027 COMBINED SCENARIOS (Conflict Persists)</t>
  </si>
  <si>
    <t xml:space="preserve">A+D) '26: WWE PLEs | '27: No repl (incl WM43)</t>
  </si>
  <si>
    <t xml:space="preserve">A+E) '26: WWE PLEs | '27: WM43→US + repl</t>
  </si>
  <si>
    <t xml:space="preserve">B+D) '26: Full ME repl | '27: No repl</t>
  </si>
  <si>
    <t xml:space="preserve">B+E) '26: Full ME repl | '27: WM43→US + repl</t>
  </si>
  <si>
    <t xml:space="preserve">C+D) WORST: No repl either year</t>
  </si>
  <si>
    <t xml:space="preserve">C+E) '26: No repl | '27: WM43→US + repl</t>
  </si>
  <si>
    <t xml:space="preserve">THE LOOK-THROUGH: 2028E MULTIPLE IS ~15x IN EVERY SCENARIO</t>
  </si>
  <si>
    <t xml:space="preserve">2028E unaffected — all scenarios revert to full calendar. &gt;$15B locked media rights provide floor.</t>
  </si>
  <si>
    <t xml:space="preserve">Implied Share Price at Target 2028E EV/EBITDA</t>
  </si>
  <si>
    <t xml:space="preserve">Multiple</t>
  </si>
  <si>
    <t xml:space="preserve">Implied EV ($M)</t>
  </si>
  <si>
    <t xml:space="preserve">Implied Equity ($M)</t>
  </si>
  <si>
    <t xml:space="preserve">Implied $/sh</t>
  </si>
  <si>
    <t xml:space="preserve">% vs Current</t>
  </si>
  <si>
    <t xml:space="preserve">uFCF/EV</t>
  </si>
  <si>
    <t xml:space="preserve">Current (spot)</t>
  </si>
  <si>
    <t xml:space="preserve">13.0x</t>
  </si>
  <si>
    <t xml:space="preserve">15.0x</t>
  </si>
  <si>
    <t xml:space="preserve">17.0x</t>
  </si>
  <si>
    <t xml:space="preserve">19.0x</t>
  </si>
  <si>
    <t xml:space="preserve">21.0x (premium peers)</t>
  </si>
  <si>
    <t xml:space="preserve">BERNSTEIN BOTTOM LINE</t>
  </si>
  <si>
    <t xml:space="preserve">• ME exposure is ~6-7% of TKO EBITDA — meaningful but NOT existential (vs ~20%+ for FWONK).</t>
  </si>
  <si>
    <t xml:space="preserve">• Media rights ($7.7B UFC/Paramount + $1.6B WWE/ESPN + Netflix) are 100% geography-agnostic.</t>
  </si>
  <si>
    <t xml:space="preserve">• Even worst case (C+D: no repl, 2 years), 2028E still lands at ~15.3x with 6.2% uFCF/EV yield.</t>
  </si>
  <si>
    <t xml:space="preserve">• At 17x 2028E EBITDA, implied ~$186/sh — essentially flat to current. Downside is limited.</t>
  </si>
  <si>
    <t xml:space="preserve">• WM43 Riyadh (2027) is the single biggest swing — ~$68M EBITDA at risk, but relocatable to US w/ ~$28M recovery.</t>
  </si>
  <si>
    <t xml:space="preserve">• World Cup 2026 (US-hosted) via On Location is a tailwind entirely unaffected by ME disruption.</t>
  </si>
  <si>
    <t xml:space="preserve">Notes:</t>
  </si>
  <si>
    <t xml:space="preserve">1. Static EV (~$41.7B) assumed; multiples expand on lower EBITDA, all else equal.</t>
  </si>
  <si>
    <t xml:space="preserve">2. Royal Rumble (Jan 31 Riyadh) pre-dates conflict → already in results, not at risk.</t>
  </si>
  <si>
    <t xml:space="preserve">3. TKO media rights are annual contracts with zero event-geography dependence. Key structural advantage vs FWONK.</t>
  </si>
  <si>
    <t xml:space="preserve">4. WWE Saudi PLE: ~$55M rev, ~$11M prod cost, ~$44M EBITDA each. Replacement US fee ~$5M + $8M tix = ~$13M recovery.</t>
  </si>
  <si>
    <t xml:space="preserve">5. WM43: ~$90M rev, ~$22M cost, ~$68M EBITDA. US relocation recovers ~$40M (site + massive domestic gate).</t>
  </si>
  <si>
    <t xml:space="preserve">6. FCF assumptions are placeholders — link via Assumptions tab cells B69:D73.</t>
  </si>
  <si>
    <t xml:space="preserve">7. 2028E reverts to full calendar in all scenarios. All segment EBITDA inputs toggleable on Assumptions tab.</t>
  </si>
  <si>
    <t xml:space="preserve">TKO GROUP HOLDINGS (TKO) — ME Disruption Model: Assumptions</t>
  </si>
  <si>
    <t xml:space="preserve">Anchored to TKO FY2026 guidance ($2.24-2.29B Adj. EBITDA) and Bernstein estimates</t>
  </si>
  <si>
    <t xml:space="preserve">TKO Market Data</t>
  </si>
  <si>
    <t xml:space="preserve">Value</t>
  </si>
  <si>
    <t xml:space="preserve">Source / Note</t>
  </si>
  <si>
    <t xml:space="preserve">Stock Price ($/sh)</t>
  </si>
  <si>
    <t xml:space="preserve">CNBC 3/16/2026</t>
  </si>
  <si>
    <t xml:space="preserve">Total Economic Shares (M)</t>
  </si>
  <si>
    <t xml:space="preserve">TKO 10-K 2/25/2026; incl. all OpCo units</t>
  </si>
  <si>
    <t xml:space="preserve">Market Cap ($M)</t>
  </si>
  <si>
    <t xml:space="preserve">Gross Debt ($M)</t>
  </si>
  <si>
    <t xml:space="preserve">TKO 10-K 2025 YE</t>
  </si>
  <si>
    <t xml:space="preserve">Cash &amp; Equivalents ($M)</t>
  </si>
  <si>
    <t xml:space="preserve">Net Debt ($M)</t>
  </si>
  <si>
    <t xml:space="preserve">Enterprise Value ($M)</t>
  </si>
  <si>
    <t xml:space="preserve">TKO Consolidated Adj. EBITDA ($M)</t>
  </si>
  <si>
    <t xml:space="preserve">Note</t>
  </si>
  <si>
    <t xml:space="preserve">UFC</t>
  </si>
  <si>
    <t xml:space="preserve">Paramount $1.1B AAV kicks in 2026; ~55% margin</t>
  </si>
  <si>
    <t xml:space="preserve">WWE</t>
  </si>
  <si>
    <t xml:space="preserve">Full yr Netflix + ESPN PLEs; margin →45%</t>
  </si>
  <si>
    <t xml:space="preserve">IMG / On Location / PBR</t>
  </si>
  <si>
    <t xml:space="preserve">2026 = WC (On Loc); 2027 = trough; 2028 = Olympics</t>
  </si>
  <si>
    <t xml:space="preserve">Zuffa Boxing</t>
  </si>
  <si>
    <t xml:space="preserve">Early-stage; Saudi partnership</t>
  </si>
  <si>
    <t xml:space="preserve">Corporate &amp; Other</t>
  </si>
  <si>
    <t xml:space="preserve">SGA, public co costs; thin overlay</t>
  </si>
  <si>
    <t xml:space="preserve">Total TKO Adj. EBITDA (Base Case)</t>
  </si>
  <si>
    <t xml:space="preserve">Check vs. Guidance Midpoint ($2,265M)</t>
  </si>
  <si>
    <t xml:space="preserve">2026 ME Event Inventory</t>
  </si>
  <si>
    <t xml:space="preserve">Revenue ($M)</t>
  </si>
  <si>
    <t xml:space="preserve">Prod. Cost ($M)</t>
  </si>
  <si>
    <t xml:space="preserve">Net EBITDA ($M)</t>
  </si>
  <si>
    <t xml:space="preserve">Status</t>
  </si>
  <si>
    <t xml:space="preserve">WWE: Royal Rumble (Jan 31, Riyadh)</t>
  </si>
  <si>
    <t xml:space="preserve">✅ Completed</t>
  </si>
  <si>
    <t xml:space="preserve">Pre-conflict; already in Q1 actuals</t>
  </si>
  <si>
    <t xml:space="preserve">WWE: Night of Champions (~Jun, Saudi)</t>
  </si>
  <si>
    <t xml:space="preserve">⚠️ At Risk</t>
  </si>
  <si>
    <t xml:space="preserve">Standard Saudi PLE; $55M site fee</t>
  </si>
  <si>
    <t xml:space="preserve">WWE: Nov Saudi PLE (TBD)</t>
  </si>
  <si>
    <t xml:space="preserve">Standard Saudi PLE</t>
  </si>
  <si>
    <t xml:space="preserve">UFC: Saudi Arabia event</t>
  </si>
  <si>
    <t xml:space="preserve">Site fee + live events</t>
  </si>
  <si>
    <t xml:space="preserve">UFC: Abu Dhabi (~Dec)</t>
  </si>
  <si>
    <t xml:space="preserve">Traditional Fight Island venue</t>
  </si>
  <si>
    <t xml:space="preserve">UFC: Qatar (if scheduled)</t>
  </si>
  <si>
    <t xml:space="preserve">Smaller; may not be on 2026 calendar</t>
  </si>
  <si>
    <t xml:space="preserve">Zuffa Boxing: Saudi-funded cards</t>
  </si>
  <si>
    <t xml:space="preserve">Sela/Turki partnership; excl. US super fights</t>
  </si>
  <si>
    <t xml:space="preserve">Total ME Revenue (all, incl. completed)</t>
  </si>
  <si>
    <t xml:space="preserve">Total AT-RISK ME EBITDA (excl. Royal Rumble)</t>
  </si>
  <si>
    <t xml:space="preserve">% of 2026E Consolidated EBITDA</t>
  </si>
  <si>
    <t xml:space="preserve">WWE Saudi PLEs only (2 events)</t>
  </si>
  <si>
    <t xml:space="preserve">UFC ME Events (Saudi + Abu Dhabi + Qatar)</t>
  </si>
  <si>
    <t xml:space="preserve">Zuffa Boxing ME</t>
  </si>
  <si>
    <t xml:space="preserve">Revenue Retention on Cancellation (No Repl)</t>
  </si>
  <si>
    <t xml:space="preserve">% Lost</t>
  </si>
  <si>
    <t xml:space="preserve">% Retained</t>
  </si>
  <si>
    <t xml:space="preserve">Rationale</t>
  </si>
  <si>
    <t xml:space="preserve">Site Fees / FIPs</t>
  </si>
  <si>
    <t xml:space="preserve">Government pays for event in their country. No event = no fee.</t>
  </si>
  <si>
    <t xml:space="preserve">Media Rights</t>
  </si>
  <si>
    <t xml:space="preserve">Netflix/Paramount/ESPN annual contracts. ZERO geography dependence.</t>
  </si>
  <si>
    <t xml:space="preserve">Sponsorship</t>
  </si>
  <si>
    <t xml:space="preserve">TKO partnerships annual (Monster, Meta). Tiny per-event activation.</t>
  </si>
  <si>
    <t xml:space="preserve">Live Events (tickets, merch at venue)</t>
  </si>
  <si>
    <t xml:space="preserve">No event = no tickets/venue merch.</t>
  </si>
  <si>
    <t xml:space="preserve">Consumer Products</t>
  </si>
  <si>
    <t xml:space="preserve">Completely geography-independent.</t>
  </si>
  <si>
    <t xml:space="preserve">Key: TKO site fees ARE the revenue. Media rights (biggest P&amp;L line) are unaffected.</t>
  </si>
  <si>
    <t xml:space="preserve">Replacement Economics (Relocate to US/EU)</t>
  </si>
  <si>
    <t xml:space="preserve">WWE PLE: Replacement US Site Fee ($M)</t>
  </si>
  <si>
    <t xml:space="preserve">US cities pay ~$3-7M; nothing close to Saudi $55M</t>
  </si>
  <si>
    <t xml:space="preserve">WWE PLE: Incremental Ticket/Merch Recovery ($M)</t>
  </si>
  <si>
    <t xml:space="preserve">Better domestic attendance than Saudi; partial offset</t>
  </si>
  <si>
    <t xml:space="preserve">Net EBITDA Recovery per Replaced WWE PLE</t>
  </si>
  <si>
    <t xml:space="preserve">~$13M recovery vs ~$44M gross hit = ~30% recovery</t>
  </si>
  <si>
    <t xml:space="preserve">UFC/Boxing: Replacement Recovery per Event ($M)</t>
  </si>
  <si>
    <t xml:space="preserve">Smaller events; less site fee dependence</t>
  </si>
  <si>
    <t xml:space="preserve">WM43 Relocation: US Site Fee ($M)</t>
  </si>
  <si>
    <t xml:space="preserve">WM commands higher US fees than standard PLE</t>
  </si>
  <si>
    <t xml:space="preserve">WM43 Relocation: Ticket/Merch Recovery ($M)</t>
  </si>
  <si>
    <t xml:space="preserve">WM in US = huge domestic gate (SoFi/MetLife class)</t>
  </si>
  <si>
    <t xml:space="preserve">WrestleMania 43 (Riyadh, 2027)</t>
  </si>
  <si>
    <t xml:space="preserve">WM43 Revenue ($M)</t>
  </si>
  <si>
    <t xml:space="preserve">Larger than standard PLE; first WM outside N.America</t>
  </si>
  <si>
    <t xml:space="preserve">WM43 Production Costs ($M)</t>
  </si>
  <si>
    <t xml:space="preserve">WM43 Net EBITDA ($M)</t>
  </si>
  <si>
    <t xml:space="preserve">WM43 Relocation Net Recovery ($M)</t>
  </si>
  <si>
    <t xml:space="preserve">US site fee + massive domestic gate</t>
  </si>
  <si>
    <t xml:space="preserve">WM43 Net EBITDA Loss if Cancelled (no repl)</t>
  </si>
  <si>
    <t xml:space="preserve">WM43 Net EBITDA Loss if Relocated to US</t>
  </si>
  <si>
    <t xml:space="preserve">2027 Other ME EBITDA at Risk (excl. WM43)</t>
  </si>
  <si>
    <t xml:space="preserve">2 Standard WWE Saudi PLEs</t>
  </si>
  <si>
    <t xml:space="preserve">Same structure as 2026; assume same events</t>
  </si>
  <si>
    <t xml:space="preserve">UFC ME Events</t>
  </si>
  <si>
    <t xml:space="preserve">Total 2027 Other ME EBITDA at Risk</t>
  </si>
  <si>
    <t xml:space="preserve">Recovery w/ US/EU Replacements</t>
  </si>
  <si>
    <t xml:space="preserve">2 WWE PLEs replaced + ~4 UFC/Boxing events</t>
  </si>
  <si>
    <t xml:space="preserve">FCF Bridge (Placeholder — link to financial model)</t>
  </si>
  <si>
    <t xml:space="preserve">Capex ($M)</t>
  </si>
  <si>
    <t xml:space="preserve">Placeholder; venue tech, content prod, HQ</t>
  </si>
  <si>
    <t xml:space="preserve">D&amp;A ($M) [memo]</t>
  </si>
  <si>
    <t xml:space="preserve">High intangible amort from WWE/IMG deals</t>
  </si>
  <si>
    <t xml:space="preserve">Cash Interest ($M)</t>
  </si>
  <si>
    <t xml:space="preserve">~5.3% avg rate on $3.8B; declining w/ paydown</t>
  </si>
  <si>
    <t xml:space="preserve">Cash Tax Rate</t>
  </si>
  <si>
    <t xml:space="preserve">Low eff rate; NOLs + intangible shields</t>
  </si>
  <si>
    <t xml:space="preserve">Working Capital ($M)</t>
  </si>
  <si>
    <t xml:space="preserve">Approx neutral; WC timing from On Location volatile</t>
  </si>
  <si>
    <t xml:space="preserve">Base Case FCF Build</t>
  </si>
  <si>
    <t xml:space="preserve">TKO Adj. EBITDA</t>
  </si>
  <si>
    <t xml:space="preserve">Less: Capex</t>
  </si>
  <si>
    <t xml:space="preserve">Unlevered FCF</t>
  </si>
  <si>
    <t xml:space="preserve">Less: Cash Interest</t>
  </si>
  <si>
    <t xml:space="preserve">Less: Cash Taxes</t>
  </si>
  <si>
    <t xml:space="preserve">Working Capital</t>
  </si>
  <si>
    <t xml:space="preserve">Levered FCF</t>
  </si>
  <si>
    <t xml:space="preserve">Unlevered FCF / EV</t>
  </si>
  <si>
    <t xml:space="preserve">Levered FCF / Equity</t>
  </si>
  <si>
    <t xml:space="preserve">LINKABLE INPUTS (connect to financial model)</t>
  </si>
  <si>
    <t xml:space="preserve">Cell Ref</t>
  </si>
  <si>
    <t xml:space="preserve">Description</t>
  </si>
  <si>
    <t xml:space="preserve">Stock Price</t>
  </si>
  <si>
    <t xml:space="preserve">B5</t>
  </si>
  <si>
    <t xml:space="preserve">Total Econ Shares (M)</t>
  </si>
  <si>
    <t xml:space="preserve">B6</t>
  </si>
  <si>
    <t xml:space="preserve">B8</t>
  </si>
  <si>
    <t xml:space="preserve">Cash ($M)</t>
  </si>
  <si>
    <t xml:space="preserve">B9</t>
  </si>
  <si>
    <t xml:space="preserve">UFC EBITDA 26/27/28</t>
  </si>
  <si>
    <t xml:space="preserve">B14,C14,D14</t>
  </si>
  <si>
    <t xml:space="preserve">WWE EBITDA 26/27/28</t>
  </si>
  <si>
    <t xml:space="preserve">B15,C15,D15</t>
  </si>
  <si>
    <t xml:space="preserve">IMG EBITDA 26/27/28</t>
  </si>
  <si>
    <t xml:space="preserve">B16,C16,D16</t>
  </si>
  <si>
    <t xml:space="preserve">Zuffa EBITDA 26/27/28</t>
  </si>
  <si>
    <t xml:space="preserve">B17,C17,D17</t>
  </si>
  <si>
    <t xml:space="preserve">Corp EBITDA 26/27/28</t>
  </si>
  <si>
    <t xml:space="preserve">B18,C18,D18</t>
  </si>
  <si>
    <t xml:space="preserve">Capex 26/27/28</t>
  </si>
  <si>
    <t xml:space="preserve">B69,C69,D69</t>
  </si>
  <si>
    <t xml:space="preserve">Cash Interest 26/27/28</t>
  </si>
  <si>
    <t xml:space="preserve">B71,C71,D71</t>
  </si>
  <si>
    <t xml:space="preserve">Cash Tax Rate 26/27/28</t>
  </si>
  <si>
    <t xml:space="preserve">B72,C72,D72</t>
  </si>
  <si>
    <t xml:space="preserve">TKO — 2026 ME Disruption Scenarios</t>
  </si>
  <si>
    <t xml:space="preserve">Royal Rumble already completed. Remaining 2 WWE Saudi PLEs + UFC + Zuffa Boxing at risk.</t>
  </si>
  <si>
    <t xml:space="preserve">SCENARIO A: 2 WWE Saudi PLEs Cancelled Only</t>
  </si>
  <si>
    <t xml:space="preserve">EBITDA Hit ($M)</t>
  </si>
  <si>
    <t xml:space="preserve">2 WWE Saudi PLEs cancelled (no replacement)</t>
  </si>
  <si>
    <t xml:space="preserve">UFC / Zuffa Boxing → assumed to run</t>
  </si>
  <si>
    <t xml:space="preserve">Total 2026 EBITDA Haircut — Scenario A</t>
  </si>
  <si>
    <t xml:space="preserve">Adjusted TKO 2026E EBITDA</t>
  </si>
  <si>
    <t xml:space="preserve">EV / Adjusted EBITDA</t>
  </si>
  <si>
    <t xml:space="preserve">SCENARIO B: Full ME Out — With US/EU Replacements</t>
  </si>
  <si>
    <t xml:space="preserve">2 WWE Saudi PLEs: gross EBITDA loss</t>
  </si>
  <si>
    <t xml:space="preserve">  Less: WWE PLE replacement recovery (2 events)</t>
  </si>
  <si>
    <t xml:space="preserve">UFC ME events: gross EBITDA loss</t>
  </si>
  <si>
    <t xml:space="preserve">  Less: UFC replacement recovery (~3 events)</t>
  </si>
  <si>
    <t xml:space="preserve">Zuffa Boxing ME: gross EBITDA loss</t>
  </si>
  <si>
    <t xml:space="preserve">Total 2026 EBITDA Haircut — Scenario B</t>
  </si>
  <si>
    <t xml:space="preserve">SCENARIO C: Full ME Out — NO Replacements</t>
  </si>
  <si>
    <t xml:space="preserve">All at-risk ME events cancelled, no replacement</t>
  </si>
  <si>
    <t xml:space="preserve">Total 2026 EBITDA Haircut — Scenario C</t>
  </si>
  <si>
    <t xml:space="preserve">TKO — 2027 ME Disruption Scenarios (incl. WrestleMania 43)</t>
  </si>
  <si>
    <t xml:space="preserve">WM43 in Riyadh is the marquee incremental risk. Modeled separately from standard ME events.</t>
  </si>
  <si>
    <t xml:space="preserve">SCENARIO D: Full 2027 ME Out — NO Replacements (incl. WM43)</t>
  </si>
  <si>
    <t xml:space="preserve">WrestleMania 43 (Riyadh) — cancelled</t>
  </si>
  <si>
    <t xml:space="preserve">Other ME events (2 WWE PLEs + UFC + Zuffa)</t>
  </si>
  <si>
    <t xml:space="preserve">Total 2027 EBITDA Haircut — Scenario D</t>
  </si>
  <si>
    <t xml:space="preserve">Adjusted TKO 2027E EBITDA</t>
  </si>
  <si>
    <t xml:space="preserve">SCENARIO E: Full 2027 ME Out — WM43 to US + Replacements</t>
  </si>
  <si>
    <t xml:space="preserve">WM43 relocated to US (net of recovery)</t>
  </si>
  <si>
    <t xml:space="preserve">Other ME: gross loss</t>
  </si>
  <si>
    <t xml:space="preserve">  Less: Other ME replacement recovery</t>
  </si>
  <si>
    <t xml:space="preserve">Total 2027 EBITDA Haircut — Scenario E</t>
  </si>
  <si>
    <t xml:space="preserve">TKO — IMPLIED SHARE PRICE: PRE-CONFLICT MULTIPLE × DISRUPTED EBITDA</t>
  </si>
  <si>
    <t xml:space="preserve">What would TKO be worth if the market re-rates to pre-conflict multiples on each scenario EBITDA?</t>
  </si>
  <si>
    <t xml:space="preserve">Inputs (linkable to model)</t>
  </si>
  <si>
    <t xml:space="preserve">Pre-Conflict EV/EBITDA (Feb 26)</t>
  </si>
  <si>
    <t xml:space="preserve">TKO spot EV/EBITDA on 2/26/2026, pre-conflict</t>
  </si>
  <si>
    <t xml:space="preserve">Link from financial model</t>
  </si>
  <si>
    <t xml:space="preserve">Diluted Share Count (M)</t>
  </si>
  <si>
    <t xml:space="preserve">Current Stock Price ($/sh)</t>
  </si>
  <si>
    <t xml:space="preserve">2026E Scenarios</t>
  </si>
  <si>
    <t xml:space="preserve">Adj. EBITDA</t>
  </si>
  <si>
    <t xml:space="preserve">Implied EV</t>
  </si>
  <si>
    <t xml:space="preserve">Impl. Equity</t>
  </si>
  <si>
    <t xml:space="preserve">Impl. $/sh</t>
  </si>
  <si>
    <t xml:space="preserve">Base Case (no disruption)</t>
  </si>
  <si>
    <t xml:space="preserve">A) 2 WWE Saudi PLEs cancelled; rest runs</t>
  </si>
  <si>
    <t xml:space="preserve">B) Full ME out; US/EU repl for WWE/UFC</t>
  </si>
  <si>
    <t xml:space="preserve">C) Full ME out; NO replacements</t>
  </si>
  <si>
    <t xml:space="preserve">2027E Scenarios</t>
  </si>
  <si>
    <t xml:space="preserve">D) Full ME out incl. WM43; NO replacements</t>
  </si>
  <si>
    <t xml:space="preserve">E) Full ME out; WM43→US + replacements</t>
  </si>
  <si>
    <t xml:space="preserve">KEY TAKEAWAY</t>
  </si>
  <si>
    <t xml:space="preserve">At the pre-conflict 20.5x multiple, even the worst-case EBITDA implies a price well above current levels.</t>
  </si>
  <si>
    <t xml:space="preserve">ME exposure is only ~6% of TKO EBITDA — the stock is over-discounting a risk that barely moves the needle.</t>
  </si>
  <si>
    <t xml:space="preserve">1. Pre-conflict multiple of 20.5x is TKO EV/EBITDA on Feb 26, 2026 (day of Q4 earnings release).</t>
  </si>
  <si>
    <t xml:space="preserve">2. Net Debt and Share Count are linkable (yellow cells) — connect to financial model for dynamic updates.</t>
  </si>
  <si>
    <t xml:space="preserve">3. Formula: Pre-Conflict EV/EBITDA x Scenario EBITDA = Implied EV. Implied EV - Net Debt = Implied Equity. Equity / Shares = $/sh.</t>
  </si>
  <si>
    <t xml:space="preserve">TKO — REVENUE &amp; EBITDA BRIDGE UNDER ME DISRUPTION SCENARIOS</t>
  </si>
  <si>
    <t xml:space="preserve">Event-level waterfall from base estimates to scenario-adjusted numbers</t>
  </si>
  <si>
    <t xml:space="preserve">Inputs (linkable)</t>
  </si>
  <si>
    <t xml:space="preserve">TKO Revenue ($M)</t>
  </si>
  <si>
    <t xml:space="preserve">TKO Adj. EBITDA ($M)</t>
  </si>
  <si>
    <t xml:space="preserve">2026 At-Risk Event Economics</t>
  </si>
  <si>
    <t xml:space="preserve">Revenue</t>
  </si>
  <si>
    <t xml:space="preserve">Prod. Cost</t>
  </si>
  <si>
    <t xml:space="preserve">EBITDA</t>
  </si>
  <si>
    <t xml:space="preserve">Repl. Recovery</t>
  </si>
  <si>
    <t xml:space="preserve">WWE: Night of Champions (Saudi)</t>
  </si>
  <si>
    <t xml:space="preserve">WWE: Nov Saudi PLE</t>
  </si>
  <si>
    <t xml:space="preserve">UFC: Saudi Arabia</t>
  </si>
  <si>
    <t xml:space="preserve">UFC: Abu Dhabi</t>
  </si>
  <si>
    <t xml:space="preserve">UFC: Qatar</t>
  </si>
  <si>
    <t xml:space="preserve">Zuffa Boxing: Saudi cards</t>
  </si>
  <si>
    <t xml:space="preserve">Total 2026 At-Risk</t>
  </si>
  <si>
    <t xml:space="preserve">  WWE PLEs only (2 events)</t>
  </si>
  <si>
    <t xml:space="preserve">  UFC + Zuffa (4 events)</t>
  </si>
  <si>
    <t xml:space="preserve">2027 Incremental: WrestleMania 43 (Riyadh)</t>
  </si>
  <si>
    <t xml:space="preserve">US Reloc. Recovery</t>
  </si>
  <si>
    <t xml:space="preserve">WrestleMania 43</t>
  </si>
  <si>
    <t xml:space="preserve">$10M US site fee + $30M domestic gate</t>
  </si>
  <si>
    <t xml:space="preserve">2026E REVENUE &amp; EBITDA BRIDGE</t>
  </si>
  <si>
    <t xml:space="preserve">Base</t>
  </si>
  <si>
    <t xml:space="preserve">Uber-Bull</t>
  </si>
  <si>
    <t xml:space="preserve">Bull</t>
  </si>
  <si>
    <t xml:space="preserve">Bear</t>
  </si>
  <si>
    <t xml:space="preserve">Worst Case</t>
  </si>
  <si>
    <t xml:space="preserve">2 WWE PLEs only</t>
  </si>
  <si>
    <t xml:space="preserve">Full ME, US repl</t>
  </si>
  <si>
    <t xml:space="preserve">Full ME, no repl</t>
  </si>
  <si>
    <t xml:space="preserve">Bear (2026)</t>
  </si>
  <si>
    <t xml:space="preserve">REVENUE</t>
  </si>
  <si>
    <t xml:space="preserve">Base TKO Revenue</t>
  </si>
  <si>
    <t xml:space="preserve">Less: ME Event Revenue Lost</t>
  </si>
  <si>
    <t xml:space="preserve">Plus: Replacement Revenue Recovery</t>
  </si>
  <si>
    <t xml:space="preserve">Net Revenue Adjustment</t>
  </si>
  <si>
    <t xml:space="preserve">Adjusted TKO Revenue</t>
  </si>
  <si>
    <t xml:space="preserve">Base TKO Adj. EBITDA</t>
  </si>
  <si>
    <t xml:space="preserve">Less: ME Event EBITDA Lost</t>
  </si>
  <si>
    <t xml:space="preserve">Plus: Replacement EBITDA Recovery</t>
  </si>
  <si>
    <t xml:space="preserve">Net EBITDA Adjustment</t>
  </si>
  <si>
    <t xml:space="preserve">Adjusted TKO EBITDA</t>
  </si>
  <si>
    <t xml:space="preserve">EV / EBITDA</t>
  </si>
  <si>
    <t xml:space="preserve">2027E REVENUE &amp; EBITDA BRIDGE</t>
  </si>
  <si>
    <t xml:space="preserve">2027 normal</t>
  </si>
  <si>
    <t xml:space="preserve">Full ME + WM43, no repl</t>
  </si>
  <si>
    <t xml:space="preserve">1. Uber-Bull = 2 WWE Saudi PLEs cancelled only (Night of Champions + Nov PLE). All UFC/Zuffa/other events run. 2027 normal.</t>
  </si>
  <si>
    <t xml:space="preserve">2. Bull = Full 2026 ME calendar out. WWE PLEs relocated to US ($5M site + $8M tix per event). UFC/Zuffa replaced where possible.</t>
  </si>
  <si>
    <t xml:space="preserve">3. Bear = Full 2026 ME calendar out, no replacements. 2027 normal.</t>
  </si>
  <si>
    <t xml:space="preserve">4. Worst Case = Bear + full 2027 ME out including WM43 ($68M EBITDA), no replacements.</t>
  </si>
  <si>
    <t xml:space="preserve">5. Royal Rumble (Jan 31) completed pre-conflict — not at risk, already in actuals.</t>
  </si>
  <si>
    <t xml:space="preserve">6. Media rights (Paramount UFC, Netflix WWE, ESPN PLEs) entirely unaffected — zero geography dependence.</t>
  </si>
  <si>
    <t xml:space="preserve">7. Replacement recovery for WWE = $5M US city site fee + $8M incremental domestic tix/merch per PLE.</t>
  </si>
  <si>
    <t xml:space="preserve">8. WM43 relocation recovery ($40M) not included in worst case — would narrow the hit if WM moves to US.</t>
  </si>
  <si>
    <t xml:space="preserve">Scenario</t>
  </si>
  <si>
    <t xml:space="preserve">2026E ($M)</t>
  </si>
  <si>
    <t xml:space="preserve">No disruption</t>
  </si>
  <si>
    <t xml:space="preserve">TKO Revenue</t>
  </si>
  <si>
    <t xml:space="preserve">  Revenue Adjustment</t>
  </si>
  <si>
    <t xml:space="preserve">  EBITDA Adjustment</t>
  </si>
  <si>
    <t xml:space="preserve">2027E ($M)</t>
  </si>
  <si>
    <t xml:space="preserve">Full ME + WM43</t>
  </si>
  <si>
    <t xml:space="preserve">Source: Bernstein analysis and estimates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</si>
</sst>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\x"/>
    <numFmt numFmtId="166" formatCode="#,##0"/>
    <numFmt numFmtId="167" formatCode="0.0%"/>
    <numFmt numFmtId="168" formatCode="\$#,##0.00"/>
    <numFmt numFmtId="169" formatCode="\+0.0%;\-0.0%"/>
    <numFmt numFmtId="170" formatCode="#,##0.00"/>
    <numFmt numFmtId="171" formatCode="\+#,##0;\-#,##0;\-"/>
    <numFmt numFmtId="172" formatCode="#,##0;\(#,##0\);\-"/>
    <numFmt numFmtId="173" formatCode="0.0\x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B05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F4E79"/>
      <name val="Arial"/>
      <family val="0"/>
      <charset val="1"/>
    </font>
    <font>
      <sz val="8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i val="true"/>
      <sz val="9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030A0"/>
      <name val="Arial"/>
      <family val="0"/>
      <charset val="1"/>
    </font>
    <font>
      <sz val="9"/>
      <color rgb="FF7030A0"/>
      <name val="Arial"/>
      <family val="0"/>
      <charset val="1"/>
    </font>
    <font>
      <b val="true"/>
      <sz val="13"/>
      <color rgb="FFC6591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D9E2F3"/>
      </patternFill>
    </fill>
    <fill>
      <patternFill patternType="solid">
        <fgColor rgb="FFE4DFEC"/>
        <bgColor rgb="FFD9E2F3"/>
      </patternFill>
    </fill>
    <fill>
      <patternFill patternType="solid">
        <fgColor rgb="FFE2EFDA"/>
        <bgColor rgb="FFF2F2F2"/>
      </patternFill>
    </fill>
    <fill>
      <patternFill patternType="solid">
        <fgColor rgb="FFC65911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666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1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3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6" min="4" style="1" width="16"/>
    <col collapsed="false" customWidth="true" hidden="false" outlineLevel="0" max="7" min="7" style="1" width="4"/>
  </cols>
  <sheetData>
    <row r="3" customFormat="false" ht="15" hidden="false" customHeight="true" outlineLevel="0" collapsed="false">
      <c r="D3" s="2" t="s">
        <v>0</v>
      </c>
      <c r="E3" s="2"/>
      <c r="F3" s="2"/>
    </row>
    <row r="4" customFormat="false" ht="15" hidden="false" customHeight="true" outlineLevel="0" collapsed="false">
      <c r="B4" s="3"/>
      <c r="C4" s="3" t="s">
        <v>1</v>
      </c>
      <c r="D4" s="3" t="s">
        <v>2</v>
      </c>
      <c r="E4" s="3" t="s">
        <v>3</v>
      </c>
      <c r="F4" s="3" t="s">
        <v>4</v>
      </c>
    </row>
    <row r="5" customFormat="false" ht="31.5" hidden="false" customHeight="true" outlineLevel="0" collapsed="false">
      <c r="B5" s="4" t="s">
        <v>5</v>
      </c>
      <c r="C5" s="5" t="s">
        <v>6</v>
      </c>
      <c r="D5" s="6" t="n">
        <f aca="false">'2026 Scenarios'!C9</f>
        <v>19.0387596899225</v>
      </c>
      <c r="E5" s="6" t="n">
        <f aca="false">Assumptions!B11/Assumptions!C19</f>
        <v>16.6807830603276</v>
      </c>
      <c r="F5" s="6" t="n">
        <f aca="false">Assumptions!B11/Assumptions!D19</f>
        <v>15.35</v>
      </c>
    </row>
    <row r="6" customFormat="false" ht="31.5" hidden="false" customHeight="true" outlineLevel="0" collapsed="false">
      <c r="B6" s="4"/>
      <c r="C6" s="7" t="s">
        <v>7</v>
      </c>
      <c r="D6" s="8" t="n">
        <f aca="false">'2026 Scenarios'!C19</f>
        <v>19.1522935779817</v>
      </c>
      <c r="E6" s="8" t="n">
        <f aca="false">Assumptions!B11/Assumptions!C19</f>
        <v>16.6807830603276</v>
      </c>
      <c r="F6" s="8" t="n">
        <f aca="false">Assumptions!B11/Assumptions!D19</f>
        <v>15.35</v>
      </c>
    </row>
    <row r="7" customFormat="false" ht="31.5" hidden="false" customHeight="true" outlineLevel="0" collapsed="false">
      <c r="B7" s="4"/>
      <c r="C7" s="5" t="s">
        <v>8</v>
      </c>
      <c r="D7" s="6" t="n">
        <f aca="false">'2026 Scenarios'!C25</f>
        <v>19.5194015895278</v>
      </c>
      <c r="E7" s="6" t="n">
        <f aca="false">Assumptions!B11/Assumptions!C19</f>
        <v>16.6807830603276</v>
      </c>
      <c r="F7" s="6" t="n">
        <f aca="false">Assumptions!B11/Assumptions!D19</f>
        <v>15.35</v>
      </c>
    </row>
    <row r="10" customFormat="false" ht="15" hidden="false" customHeight="true" outlineLevel="0" collapsed="false">
      <c r="D10" s="2" t="s">
        <v>0</v>
      </c>
      <c r="E10" s="2"/>
      <c r="F10" s="2"/>
    </row>
    <row r="11" customFormat="false" ht="15" hidden="false" customHeight="true" outlineLevel="0" collapsed="false">
      <c r="B11" s="3"/>
      <c r="C11" s="3" t="s">
        <v>1</v>
      </c>
      <c r="D11" s="3" t="s">
        <v>2</v>
      </c>
      <c r="E11" s="3" t="s">
        <v>3</v>
      </c>
      <c r="F11" s="3" t="s">
        <v>4</v>
      </c>
    </row>
    <row r="12" customFormat="false" ht="31.5" hidden="false" customHeight="true" outlineLevel="0" collapsed="false">
      <c r="B12" s="4" t="s">
        <v>9</v>
      </c>
      <c r="C12" s="5" t="s">
        <v>10</v>
      </c>
      <c r="D12" s="6" t="n">
        <f aca="false">'EV-EBITDA Walk'!B20</f>
        <v>19.0387596899225</v>
      </c>
      <c r="E12" s="6" t="n">
        <f aca="false">'EV-EBITDA Walk'!C20</f>
        <v>18.2084605320541</v>
      </c>
      <c r="F12" s="6" t="n">
        <f aca="false">'EV-EBITDA Walk'!D20</f>
        <v>15.35</v>
      </c>
    </row>
    <row r="13" customFormat="false" ht="31.5" hidden="false" customHeight="true" outlineLevel="0" collapsed="false">
      <c r="B13" s="4"/>
      <c r="C13" s="7" t="s">
        <v>11</v>
      </c>
      <c r="D13" s="8" t="n">
        <f aca="false">'EV-EBITDA Walk'!B22</f>
        <v>19.0387596899225</v>
      </c>
      <c r="E13" s="8" t="n">
        <f aca="false">'EV-EBITDA Walk'!C22</f>
        <v>17.5502311895755</v>
      </c>
      <c r="F13" s="8" t="n">
        <f aca="false">'EV-EBITDA Walk'!D22</f>
        <v>15.35</v>
      </c>
    </row>
    <row r="14" customFormat="false" ht="31.5" hidden="false" customHeight="true" outlineLevel="0" collapsed="false">
      <c r="B14" s="4"/>
      <c r="C14" s="5" t="s">
        <v>12</v>
      </c>
      <c r="D14" s="6" t="n">
        <f aca="false">'EV-EBITDA Walk'!B24</f>
        <v>19.1522935779817</v>
      </c>
      <c r="E14" s="6" t="n">
        <f aca="false">'EV-EBITDA Walk'!C24</f>
        <v>18.2084605320541</v>
      </c>
      <c r="F14" s="6" t="n">
        <f aca="false">'EV-EBITDA Walk'!D24</f>
        <v>15.35</v>
      </c>
    </row>
    <row r="15" customFormat="false" ht="31.5" hidden="false" customHeight="true" outlineLevel="0" collapsed="false">
      <c r="B15" s="4"/>
      <c r="C15" s="7" t="s">
        <v>13</v>
      </c>
      <c r="D15" s="8" t="n">
        <f aca="false">'EV-EBITDA Walk'!B26</f>
        <v>19.1522935779817</v>
      </c>
      <c r="E15" s="8" t="n">
        <f aca="false">'EV-EBITDA Walk'!C26</f>
        <v>17.5502311895755</v>
      </c>
      <c r="F15" s="8" t="n">
        <f aca="false">'EV-EBITDA Walk'!D26</f>
        <v>15.35</v>
      </c>
    </row>
    <row r="16" customFormat="false" ht="31.5" hidden="false" customHeight="true" outlineLevel="0" collapsed="false">
      <c r="B16" s="4"/>
      <c r="C16" s="5" t="s">
        <v>14</v>
      </c>
      <c r="D16" s="6" t="n">
        <f aca="false">'EV-EBITDA Walk'!B28</f>
        <v>19.5194015895278</v>
      </c>
      <c r="E16" s="6" t="n">
        <f aca="false">'EV-EBITDA Walk'!C28</f>
        <v>18.2084605320541</v>
      </c>
      <c r="F16" s="6" t="n">
        <f aca="false">'EV-EBITDA Walk'!D28</f>
        <v>15.35</v>
      </c>
    </row>
    <row r="17" customFormat="false" ht="31.5" hidden="false" customHeight="true" outlineLevel="0" collapsed="false">
      <c r="B17" s="4"/>
      <c r="C17" s="7" t="s">
        <v>15</v>
      </c>
      <c r="D17" s="8" t="n">
        <f aca="false">'EV-EBITDA Walk'!B30</f>
        <v>19.5194015895278</v>
      </c>
      <c r="E17" s="8" t="n">
        <f aca="false">'EV-EBITDA Walk'!C30</f>
        <v>17.5502311895755</v>
      </c>
      <c r="F17" s="8" t="n">
        <f aca="false">'EV-EBITDA Walk'!D30</f>
        <v>15.35</v>
      </c>
    </row>
  </sheetData>
  <mergeCells count="4">
    <mergeCell ref="D3:F3"/>
    <mergeCell ref="B5:B7"/>
    <mergeCell ref="D10:F10"/>
    <mergeCell ref="B12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4"/>
  </cols>
  <sheetData>
    <row r="1" customFormat="false" ht="15.75" hidden="false" customHeight="true" outlineLevel="0" collapsed="false">
      <c r="A1" s="9" t="s">
        <v>16</v>
      </c>
      <c r="B1" s="9"/>
      <c r="C1" s="9"/>
      <c r="D1" s="9"/>
    </row>
    <row r="2" customFormat="false" ht="15" hidden="false" customHeight="true" outlineLevel="0" collapsed="false">
      <c r="A2" s="10" t="s">
        <v>17</v>
      </c>
    </row>
    <row r="4" customFormat="false" ht="15" hidden="false" customHeight="true" outlineLevel="0" collapsed="false">
      <c r="A4" s="11"/>
      <c r="B4" s="11" t="s">
        <v>2</v>
      </c>
      <c r="C4" s="11" t="s">
        <v>3</v>
      </c>
      <c r="D4" s="11" t="s">
        <v>4</v>
      </c>
      <c r="E4" s="12" t="s">
        <v>18</v>
      </c>
      <c r="F4" s="12" t="s">
        <v>19</v>
      </c>
      <c r="G4" s="12" t="s">
        <v>20</v>
      </c>
      <c r="H4" s="13" t="s">
        <v>21</v>
      </c>
      <c r="I4" s="13" t="s">
        <v>22</v>
      </c>
      <c r="J4" s="13" t="s">
        <v>23</v>
      </c>
    </row>
    <row r="5" customFormat="false" ht="15" hidden="false" customHeight="true" outlineLevel="0" collapsed="false">
      <c r="A5" s="14" t="s">
        <v>24</v>
      </c>
      <c r="B5" s="15" t="n">
        <f aca="false">Assumptions!B19</f>
        <v>2281</v>
      </c>
      <c r="C5" s="15" t="n">
        <f aca="false">Assumptions!C19</f>
        <v>2503</v>
      </c>
      <c r="D5" s="15" t="n">
        <f aca="false">Assumptions!D19</f>
        <v>2720</v>
      </c>
    </row>
    <row r="6" customFormat="false" ht="15" hidden="false" customHeight="true" outlineLevel="0" collapsed="false">
      <c r="A6" s="14" t="s">
        <v>25</v>
      </c>
      <c r="B6" s="16" t="n">
        <f aca="false">Assumptions!B11/B5</f>
        <v>18.3042525208242</v>
      </c>
      <c r="C6" s="16" t="n">
        <f aca="false">Assumptions!B11/C5</f>
        <v>16.6807830603276</v>
      </c>
      <c r="D6" s="16" t="n">
        <f aca="false">Assumptions!B11/D5</f>
        <v>15.35</v>
      </c>
      <c r="E6" s="17" t="n">
        <f aca="false">(B5-Assumptions!B69)/Assumptions!B11</f>
        <v>0.0515184901322092</v>
      </c>
      <c r="F6" s="17" t="n">
        <f aca="false">(C5-Assumptions!C69)/Assumptions!B11</f>
        <v>0.0565960912052117</v>
      </c>
      <c r="G6" s="17" t="n">
        <f aca="false">(D5-Assumptions!D69)/Assumptions!B11</f>
        <v>0.0616736922782142</v>
      </c>
      <c r="H6" s="17" t="n">
        <f aca="false">(B5-Assumptions!B69-Assumptions!B71-MAX(0,Assumptions!B72*(B5-Assumptions!B70-Assumptions!B71)))/Assumptions!B7</f>
        <v>0.0449298969072165</v>
      </c>
      <c r="I6" s="17" t="n">
        <f aca="false">(C5-Assumptions!C69-Assumptions!C71-MAX(0,Assumptions!C72*(C5-Assumptions!C70-Assumptions!C71)))/Assumptions!B7</f>
        <v>0.0489943298969072</v>
      </c>
      <c r="J6" s="17" t="n">
        <f aca="false">(D5-Assumptions!D69-Assumptions!D71-MAX(0,Assumptions!D72*(D5-Assumptions!D70-Assumptions!D71)))/Assumptions!B7</f>
        <v>0.052819587628866</v>
      </c>
    </row>
    <row r="8" customFormat="false" ht="15" hidden="false" customHeight="true" outlineLevel="0" collapsed="false">
      <c r="A8" s="18" t="s">
        <v>26</v>
      </c>
      <c r="B8" s="18"/>
      <c r="C8" s="18"/>
      <c r="D8" s="18"/>
      <c r="E8" s="19"/>
      <c r="F8" s="19"/>
      <c r="G8" s="19"/>
      <c r="H8" s="19"/>
      <c r="I8" s="19"/>
      <c r="J8" s="19"/>
    </row>
    <row r="9" customFormat="false" ht="15" hidden="false" customHeight="true" outlineLevel="0" collapsed="false">
      <c r="A9" s="20"/>
      <c r="B9" s="20" t="s">
        <v>2</v>
      </c>
      <c r="C9" s="20" t="s">
        <v>3</v>
      </c>
      <c r="D9" s="20" t="s">
        <v>4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</row>
    <row r="10" customFormat="false" ht="15" hidden="false" customHeight="true" outlineLevel="0" collapsed="false">
      <c r="A10" s="21" t="s">
        <v>27</v>
      </c>
      <c r="B10" s="22" t="n">
        <f aca="false">'2026 Scenarios'!C8</f>
        <v>2193</v>
      </c>
      <c r="C10" s="22" t="n">
        <f aca="false">Assumptions!C19</f>
        <v>2503</v>
      </c>
      <c r="D10" s="22" t="n">
        <f aca="false">Assumptions!D19</f>
        <v>2720</v>
      </c>
    </row>
    <row r="11" customFormat="false" ht="15" hidden="false" customHeight="true" outlineLevel="0" collapsed="false">
      <c r="A11" s="14" t="s">
        <v>28</v>
      </c>
      <c r="B11" s="23" t="n">
        <f aca="false">Assumptions!B11/B10</f>
        <v>19.0387596899225</v>
      </c>
      <c r="C11" s="23" t="n">
        <f aca="false">Assumptions!B11/C10</f>
        <v>16.6807830603276</v>
      </c>
      <c r="D11" s="23" t="n">
        <f aca="false">Assumptions!B11/D10</f>
        <v>15.35</v>
      </c>
      <c r="E11" s="24" t="n">
        <f aca="false">(B10-Assumptions!B69)/Assumptions!B11</f>
        <v>0.0494108066679441</v>
      </c>
      <c r="F11" s="24" t="n">
        <f aca="false">(C10-Assumptions!C69)/Assumptions!B11</f>
        <v>0.0565960912052117</v>
      </c>
      <c r="G11" s="24" t="n">
        <f aca="false">(D10-Assumptions!D69)/Assumptions!B11</f>
        <v>0.0616736922782142</v>
      </c>
      <c r="H11" s="24" t="n">
        <f aca="false">(B10-Assumptions!B69-Assumptions!B71-MAX(0,Assumptions!B72*(B10-Assumptions!B70-Assumptions!B71)))/Assumptions!B7</f>
        <v>0.0429340206185567</v>
      </c>
      <c r="I11" s="24" t="n">
        <f aca="false">(C10-Assumptions!C69-Assumptions!C71-MAX(0,Assumptions!C72*(C10-Assumptions!C70-Assumptions!C71)))/Assumptions!B7</f>
        <v>0.0489943298969072</v>
      </c>
      <c r="J11" s="24" t="n">
        <f aca="false">(D10-Assumptions!D69-Assumptions!D71-MAX(0,Assumptions!D72*(D10-Assumptions!D70-Assumptions!D71)))/Assumptions!B7</f>
        <v>0.052819587628866</v>
      </c>
    </row>
    <row r="12" customFormat="false" ht="15" hidden="false" customHeight="true" outlineLevel="0" collapsed="false">
      <c r="A12" s="21" t="s">
        <v>29</v>
      </c>
      <c r="B12" s="22" t="n">
        <f aca="false">'2026 Scenarios'!C18</f>
        <v>2180</v>
      </c>
      <c r="C12" s="22" t="n">
        <f aca="false">Assumptions!C19</f>
        <v>2503</v>
      </c>
      <c r="D12" s="22" t="n">
        <f aca="false">Assumptions!D19</f>
        <v>2720</v>
      </c>
    </row>
    <row r="13" customFormat="false" ht="15" hidden="false" customHeight="true" outlineLevel="0" collapsed="false">
      <c r="A13" s="14" t="s">
        <v>28</v>
      </c>
      <c r="B13" s="25" t="n">
        <f aca="false">Assumptions!B11/B12</f>
        <v>19.1522935779817</v>
      </c>
      <c r="C13" s="25" t="n">
        <f aca="false">Assumptions!B11/C12</f>
        <v>16.6807830603276</v>
      </c>
      <c r="D13" s="25" t="n">
        <f aca="false">Assumptions!B11/D12</f>
        <v>15.35</v>
      </c>
      <c r="E13" s="24" t="n">
        <f aca="false">(B12-Assumptions!B69)/Assumptions!B11</f>
        <v>0.0490994443379958</v>
      </c>
      <c r="F13" s="24" t="n">
        <f aca="false">(C12-Assumptions!C69)/Assumptions!B11</f>
        <v>0.0565960912052117</v>
      </c>
      <c r="G13" s="24" t="n">
        <f aca="false">(D12-Assumptions!D69)/Assumptions!B11</f>
        <v>0.0616736922782142</v>
      </c>
      <c r="H13" s="24" t="n">
        <f aca="false">(B12-Assumptions!B69-Assumptions!B71-MAX(0,Assumptions!B72*(B12-Assumptions!B70-Assumptions!B71)))/Assumptions!B7</f>
        <v>0.042639175257732</v>
      </c>
      <c r="I13" s="24" t="n">
        <f aca="false">(C12-Assumptions!C69-Assumptions!C71-MAX(0,Assumptions!C72*(C12-Assumptions!C70-Assumptions!C71)))/Assumptions!B7</f>
        <v>0.0489943298969072</v>
      </c>
      <c r="J13" s="24" t="n">
        <f aca="false">(D12-Assumptions!D69-Assumptions!D71-MAX(0,Assumptions!D72*(D12-Assumptions!D70-Assumptions!D71)))/Assumptions!B7</f>
        <v>0.052819587628866</v>
      </c>
    </row>
    <row r="14" customFormat="false" ht="15" hidden="false" customHeight="true" outlineLevel="0" collapsed="false">
      <c r="A14" s="26" t="s">
        <v>30</v>
      </c>
      <c r="B14" s="22" t="n">
        <f aca="false">'2026 Scenarios'!C24</f>
        <v>2139</v>
      </c>
      <c r="C14" s="22" t="n">
        <f aca="false">Assumptions!C19</f>
        <v>2503</v>
      </c>
      <c r="D14" s="22" t="n">
        <f aca="false">Assumptions!D19</f>
        <v>2720</v>
      </c>
    </row>
    <row r="15" customFormat="false" ht="15" hidden="false" customHeight="true" outlineLevel="0" collapsed="false">
      <c r="A15" s="27" t="s">
        <v>28</v>
      </c>
      <c r="B15" s="28" t="n">
        <f aca="false">Assumptions!B11/B14</f>
        <v>19.5194015895278</v>
      </c>
      <c r="C15" s="28" t="n">
        <f aca="false">Assumptions!B11/C14</f>
        <v>16.6807830603276</v>
      </c>
      <c r="D15" s="28" t="n">
        <f aca="false">Assumptions!B11/D14</f>
        <v>15.35</v>
      </c>
      <c r="E15" s="29" t="n">
        <f aca="false">(B14-Assumptions!B69)/Assumptions!B11</f>
        <v>0.0481174554512359</v>
      </c>
      <c r="F15" s="29" t="n">
        <f aca="false">(C14-Assumptions!C69)/Assumptions!B11</f>
        <v>0.0565960912052117</v>
      </c>
      <c r="G15" s="29" t="n">
        <f aca="false">(D14-Assumptions!D69)/Assumptions!B11</f>
        <v>0.0616736922782142</v>
      </c>
      <c r="H15" s="29" t="n">
        <f aca="false">(B14-Assumptions!B69-Assumptions!B71-MAX(0,Assumptions!B72*(B14-Assumptions!B70-Assumptions!B71)))/Assumptions!B7</f>
        <v>0.0417092783505155</v>
      </c>
      <c r="I15" s="29" t="n">
        <f aca="false">(C14-Assumptions!C69-Assumptions!C71-MAX(0,Assumptions!C72*(C14-Assumptions!C70-Assumptions!C71)))/Assumptions!B7</f>
        <v>0.0489943298969072</v>
      </c>
      <c r="J15" s="29" t="n">
        <f aca="false">(D14-Assumptions!D69-Assumptions!D71-MAX(0,Assumptions!D72*(D14-Assumptions!D70-Assumptions!D71)))/Assumptions!B7</f>
        <v>0.052819587628866</v>
      </c>
    </row>
    <row r="17" customFormat="false" ht="15" hidden="false" customHeight="true" outlineLevel="0" collapsed="false">
      <c r="A17" s="30" t="s">
        <v>31</v>
      </c>
      <c r="B17" s="30"/>
      <c r="C17" s="30"/>
      <c r="D17" s="30"/>
      <c r="E17" s="31"/>
      <c r="F17" s="31"/>
      <c r="G17" s="31"/>
      <c r="H17" s="31"/>
      <c r="I17" s="31"/>
      <c r="J17" s="31"/>
    </row>
    <row r="18" customFormat="false" ht="15" hidden="false" customHeight="true" outlineLevel="0" collapsed="false">
      <c r="A18" s="20"/>
      <c r="B18" s="20" t="s">
        <v>2</v>
      </c>
      <c r="C18" s="20" t="s">
        <v>3</v>
      </c>
      <c r="D18" s="20" t="s">
        <v>4</v>
      </c>
      <c r="E18" s="20" t="s">
        <v>18</v>
      </c>
      <c r="F18" s="20" t="s">
        <v>19</v>
      </c>
      <c r="G18" s="20" t="s">
        <v>20</v>
      </c>
      <c r="H18" s="20" t="s">
        <v>21</v>
      </c>
      <c r="I18" s="20" t="s">
        <v>22</v>
      </c>
      <c r="J18" s="20" t="s">
        <v>23</v>
      </c>
    </row>
    <row r="19" customFormat="false" ht="15" hidden="false" customHeight="true" outlineLevel="0" collapsed="false">
      <c r="A19" s="21" t="s">
        <v>32</v>
      </c>
      <c r="B19" s="22" t="n">
        <f aca="false">'2026 Scenarios'!C8</f>
        <v>2193</v>
      </c>
      <c r="C19" s="22" t="n">
        <f aca="false">'2027 Scenarios'!C8</f>
        <v>2293</v>
      </c>
      <c r="D19" s="22" t="n">
        <f aca="false">Assumptions!D19</f>
        <v>2720</v>
      </c>
    </row>
    <row r="20" customFormat="false" ht="15" hidden="false" customHeight="true" outlineLevel="0" collapsed="false">
      <c r="A20" s="14" t="s">
        <v>28</v>
      </c>
      <c r="B20" s="23" t="n">
        <f aca="false">Assumptions!B11/B19</f>
        <v>19.0387596899225</v>
      </c>
      <c r="C20" s="23" t="n">
        <f aca="false">Assumptions!B11/C19</f>
        <v>18.2084605320541</v>
      </c>
      <c r="D20" s="23" t="n">
        <f aca="false">Assumptions!B11/D19</f>
        <v>15.35</v>
      </c>
      <c r="E20" s="24" t="n">
        <f aca="false">(B19-Assumptions!B69)/Assumptions!B11</f>
        <v>0.0494108066679441</v>
      </c>
      <c r="F20" s="24" t="n">
        <f aca="false">(C19-Assumptions!C69)/Assumptions!B11</f>
        <v>0.0515663920291244</v>
      </c>
      <c r="G20" s="24" t="n">
        <f aca="false">(D19-Assumptions!D69)/Assumptions!B11</f>
        <v>0.0616736922782142</v>
      </c>
      <c r="H20" s="24" t="n">
        <f aca="false">(B19-Assumptions!B69-Assumptions!B71-MAX(0,Assumptions!B72*(B19-Assumptions!B70-Assumptions!B71)))/Assumptions!B7</f>
        <v>0.0429340206185567</v>
      </c>
      <c r="I20" s="24" t="n">
        <f aca="false">(C19-Assumptions!C69-Assumptions!C71-MAX(0,Assumptions!C72*(C19-Assumptions!C70-Assumptions!C71)))/Assumptions!B7</f>
        <v>0.0443396907216495</v>
      </c>
      <c r="J20" s="24" t="n">
        <f aca="false">(D19-Assumptions!D69-Assumptions!D71-MAX(0,Assumptions!D72*(D19-Assumptions!D70-Assumptions!D71)))/Assumptions!B7</f>
        <v>0.052819587628866</v>
      </c>
    </row>
    <row r="21" customFormat="false" ht="15" hidden="false" customHeight="true" outlineLevel="0" collapsed="false">
      <c r="A21" s="21" t="s">
        <v>33</v>
      </c>
      <c r="B21" s="22" t="n">
        <f aca="false">'2026 Scenarios'!C8</f>
        <v>2193</v>
      </c>
      <c r="C21" s="22" t="n">
        <f aca="false">'2027 Scenarios'!C16</f>
        <v>2379</v>
      </c>
      <c r="D21" s="22" t="n">
        <f aca="false">Assumptions!D19</f>
        <v>2720</v>
      </c>
    </row>
    <row r="22" customFormat="false" ht="15" hidden="false" customHeight="true" outlineLevel="0" collapsed="false">
      <c r="A22" s="14" t="s">
        <v>28</v>
      </c>
      <c r="B22" s="25" t="n">
        <f aca="false">Assumptions!B11/B21</f>
        <v>19.0387596899225</v>
      </c>
      <c r="C22" s="25" t="n">
        <f aca="false">Assumptions!B11/C21</f>
        <v>17.5502311895755</v>
      </c>
      <c r="D22" s="25" t="n">
        <f aca="false">Assumptions!B11/D21</f>
        <v>15.35</v>
      </c>
      <c r="E22" s="24" t="n">
        <f aca="false">(B21-Assumptions!B69)/Assumptions!B11</f>
        <v>0.0494108066679441</v>
      </c>
      <c r="F22" s="24" t="n">
        <f aca="false">(C21-Assumptions!C69)/Assumptions!B11</f>
        <v>0.0536261735964744</v>
      </c>
      <c r="G22" s="24" t="n">
        <f aca="false">(D21-Assumptions!D69)/Assumptions!B11</f>
        <v>0.0616736922782142</v>
      </c>
      <c r="H22" s="24" t="n">
        <f aca="false">(B21-Assumptions!B69-Assumptions!B71-MAX(0,Assumptions!B72*(B21-Assumptions!B70-Assumptions!B71)))/Assumptions!B7</f>
        <v>0.0429340206185567</v>
      </c>
      <c r="I22" s="24" t="n">
        <f aca="false">(C21-Assumptions!C69-Assumptions!C71-MAX(0,Assumptions!C72*(C21-Assumptions!C70-Assumptions!C71)))/Assumptions!B7</f>
        <v>0.0462458762886598</v>
      </c>
      <c r="J22" s="24" t="n">
        <f aca="false">(D21-Assumptions!D69-Assumptions!D71-MAX(0,Assumptions!D72*(D21-Assumptions!D70-Assumptions!D71)))/Assumptions!B7</f>
        <v>0.052819587628866</v>
      </c>
    </row>
    <row r="23" customFormat="false" ht="15" hidden="false" customHeight="true" outlineLevel="0" collapsed="false">
      <c r="A23" s="21" t="s">
        <v>34</v>
      </c>
      <c r="B23" s="22" t="n">
        <f aca="false">'2026 Scenarios'!C18</f>
        <v>2180</v>
      </c>
      <c r="C23" s="22" t="n">
        <f aca="false">'2027 Scenarios'!C8</f>
        <v>2293</v>
      </c>
      <c r="D23" s="22" t="n">
        <f aca="false">Assumptions!D19</f>
        <v>2720</v>
      </c>
    </row>
    <row r="24" customFormat="false" ht="15" hidden="false" customHeight="true" outlineLevel="0" collapsed="false">
      <c r="A24" s="14" t="s">
        <v>28</v>
      </c>
      <c r="B24" s="25" t="n">
        <f aca="false">Assumptions!B11/B23</f>
        <v>19.1522935779817</v>
      </c>
      <c r="C24" s="25" t="n">
        <f aca="false">Assumptions!B11/C23</f>
        <v>18.2084605320541</v>
      </c>
      <c r="D24" s="25" t="n">
        <f aca="false">Assumptions!B11/D23</f>
        <v>15.35</v>
      </c>
      <c r="E24" s="24" t="n">
        <f aca="false">(B23-Assumptions!B69)/Assumptions!B11</f>
        <v>0.0490994443379958</v>
      </c>
      <c r="F24" s="24" t="n">
        <f aca="false">(C23-Assumptions!C69)/Assumptions!B11</f>
        <v>0.0515663920291244</v>
      </c>
      <c r="G24" s="24" t="n">
        <f aca="false">(D23-Assumptions!D69)/Assumptions!B11</f>
        <v>0.0616736922782142</v>
      </c>
      <c r="H24" s="24" t="n">
        <f aca="false">(B23-Assumptions!B69-Assumptions!B71-MAX(0,Assumptions!B72*(B23-Assumptions!B70-Assumptions!B71)))/Assumptions!B7</f>
        <v>0.042639175257732</v>
      </c>
      <c r="I24" s="24" t="n">
        <f aca="false">(C23-Assumptions!C69-Assumptions!C71-MAX(0,Assumptions!C72*(C23-Assumptions!C70-Assumptions!C71)))/Assumptions!B7</f>
        <v>0.0443396907216495</v>
      </c>
      <c r="J24" s="24" t="n">
        <f aca="false">(D23-Assumptions!D69-Assumptions!D71-MAX(0,Assumptions!D72*(D23-Assumptions!D70-Assumptions!D71)))/Assumptions!B7</f>
        <v>0.052819587628866</v>
      </c>
    </row>
    <row r="25" customFormat="false" ht="15" hidden="false" customHeight="true" outlineLevel="0" collapsed="false">
      <c r="A25" s="21" t="s">
        <v>35</v>
      </c>
      <c r="B25" s="22" t="n">
        <f aca="false">'2026 Scenarios'!C18</f>
        <v>2180</v>
      </c>
      <c r="C25" s="22" t="n">
        <f aca="false">'2027 Scenarios'!C16</f>
        <v>2379</v>
      </c>
      <c r="D25" s="22" t="n">
        <f aca="false">Assumptions!D19</f>
        <v>2720</v>
      </c>
    </row>
    <row r="26" customFormat="false" ht="15" hidden="false" customHeight="true" outlineLevel="0" collapsed="false">
      <c r="A26" s="14" t="s">
        <v>28</v>
      </c>
      <c r="B26" s="23" t="n">
        <f aca="false">Assumptions!B11/B25</f>
        <v>19.1522935779817</v>
      </c>
      <c r="C26" s="23" t="n">
        <f aca="false">Assumptions!B11/C25</f>
        <v>17.5502311895755</v>
      </c>
      <c r="D26" s="23" t="n">
        <f aca="false">Assumptions!B11/D25</f>
        <v>15.35</v>
      </c>
      <c r="E26" s="24" t="n">
        <f aca="false">(B25-Assumptions!B69)/Assumptions!B11</f>
        <v>0.0490994443379958</v>
      </c>
      <c r="F26" s="24" t="n">
        <f aca="false">(C25-Assumptions!C69)/Assumptions!B11</f>
        <v>0.0536261735964744</v>
      </c>
      <c r="G26" s="24" t="n">
        <f aca="false">(D25-Assumptions!D69)/Assumptions!B11</f>
        <v>0.0616736922782142</v>
      </c>
      <c r="H26" s="24" t="n">
        <f aca="false">(B25-Assumptions!B69-Assumptions!B71-MAX(0,Assumptions!B72*(B25-Assumptions!B70-Assumptions!B71)))/Assumptions!B7</f>
        <v>0.042639175257732</v>
      </c>
      <c r="I26" s="24" t="n">
        <f aca="false">(C25-Assumptions!C69-Assumptions!C71-MAX(0,Assumptions!C72*(C25-Assumptions!C70-Assumptions!C71)))/Assumptions!B7</f>
        <v>0.0462458762886598</v>
      </c>
      <c r="J26" s="24" t="n">
        <f aca="false">(D25-Assumptions!D69-Assumptions!D71-MAX(0,Assumptions!D72*(D25-Assumptions!D70-Assumptions!D71)))/Assumptions!B7</f>
        <v>0.052819587628866</v>
      </c>
    </row>
    <row r="27" customFormat="false" ht="15" hidden="false" customHeight="true" outlineLevel="0" collapsed="false">
      <c r="A27" s="26" t="s">
        <v>36</v>
      </c>
      <c r="B27" s="22" t="n">
        <f aca="false">'2026 Scenarios'!C24</f>
        <v>2139</v>
      </c>
      <c r="C27" s="22" t="n">
        <f aca="false">'2027 Scenarios'!C8</f>
        <v>2293</v>
      </c>
      <c r="D27" s="22" t="n">
        <f aca="false">Assumptions!D19</f>
        <v>2720</v>
      </c>
    </row>
    <row r="28" customFormat="false" ht="15" hidden="false" customHeight="true" outlineLevel="0" collapsed="false">
      <c r="A28" s="27" t="s">
        <v>28</v>
      </c>
      <c r="B28" s="28" t="n">
        <f aca="false">Assumptions!B11/B27</f>
        <v>19.5194015895278</v>
      </c>
      <c r="C28" s="28" t="n">
        <f aca="false">Assumptions!B11/C27</f>
        <v>18.2084605320541</v>
      </c>
      <c r="D28" s="28" t="n">
        <f aca="false">Assumptions!B11/D27</f>
        <v>15.35</v>
      </c>
      <c r="E28" s="29" t="n">
        <f aca="false">(B27-Assumptions!B69)/Assumptions!B11</f>
        <v>0.0481174554512359</v>
      </c>
      <c r="F28" s="29" t="n">
        <f aca="false">(C27-Assumptions!C69)/Assumptions!B11</f>
        <v>0.0515663920291244</v>
      </c>
      <c r="G28" s="29" t="n">
        <f aca="false">(D27-Assumptions!D69)/Assumptions!B11</f>
        <v>0.0616736922782142</v>
      </c>
      <c r="H28" s="29" t="n">
        <f aca="false">(B27-Assumptions!B69-Assumptions!B71-MAX(0,Assumptions!B72*(B27-Assumptions!B70-Assumptions!B71)))/Assumptions!B7</f>
        <v>0.0417092783505155</v>
      </c>
      <c r="I28" s="29" t="n">
        <f aca="false">(C27-Assumptions!C69-Assumptions!C71-MAX(0,Assumptions!C72*(C27-Assumptions!C70-Assumptions!C71)))/Assumptions!B7</f>
        <v>0.0443396907216495</v>
      </c>
      <c r="J28" s="29" t="n">
        <f aca="false">(D27-Assumptions!D69-Assumptions!D71-MAX(0,Assumptions!D72*(D27-Assumptions!D70-Assumptions!D71)))/Assumptions!B7</f>
        <v>0.052819587628866</v>
      </c>
    </row>
    <row r="29" customFormat="false" ht="15" hidden="false" customHeight="true" outlineLevel="0" collapsed="false">
      <c r="A29" s="21" t="s">
        <v>37</v>
      </c>
      <c r="B29" s="22" t="n">
        <f aca="false">'2026 Scenarios'!C24</f>
        <v>2139</v>
      </c>
      <c r="C29" s="22" t="n">
        <f aca="false">'2027 Scenarios'!C16</f>
        <v>2379</v>
      </c>
      <c r="D29" s="22" t="n">
        <f aca="false">Assumptions!D19</f>
        <v>2720</v>
      </c>
    </row>
    <row r="30" customFormat="false" ht="15" hidden="false" customHeight="true" outlineLevel="0" collapsed="false">
      <c r="A30" s="14" t="s">
        <v>28</v>
      </c>
      <c r="B30" s="25" t="n">
        <f aca="false">Assumptions!B11/B29</f>
        <v>19.5194015895278</v>
      </c>
      <c r="C30" s="25" t="n">
        <f aca="false">Assumptions!B11/C29</f>
        <v>17.5502311895755</v>
      </c>
      <c r="D30" s="25" t="n">
        <f aca="false">Assumptions!B11/D29</f>
        <v>15.35</v>
      </c>
      <c r="E30" s="24" t="n">
        <f aca="false">(B29-Assumptions!B69)/Assumptions!B11</f>
        <v>0.0481174554512359</v>
      </c>
      <c r="F30" s="24" t="n">
        <f aca="false">(C29-Assumptions!C69)/Assumptions!B11</f>
        <v>0.0536261735964744</v>
      </c>
      <c r="G30" s="24" t="n">
        <f aca="false">(D29-Assumptions!D69)/Assumptions!B11</f>
        <v>0.0616736922782142</v>
      </c>
      <c r="H30" s="24" t="n">
        <f aca="false">(B29-Assumptions!B69-Assumptions!B71-MAX(0,Assumptions!B72*(B29-Assumptions!B70-Assumptions!B71)))/Assumptions!B7</f>
        <v>0.0417092783505155</v>
      </c>
      <c r="I30" s="24" t="n">
        <f aca="false">(C29-Assumptions!C69-Assumptions!C71-MAX(0,Assumptions!C72*(C29-Assumptions!C70-Assumptions!C71)))/Assumptions!B7</f>
        <v>0.0462458762886598</v>
      </c>
      <c r="J30" s="24" t="n">
        <f aca="false">(D29-Assumptions!D69-Assumptions!D71-MAX(0,Assumptions!D72*(D29-Assumptions!D70-Assumptions!D71)))/Assumptions!B7</f>
        <v>0.052819587628866</v>
      </c>
    </row>
    <row r="32" customFormat="false" ht="15.75" hidden="false" customHeight="true" outlineLevel="0" collapsed="false">
      <c r="A32" s="32" t="s">
        <v>38</v>
      </c>
      <c r="B32" s="32"/>
      <c r="C32" s="32"/>
      <c r="D32" s="32"/>
    </row>
    <row r="33" customFormat="false" ht="15" hidden="false" customHeight="true" outlineLevel="0" collapsed="false">
      <c r="A33" s="33" t="s">
        <v>39</v>
      </c>
    </row>
    <row r="35" customFormat="false" ht="23.25" hidden="false" customHeight="true" outlineLevel="0" collapsed="false">
      <c r="A35" s="34" t="s">
        <v>40</v>
      </c>
      <c r="B35" s="34" t="s">
        <v>41</v>
      </c>
      <c r="C35" s="34" t="s">
        <v>42</v>
      </c>
      <c r="D35" s="34" t="s">
        <v>43</v>
      </c>
      <c r="E35" s="34" t="s">
        <v>44</v>
      </c>
      <c r="F35" s="34" t="s">
        <v>45</v>
      </c>
      <c r="G35" s="34" t="s">
        <v>46</v>
      </c>
      <c r="H35" s="34"/>
      <c r="I35" s="34"/>
      <c r="J35" s="34"/>
    </row>
    <row r="36" customFormat="false" ht="15" hidden="false" customHeight="true" outlineLevel="0" collapsed="false">
      <c r="A36" s="35" t="s">
        <v>47</v>
      </c>
      <c r="B36" s="36" t="n">
        <f aca="false">Assumptions!B11/Assumptions!D19</f>
        <v>15.35</v>
      </c>
      <c r="C36" s="37" t="n">
        <f aca="false">B36*Assumptions!D19</f>
        <v>41752</v>
      </c>
      <c r="D36" s="37" t="n">
        <f aca="false">C36-Assumptions!B10</f>
        <v>38800</v>
      </c>
      <c r="E36" s="38" t="n">
        <f aca="false">D36/Assumptions!B6</f>
        <v>200</v>
      </c>
      <c r="F36" s="39" t="n">
        <f aca="false">(E36/Assumptions!B5)-1</f>
        <v>0</v>
      </c>
      <c r="G36" s="40" t="n">
        <f aca="false">(Assumptions!D19-Assumptions!D69)/C36</f>
        <v>0.0616736922782142</v>
      </c>
    </row>
    <row r="37" customFormat="false" ht="15" hidden="false" customHeight="true" outlineLevel="0" collapsed="false">
      <c r="A37" s="41" t="s">
        <v>48</v>
      </c>
      <c r="B37" s="42" t="n">
        <v>13</v>
      </c>
      <c r="C37" s="43" t="n">
        <f aca="false">B37*Assumptions!D19</f>
        <v>35360</v>
      </c>
      <c r="D37" s="43" t="n">
        <f aca="false">C37-Assumptions!B10</f>
        <v>32408</v>
      </c>
      <c r="E37" s="44" t="n">
        <f aca="false">D37/Assumptions!B6</f>
        <v>167.051546391753</v>
      </c>
      <c r="F37" s="45" t="n">
        <f aca="false">(E37/Assumptions!B5)-1</f>
        <v>-0.164742268041237</v>
      </c>
      <c r="G37" s="46" t="n">
        <f aca="false">(Assumptions!D19-Assumptions!D69)/C37</f>
        <v>0.0728223981900453</v>
      </c>
    </row>
    <row r="38" customFormat="false" ht="15" hidden="false" customHeight="true" outlineLevel="0" collapsed="false">
      <c r="A38" s="41" t="s">
        <v>49</v>
      </c>
      <c r="B38" s="42" t="n">
        <v>15</v>
      </c>
      <c r="C38" s="43" t="n">
        <f aca="false">B38*Assumptions!D19</f>
        <v>40800</v>
      </c>
      <c r="D38" s="43" t="n">
        <f aca="false">C38-Assumptions!B10</f>
        <v>37848</v>
      </c>
      <c r="E38" s="44" t="n">
        <f aca="false">D38/Assumptions!B6</f>
        <v>195.092783505155</v>
      </c>
      <c r="F38" s="45" t="n">
        <f aca="false">(E38/Assumptions!B5)-1</f>
        <v>-0.0245360824742268</v>
      </c>
      <c r="G38" s="46" t="n">
        <f aca="false">(Assumptions!D19-Assumptions!D69)/C38</f>
        <v>0.0631127450980392</v>
      </c>
    </row>
    <row r="39" customFormat="false" ht="15" hidden="false" customHeight="true" outlineLevel="0" collapsed="false">
      <c r="A39" s="47" t="s">
        <v>50</v>
      </c>
      <c r="B39" s="48" t="n">
        <v>17</v>
      </c>
      <c r="C39" s="49" t="n">
        <f aca="false">B39*Assumptions!D19</f>
        <v>46240</v>
      </c>
      <c r="D39" s="49" t="n">
        <f aca="false">C39-Assumptions!B10</f>
        <v>43288</v>
      </c>
      <c r="E39" s="50" t="n">
        <f aca="false">D39/Assumptions!B6</f>
        <v>223.134020618557</v>
      </c>
      <c r="F39" s="51" t="n">
        <f aca="false">(E39/Assumptions!B5)-1</f>
        <v>0.115670103092783</v>
      </c>
      <c r="G39" s="52" t="n">
        <f aca="false">(Assumptions!D19-Assumptions!D69)/C39</f>
        <v>0.0556877162629758</v>
      </c>
    </row>
    <row r="40" customFormat="false" ht="15" hidden="false" customHeight="true" outlineLevel="0" collapsed="false">
      <c r="A40" s="41" t="s">
        <v>51</v>
      </c>
      <c r="B40" s="42" t="n">
        <v>19</v>
      </c>
      <c r="C40" s="43" t="n">
        <f aca="false">B40*Assumptions!D19</f>
        <v>51680</v>
      </c>
      <c r="D40" s="43" t="n">
        <f aca="false">C40-Assumptions!B10</f>
        <v>48728</v>
      </c>
      <c r="E40" s="44" t="n">
        <f aca="false">D40/Assumptions!B6</f>
        <v>251.175257731959</v>
      </c>
      <c r="F40" s="45" t="n">
        <f aca="false">(E40/Assumptions!B5)-1</f>
        <v>0.255876288659794</v>
      </c>
      <c r="G40" s="46" t="n">
        <f aca="false">(Assumptions!D19-Assumptions!D69)/C40</f>
        <v>0.0498258513931889</v>
      </c>
    </row>
    <row r="41" customFormat="false" ht="15" hidden="false" customHeight="true" outlineLevel="0" collapsed="false">
      <c r="A41" s="41" t="s">
        <v>52</v>
      </c>
      <c r="B41" s="42" t="n">
        <v>21</v>
      </c>
      <c r="C41" s="43" t="n">
        <f aca="false">B41*Assumptions!D19</f>
        <v>57120</v>
      </c>
      <c r="D41" s="43" t="n">
        <f aca="false">C41-Assumptions!B10</f>
        <v>54168</v>
      </c>
      <c r="E41" s="44" t="n">
        <f aca="false">D41/Assumptions!B6</f>
        <v>279.216494845361</v>
      </c>
      <c r="F41" s="45" t="n">
        <f aca="false">(E41/Assumptions!B5)-1</f>
        <v>0.396082474226804</v>
      </c>
      <c r="G41" s="46" t="n">
        <f aca="false">(Assumptions!D19-Assumptions!D69)/C41</f>
        <v>0.0450805322128852</v>
      </c>
    </row>
    <row r="43" customFormat="false" ht="15" hidden="false" customHeight="true" outlineLevel="0" collapsed="false">
      <c r="A43" s="53" t="s">
        <v>53</v>
      </c>
      <c r="B43" s="53"/>
      <c r="C43" s="53"/>
      <c r="D43" s="53"/>
    </row>
    <row r="44" customFormat="false" ht="15" hidden="false" customHeight="true" outlineLevel="0" collapsed="false">
      <c r="A44" s="54" t="s">
        <v>54</v>
      </c>
    </row>
    <row r="45" customFormat="false" ht="15" hidden="false" customHeight="true" outlineLevel="0" collapsed="false">
      <c r="A45" s="54" t="s">
        <v>55</v>
      </c>
    </row>
    <row r="46" customFormat="false" ht="15" hidden="false" customHeight="true" outlineLevel="0" collapsed="false">
      <c r="A46" s="54" t="s">
        <v>56</v>
      </c>
    </row>
    <row r="47" customFormat="false" ht="15" hidden="false" customHeight="true" outlineLevel="0" collapsed="false">
      <c r="A47" s="54" t="s">
        <v>57</v>
      </c>
    </row>
    <row r="48" customFormat="false" ht="15" hidden="false" customHeight="true" outlineLevel="0" collapsed="false">
      <c r="A48" s="54" t="s">
        <v>58</v>
      </c>
    </row>
    <row r="49" customFormat="false" ht="15" hidden="false" customHeight="true" outlineLevel="0" collapsed="false">
      <c r="A49" s="54" t="s">
        <v>59</v>
      </c>
    </row>
    <row r="51" customFormat="false" ht="15" hidden="false" customHeight="true" outlineLevel="0" collapsed="false">
      <c r="A51" s="55" t="s">
        <v>60</v>
      </c>
    </row>
    <row r="52" customFormat="false" ht="15" hidden="false" customHeight="true" outlineLevel="0" collapsed="false">
      <c r="A52" s="56" t="s">
        <v>61</v>
      </c>
    </row>
    <row r="53" customFormat="false" ht="15" hidden="false" customHeight="true" outlineLevel="0" collapsed="false">
      <c r="A53" s="56" t="s">
        <v>62</v>
      </c>
    </row>
    <row r="54" customFormat="false" ht="15" hidden="false" customHeight="true" outlineLevel="0" collapsed="false">
      <c r="A54" s="56" t="s">
        <v>63</v>
      </c>
    </row>
    <row r="55" customFormat="false" ht="15" hidden="false" customHeight="true" outlineLevel="0" collapsed="false">
      <c r="A55" s="56" t="s">
        <v>64</v>
      </c>
    </row>
    <row r="56" customFormat="false" ht="15" hidden="false" customHeight="true" outlineLevel="0" collapsed="false">
      <c r="A56" s="56" t="s">
        <v>65</v>
      </c>
    </row>
    <row r="57" customFormat="false" ht="15" hidden="false" customHeight="true" outlineLevel="0" collapsed="false">
      <c r="A57" s="56" t="s">
        <v>66</v>
      </c>
    </row>
    <row r="58" customFormat="false" ht="15" hidden="false" customHeight="true" outlineLevel="0" collapsed="false">
      <c r="A58" s="56" t="s">
        <v>67</v>
      </c>
    </row>
  </sheetData>
  <mergeCells count="5">
    <mergeCell ref="A1:D1"/>
    <mergeCell ref="A8:D8"/>
    <mergeCell ref="A17:D17"/>
    <mergeCell ref="A32:D3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4"/>
    <col collapsed="false" customWidth="true" hidden="false" outlineLevel="0" max="7" min="7" style="1" width="44"/>
  </cols>
  <sheetData>
    <row r="1" customFormat="false" ht="15.75" hidden="false" customHeight="true" outlineLevel="0" collapsed="false">
      <c r="A1" s="9" t="s">
        <v>68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69</v>
      </c>
    </row>
    <row r="4" customFormat="false" ht="15" hidden="false" customHeight="true" outlineLevel="0" collapsed="false">
      <c r="A4" s="11" t="s">
        <v>70</v>
      </c>
      <c r="B4" s="11" t="s">
        <v>71</v>
      </c>
      <c r="C4" s="11"/>
      <c r="D4" s="11"/>
      <c r="E4" s="11"/>
      <c r="F4" s="11"/>
      <c r="G4" s="11" t="s">
        <v>72</v>
      </c>
    </row>
    <row r="5" customFormat="false" ht="15" hidden="false" customHeight="true" outlineLevel="0" collapsed="false">
      <c r="A5" s="41" t="s">
        <v>73</v>
      </c>
      <c r="B5" s="57" t="n">
        <v>200</v>
      </c>
      <c r="G5" s="10" t="s">
        <v>74</v>
      </c>
    </row>
    <row r="6" customFormat="false" ht="15" hidden="false" customHeight="true" outlineLevel="0" collapsed="false">
      <c r="A6" s="41" t="s">
        <v>75</v>
      </c>
      <c r="B6" s="58" t="n">
        <v>194</v>
      </c>
      <c r="G6" s="10" t="s">
        <v>76</v>
      </c>
    </row>
    <row r="7" customFormat="false" ht="15" hidden="false" customHeight="true" outlineLevel="0" collapsed="false">
      <c r="A7" s="41" t="s">
        <v>77</v>
      </c>
      <c r="B7" s="59" t="n">
        <f aca="false">B5*B6</f>
        <v>38800</v>
      </c>
    </row>
    <row r="8" customFormat="false" ht="15" hidden="false" customHeight="true" outlineLevel="0" collapsed="false">
      <c r="A8" s="41" t="s">
        <v>78</v>
      </c>
      <c r="B8" s="58" t="n">
        <v>3783</v>
      </c>
      <c r="G8" s="10" t="s">
        <v>79</v>
      </c>
    </row>
    <row r="9" customFormat="false" ht="15" hidden="false" customHeight="true" outlineLevel="0" collapsed="false">
      <c r="A9" s="41" t="s">
        <v>80</v>
      </c>
      <c r="B9" s="58" t="n">
        <v>831</v>
      </c>
      <c r="G9" s="10" t="s">
        <v>79</v>
      </c>
    </row>
    <row r="10" customFormat="false" ht="15" hidden="false" customHeight="true" outlineLevel="0" collapsed="false">
      <c r="A10" s="41" t="s">
        <v>81</v>
      </c>
      <c r="B10" s="43" t="n">
        <f aca="false">B8-B9</f>
        <v>2952</v>
      </c>
    </row>
    <row r="11" customFormat="false" ht="15" hidden="false" customHeight="true" outlineLevel="0" collapsed="false">
      <c r="A11" s="41" t="s">
        <v>82</v>
      </c>
      <c r="B11" s="60" t="n">
        <f aca="false">B7+B10</f>
        <v>41752</v>
      </c>
    </row>
    <row r="13" customFormat="false" ht="15" hidden="false" customHeight="true" outlineLevel="0" collapsed="false">
      <c r="A13" s="11" t="s">
        <v>83</v>
      </c>
      <c r="B13" s="11" t="s">
        <v>2</v>
      </c>
      <c r="C13" s="11" t="s">
        <v>3</v>
      </c>
      <c r="D13" s="11" t="s">
        <v>4</v>
      </c>
      <c r="E13" s="11"/>
      <c r="F13" s="11"/>
      <c r="G13" s="11" t="s">
        <v>84</v>
      </c>
    </row>
    <row r="14" customFormat="false" ht="15" hidden="false" customHeight="true" outlineLevel="0" collapsed="false">
      <c r="A14" s="21" t="s">
        <v>85</v>
      </c>
      <c r="B14" s="61" t="n">
        <v>1108</v>
      </c>
      <c r="C14" s="61" t="n">
        <v>1120</v>
      </c>
      <c r="D14" s="61" t="n">
        <v>1250</v>
      </c>
      <c r="G14" s="10" t="s">
        <v>86</v>
      </c>
    </row>
    <row r="15" customFormat="false" ht="15" hidden="false" customHeight="true" outlineLevel="0" collapsed="false">
      <c r="A15" s="21" t="s">
        <v>87</v>
      </c>
      <c r="B15" s="61" t="n">
        <v>908</v>
      </c>
      <c r="C15" s="61" t="n">
        <v>1035</v>
      </c>
      <c r="D15" s="61" t="n">
        <v>1050</v>
      </c>
      <c r="G15" s="10" t="s">
        <v>88</v>
      </c>
    </row>
    <row r="16" customFormat="false" ht="15" hidden="false" customHeight="true" outlineLevel="0" collapsed="false">
      <c r="A16" s="21" t="s">
        <v>89</v>
      </c>
      <c r="B16" s="61" t="n">
        <v>350</v>
      </c>
      <c r="C16" s="61" t="n">
        <v>410</v>
      </c>
      <c r="D16" s="61" t="n">
        <v>470</v>
      </c>
      <c r="G16" s="10" t="s">
        <v>90</v>
      </c>
    </row>
    <row r="17" customFormat="false" ht="15" hidden="false" customHeight="true" outlineLevel="0" collapsed="false">
      <c r="A17" s="21" t="s">
        <v>91</v>
      </c>
      <c r="B17" s="61" t="n">
        <v>25</v>
      </c>
      <c r="C17" s="61" t="n">
        <v>50</v>
      </c>
      <c r="D17" s="61" t="n">
        <v>55</v>
      </c>
      <c r="G17" s="10" t="s">
        <v>92</v>
      </c>
    </row>
    <row r="18" customFormat="false" ht="15" hidden="false" customHeight="true" outlineLevel="0" collapsed="false">
      <c r="A18" s="21" t="s">
        <v>93</v>
      </c>
      <c r="B18" s="61" t="n">
        <v>-110</v>
      </c>
      <c r="C18" s="61" t="n">
        <v>-112</v>
      </c>
      <c r="D18" s="61" t="n">
        <v>-105</v>
      </c>
      <c r="G18" s="10" t="s">
        <v>94</v>
      </c>
    </row>
    <row r="19" customFormat="false" ht="15" hidden="false" customHeight="true" outlineLevel="0" collapsed="false">
      <c r="A19" s="14" t="s">
        <v>95</v>
      </c>
      <c r="B19" s="62" t="n">
        <f aca="false">SUM(B14:B18)</f>
        <v>2281</v>
      </c>
      <c r="C19" s="62" t="n">
        <f aca="false">SUM(C14:C18)</f>
        <v>2503</v>
      </c>
      <c r="D19" s="62" t="n">
        <f aca="false">SUM(D14:D18)</f>
        <v>2720</v>
      </c>
    </row>
    <row r="20" customFormat="false" ht="15" hidden="false" customHeight="true" outlineLevel="0" collapsed="false">
      <c r="A20" s="63" t="s">
        <v>96</v>
      </c>
      <c r="B20" s="64" t="n">
        <f aca="false">B19-2265</f>
        <v>16</v>
      </c>
    </row>
    <row r="22" customFormat="false" ht="23.25" hidden="false" customHeight="true" outlineLevel="0" collapsed="false">
      <c r="A22" s="11" t="s">
        <v>97</v>
      </c>
      <c r="B22" s="11" t="s">
        <v>98</v>
      </c>
      <c r="C22" s="11" t="s">
        <v>99</v>
      </c>
      <c r="D22" s="11" t="s">
        <v>100</v>
      </c>
      <c r="E22" s="11" t="s">
        <v>101</v>
      </c>
      <c r="F22" s="11"/>
      <c r="G22" s="11" t="s">
        <v>84</v>
      </c>
    </row>
    <row r="23" customFormat="false" ht="15" hidden="false" customHeight="true" outlineLevel="0" collapsed="false">
      <c r="A23" s="41" t="s">
        <v>102</v>
      </c>
      <c r="B23" s="58" t="n">
        <v>60</v>
      </c>
      <c r="C23" s="58" t="n">
        <v>12</v>
      </c>
      <c r="D23" s="43" t="n">
        <f aca="false">B23-C23</f>
        <v>48</v>
      </c>
      <c r="E23" s="65" t="s">
        <v>103</v>
      </c>
      <c r="F23" s="66"/>
      <c r="G23" s="67" t="s">
        <v>104</v>
      </c>
    </row>
    <row r="24" customFormat="false" ht="15" hidden="false" customHeight="true" outlineLevel="0" collapsed="false">
      <c r="A24" s="41" t="s">
        <v>105</v>
      </c>
      <c r="B24" s="58" t="n">
        <v>55</v>
      </c>
      <c r="C24" s="58" t="n">
        <v>11</v>
      </c>
      <c r="D24" s="43" t="n">
        <f aca="false">B24-C24</f>
        <v>44</v>
      </c>
      <c r="E24" s="68" t="s">
        <v>106</v>
      </c>
      <c r="F24" s="66"/>
      <c r="G24" s="67" t="s">
        <v>107</v>
      </c>
    </row>
    <row r="25" customFormat="false" ht="15" hidden="false" customHeight="true" outlineLevel="0" collapsed="false">
      <c r="A25" s="41" t="s">
        <v>108</v>
      </c>
      <c r="B25" s="58" t="n">
        <v>55</v>
      </c>
      <c r="C25" s="58" t="n">
        <v>11</v>
      </c>
      <c r="D25" s="43" t="n">
        <f aca="false">B25-C25</f>
        <v>44</v>
      </c>
      <c r="E25" s="68" t="s">
        <v>106</v>
      </c>
      <c r="F25" s="66"/>
      <c r="G25" s="67" t="s">
        <v>109</v>
      </c>
    </row>
    <row r="26" customFormat="false" ht="15" hidden="false" customHeight="true" outlineLevel="0" collapsed="false">
      <c r="A26" s="41" t="s">
        <v>110</v>
      </c>
      <c r="B26" s="58" t="n">
        <v>30</v>
      </c>
      <c r="C26" s="58" t="n">
        <v>10</v>
      </c>
      <c r="D26" s="43" t="n">
        <f aca="false">B26-C26</f>
        <v>20</v>
      </c>
      <c r="E26" s="68" t="s">
        <v>106</v>
      </c>
      <c r="F26" s="66"/>
      <c r="G26" s="67" t="s">
        <v>111</v>
      </c>
    </row>
    <row r="27" customFormat="false" ht="15" hidden="false" customHeight="true" outlineLevel="0" collapsed="false">
      <c r="A27" s="41" t="s">
        <v>112</v>
      </c>
      <c r="B27" s="58" t="n">
        <v>22</v>
      </c>
      <c r="C27" s="58" t="n">
        <v>8</v>
      </c>
      <c r="D27" s="43" t="n">
        <f aca="false">B27-C27</f>
        <v>14</v>
      </c>
      <c r="E27" s="68" t="s">
        <v>106</v>
      </c>
      <c r="F27" s="66"/>
      <c r="G27" s="67" t="s">
        <v>113</v>
      </c>
    </row>
    <row r="28" customFormat="false" ht="15" hidden="false" customHeight="true" outlineLevel="0" collapsed="false">
      <c r="A28" s="41" t="s">
        <v>114</v>
      </c>
      <c r="B28" s="58" t="n">
        <v>12</v>
      </c>
      <c r="C28" s="58" t="n">
        <v>5</v>
      </c>
      <c r="D28" s="43" t="n">
        <f aca="false">B28-C28</f>
        <v>7</v>
      </c>
      <c r="E28" s="68" t="s">
        <v>106</v>
      </c>
      <c r="F28" s="66"/>
      <c r="G28" s="67" t="s">
        <v>115</v>
      </c>
    </row>
    <row r="29" customFormat="false" ht="15" hidden="false" customHeight="true" outlineLevel="0" collapsed="false">
      <c r="A29" s="41" t="s">
        <v>116</v>
      </c>
      <c r="B29" s="58" t="n">
        <v>22</v>
      </c>
      <c r="C29" s="58" t="n">
        <v>9</v>
      </c>
      <c r="D29" s="43" t="n">
        <f aca="false">B29-C29</f>
        <v>13</v>
      </c>
      <c r="E29" s="68" t="s">
        <v>106</v>
      </c>
      <c r="F29" s="66"/>
      <c r="G29" s="67" t="s">
        <v>117</v>
      </c>
    </row>
    <row r="30" customFormat="false" ht="15" hidden="false" customHeight="true" outlineLevel="0" collapsed="false">
      <c r="A30" s="14" t="s">
        <v>118</v>
      </c>
      <c r="B30" s="15" t="n">
        <f aca="false">SUM(B23:B29)</f>
        <v>256</v>
      </c>
      <c r="D30" s="15" t="n">
        <f aca="false">SUM(D23:D29)</f>
        <v>190</v>
      </c>
    </row>
    <row r="31" customFormat="false" ht="15" hidden="false" customHeight="true" outlineLevel="0" collapsed="false">
      <c r="A31" s="26" t="s">
        <v>119</v>
      </c>
      <c r="B31" s="69" t="n">
        <f aca="false">SUM(B24:B29)</f>
        <v>196</v>
      </c>
      <c r="D31" s="70" t="n">
        <f aca="false">SUM(D24:D29)</f>
        <v>142</v>
      </c>
    </row>
    <row r="32" customFormat="false" ht="15" hidden="false" customHeight="true" outlineLevel="0" collapsed="false">
      <c r="A32" s="63" t="s">
        <v>120</v>
      </c>
      <c r="D32" s="71" t="n">
        <f aca="false">D31/B19</f>
        <v>0.0622533976326173</v>
      </c>
    </row>
    <row r="33" customFormat="false" ht="15" hidden="false" customHeight="true" outlineLevel="0" collapsed="false">
      <c r="A33" s="21" t="s">
        <v>121</v>
      </c>
      <c r="D33" s="22" t="n">
        <f aca="false">D24+D25</f>
        <v>88</v>
      </c>
    </row>
    <row r="34" customFormat="false" ht="15" hidden="false" customHeight="true" outlineLevel="0" collapsed="false">
      <c r="A34" s="21" t="s">
        <v>122</v>
      </c>
      <c r="D34" s="22" t="n">
        <f aca="false">D26+D27+D28</f>
        <v>41</v>
      </c>
    </row>
    <row r="35" customFormat="false" ht="15" hidden="false" customHeight="true" outlineLevel="0" collapsed="false">
      <c r="A35" s="21" t="s">
        <v>123</v>
      </c>
      <c r="D35" s="22" t="n">
        <f aca="false">D29</f>
        <v>13</v>
      </c>
    </row>
    <row r="37" customFormat="false" ht="15" hidden="false" customHeight="true" outlineLevel="0" collapsed="false">
      <c r="A37" s="11" t="s">
        <v>124</v>
      </c>
      <c r="B37" s="11" t="s">
        <v>125</v>
      </c>
      <c r="C37" s="11" t="s">
        <v>126</v>
      </c>
      <c r="D37" s="11"/>
      <c r="E37" s="11"/>
      <c r="F37" s="11"/>
      <c r="G37" s="11" t="s">
        <v>127</v>
      </c>
    </row>
    <row r="38" customFormat="false" ht="15" hidden="false" customHeight="true" outlineLevel="0" collapsed="false">
      <c r="A38" s="41" t="s">
        <v>128</v>
      </c>
      <c r="B38" s="72" t="n">
        <v>1</v>
      </c>
      <c r="C38" s="46" t="n">
        <f aca="false">1-B38</f>
        <v>0</v>
      </c>
      <c r="G38" s="10" t="s">
        <v>129</v>
      </c>
    </row>
    <row r="39" customFormat="false" ht="15" hidden="false" customHeight="true" outlineLevel="0" collapsed="false">
      <c r="A39" s="41" t="s">
        <v>130</v>
      </c>
      <c r="B39" s="72" t="n">
        <v>0</v>
      </c>
      <c r="C39" s="46" t="n">
        <f aca="false">1-B39</f>
        <v>1</v>
      </c>
      <c r="G39" s="10" t="s">
        <v>131</v>
      </c>
    </row>
    <row r="40" customFormat="false" ht="15" hidden="false" customHeight="true" outlineLevel="0" collapsed="false">
      <c r="A40" s="41" t="s">
        <v>132</v>
      </c>
      <c r="B40" s="72" t="n">
        <v>0.05</v>
      </c>
      <c r="C40" s="46" t="n">
        <f aca="false">1-B40</f>
        <v>0.95</v>
      </c>
      <c r="G40" s="10" t="s">
        <v>133</v>
      </c>
    </row>
    <row r="41" customFormat="false" ht="15" hidden="false" customHeight="true" outlineLevel="0" collapsed="false">
      <c r="A41" s="41" t="s">
        <v>134</v>
      </c>
      <c r="B41" s="72" t="n">
        <v>1</v>
      </c>
      <c r="C41" s="46" t="n">
        <f aca="false">1-B41</f>
        <v>0</v>
      </c>
      <c r="G41" s="10" t="s">
        <v>135</v>
      </c>
    </row>
    <row r="42" customFormat="false" ht="15" hidden="false" customHeight="true" outlineLevel="0" collapsed="false">
      <c r="A42" s="41" t="s">
        <v>136</v>
      </c>
      <c r="B42" s="72" t="n">
        <v>0</v>
      </c>
      <c r="C42" s="46" t="n">
        <f aca="false">1-B42</f>
        <v>1</v>
      </c>
      <c r="G42" s="10" t="s">
        <v>137</v>
      </c>
    </row>
    <row r="43" customFormat="false" ht="15" hidden="false" customHeight="true" outlineLevel="0" collapsed="false">
      <c r="A43" s="73" t="s">
        <v>138</v>
      </c>
    </row>
    <row r="45" customFormat="false" ht="15" hidden="false" customHeight="true" outlineLevel="0" collapsed="false">
      <c r="A45" s="11" t="s">
        <v>139</v>
      </c>
      <c r="B45" s="11" t="s">
        <v>71</v>
      </c>
      <c r="C45" s="11"/>
      <c r="D45" s="11"/>
      <c r="E45" s="11"/>
      <c r="F45" s="11"/>
      <c r="G45" s="11" t="s">
        <v>84</v>
      </c>
    </row>
    <row r="46" customFormat="false" ht="15" hidden="false" customHeight="true" outlineLevel="0" collapsed="false">
      <c r="A46" s="21" t="s">
        <v>140</v>
      </c>
      <c r="B46" s="61" t="n">
        <v>5</v>
      </c>
      <c r="G46" s="10" t="s">
        <v>141</v>
      </c>
    </row>
    <row r="47" customFormat="false" ht="15" hidden="false" customHeight="true" outlineLevel="0" collapsed="false">
      <c r="A47" s="21" t="s">
        <v>142</v>
      </c>
      <c r="B47" s="61" t="n">
        <v>8</v>
      </c>
      <c r="G47" s="10" t="s">
        <v>143</v>
      </c>
    </row>
    <row r="48" customFormat="false" ht="15" hidden="false" customHeight="true" outlineLevel="0" collapsed="false">
      <c r="A48" s="14" t="s">
        <v>144</v>
      </c>
      <c r="B48" s="15" t="n">
        <f aca="false">B46+B47</f>
        <v>13</v>
      </c>
      <c r="G48" s="10" t="s">
        <v>145</v>
      </c>
    </row>
    <row r="49" customFormat="false" ht="15" hidden="false" customHeight="true" outlineLevel="0" collapsed="false">
      <c r="A49" s="21" t="s">
        <v>146</v>
      </c>
      <c r="B49" s="61" t="n">
        <v>5</v>
      </c>
      <c r="G49" s="10" t="s">
        <v>147</v>
      </c>
    </row>
    <row r="50" customFormat="false" ht="15" hidden="false" customHeight="true" outlineLevel="0" collapsed="false">
      <c r="A50" s="21" t="s">
        <v>148</v>
      </c>
      <c r="B50" s="61" t="n">
        <v>10</v>
      </c>
      <c r="G50" s="10" t="s">
        <v>149</v>
      </c>
    </row>
    <row r="51" customFormat="false" ht="15" hidden="false" customHeight="true" outlineLevel="0" collapsed="false">
      <c r="A51" s="21" t="s">
        <v>150</v>
      </c>
      <c r="B51" s="61" t="n">
        <v>30</v>
      </c>
      <c r="G51" s="10" t="s">
        <v>151</v>
      </c>
    </row>
    <row r="53" customFormat="false" ht="15" hidden="false" customHeight="true" outlineLevel="0" collapsed="false">
      <c r="A53" s="11" t="s">
        <v>152</v>
      </c>
      <c r="B53" s="11" t="s">
        <v>71</v>
      </c>
      <c r="C53" s="11"/>
      <c r="D53" s="11"/>
      <c r="E53" s="11"/>
      <c r="F53" s="11"/>
      <c r="G53" s="11" t="s">
        <v>84</v>
      </c>
    </row>
    <row r="54" customFormat="false" ht="15" hidden="false" customHeight="true" outlineLevel="0" collapsed="false">
      <c r="A54" s="21" t="s">
        <v>153</v>
      </c>
      <c r="B54" s="61" t="n">
        <v>90</v>
      </c>
      <c r="G54" s="10" t="s">
        <v>154</v>
      </c>
    </row>
    <row r="55" customFormat="false" ht="15" hidden="false" customHeight="true" outlineLevel="0" collapsed="false">
      <c r="A55" s="21" t="s">
        <v>155</v>
      </c>
      <c r="B55" s="61" t="n">
        <v>22</v>
      </c>
    </row>
    <row r="56" customFormat="false" ht="15" hidden="false" customHeight="true" outlineLevel="0" collapsed="false">
      <c r="A56" s="14" t="s">
        <v>156</v>
      </c>
      <c r="B56" s="60" t="n">
        <f aca="false">B54-B55</f>
        <v>68</v>
      </c>
    </row>
    <row r="57" customFormat="false" ht="15" hidden="false" customHeight="true" outlineLevel="0" collapsed="false">
      <c r="A57" s="21" t="s">
        <v>157</v>
      </c>
      <c r="B57" s="22" t="n">
        <f aca="false">B50+B51</f>
        <v>40</v>
      </c>
      <c r="G57" s="10" t="s">
        <v>158</v>
      </c>
    </row>
    <row r="58" customFormat="false" ht="15" hidden="false" customHeight="true" outlineLevel="0" collapsed="false">
      <c r="A58" s="26" t="s">
        <v>159</v>
      </c>
      <c r="B58" s="74" t="n">
        <f aca="false">B56</f>
        <v>68</v>
      </c>
    </row>
    <row r="59" customFormat="false" ht="15" hidden="false" customHeight="true" outlineLevel="0" collapsed="false">
      <c r="A59" s="14" t="s">
        <v>160</v>
      </c>
      <c r="B59" s="15" t="n">
        <f aca="false">B56-B57</f>
        <v>28</v>
      </c>
    </row>
    <row r="61" customFormat="false" ht="15" hidden="false" customHeight="true" outlineLevel="0" collapsed="false">
      <c r="A61" s="11" t="s">
        <v>161</v>
      </c>
      <c r="B61" s="11" t="s">
        <v>71</v>
      </c>
      <c r="C61" s="11"/>
      <c r="D61" s="11"/>
      <c r="E61" s="11"/>
      <c r="F61" s="11"/>
      <c r="G61" s="11" t="s">
        <v>84</v>
      </c>
    </row>
    <row r="62" customFormat="false" ht="15" hidden="false" customHeight="true" outlineLevel="0" collapsed="false">
      <c r="A62" s="21" t="s">
        <v>162</v>
      </c>
      <c r="B62" s="22" t="n">
        <f aca="false">D24+D25</f>
        <v>88</v>
      </c>
      <c r="G62" s="10" t="s">
        <v>163</v>
      </c>
    </row>
    <row r="63" customFormat="false" ht="15" hidden="false" customHeight="true" outlineLevel="0" collapsed="false">
      <c r="A63" s="21" t="s">
        <v>164</v>
      </c>
      <c r="B63" s="22" t="n">
        <f aca="false">D26+D27+D28</f>
        <v>41</v>
      </c>
    </row>
    <row r="64" customFormat="false" ht="15" hidden="false" customHeight="true" outlineLevel="0" collapsed="false">
      <c r="A64" s="21" t="s">
        <v>123</v>
      </c>
      <c r="B64" s="22" t="n">
        <f aca="false">D29</f>
        <v>13</v>
      </c>
    </row>
    <row r="65" customFormat="false" ht="15" hidden="false" customHeight="true" outlineLevel="0" collapsed="false">
      <c r="A65" s="14" t="s">
        <v>165</v>
      </c>
      <c r="B65" s="60" t="n">
        <f aca="false">B62+B63+B64</f>
        <v>142</v>
      </c>
    </row>
    <row r="66" customFormat="false" ht="15" hidden="false" customHeight="true" outlineLevel="0" collapsed="false">
      <c r="A66" s="21" t="s">
        <v>166</v>
      </c>
      <c r="B66" s="22" t="n">
        <f aca="false">B48*2+B49*4</f>
        <v>46</v>
      </c>
      <c r="G66" s="10" t="s">
        <v>167</v>
      </c>
    </row>
    <row r="68" customFormat="false" ht="15" hidden="false" customHeight="true" outlineLevel="0" collapsed="false">
      <c r="A68" s="11" t="s">
        <v>168</v>
      </c>
      <c r="B68" s="11" t="s">
        <v>2</v>
      </c>
      <c r="C68" s="11" t="s">
        <v>3</v>
      </c>
      <c r="D68" s="11" t="s">
        <v>4</v>
      </c>
      <c r="E68" s="11"/>
      <c r="F68" s="11"/>
      <c r="G68" s="11" t="s">
        <v>84</v>
      </c>
    </row>
    <row r="69" customFormat="false" ht="15" hidden="false" customHeight="true" outlineLevel="0" collapsed="false">
      <c r="A69" s="21" t="s">
        <v>169</v>
      </c>
      <c r="B69" s="61" t="n">
        <v>130</v>
      </c>
      <c r="C69" s="61" t="n">
        <v>140</v>
      </c>
      <c r="D69" s="61" t="n">
        <v>145</v>
      </c>
      <c r="G69" s="10" t="s">
        <v>170</v>
      </c>
    </row>
    <row r="70" customFormat="false" ht="15" hidden="false" customHeight="true" outlineLevel="0" collapsed="false">
      <c r="A70" s="21" t="s">
        <v>171</v>
      </c>
      <c r="B70" s="61" t="n">
        <v>350</v>
      </c>
      <c r="C70" s="61" t="n">
        <v>370</v>
      </c>
      <c r="D70" s="61" t="n">
        <v>380</v>
      </c>
      <c r="G70" s="10" t="s">
        <v>172</v>
      </c>
    </row>
    <row r="71" customFormat="false" ht="15" hidden="false" customHeight="true" outlineLevel="0" collapsed="false">
      <c r="A71" s="21" t="s">
        <v>173</v>
      </c>
      <c r="B71" s="61" t="n">
        <v>200</v>
      </c>
      <c r="C71" s="61" t="n">
        <v>190</v>
      </c>
      <c r="D71" s="61" t="n">
        <v>180</v>
      </c>
      <c r="G71" s="10" t="s">
        <v>174</v>
      </c>
    </row>
    <row r="72" customFormat="false" ht="15" hidden="false" customHeight="true" outlineLevel="0" collapsed="false">
      <c r="A72" s="21" t="s">
        <v>175</v>
      </c>
      <c r="B72" s="75" t="n">
        <v>0.12</v>
      </c>
      <c r="C72" s="75" t="n">
        <v>0.14</v>
      </c>
      <c r="D72" s="75" t="n">
        <v>0.16</v>
      </c>
      <c r="G72" s="10" t="s">
        <v>176</v>
      </c>
    </row>
    <row r="73" customFormat="false" ht="15" hidden="false" customHeight="true" outlineLevel="0" collapsed="false">
      <c r="A73" s="21" t="s">
        <v>177</v>
      </c>
      <c r="B73" s="61" t="n">
        <v>0</v>
      </c>
      <c r="C73" s="61" t="n">
        <v>0</v>
      </c>
      <c r="D73" s="61" t="n">
        <v>0</v>
      </c>
      <c r="G73" s="10" t="s">
        <v>178</v>
      </c>
    </row>
    <row r="75" customFormat="false" ht="15" hidden="false" customHeight="true" outlineLevel="0" collapsed="false">
      <c r="A75" s="11" t="s">
        <v>179</v>
      </c>
      <c r="B75" s="11" t="s">
        <v>2</v>
      </c>
      <c r="C75" s="11" t="s">
        <v>3</v>
      </c>
      <c r="D75" s="11" t="s">
        <v>4</v>
      </c>
      <c r="E75" s="11"/>
      <c r="F75" s="11"/>
      <c r="G75" s="11"/>
    </row>
    <row r="76" customFormat="false" ht="15" hidden="false" customHeight="true" outlineLevel="0" collapsed="false">
      <c r="A76" s="21" t="s">
        <v>180</v>
      </c>
      <c r="B76" s="76" t="n">
        <f aca="false">B19</f>
        <v>2281</v>
      </c>
      <c r="C76" s="76" t="n">
        <f aca="false">C19</f>
        <v>2503</v>
      </c>
      <c r="D76" s="76" t="n">
        <f aca="false">D19</f>
        <v>2720</v>
      </c>
    </row>
    <row r="77" customFormat="false" ht="15" hidden="false" customHeight="true" outlineLevel="0" collapsed="false">
      <c r="A77" s="21" t="s">
        <v>181</v>
      </c>
      <c r="B77" s="22" t="n">
        <f aca="false">-B69</f>
        <v>-130</v>
      </c>
      <c r="C77" s="22" t="n">
        <f aca="false">-C69</f>
        <v>-140</v>
      </c>
      <c r="D77" s="22" t="n">
        <f aca="false">-D69</f>
        <v>-145</v>
      </c>
    </row>
    <row r="78" customFormat="false" ht="15" hidden="false" customHeight="true" outlineLevel="0" collapsed="false">
      <c r="A78" s="14" t="s">
        <v>182</v>
      </c>
      <c r="B78" s="59" t="n">
        <f aca="false">B76+B77</f>
        <v>2151</v>
      </c>
      <c r="C78" s="59" t="n">
        <f aca="false">C76+C77</f>
        <v>2363</v>
      </c>
      <c r="D78" s="59" t="n">
        <f aca="false">D76+D77</f>
        <v>2575</v>
      </c>
    </row>
    <row r="79" customFormat="false" ht="15" hidden="false" customHeight="true" outlineLevel="0" collapsed="false">
      <c r="A79" s="21" t="s">
        <v>183</v>
      </c>
      <c r="B79" s="22" t="n">
        <f aca="false">-B71</f>
        <v>-200</v>
      </c>
      <c r="C79" s="22" t="n">
        <f aca="false">-C71</f>
        <v>-190</v>
      </c>
      <c r="D79" s="22" t="n">
        <f aca="false">-D71</f>
        <v>-180</v>
      </c>
    </row>
    <row r="80" customFormat="false" ht="15" hidden="false" customHeight="true" outlineLevel="0" collapsed="false">
      <c r="A80" s="21" t="s">
        <v>184</v>
      </c>
      <c r="B80" s="22" t="n">
        <f aca="false">-MAX(0,B72*(B76-B70-B71))</f>
        <v>-207.72</v>
      </c>
      <c r="C80" s="22" t="n">
        <f aca="false">-MAX(0,C72*(C76-C70-C71))</f>
        <v>-272.02</v>
      </c>
      <c r="D80" s="22" t="n">
        <f aca="false">-MAX(0,D72*(D76-D70-D71))</f>
        <v>-345.6</v>
      </c>
    </row>
    <row r="81" customFormat="false" ht="15" hidden="false" customHeight="true" outlineLevel="0" collapsed="false">
      <c r="A81" s="21" t="s">
        <v>185</v>
      </c>
      <c r="B81" s="22" t="n">
        <f aca="false">B73</f>
        <v>0</v>
      </c>
      <c r="C81" s="22" t="n">
        <f aca="false">C73</f>
        <v>0</v>
      </c>
      <c r="D81" s="22" t="n">
        <f aca="false">D73</f>
        <v>0</v>
      </c>
    </row>
    <row r="82" customFormat="false" ht="15" hidden="false" customHeight="true" outlineLevel="0" collapsed="false">
      <c r="A82" s="14" t="s">
        <v>186</v>
      </c>
      <c r="B82" s="60" t="n">
        <f aca="false">B78+B79+B80+B81</f>
        <v>1743.28</v>
      </c>
      <c r="C82" s="60" t="n">
        <f aca="false">C78+C79+C80+C81</f>
        <v>1900.98</v>
      </c>
      <c r="D82" s="60" t="n">
        <f aca="false">D78+D79+D80+D81</f>
        <v>2049.4</v>
      </c>
    </row>
    <row r="83" customFormat="false" ht="15" hidden="false" customHeight="true" outlineLevel="0" collapsed="false">
      <c r="A83" s="77" t="s">
        <v>187</v>
      </c>
      <c r="B83" s="78" t="n">
        <f aca="false">B78/B11</f>
        <v>0.0515184901322092</v>
      </c>
      <c r="C83" s="78" t="n">
        <f aca="false">C78/B11</f>
        <v>0.0565960912052117</v>
      </c>
      <c r="D83" s="78" t="n">
        <f aca="false">D78/B11</f>
        <v>0.0616736922782142</v>
      </c>
    </row>
    <row r="84" customFormat="false" ht="15" hidden="false" customHeight="true" outlineLevel="0" collapsed="false">
      <c r="A84" s="77" t="s">
        <v>188</v>
      </c>
      <c r="B84" s="78" t="n">
        <f aca="false">B82/B7</f>
        <v>0.0449298969072165</v>
      </c>
      <c r="C84" s="78" t="n">
        <f aca="false">C82/B7</f>
        <v>0.0489943298969072</v>
      </c>
      <c r="D84" s="78" t="n">
        <f aca="false">D82/B7</f>
        <v>0.052819587628866</v>
      </c>
    </row>
    <row r="86" customFormat="false" ht="15" hidden="false" customHeight="true" outlineLevel="0" collapsed="false">
      <c r="A86" s="79" t="s">
        <v>189</v>
      </c>
      <c r="B86" s="79" t="s">
        <v>71</v>
      </c>
      <c r="C86" s="79" t="s">
        <v>190</v>
      </c>
      <c r="D86" s="79"/>
      <c r="E86" s="79"/>
      <c r="F86" s="79"/>
      <c r="G86" s="79" t="s">
        <v>191</v>
      </c>
    </row>
    <row r="87" customFormat="false" ht="15" hidden="false" customHeight="true" outlineLevel="0" collapsed="false">
      <c r="A87" s="41" t="s">
        <v>192</v>
      </c>
      <c r="B87" s="80" t="n">
        <f aca="false">B5</f>
        <v>200</v>
      </c>
      <c r="C87" s="81" t="s">
        <v>193</v>
      </c>
    </row>
    <row r="88" customFormat="false" ht="15" hidden="false" customHeight="true" outlineLevel="0" collapsed="false">
      <c r="A88" s="41" t="s">
        <v>194</v>
      </c>
      <c r="B88" s="82" t="n">
        <f aca="false">B6</f>
        <v>194</v>
      </c>
      <c r="C88" s="81" t="s">
        <v>195</v>
      </c>
    </row>
    <row r="89" customFormat="false" ht="15" hidden="false" customHeight="true" outlineLevel="0" collapsed="false">
      <c r="A89" s="41" t="s">
        <v>78</v>
      </c>
      <c r="B89" s="82" t="n">
        <f aca="false">B8</f>
        <v>3783</v>
      </c>
      <c r="C89" s="81" t="s">
        <v>196</v>
      </c>
    </row>
    <row r="90" customFormat="false" ht="15" hidden="false" customHeight="true" outlineLevel="0" collapsed="false">
      <c r="A90" s="41" t="s">
        <v>197</v>
      </c>
      <c r="B90" s="82" t="n">
        <f aca="false">B9</f>
        <v>831</v>
      </c>
      <c r="C90" s="81" t="s">
        <v>198</v>
      </c>
    </row>
    <row r="91" customFormat="false" ht="15" hidden="false" customHeight="true" outlineLevel="0" collapsed="false">
      <c r="A91" s="41" t="s">
        <v>199</v>
      </c>
      <c r="B91" s="82" t="n">
        <f aca="false">B14</f>
        <v>1108</v>
      </c>
      <c r="C91" s="81" t="s">
        <v>200</v>
      </c>
    </row>
    <row r="92" customFormat="false" ht="15" hidden="false" customHeight="true" outlineLevel="0" collapsed="false">
      <c r="A92" s="41" t="s">
        <v>201</v>
      </c>
      <c r="B92" s="82" t="n">
        <f aca="false">B15</f>
        <v>908</v>
      </c>
      <c r="C92" s="81" t="s">
        <v>202</v>
      </c>
    </row>
    <row r="93" customFormat="false" ht="15" hidden="false" customHeight="true" outlineLevel="0" collapsed="false">
      <c r="A93" s="41" t="s">
        <v>203</v>
      </c>
      <c r="B93" s="82" t="n">
        <f aca="false">B16</f>
        <v>350</v>
      </c>
      <c r="C93" s="81" t="s">
        <v>204</v>
      </c>
    </row>
    <row r="94" customFormat="false" ht="15" hidden="false" customHeight="true" outlineLevel="0" collapsed="false">
      <c r="A94" s="41" t="s">
        <v>205</v>
      </c>
      <c r="B94" s="82" t="n">
        <f aca="false">B17</f>
        <v>25</v>
      </c>
      <c r="C94" s="81" t="s">
        <v>206</v>
      </c>
    </row>
    <row r="95" customFormat="false" ht="15" hidden="false" customHeight="true" outlineLevel="0" collapsed="false">
      <c r="A95" s="41" t="s">
        <v>207</v>
      </c>
      <c r="B95" s="82" t="n">
        <f aca="false">B18</f>
        <v>-110</v>
      </c>
      <c r="C95" s="81" t="s">
        <v>208</v>
      </c>
    </row>
    <row r="96" customFormat="false" ht="15" hidden="false" customHeight="true" outlineLevel="0" collapsed="false">
      <c r="A96" s="41" t="s">
        <v>209</v>
      </c>
      <c r="B96" s="82" t="n">
        <f aca="false">B69</f>
        <v>130</v>
      </c>
      <c r="C96" s="81" t="s">
        <v>210</v>
      </c>
    </row>
    <row r="97" customFormat="false" ht="15" hidden="false" customHeight="true" outlineLevel="0" collapsed="false">
      <c r="A97" s="41" t="s">
        <v>211</v>
      </c>
      <c r="B97" s="82" t="n">
        <f aca="false">B71</f>
        <v>200</v>
      </c>
      <c r="C97" s="81" t="s">
        <v>212</v>
      </c>
    </row>
    <row r="98" customFormat="false" ht="15" hidden="false" customHeight="true" outlineLevel="0" collapsed="false">
      <c r="A98" s="41" t="s">
        <v>213</v>
      </c>
      <c r="B98" s="83" t="n">
        <f aca="false">B72</f>
        <v>0.12</v>
      </c>
      <c r="C98" s="81" t="s">
        <v>214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84" t="s">
        <v>215</v>
      </c>
      <c r="B1" s="84"/>
      <c r="C1" s="84"/>
      <c r="D1" s="84"/>
      <c r="E1" s="84"/>
    </row>
    <row r="2" customFormat="false" ht="15" hidden="false" customHeight="true" outlineLevel="0" collapsed="false">
      <c r="A2" s="10" t="s">
        <v>216</v>
      </c>
    </row>
    <row r="4" customFormat="false" ht="15" hidden="false" customHeight="true" outlineLevel="0" collapsed="false">
      <c r="A4" s="85" t="s">
        <v>217</v>
      </c>
      <c r="B4" s="85"/>
      <c r="C4" s="85" t="s">
        <v>218</v>
      </c>
      <c r="D4" s="85"/>
      <c r="E4" s="85"/>
      <c r="F4" s="85"/>
    </row>
    <row r="5" customFormat="false" ht="15" hidden="false" customHeight="true" outlineLevel="0" collapsed="false">
      <c r="A5" s="21" t="s">
        <v>219</v>
      </c>
      <c r="C5" s="86" t="n">
        <f aca="false">Assumptions!D33</f>
        <v>88</v>
      </c>
    </row>
    <row r="6" customFormat="false" ht="15" hidden="false" customHeight="true" outlineLevel="0" collapsed="false">
      <c r="A6" s="21" t="s">
        <v>220</v>
      </c>
      <c r="C6" s="21" t="n">
        <v>0</v>
      </c>
    </row>
    <row r="7" customFormat="false" ht="15" hidden="false" customHeight="true" outlineLevel="0" collapsed="false">
      <c r="A7" s="14" t="s">
        <v>221</v>
      </c>
      <c r="C7" s="87" t="n">
        <f aca="false">C5+C6</f>
        <v>88</v>
      </c>
    </row>
    <row r="8" customFormat="false" ht="15" hidden="false" customHeight="true" outlineLevel="0" collapsed="false">
      <c r="A8" s="14" t="s">
        <v>222</v>
      </c>
      <c r="C8" s="88" t="n">
        <f aca="false">Assumptions!B19-C7</f>
        <v>2193</v>
      </c>
    </row>
    <row r="9" customFormat="false" ht="15" hidden="false" customHeight="true" outlineLevel="0" collapsed="false">
      <c r="A9" s="14" t="s">
        <v>223</v>
      </c>
      <c r="C9" s="89" t="n">
        <f aca="false">Assumptions!B11/C8</f>
        <v>19.0387596899225</v>
      </c>
    </row>
    <row r="11" customFormat="false" ht="15" hidden="false" customHeight="true" outlineLevel="0" collapsed="false">
      <c r="A11" s="90" t="s">
        <v>224</v>
      </c>
      <c r="B11" s="90"/>
      <c r="C11" s="90" t="s">
        <v>218</v>
      </c>
      <c r="D11" s="90"/>
      <c r="E11" s="90"/>
      <c r="F11" s="90"/>
    </row>
    <row r="12" customFormat="false" ht="15" hidden="false" customHeight="true" outlineLevel="0" collapsed="false">
      <c r="A12" s="21" t="s">
        <v>225</v>
      </c>
      <c r="C12" s="86" t="n">
        <f aca="false">Assumptions!D33</f>
        <v>88</v>
      </c>
    </row>
    <row r="13" customFormat="false" ht="15" hidden="false" customHeight="true" outlineLevel="0" collapsed="false">
      <c r="A13" s="21" t="s">
        <v>226</v>
      </c>
      <c r="C13" s="76" t="n">
        <f aca="false">-Assumptions!B48*2</f>
        <v>-26</v>
      </c>
    </row>
    <row r="14" customFormat="false" ht="15" hidden="false" customHeight="true" outlineLevel="0" collapsed="false">
      <c r="A14" s="21" t="s">
        <v>227</v>
      </c>
      <c r="C14" s="86" t="n">
        <f aca="false">Assumptions!D34</f>
        <v>41</v>
      </c>
    </row>
    <row r="15" customFormat="false" ht="15" hidden="false" customHeight="true" outlineLevel="0" collapsed="false">
      <c r="A15" s="21" t="s">
        <v>228</v>
      </c>
      <c r="C15" s="76" t="n">
        <f aca="false">-Assumptions!B49*3</f>
        <v>-15</v>
      </c>
    </row>
    <row r="16" customFormat="false" ht="15" hidden="false" customHeight="true" outlineLevel="0" collapsed="false">
      <c r="A16" s="21" t="s">
        <v>229</v>
      </c>
      <c r="C16" s="86" t="n">
        <f aca="false">Assumptions!D35</f>
        <v>13</v>
      </c>
    </row>
    <row r="17" customFormat="false" ht="15" hidden="false" customHeight="true" outlineLevel="0" collapsed="false">
      <c r="A17" s="14" t="s">
        <v>230</v>
      </c>
      <c r="C17" s="87" t="n">
        <f aca="false">SUM(C12:C16)</f>
        <v>101</v>
      </c>
    </row>
    <row r="18" customFormat="false" ht="15" hidden="false" customHeight="true" outlineLevel="0" collapsed="false">
      <c r="A18" s="14" t="s">
        <v>222</v>
      </c>
      <c r="C18" s="88" t="n">
        <f aca="false">Assumptions!B19-C17</f>
        <v>2180</v>
      </c>
    </row>
    <row r="19" customFormat="false" ht="15" hidden="false" customHeight="true" outlineLevel="0" collapsed="false">
      <c r="A19" s="14" t="s">
        <v>223</v>
      </c>
      <c r="C19" s="89" t="n">
        <f aca="false">Assumptions!B11/C18</f>
        <v>19.1522935779817</v>
      </c>
    </row>
    <row r="21" customFormat="false" ht="15" hidden="false" customHeight="true" outlineLevel="0" collapsed="false">
      <c r="A21" s="91" t="s">
        <v>231</v>
      </c>
      <c r="B21" s="91"/>
      <c r="C21" s="91" t="s">
        <v>218</v>
      </c>
      <c r="D21" s="91"/>
      <c r="E21" s="91"/>
      <c r="F21" s="91"/>
    </row>
    <row r="22" customFormat="false" ht="15" hidden="false" customHeight="true" outlineLevel="0" collapsed="false">
      <c r="A22" s="21" t="s">
        <v>232</v>
      </c>
      <c r="C22" s="86" t="n">
        <f aca="false">Assumptions!D31</f>
        <v>142</v>
      </c>
    </row>
    <row r="23" customFormat="false" ht="15" hidden="false" customHeight="true" outlineLevel="0" collapsed="false">
      <c r="A23" s="14" t="s">
        <v>233</v>
      </c>
      <c r="C23" s="87" t="n">
        <f aca="false">C22</f>
        <v>142</v>
      </c>
    </row>
    <row r="24" customFormat="false" ht="15" hidden="false" customHeight="true" outlineLevel="0" collapsed="false">
      <c r="A24" s="14" t="s">
        <v>222</v>
      </c>
      <c r="C24" s="88" t="n">
        <f aca="false">Assumptions!B19-C23</f>
        <v>2139</v>
      </c>
    </row>
    <row r="25" customFormat="false" ht="15" hidden="false" customHeight="true" outlineLevel="0" collapsed="false">
      <c r="A25" s="14" t="s">
        <v>223</v>
      </c>
      <c r="C25" s="89" t="n">
        <f aca="false">Assumptions!B11/C24</f>
        <v>19.5194015895278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92" t="s">
        <v>234</v>
      </c>
      <c r="B1" s="92"/>
      <c r="C1" s="92"/>
      <c r="D1" s="92"/>
      <c r="E1" s="92"/>
    </row>
    <row r="2" customFormat="false" ht="15" hidden="false" customHeight="true" outlineLevel="0" collapsed="false">
      <c r="A2" s="10" t="s">
        <v>235</v>
      </c>
    </row>
    <row r="4" customFormat="false" ht="23.25" hidden="false" customHeight="true" outlineLevel="0" collapsed="false">
      <c r="A4" s="91" t="s">
        <v>236</v>
      </c>
      <c r="B4" s="91"/>
      <c r="C4" s="91" t="s">
        <v>218</v>
      </c>
      <c r="D4" s="91"/>
      <c r="E4" s="91"/>
      <c r="F4" s="91"/>
    </row>
    <row r="5" customFormat="false" ht="15" hidden="false" customHeight="true" outlineLevel="0" collapsed="false">
      <c r="A5" s="21" t="s">
        <v>237</v>
      </c>
      <c r="C5" s="86" t="n">
        <f aca="false">Assumptions!B58</f>
        <v>68</v>
      </c>
    </row>
    <row r="6" customFormat="false" ht="15" hidden="false" customHeight="true" outlineLevel="0" collapsed="false">
      <c r="A6" s="21" t="s">
        <v>238</v>
      </c>
      <c r="C6" s="86" t="n">
        <f aca="false">Assumptions!B65</f>
        <v>142</v>
      </c>
    </row>
    <row r="7" customFormat="false" ht="15" hidden="false" customHeight="true" outlineLevel="0" collapsed="false">
      <c r="A7" s="14" t="s">
        <v>239</v>
      </c>
      <c r="C7" s="87" t="n">
        <f aca="false">C5+C6</f>
        <v>210</v>
      </c>
    </row>
    <row r="8" customFormat="false" ht="15" hidden="false" customHeight="true" outlineLevel="0" collapsed="false">
      <c r="A8" s="14" t="s">
        <v>240</v>
      </c>
      <c r="C8" s="88" t="n">
        <f aca="false">Assumptions!C19-C7</f>
        <v>2293</v>
      </c>
    </row>
    <row r="9" customFormat="false" ht="15" hidden="false" customHeight="true" outlineLevel="0" collapsed="false">
      <c r="A9" s="14" t="s">
        <v>223</v>
      </c>
      <c r="C9" s="89" t="n">
        <f aca="false">Assumptions!B11/C8</f>
        <v>18.2084605320541</v>
      </c>
    </row>
    <row r="11" customFormat="false" ht="23.25" hidden="false" customHeight="true" outlineLevel="0" collapsed="false">
      <c r="A11" s="90" t="s">
        <v>241</v>
      </c>
      <c r="B11" s="90"/>
      <c r="C11" s="90" t="s">
        <v>218</v>
      </c>
      <c r="D11" s="90"/>
      <c r="E11" s="90"/>
      <c r="F11" s="90"/>
    </row>
    <row r="12" customFormat="false" ht="15" hidden="false" customHeight="true" outlineLevel="0" collapsed="false">
      <c r="A12" s="21" t="s">
        <v>242</v>
      </c>
      <c r="C12" s="86" t="n">
        <f aca="false">Assumptions!B59</f>
        <v>28</v>
      </c>
    </row>
    <row r="13" customFormat="false" ht="15" hidden="false" customHeight="true" outlineLevel="0" collapsed="false">
      <c r="A13" s="21" t="s">
        <v>243</v>
      </c>
      <c r="C13" s="86" t="n">
        <f aca="false">Assumptions!B65</f>
        <v>142</v>
      </c>
    </row>
    <row r="14" customFormat="false" ht="15" hidden="false" customHeight="true" outlineLevel="0" collapsed="false">
      <c r="A14" s="21" t="s">
        <v>244</v>
      </c>
      <c r="C14" s="76" t="n">
        <f aca="false">-Assumptions!B66</f>
        <v>-46</v>
      </c>
    </row>
    <row r="15" customFormat="false" ht="15" hidden="false" customHeight="true" outlineLevel="0" collapsed="false">
      <c r="A15" s="14" t="s">
        <v>245</v>
      </c>
      <c r="C15" s="87" t="n">
        <f aca="false">C12+C13+C14</f>
        <v>124</v>
      </c>
    </row>
    <row r="16" customFormat="false" ht="15" hidden="false" customHeight="true" outlineLevel="0" collapsed="false">
      <c r="A16" s="14" t="s">
        <v>240</v>
      </c>
      <c r="C16" s="88" t="n">
        <f aca="false">Assumptions!C19-C15</f>
        <v>2379</v>
      </c>
    </row>
    <row r="17" customFormat="false" ht="15" hidden="false" customHeight="true" outlineLevel="0" collapsed="false">
      <c r="A17" s="14" t="s">
        <v>223</v>
      </c>
      <c r="C17" s="89" t="n">
        <f aca="false">Assumptions!B11/C16</f>
        <v>17.5502311895755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9" t="s">
        <v>246</v>
      </c>
      <c r="B1" s="9"/>
      <c r="C1" s="9"/>
      <c r="D1" s="9"/>
      <c r="E1" s="9"/>
    </row>
    <row r="2" customFormat="false" ht="15" hidden="false" customHeight="true" outlineLevel="0" collapsed="false">
      <c r="A2" s="10" t="s">
        <v>247</v>
      </c>
    </row>
    <row r="4" customFormat="false" ht="15" hidden="false" customHeight="true" outlineLevel="0" collapsed="false">
      <c r="A4" s="11" t="s">
        <v>248</v>
      </c>
      <c r="B4" s="11" t="s">
        <v>2</v>
      </c>
      <c r="C4" s="11" t="s">
        <v>3</v>
      </c>
      <c r="D4" s="11"/>
      <c r="E4" s="11"/>
      <c r="F4" s="11" t="s">
        <v>84</v>
      </c>
    </row>
    <row r="5" customFormat="false" ht="15" hidden="false" customHeight="true" outlineLevel="0" collapsed="false">
      <c r="A5" s="93" t="s">
        <v>249</v>
      </c>
      <c r="B5" s="94" t="n">
        <v>20.5</v>
      </c>
      <c r="C5" s="66"/>
      <c r="F5" s="10" t="s">
        <v>250</v>
      </c>
    </row>
    <row r="6" customFormat="false" ht="15" hidden="false" customHeight="true" outlineLevel="0" collapsed="false">
      <c r="A6" s="41" t="s">
        <v>81</v>
      </c>
      <c r="B6" s="58" t="n">
        <v>3160</v>
      </c>
      <c r="C6" s="58" t="n">
        <v>3406</v>
      </c>
      <c r="F6" s="10" t="s">
        <v>251</v>
      </c>
    </row>
    <row r="7" customFormat="false" ht="15" hidden="false" customHeight="true" outlineLevel="0" collapsed="false">
      <c r="A7" s="41" t="s">
        <v>252</v>
      </c>
      <c r="B7" s="58" t="n">
        <v>193</v>
      </c>
      <c r="C7" s="58" t="n">
        <v>191</v>
      </c>
    </row>
    <row r="8" customFormat="false" ht="15" hidden="false" customHeight="true" outlineLevel="0" collapsed="false">
      <c r="A8" s="41" t="s">
        <v>253</v>
      </c>
      <c r="B8" s="95" t="n">
        <f aca="false">Assumptions!B5</f>
        <v>200</v>
      </c>
      <c r="C8" s="66"/>
    </row>
    <row r="10" customFormat="false" ht="15" hidden="false" customHeight="true" outlineLevel="0" collapsed="false">
      <c r="A10" s="90" t="s">
        <v>254</v>
      </c>
      <c r="B10" s="90" t="s">
        <v>255</v>
      </c>
      <c r="C10" s="90" t="s">
        <v>256</v>
      </c>
      <c r="D10" s="90" t="s">
        <v>257</v>
      </c>
      <c r="E10" s="90" t="s">
        <v>258</v>
      </c>
      <c r="F10" s="90" t="s">
        <v>45</v>
      </c>
    </row>
    <row r="11" customFormat="false" ht="15" hidden="false" customHeight="true" outlineLevel="0" collapsed="false">
      <c r="A11" s="96" t="s">
        <v>259</v>
      </c>
      <c r="B11" s="49" t="n">
        <f aca="false">Assumptions!B19</f>
        <v>2281</v>
      </c>
      <c r="C11" s="49" t="n">
        <f aca="false">$B$5*B11</f>
        <v>46760.5</v>
      </c>
      <c r="D11" s="49" t="n">
        <f aca="false">C11-$B$6</f>
        <v>43600.5</v>
      </c>
      <c r="E11" s="97" t="n">
        <f aca="false">D11/$B$7</f>
        <v>225.90932642487</v>
      </c>
      <c r="F11" s="98" t="n">
        <f aca="false">(E11/$B$8)-1</f>
        <v>0.129546632124352</v>
      </c>
    </row>
    <row r="12" customFormat="false" ht="15" hidden="false" customHeight="true" outlineLevel="0" collapsed="false">
      <c r="A12" s="41" t="s">
        <v>260</v>
      </c>
      <c r="B12" s="43" t="n">
        <f aca="false">'2026 Scenarios'!C8</f>
        <v>2193</v>
      </c>
      <c r="C12" s="43" t="n">
        <f aca="false">$B$5*B12</f>
        <v>44956.5</v>
      </c>
      <c r="D12" s="43" t="n">
        <f aca="false">C12-$B$6</f>
        <v>41796.5</v>
      </c>
      <c r="E12" s="44" t="n">
        <f aca="false">D12/$B$7</f>
        <v>216.562176165803</v>
      </c>
      <c r="F12" s="45" t="n">
        <f aca="false">(E12/$B$8)-1</f>
        <v>0.0828108808290156</v>
      </c>
    </row>
    <row r="13" customFormat="false" ht="15" hidden="false" customHeight="true" outlineLevel="0" collapsed="false">
      <c r="A13" s="41" t="s">
        <v>261</v>
      </c>
      <c r="B13" s="43" t="n">
        <f aca="false">'2026 Scenarios'!C18</f>
        <v>2180</v>
      </c>
      <c r="C13" s="43" t="n">
        <f aca="false">$B$5*B13</f>
        <v>44690</v>
      </c>
      <c r="D13" s="43" t="n">
        <f aca="false">C13-$B$6</f>
        <v>41530</v>
      </c>
      <c r="E13" s="44" t="n">
        <f aca="false">D13/$B$7</f>
        <v>215.181347150259</v>
      </c>
      <c r="F13" s="45" t="n">
        <f aca="false">(E13/$B$8)-1</f>
        <v>0.0759067357512953</v>
      </c>
    </row>
    <row r="14" customFormat="false" ht="15" hidden="false" customHeight="true" outlineLevel="0" collapsed="false">
      <c r="A14" s="99" t="s">
        <v>262</v>
      </c>
      <c r="B14" s="43" t="n">
        <f aca="false">'2026 Scenarios'!C24</f>
        <v>2139</v>
      </c>
      <c r="C14" s="43" t="n">
        <f aca="false">$B$5*B14</f>
        <v>43849.5</v>
      </c>
      <c r="D14" s="43" t="n">
        <f aca="false">C14-$B$6</f>
        <v>40689.5</v>
      </c>
      <c r="E14" s="44" t="n">
        <f aca="false">D14/$B$7</f>
        <v>210.826424870466</v>
      </c>
      <c r="F14" s="45" t="n">
        <f aca="false">(E14/$B$8)-1</f>
        <v>0.0541321243523316</v>
      </c>
    </row>
    <row r="16" customFormat="false" ht="15" hidden="false" customHeight="true" outlineLevel="0" collapsed="false">
      <c r="A16" s="91" t="s">
        <v>263</v>
      </c>
      <c r="B16" s="91" t="s">
        <v>255</v>
      </c>
      <c r="C16" s="91" t="s">
        <v>256</v>
      </c>
      <c r="D16" s="91" t="s">
        <v>257</v>
      </c>
      <c r="E16" s="91" t="s">
        <v>258</v>
      </c>
      <c r="F16" s="91" t="s">
        <v>45</v>
      </c>
    </row>
    <row r="17" customFormat="false" ht="15" hidden="false" customHeight="true" outlineLevel="0" collapsed="false">
      <c r="A17" s="96" t="s">
        <v>259</v>
      </c>
      <c r="B17" s="49" t="n">
        <f aca="false">Assumptions!C19</f>
        <v>2503</v>
      </c>
      <c r="C17" s="49" t="n">
        <f aca="false">$B$5*B17</f>
        <v>51311.5</v>
      </c>
      <c r="D17" s="49" t="n">
        <f aca="false">C17-$C$6</f>
        <v>47905.5</v>
      </c>
      <c r="E17" s="97" t="n">
        <f aca="false">D17/$C$7</f>
        <v>250.814136125654</v>
      </c>
      <c r="F17" s="98" t="n">
        <f aca="false">(E17/$B$8)-1</f>
        <v>0.254070680628272</v>
      </c>
    </row>
    <row r="18" customFormat="false" ht="15" hidden="false" customHeight="true" outlineLevel="0" collapsed="false">
      <c r="A18" s="99" t="s">
        <v>264</v>
      </c>
      <c r="B18" s="43" t="n">
        <f aca="false">'2027 Scenarios'!C8</f>
        <v>2293</v>
      </c>
      <c r="C18" s="43" t="n">
        <f aca="false">$B$5*B18</f>
        <v>47006.5</v>
      </c>
      <c r="D18" s="43" t="n">
        <f aca="false">C18-$C$6</f>
        <v>43600.5</v>
      </c>
      <c r="E18" s="44" t="n">
        <f aca="false">D18/$C$7</f>
        <v>228.274869109948</v>
      </c>
      <c r="F18" s="45" t="n">
        <f aca="false">(E18/$B$8)-1</f>
        <v>0.141374345549738</v>
      </c>
    </row>
    <row r="19" customFormat="false" ht="15" hidden="false" customHeight="true" outlineLevel="0" collapsed="false">
      <c r="A19" s="41" t="s">
        <v>265</v>
      </c>
      <c r="B19" s="43" t="n">
        <f aca="false">'2027 Scenarios'!C16</f>
        <v>2379</v>
      </c>
      <c r="C19" s="43" t="n">
        <f aca="false">$B$5*B19</f>
        <v>48769.5</v>
      </c>
      <c r="D19" s="43" t="n">
        <f aca="false">C19-$C$6</f>
        <v>45363.5</v>
      </c>
      <c r="E19" s="44" t="n">
        <f aca="false">D19/$C$7</f>
        <v>237.505235602094</v>
      </c>
      <c r="F19" s="45" t="n">
        <f aca="false">(E19/$B$8)-1</f>
        <v>0.187526178010471</v>
      </c>
    </row>
    <row r="21" customFormat="false" ht="15" hidden="false" customHeight="true" outlineLevel="0" collapsed="false">
      <c r="A21" s="100" t="s">
        <v>266</v>
      </c>
      <c r="B21" s="100"/>
      <c r="C21" s="100"/>
      <c r="D21" s="100"/>
      <c r="E21" s="100"/>
    </row>
    <row r="22" customFormat="false" ht="15" hidden="false" customHeight="true" outlineLevel="0" collapsed="false">
      <c r="A22" s="33" t="s">
        <v>267</v>
      </c>
    </row>
    <row r="23" customFormat="false" ht="15" hidden="false" customHeight="true" outlineLevel="0" collapsed="false">
      <c r="A23" s="33" t="s">
        <v>268</v>
      </c>
    </row>
    <row r="25" customFormat="false" ht="15" hidden="false" customHeight="true" outlineLevel="0" collapsed="false">
      <c r="A25" s="55" t="s">
        <v>60</v>
      </c>
    </row>
    <row r="26" customFormat="false" ht="15" hidden="false" customHeight="true" outlineLevel="0" collapsed="false">
      <c r="A26" s="56" t="s">
        <v>269</v>
      </c>
    </row>
    <row r="27" customFormat="false" ht="15" hidden="false" customHeight="true" outlineLevel="0" collapsed="false">
      <c r="A27" s="56" t="s">
        <v>270</v>
      </c>
    </row>
    <row r="28" customFormat="false" ht="15" hidden="false" customHeight="true" outlineLevel="0" collapsed="false">
      <c r="A28" s="56" t="s">
        <v>271</v>
      </c>
    </row>
  </sheetData>
  <mergeCells count="2">
    <mergeCell ref="A1:E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6"/>
  </cols>
  <sheetData>
    <row r="1" customFormat="false" ht="15.75" hidden="false" customHeight="true" outlineLevel="0" collapsed="false">
      <c r="A1" s="9" t="s">
        <v>272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273</v>
      </c>
    </row>
    <row r="4" customFormat="false" ht="15" hidden="false" customHeight="true" outlineLevel="0" collapsed="false">
      <c r="A4" s="11" t="s">
        <v>274</v>
      </c>
      <c r="B4" s="11" t="s">
        <v>2</v>
      </c>
      <c r="C4" s="11" t="s">
        <v>3</v>
      </c>
      <c r="D4" s="11"/>
      <c r="E4" s="11"/>
      <c r="F4" s="11"/>
      <c r="G4" s="11"/>
    </row>
    <row r="5" customFormat="false" ht="15" hidden="false" customHeight="true" outlineLevel="0" collapsed="false">
      <c r="A5" s="93" t="s">
        <v>275</v>
      </c>
      <c r="B5" s="58" t="n">
        <v>5773</v>
      </c>
      <c r="C5" s="58" t="n">
        <v>5890</v>
      </c>
    </row>
    <row r="6" customFormat="false" ht="15" hidden="false" customHeight="true" outlineLevel="0" collapsed="false">
      <c r="A6" s="93" t="s">
        <v>276</v>
      </c>
      <c r="B6" s="58" t="n">
        <v>2281</v>
      </c>
      <c r="C6" s="58" t="n">
        <v>2503</v>
      </c>
    </row>
    <row r="8" customFormat="false" ht="15" hidden="false" customHeight="true" outlineLevel="0" collapsed="false">
      <c r="A8" s="11" t="s">
        <v>277</v>
      </c>
      <c r="B8" s="11" t="s">
        <v>278</v>
      </c>
      <c r="C8" s="11" t="s">
        <v>279</v>
      </c>
      <c r="D8" s="11" t="s">
        <v>280</v>
      </c>
      <c r="E8" s="11" t="s">
        <v>281</v>
      </c>
      <c r="F8" s="11"/>
      <c r="G8" s="11"/>
    </row>
    <row r="9" customFormat="false" ht="15" hidden="false" customHeight="true" outlineLevel="0" collapsed="false">
      <c r="A9" s="21" t="s">
        <v>282</v>
      </c>
      <c r="B9" s="58" t="n">
        <v>55</v>
      </c>
      <c r="C9" s="58" t="n">
        <v>11</v>
      </c>
      <c r="D9" s="43" t="n">
        <f aca="false">B9-C9</f>
        <v>44</v>
      </c>
      <c r="E9" s="58" t="n">
        <v>13</v>
      </c>
    </row>
    <row r="10" customFormat="false" ht="15" hidden="false" customHeight="true" outlineLevel="0" collapsed="false">
      <c r="A10" s="21" t="s">
        <v>283</v>
      </c>
      <c r="B10" s="58" t="n">
        <v>55</v>
      </c>
      <c r="C10" s="58" t="n">
        <v>11</v>
      </c>
      <c r="D10" s="43" t="n">
        <f aca="false">B10-C10</f>
        <v>44</v>
      </c>
      <c r="E10" s="58" t="n">
        <v>13</v>
      </c>
    </row>
    <row r="11" customFormat="false" ht="15" hidden="false" customHeight="true" outlineLevel="0" collapsed="false">
      <c r="A11" s="21" t="s">
        <v>284</v>
      </c>
      <c r="B11" s="58" t="n">
        <v>30</v>
      </c>
      <c r="C11" s="58" t="n">
        <v>10</v>
      </c>
      <c r="D11" s="43" t="n">
        <f aca="false">B11-C11</f>
        <v>20</v>
      </c>
      <c r="E11" s="58" t="n">
        <v>5</v>
      </c>
    </row>
    <row r="12" customFormat="false" ht="15" hidden="false" customHeight="true" outlineLevel="0" collapsed="false">
      <c r="A12" s="21" t="s">
        <v>285</v>
      </c>
      <c r="B12" s="58" t="n">
        <v>22</v>
      </c>
      <c r="C12" s="58" t="n">
        <v>8</v>
      </c>
      <c r="D12" s="43" t="n">
        <f aca="false">B12-C12</f>
        <v>14</v>
      </c>
      <c r="E12" s="58" t="n">
        <v>5</v>
      </c>
    </row>
    <row r="13" customFormat="false" ht="15" hidden="false" customHeight="true" outlineLevel="0" collapsed="false">
      <c r="A13" s="21" t="s">
        <v>286</v>
      </c>
      <c r="B13" s="58" t="n">
        <v>12</v>
      </c>
      <c r="C13" s="58" t="n">
        <v>5</v>
      </c>
      <c r="D13" s="43" t="n">
        <f aca="false">B13-C13</f>
        <v>7</v>
      </c>
      <c r="E13" s="58" t="n">
        <v>5</v>
      </c>
    </row>
    <row r="14" customFormat="false" ht="15" hidden="false" customHeight="true" outlineLevel="0" collapsed="false">
      <c r="A14" s="21" t="s">
        <v>287</v>
      </c>
      <c r="B14" s="58" t="n">
        <v>22</v>
      </c>
      <c r="C14" s="58" t="n">
        <v>9</v>
      </c>
      <c r="D14" s="43" t="n">
        <f aca="false">B14-C14</f>
        <v>13</v>
      </c>
      <c r="E14" s="58" t="n">
        <v>0</v>
      </c>
    </row>
    <row r="15" customFormat="false" ht="15" hidden="false" customHeight="true" outlineLevel="0" collapsed="false">
      <c r="A15" s="14" t="s">
        <v>288</v>
      </c>
      <c r="B15" s="60" t="n">
        <f aca="false">SUM(B9:B14)</f>
        <v>196</v>
      </c>
      <c r="C15" s="60" t="n">
        <f aca="false">SUM(C9:C14)</f>
        <v>54</v>
      </c>
      <c r="D15" s="60" t="n">
        <f aca="false">SUM(D9:D14)</f>
        <v>142</v>
      </c>
      <c r="E15" s="60" t="n">
        <f aca="false">SUM(E9:E14)</f>
        <v>41</v>
      </c>
    </row>
    <row r="16" customFormat="false" ht="15" hidden="false" customHeight="true" outlineLevel="0" collapsed="false">
      <c r="A16" s="10" t="s">
        <v>289</v>
      </c>
      <c r="B16" s="101" t="n">
        <f aca="false">B9+B10</f>
        <v>110</v>
      </c>
      <c r="D16" s="101" t="n">
        <f aca="false">D9+D10</f>
        <v>88</v>
      </c>
      <c r="E16" s="101" t="n">
        <f aca="false">E9+E10</f>
        <v>26</v>
      </c>
    </row>
    <row r="17" customFormat="false" ht="15" hidden="false" customHeight="true" outlineLevel="0" collapsed="false">
      <c r="A17" s="10" t="s">
        <v>290</v>
      </c>
      <c r="B17" s="101" t="n">
        <f aca="false">B11+B12+B13+B14</f>
        <v>86</v>
      </c>
      <c r="D17" s="101" t="n">
        <f aca="false">D11+D12+D13+D14</f>
        <v>54</v>
      </c>
      <c r="E17" s="101" t="n">
        <f aca="false">E11+E12+E13+E14</f>
        <v>15</v>
      </c>
    </row>
    <row r="19" customFormat="false" ht="23.25" hidden="false" customHeight="true" outlineLevel="0" collapsed="false">
      <c r="A19" s="11" t="s">
        <v>291</v>
      </c>
      <c r="B19" s="11" t="s">
        <v>278</v>
      </c>
      <c r="C19" s="11" t="s">
        <v>279</v>
      </c>
      <c r="D19" s="11" t="s">
        <v>280</v>
      </c>
      <c r="E19" s="11" t="s">
        <v>292</v>
      </c>
      <c r="F19" s="11"/>
      <c r="G19" s="11"/>
    </row>
    <row r="20" customFormat="false" ht="15" hidden="false" customHeight="true" outlineLevel="0" collapsed="false">
      <c r="A20" s="21" t="s">
        <v>293</v>
      </c>
      <c r="B20" s="58" t="n">
        <v>90</v>
      </c>
      <c r="C20" s="58" t="n">
        <v>22</v>
      </c>
      <c r="D20" s="43" t="n">
        <f aca="false">B20-C20</f>
        <v>68</v>
      </c>
      <c r="E20" s="58" t="n">
        <v>40</v>
      </c>
      <c r="F20" s="10" t="s">
        <v>294</v>
      </c>
    </row>
    <row r="22" customFormat="false" ht="15" hidden="false" customHeight="true" outlineLevel="0" collapsed="false">
      <c r="A22" s="53" t="s">
        <v>295</v>
      </c>
      <c r="B22" s="53"/>
      <c r="C22" s="53"/>
      <c r="D22" s="53"/>
      <c r="E22" s="53"/>
      <c r="F22" s="53"/>
    </row>
    <row r="23" customFormat="false" ht="15" hidden="false" customHeight="true" outlineLevel="0" collapsed="false">
      <c r="A23" s="11"/>
      <c r="B23" s="11" t="s">
        <v>296</v>
      </c>
      <c r="C23" s="11" t="s">
        <v>297</v>
      </c>
      <c r="D23" s="11" t="s">
        <v>298</v>
      </c>
      <c r="E23" s="11" t="s">
        <v>299</v>
      </c>
      <c r="F23" s="11" t="s">
        <v>300</v>
      </c>
      <c r="G23" s="11"/>
    </row>
    <row r="24" customFormat="false" ht="15" hidden="false" customHeight="true" outlineLevel="0" collapsed="false">
      <c r="A24" s="10"/>
      <c r="B24" s="102"/>
      <c r="C24" s="103" t="s">
        <v>301</v>
      </c>
      <c r="D24" s="103" t="s">
        <v>302</v>
      </c>
      <c r="E24" s="103" t="s">
        <v>303</v>
      </c>
      <c r="F24" s="103" t="s">
        <v>304</v>
      </c>
    </row>
    <row r="25" customFormat="false" ht="15" hidden="false" customHeight="true" outlineLevel="0" collapsed="false">
      <c r="A25" s="104" t="s">
        <v>305</v>
      </c>
    </row>
    <row r="26" customFormat="false" ht="15" hidden="false" customHeight="true" outlineLevel="0" collapsed="false">
      <c r="A26" s="14" t="s">
        <v>306</v>
      </c>
      <c r="B26" s="15" t="n">
        <f aca="false">B5</f>
        <v>5773</v>
      </c>
      <c r="C26" s="15" t="n">
        <f aca="false">B5</f>
        <v>5773</v>
      </c>
      <c r="D26" s="15" t="n">
        <f aca="false">B5</f>
        <v>5773</v>
      </c>
      <c r="E26" s="15" t="n">
        <f aca="false">B5</f>
        <v>5773</v>
      </c>
      <c r="F26" s="15" t="n">
        <f aca="false">B5</f>
        <v>5773</v>
      </c>
    </row>
    <row r="27" customFormat="false" ht="15" hidden="false" customHeight="true" outlineLevel="0" collapsed="false">
      <c r="A27" s="105" t="s">
        <v>307</v>
      </c>
      <c r="B27" s="22" t="n">
        <v>0</v>
      </c>
      <c r="C27" s="86" t="n">
        <f aca="false">-B16</f>
        <v>-110</v>
      </c>
      <c r="D27" s="86" t="n">
        <f aca="false">-B15</f>
        <v>-196</v>
      </c>
      <c r="E27" s="86" t="n">
        <f aca="false">-B15</f>
        <v>-196</v>
      </c>
      <c r="F27" s="86" t="n">
        <f aca="false">E27</f>
        <v>-196</v>
      </c>
    </row>
    <row r="28" customFormat="false" ht="15" hidden="false" customHeight="true" outlineLevel="0" collapsed="false">
      <c r="A28" s="106" t="s">
        <v>308</v>
      </c>
      <c r="B28" s="22" t="n">
        <v>0</v>
      </c>
      <c r="C28" s="22" t="n">
        <v>0</v>
      </c>
      <c r="D28" s="76" t="n">
        <f aca="false">E16+E17</f>
        <v>41</v>
      </c>
      <c r="E28" s="22" t="n">
        <v>0</v>
      </c>
      <c r="F28" s="22" t="n">
        <f aca="false">E28</f>
        <v>0</v>
      </c>
    </row>
    <row r="29" customFormat="false" ht="15" hidden="false" customHeight="true" outlineLevel="0" collapsed="false">
      <c r="A29" s="14" t="s">
        <v>309</v>
      </c>
      <c r="B29" s="59" t="n">
        <f aca="false">B27+B28</f>
        <v>0</v>
      </c>
      <c r="C29" s="59" t="n">
        <f aca="false">C27+C28</f>
        <v>-110</v>
      </c>
      <c r="D29" s="59" t="n">
        <f aca="false">D27+D28</f>
        <v>-155</v>
      </c>
      <c r="E29" s="59" t="n">
        <f aca="false">E27+E28</f>
        <v>-196</v>
      </c>
      <c r="F29" s="59" t="n">
        <f aca="false">F27+F28</f>
        <v>-196</v>
      </c>
    </row>
    <row r="30" customFormat="false" ht="15" hidden="false" customHeight="true" outlineLevel="0" collapsed="false">
      <c r="A30" s="14" t="s">
        <v>310</v>
      </c>
      <c r="B30" s="107" t="n">
        <f aca="false">B26+B29</f>
        <v>5773</v>
      </c>
      <c r="C30" s="107" t="n">
        <f aca="false">C26+C29</f>
        <v>5663</v>
      </c>
      <c r="D30" s="107" t="n">
        <f aca="false">D26+D29</f>
        <v>5618</v>
      </c>
      <c r="E30" s="107" t="n">
        <f aca="false">E26+E29</f>
        <v>5577</v>
      </c>
      <c r="F30" s="107" t="n">
        <f aca="false">F26+F29</f>
        <v>5577</v>
      </c>
    </row>
    <row r="32" customFormat="false" ht="15" hidden="false" customHeight="true" outlineLevel="0" collapsed="false">
      <c r="A32" s="104" t="s">
        <v>280</v>
      </c>
    </row>
    <row r="33" customFormat="false" ht="15" hidden="false" customHeight="true" outlineLevel="0" collapsed="false">
      <c r="A33" s="14" t="s">
        <v>311</v>
      </c>
      <c r="B33" s="15" t="n">
        <f aca="false">B6</f>
        <v>2281</v>
      </c>
      <c r="C33" s="15" t="n">
        <f aca="false">B6</f>
        <v>2281</v>
      </c>
      <c r="D33" s="15" t="n">
        <f aca="false">B6</f>
        <v>2281</v>
      </c>
      <c r="E33" s="15" t="n">
        <f aca="false">B6</f>
        <v>2281</v>
      </c>
      <c r="F33" s="15" t="n">
        <f aca="false">B6</f>
        <v>2281</v>
      </c>
    </row>
    <row r="34" customFormat="false" ht="15" hidden="false" customHeight="true" outlineLevel="0" collapsed="false">
      <c r="A34" s="105" t="s">
        <v>312</v>
      </c>
      <c r="B34" s="22" t="n">
        <v>0</v>
      </c>
      <c r="C34" s="86" t="n">
        <f aca="false">-D16</f>
        <v>-88</v>
      </c>
      <c r="D34" s="86" t="n">
        <f aca="false">-D15</f>
        <v>-142</v>
      </c>
      <c r="E34" s="86" t="n">
        <f aca="false">-D15</f>
        <v>-142</v>
      </c>
      <c r="F34" s="86" t="n">
        <f aca="false">E34</f>
        <v>-142</v>
      </c>
    </row>
    <row r="35" customFormat="false" ht="15" hidden="false" customHeight="true" outlineLevel="0" collapsed="false">
      <c r="A35" s="106" t="s">
        <v>313</v>
      </c>
      <c r="B35" s="22" t="n">
        <v>0</v>
      </c>
      <c r="C35" s="22" t="n">
        <v>0</v>
      </c>
      <c r="D35" s="76" t="n">
        <f aca="false">E15</f>
        <v>41</v>
      </c>
      <c r="E35" s="22" t="n">
        <v>0</v>
      </c>
      <c r="F35" s="22" t="n">
        <f aca="false">E35</f>
        <v>0</v>
      </c>
    </row>
    <row r="36" customFormat="false" ht="15" hidden="false" customHeight="true" outlineLevel="0" collapsed="false">
      <c r="A36" s="14" t="s">
        <v>314</v>
      </c>
      <c r="B36" s="59" t="n">
        <f aca="false">B34+B35</f>
        <v>0</v>
      </c>
      <c r="C36" s="59" t="n">
        <f aca="false">C34+C35</f>
        <v>-88</v>
      </c>
      <c r="D36" s="59" t="n">
        <f aca="false">D34+D35</f>
        <v>-101</v>
      </c>
      <c r="E36" s="59" t="n">
        <f aca="false">E34+E35</f>
        <v>-142</v>
      </c>
      <c r="F36" s="59" t="n">
        <f aca="false">F34+F35</f>
        <v>-142</v>
      </c>
    </row>
    <row r="37" customFormat="false" ht="15" hidden="false" customHeight="true" outlineLevel="0" collapsed="false">
      <c r="A37" s="14" t="s">
        <v>315</v>
      </c>
      <c r="B37" s="62" t="n">
        <f aca="false">B33+B36</f>
        <v>2281</v>
      </c>
      <c r="C37" s="62" t="n">
        <f aca="false">C33+C36</f>
        <v>2193</v>
      </c>
      <c r="D37" s="62" t="n">
        <f aca="false">D33+D36</f>
        <v>2180</v>
      </c>
      <c r="E37" s="62" t="n">
        <f aca="false">E33+E36</f>
        <v>2139</v>
      </c>
      <c r="F37" s="62" t="n">
        <f aca="false">F33+F36</f>
        <v>2139</v>
      </c>
    </row>
    <row r="38" customFormat="false" ht="15" hidden="false" customHeight="true" outlineLevel="0" collapsed="false">
      <c r="A38" s="14" t="s">
        <v>316</v>
      </c>
      <c r="B38" s="89" t="n">
        <f aca="false">Assumptions!B11/B37</f>
        <v>18.3042525208242</v>
      </c>
      <c r="C38" s="89" t="n">
        <f aca="false">Assumptions!B11/C37</f>
        <v>19.0387596899225</v>
      </c>
      <c r="D38" s="89" t="n">
        <f aca="false">Assumptions!B11/D37</f>
        <v>19.1522935779817</v>
      </c>
      <c r="E38" s="89" t="n">
        <f aca="false">Assumptions!B11/E37</f>
        <v>19.5194015895278</v>
      </c>
      <c r="F38" s="89" t="n">
        <f aca="false">Assumptions!B11/F37</f>
        <v>19.5194015895278</v>
      </c>
    </row>
    <row r="40" customFormat="false" ht="15" hidden="false" customHeight="true" outlineLevel="0" collapsed="false">
      <c r="A40" s="30" t="s">
        <v>317</v>
      </c>
      <c r="B40" s="30"/>
      <c r="C40" s="30"/>
      <c r="D40" s="30"/>
      <c r="E40" s="30"/>
      <c r="F40" s="30"/>
    </row>
    <row r="41" customFormat="false" ht="15" hidden="false" customHeight="true" outlineLevel="0" collapsed="false">
      <c r="A41" s="11"/>
      <c r="B41" s="11" t="s">
        <v>296</v>
      </c>
      <c r="C41" s="11" t="s">
        <v>297</v>
      </c>
      <c r="D41" s="11" t="s">
        <v>298</v>
      </c>
      <c r="E41" s="11" t="s">
        <v>299</v>
      </c>
      <c r="F41" s="11" t="s">
        <v>300</v>
      </c>
      <c r="G41" s="11"/>
    </row>
    <row r="42" customFormat="false" ht="15" hidden="false" customHeight="true" outlineLevel="0" collapsed="false">
      <c r="A42" s="10"/>
      <c r="B42" s="102"/>
      <c r="C42" s="103" t="s">
        <v>318</v>
      </c>
      <c r="D42" s="103" t="s">
        <v>318</v>
      </c>
      <c r="E42" s="103" t="s">
        <v>318</v>
      </c>
      <c r="F42" s="103" t="s">
        <v>319</v>
      </c>
    </row>
    <row r="43" customFormat="false" ht="15" hidden="false" customHeight="true" outlineLevel="0" collapsed="false">
      <c r="A43" s="104" t="s">
        <v>305</v>
      </c>
    </row>
    <row r="44" customFormat="false" ht="15" hidden="false" customHeight="true" outlineLevel="0" collapsed="false">
      <c r="A44" s="14" t="s">
        <v>306</v>
      </c>
      <c r="B44" s="15" t="n">
        <f aca="false">C5</f>
        <v>5890</v>
      </c>
      <c r="C44" s="15" t="n">
        <f aca="false">C5</f>
        <v>5890</v>
      </c>
      <c r="D44" s="15" t="n">
        <f aca="false">C5</f>
        <v>5890</v>
      </c>
      <c r="E44" s="15" t="n">
        <f aca="false">C5</f>
        <v>5890</v>
      </c>
      <c r="F44" s="15" t="n">
        <f aca="false">C5</f>
        <v>5890</v>
      </c>
    </row>
    <row r="45" customFormat="false" ht="15" hidden="false" customHeight="true" outlineLevel="0" collapsed="false">
      <c r="A45" s="105" t="s">
        <v>307</v>
      </c>
      <c r="B45" s="21" t="n">
        <v>0</v>
      </c>
      <c r="C45" s="21" t="n">
        <v>0</v>
      </c>
      <c r="D45" s="21" t="n">
        <v>0</v>
      </c>
      <c r="E45" s="21" t="n">
        <v>0</v>
      </c>
      <c r="F45" s="86" t="n">
        <f aca="false">-(B15+B20)</f>
        <v>-286</v>
      </c>
    </row>
    <row r="46" customFormat="false" ht="15" hidden="false" customHeight="true" outlineLevel="0" collapsed="false">
      <c r="A46" s="106" t="s">
        <v>308</v>
      </c>
      <c r="B46" s="21" t="n">
        <v>0</v>
      </c>
      <c r="C46" s="21" t="n">
        <v>0</v>
      </c>
      <c r="D46" s="21" t="n">
        <v>0</v>
      </c>
      <c r="E46" s="21" t="n">
        <v>0</v>
      </c>
      <c r="F46" s="21" t="n">
        <v>0</v>
      </c>
    </row>
    <row r="47" customFormat="false" ht="15" hidden="false" customHeight="true" outlineLevel="0" collapsed="false">
      <c r="A47" s="14" t="s">
        <v>309</v>
      </c>
      <c r="B47" s="59" t="n">
        <f aca="false">B45+B46</f>
        <v>0</v>
      </c>
      <c r="C47" s="59" t="n">
        <f aca="false">C45+C46</f>
        <v>0</v>
      </c>
      <c r="D47" s="59" t="n">
        <f aca="false">D45+D46</f>
        <v>0</v>
      </c>
      <c r="E47" s="59" t="n">
        <f aca="false">E45+E46</f>
        <v>0</v>
      </c>
      <c r="F47" s="59" t="n">
        <f aca="false">F45+F46</f>
        <v>-286</v>
      </c>
    </row>
    <row r="48" customFormat="false" ht="15" hidden="false" customHeight="true" outlineLevel="0" collapsed="false">
      <c r="A48" s="14" t="s">
        <v>310</v>
      </c>
      <c r="B48" s="107" t="n">
        <f aca="false">B44+B47</f>
        <v>5890</v>
      </c>
      <c r="C48" s="107" t="n">
        <f aca="false">C44+C47</f>
        <v>5890</v>
      </c>
      <c r="D48" s="107" t="n">
        <f aca="false">D44+D47</f>
        <v>5890</v>
      </c>
      <c r="E48" s="107" t="n">
        <f aca="false">E44+E47</f>
        <v>5890</v>
      </c>
      <c r="F48" s="107" t="n">
        <f aca="false">F44+F47</f>
        <v>5604</v>
      </c>
    </row>
    <row r="50" customFormat="false" ht="15" hidden="false" customHeight="true" outlineLevel="0" collapsed="false">
      <c r="A50" s="104" t="s">
        <v>280</v>
      </c>
    </row>
    <row r="51" customFormat="false" ht="15" hidden="false" customHeight="true" outlineLevel="0" collapsed="false">
      <c r="A51" s="14" t="s">
        <v>311</v>
      </c>
      <c r="B51" s="15" t="n">
        <f aca="false">C6</f>
        <v>2503</v>
      </c>
      <c r="C51" s="15" t="n">
        <f aca="false">C6</f>
        <v>2503</v>
      </c>
      <c r="D51" s="15" t="n">
        <f aca="false">C6</f>
        <v>2503</v>
      </c>
      <c r="E51" s="15" t="n">
        <f aca="false">C6</f>
        <v>2503</v>
      </c>
      <c r="F51" s="15" t="n">
        <f aca="false">C6</f>
        <v>2503</v>
      </c>
    </row>
    <row r="52" customFormat="false" ht="15" hidden="false" customHeight="true" outlineLevel="0" collapsed="false">
      <c r="A52" s="105" t="s">
        <v>312</v>
      </c>
      <c r="B52" s="21" t="n">
        <v>0</v>
      </c>
      <c r="C52" s="21" t="n">
        <v>0</v>
      </c>
      <c r="D52" s="21" t="n">
        <v>0</v>
      </c>
      <c r="E52" s="21" t="n">
        <v>0</v>
      </c>
      <c r="F52" s="86" t="n">
        <f aca="false">-(D15+D20)</f>
        <v>-210</v>
      </c>
    </row>
    <row r="53" customFormat="false" ht="15" hidden="false" customHeight="true" outlineLevel="0" collapsed="false">
      <c r="A53" s="106" t="s">
        <v>313</v>
      </c>
      <c r="B53" s="21" t="n">
        <v>0</v>
      </c>
      <c r="C53" s="21" t="n">
        <v>0</v>
      </c>
      <c r="D53" s="21" t="n">
        <v>0</v>
      </c>
      <c r="E53" s="21" t="n">
        <v>0</v>
      </c>
      <c r="F53" s="21" t="n">
        <v>0</v>
      </c>
    </row>
    <row r="54" customFormat="false" ht="15" hidden="false" customHeight="true" outlineLevel="0" collapsed="false">
      <c r="A54" s="14" t="s">
        <v>314</v>
      </c>
      <c r="B54" s="59" t="n">
        <f aca="false">B52+B53</f>
        <v>0</v>
      </c>
      <c r="C54" s="59" t="n">
        <f aca="false">C52+C53</f>
        <v>0</v>
      </c>
      <c r="D54" s="59" t="n">
        <f aca="false">D52+D53</f>
        <v>0</v>
      </c>
      <c r="E54" s="59" t="n">
        <f aca="false">E52+E53</f>
        <v>0</v>
      </c>
      <c r="F54" s="59" t="n">
        <f aca="false">F52+F53</f>
        <v>-210</v>
      </c>
    </row>
    <row r="55" customFormat="false" ht="15" hidden="false" customHeight="true" outlineLevel="0" collapsed="false">
      <c r="A55" s="14" t="s">
        <v>315</v>
      </c>
      <c r="B55" s="62" t="n">
        <f aca="false">B51+B54</f>
        <v>2503</v>
      </c>
      <c r="C55" s="62" t="n">
        <f aca="false">C51+C54</f>
        <v>2503</v>
      </c>
      <c r="D55" s="62" t="n">
        <f aca="false">D51+D54</f>
        <v>2503</v>
      </c>
      <c r="E55" s="62" t="n">
        <f aca="false">E51+E54</f>
        <v>2503</v>
      </c>
      <c r="F55" s="62" t="n">
        <f aca="false">F51+F54</f>
        <v>2293</v>
      </c>
    </row>
    <row r="56" customFormat="false" ht="15" hidden="false" customHeight="true" outlineLevel="0" collapsed="false">
      <c r="A56" s="14" t="s">
        <v>316</v>
      </c>
      <c r="B56" s="89" t="n">
        <f aca="false">Assumptions!B11/B55</f>
        <v>16.6807830603276</v>
      </c>
      <c r="C56" s="89" t="n">
        <f aca="false">Assumptions!B11/C55</f>
        <v>16.6807830603276</v>
      </c>
      <c r="D56" s="89" t="n">
        <f aca="false">Assumptions!B11/D55</f>
        <v>16.6807830603276</v>
      </c>
      <c r="E56" s="89" t="n">
        <f aca="false">Assumptions!B11/E55</f>
        <v>16.6807830603276</v>
      </c>
      <c r="F56" s="89" t="n">
        <f aca="false">Assumptions!B11/F55</f>
        <v>18.2084605320541</v>
      </c>
    </row>
    <row r="58" customFormat="false" ht="15" hidden="false" customHeight="true" outlineLevel="0" collapsed="false">
      <c r="A58" s="55" t="s">
        <v>60</v>
      </c>
    </row>
    <row r="59" customFormat="false" ht="15" hidden="false" customHeight="true" outlineLevel="0" collapsed="false">
      <c r="A59" s="56" t="s">
        <v>320</v>
      </c>
    </row>
    <row r="60" customFormat="false" ht="15" hidden="false" customHeight="true" outlineLevel="0" collapsed="false">
      <c r="A60" s="56" t="s">
        <v>321</v>
      </c>
    </row>
    <row r="61" customFormat="false" ht="15" hidden="false" customHeight="true" outlineLevel="0" collapsed="false">
      <c r="A61" s="56" t="s">
        <v>322</v>
      </c>
    </row>
    <row r="62" customFormat="false" ht="15" hidden="false" customHeight="true" outlineLevel="0" collapsed="false">
      <c r="A62" s="56" t="s">
        <v>323</v>
      </c>
    </row>
    <row r="63" customFormat="false" ht="15" hidden="false" customHeight="true" outlineLevel="0" collapsed="false">
      <c r="A63" s="56" t="s">
        <v>324</v>
      </c>
    </row>
    <row r="64" customFormat="false" ht="15" hidden="false" customHeight="true" outlineLevel="0" collapsed="false">
      <c r="A64" s="56" t="s">
        <v>325</v>
      </c>
    </row>
    <row r="65" customFormat="false" ht="15" hidden="false" customHeight="true" outlineLevel="0" collapsed="false">
      <c r="A65" s="56" t="s">
        <v>326</v>
      </c>
    </row>
    <row r="66" customFormat="false" ht="15" hidden="false" customHeight="true" outlineLevel="0" collapsed="false">
      <c r="A66" s="56" t="s">
        <v>327</v>
      </c>
    </row>
  </sheetData>
  <mergeCells count="3">
    <mergeCell ref="A1:F1"/>
    <mergeCell ref="A22:F22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3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</cols>
  <sheetData>
    <row r="3" customFormat="false" ht="24" hidden="false" customHeight="true" outlineLevel="0" collapsed="false">
      <c r="C3" s="108" t="s">
        <v>328</v>
      </c>
      <c r="D3" s="108"/>
      <c r="E3" s="108"/>
      <c r="F3" s="108"/>
      <c r="G3" s="108"/>
    </row>
    <row r="4" customFormat="false" ht="24" hidden="false" customHeight="true" outlineLevel="0" collapsed="false">
      <c r="B4" s="108" t="s">
        <v>329</v>
      </c>
      <c r="C4" s="108" t="s">
        <v>296</v>
      </c>
      <c r="D4" s="108" t="s">
        <v>297</v>
      </c>
      <c r="E4" s="108" t="s">
        <v>298</v>
      </c>
      <c r="F4" s="108" t="s">
        <v>299</v>
      </c>
      <c r="G4" s="108" t="s">
        <v>300</v>
      </c>
    </row>
    <row r="5" customFormat="false" ht="24" hidden="false" customHeight="true" outlineLevel="0" collapsed="false">
      <c r="B5" s="109"/>
      <c r="C5" s="109" t="s">
        <v>330</v>
      </c>
      <c r="D5" s="109" t="s">
        <v>301</v>
      </c>
      <c r="E5" s="109" t="s">
        <v>302</v>
      </c>
      <c r="F5" s="109" t="s">
        <v>303</v>
      </c>
      <c r="G5" s="109" t="s">
        <v>304</v>
      </c>
    </row>
    <row r="6" customFormat="false" ht="24" hidden="false" customHeight="true" outlineLevel="0" collapsed="false">
      <c r="B6" s="110" t="s">
        <v>331</v>
      </c>
      <c r="C6" s="111" t="n">
        <f aca="false">Bridge!B26</f>
        <v>5773</v>
      </c>
      <c r="D6" s="111" t="n">
        <f aca="false">Bridge!C26</f>
        <v>5773</v>
      </c>
      <c r="E6" s="111" t="n">
        <f aca="false">Bridge!D26</f>
        <v>5773</v>
      </c>
      <c r="F6" s="111" t="n">
        <f aca="false">Bridge!E26</f>
        <v>5773</v>
      </c>
      <c r="G6" s="111" t="n">
        <f aca="false">Bridge!F26</f>
        <v>5773</v>
      </c>
    </row>
    <row r="7" customFormat="false" ht="24" hidden="false" customHeight="true" outlineLevel="0" collapsed="false">
      <c r="B7" s="112" t="s">
        <v>332</v>
      </c>
      <c r="C7" s="113" t="n">
        <f aca="false">Bridge!B29</f>
        <v>0</v>
      </c>
      <c r="D7" s="113" t="n">
        <f aca="false">Bridge!C29</f>
        <v>-110</v>
      </c>
      <c r="E7" s="113" t="n">
        <f aca="false">Bridge!D29</f>
        <v>-155</v>
      </c>
      <c r="F7" s="113" t="n">
        <f aca="false">Bridge!E29</f>
        <v>-196</v>
      </c>
      <c r="G7" s="113" t="n">
        <f aca="false">Bridge!F29</f>
        <v>-196</v>
      </c>
    </row>
    <row r="8" customFormat="false" ht="24" hidden="false" customHeight="true" outlineLevel="0" collapsed="false">
      <c r="B8" s="110" t="s">
        <v>310</v>
      </c>
      <c r="C8" s="111" t="n">
        <f aca="false">Bridge!B30</f>
        <v>5773</v>
      </c>
      <c r="D8" s="111" t="n">
        <f aca="false">Bridge!C30</f>
        <v>5663</v>
      </c>
      <c r="E8" s="111" t="n">
        <f aca="false">Bridge!D30</f>
        <v>5618</v>
      </c>
      <c r="F8" s="111" t="n">
        <f aca="false">Bridge!E30</f>
        <v>5577</v>
      </c>
      <c r="G8" s="111" t="n">
        <f aca="false">Bridge!F30</f>
        <v>5577</v>
      </c>
    </row>
    <row r="9" customFormat="false" ht="24" hidden="false" customHeight="true" outlineLevel="0" collapsed="false">
      <c r="B9" s="114"/>
      <c r="C9" s="114"/>
      <c r="D9" s="114"/>
      <c r="E9" s="114"/>
      <c r="F9" s="114"/>
      <c r="G9" s="114"/>
    </row>
    <row r="10" customFormat="false" ht="24" hidden="false" customHeight="true" outlineLevel="0" collapsed="false">
      <c r="B10" s="110" t="s">
        <v>180</v>
      </c>
      <c r="C10" s="111" t="n">
        <f aca="false">Bridge!B33</f>
        <v>2281</v>
      </c>
      <c r="D10" s="111" t="n">
        <f aca="false">Bridge!C33</f>
        <v>2281</v>
      </c>
      <c r="E10" s="111" t="n">
        <f aca="false">Bridge!D33</f>
        <v>2281</v>
      </c>
      <c r="F10" s="111" t="n">
        <f aca="false">Bridge!E33</f>
        <v>2281</v>
      </c>
      <c r="G10" s="111" t="n">
        <f aca="false">Bridge!F33</f>
        <v>2281</v>
      </c>
    </row>
    <row r="11" customFormat="false" ht="24" hidden="false" customHeight="true" outlineLevel="0" collapsed="false">
      <c r="B11" s="112" t="s">
        <v>333</v>
      </c>
      <c r="C11" s="113" t="n">
        <f aca="false">Bridge!B36</f>
        <v>0</v>
      </c>
      <c r="D11" s="113" t="n">
        <f aca="false">Bridge!C36</f>
        <v>-88</v>
      </c>
      <c r="E11" s="113" t="n">
        <f aca="false">Bridge!D36</f>
        <v>-101</v>
      </c>
      <c r="F11" s="113" t="n">
        <f aca="false">Bridge!E36</f>
        <v>-142</v>
      </c>
      <c r="G11" s="113" t="n">
        <f aca="false">Bridge!F36</f>
        <v>-142</v>
      </c>
    </row>
    <row r="12" customFormat="false" ht="24" hidden="false" customHeight="true" outlineLevel="0" collapsed="false">
      <c r="B12" s="110" t="s">
        <v>315</v>
      </c>
      <c r="C12" s="111" t="n">
        <f aca="false">Bridge!B37</f>
        <v>2281</v>
      </c>
      <c r="D12" s="111" t="n">
        <f aca="false">Bridge!C37</f>
        <v>2193</v>
      </c>
      <c r="E12" s="111" t="n">
        <f aca="false">Bridge!D37</f>
        <v>2180</v>
      </c>
      <c r="F12" s="111" t="n">
        <f aca="false">Bridge!E37</f>
        <v>2139</v>
      </c>
      <c r="G12" s="111" t="n">
        <f aca="false">Bridge!F37</f>
        <v>2139</v>
      </c>
    </row>
    <row r="13" customFormat="false" ht="24" hidden="false" customHeight="true" outlineLevel="0" collapsed="false">
      <c r="B13" s="115" t="s">
        <v>316</v>
      </c>
      <c r="C13" s="116" t="n">
        <f aca="false">Bridge!B38</f>
        <v>18.3042525208242</v>
      </c>
      <c r="D13" s="116" t="n">
        <f aca="false">Bridge!C38</f>
        <v>19.0387596899225</v>
      </c>
      <c r="E13" s="116" t="n">
        <f aca="false">Bridge!D38</f>
        <v>19.1522935779817</v>
      </c>
      <c r="F13" s="116" t="n">
        <f aca="false">Bridge!E38</f>
        <v>19.5194015895278</v>
      </c>
      <c r="G13" s="116" t="n">
        <f aca="false">Bridge!F38</f>
        <v>19.5194015895278</v>
      </c>
    </row>
    <row r="16" customFormat="false" ht="24" hidden="false" customHeight="true" outlineLevel="0" collapsed="false">
      <c r="C16" s="108" t="s">
        <v>328</v>
      </c>
      <c r="D16" s="108"/>
      <c r="E16" s="108"/>
      <c r="F16" s="108"/>
      <c r="G16" s="108"/>
    </row>
    <row r="17" customFormat="false" ht="24" hidden="false" customHeight="true" outlineLevel="0" collapsed="false">
      <c r="B17" s="108" t="s">
        <v>334</v>
      </c>
      <c r="C17" s="108" t="s">
        <v>296</v>
      </c>
      <c r="D17" s="108" t="s">
        <v>297</v>
      </c>
      <c r="E17" s="108" t="s">
        <v>298</v>
      </c>
      <c r="F17" s="108" t="s">
        <v>299</v>
      </c>
      <c r="G17" s="108" t="s">
        <v>300</v>
      </c>
    </row>
    <row r="18" customFormat="false" ht="24" hidden="false" customHeight="true" outlineLevel="0" collapsed="false">
      <c r="B18" s="109"/>
      <c r="C18" s="109" t="s">
        <v>330</v>
      </c>
      <c r="D18" s="109" t="s">
        <v>318</v>
      </c>
      <c r="E18" s="109" t="s">
        <v>318</v>
      </c>
      <c r="F18" s="109" t="s">
        <v>318</v>
      </c>
      <c r="G18" s="109" t="s">
        <v>335</v>
      </c>
    </row>
    <row r="19" customFormat="false" ht="24" hidden="false" customHeight="true" outlineLevel="0" collapsed="false">
      <c r="B19" s="115" t="s">
        <v>331</v>
      </c>
      <c r="C19" s="117" t="n">
        <f aca="false">Bridge!B44</f>
        <v>5890</v>
      </c>
      <c r="D19" s="117" t="n">
        <f aca="false">Bridge!C44</f>
        <v>5890</v>
      </c>
      <c r="E19" s="117" t="n">
        <f aca="false">Bridge!D44</f>
        <v>5890</v>
      </c>
      <c r="F19" s="117" t="n">
        <f aca="false">Bridge!E44</f>
        <v>5890</v>
      </c>
      <c r="G19" s="117" t="n">
        <f aca="false">Bridge!F44</f>
        <v>5890</v>
      </c>
    </row>
    <row r="20" customFormat="false" ht="24" hidden="false" customHeight="true" outlineLevel="0" collapsed="false">
      <c r="B20" s="118" t="s">
        <v>332</v>
      </c>
      <c r="C20" s="119" t="n">
        <f aca="false">Bridge!B47</f>
        <v>0</v>
      </c>
      <c r="D20" s="119" t="n">
        <f aca="false">Bridge!C47</f>
        <v>0</v>
      </c>
      <c r="E20" s="119" t="n">
        <f aca="false">Bridge!D47</f>
        <v>0</v>
      </c>
      <c r="F20" s="119" t="n">
        <f aca="false">Bridge!E47</f>
        <v>0</v>
      </c>
      <c r="G20" s="119" t="n">
        <f aca="false">Bridge!F47</f>
        <v>-286</v>
      </c>
    </row>
    <row r="21" customFormat="false" ht="24" hidden="false" customHeight="true" outlineLevel="0" collapsed="false">
      <c r="B21" s="115" t="s">
        <v>310</v>
      </c>
      <c r="C21" s="117" t="n">
        <f aca="false">Bridge!B48</f>
        <v>5890</v>
      </c>
      <c r="D21" s="117" t="n">
        <f aca="false">Bridge!C48</f>
        <v>5890</v>
      </c>
      <c r="E21" s="117" t="n">
        <f aca="false">Bridge!D48</f>
        <v>5890</v>
      </c>
      <c r="F21" s="117" t="n">
        <f aca="false">Bridge!E48</f>
        <v>5890</v>
      </c>
      <c r="G21" s="117" t="n">
        <f aca="false">Bridge!F48</f>
        <v>5604</v>
      </c>
    </row>
    <row r="22" customFormat="false" ht="24" hidden="false" customHeight="true" outlineLevel="0" collapsed="false">
      <c r="B22" s="114"/>
      <c r="C22" s="114"/>
      <c r="D22" s="114"/>
      <c r="E22" s="114"/>
      <c r="F22" s="114"/>
      <c r="G22" s="114"/>
    </row>
    <row r="23" customFormat="false" ht="24" hidden="false" customHeight="true" outlineLevel="0" collapsed="false">
      <c r="B23" s="115" t="s">
        <v>180</v>
      </c>
      <c r="C23" s="117" t="n">
        <f aca="false">Bridge!B51</f>
        <v>2503</v>
      </c>
      <c r="D23" s="117" t="n">
        <f aca="false">Bridge!C51</f>
        <v>2503</v>
      </c>
      <c r="E23" s="117" t="n">
        <f aca="false">Bridge!D51</f>
        <v>2503</v>
      </c>
      <c r="F23" s="117" t="n">
        <f aca="false">Bridge!E51</f>
        <v>2503</v>
      </c>
      <c r="G23" s="117" t="n">
        <f aca="false">Bridge!F51</f>
        <v>2503</v>
      </c>
    </row>
    <row r="24" customFormat="false" ht="24" hidden="false" customHeight="true" outlineLevel="0" collapsed="false">
      <c r="B24" s="118" t="s">
        <v>333</v>
      </c>
      <c r="C24" s="119" t="n">
        <f aca="false">Bridge!B54</f>
        <v>0</v>
      </c>
      <c r="D24" s="119" t="n">
        <f aca="false">Bridge!C54</f>
        <v>0</v>
      </c>
      <c r="E24" s="119" t="n">
        <f aca="false">Bridge!D54</f>
        <v>0</v>
      </c>
      <c r="F24" s="119" t="n">
        <f aca="false">Bridge!E54</f>
        <v>0</v>
      </c>
      <c r="G24" s="119" t="n">
        <f aca="false">Bridge!F54</f>
        <v>-210</v>
      </c>
    </row>
    <row r="25" customFormat="false" ht="24" hidden="false" customHeight="true" outlineLevel="0" collapsed="false">
      <c r="B25" s="115" t="s">
        <v>315</v>
      </c>
      <c r="C25" s="117" t="n">
        <f aca="false">Bridge!B55</f>
        <v>2503</v>
      </c>
      <c r="D25" s="117" t="n">
        <f aca="false">Bridge!C55</f>
        <v>2503</v>
      </c>
      <c r="E25" s="117" t="n">
        <f aca="false">Bridge!D55</f>
        <v>2503</v>
      </c>
      <c r="F25" s="117" t="n">
        <f aca="false">Bridge!E55</f>
        <v>2503</v>
      </c>
      <c r="G25" s="117" t="n">
        <f aca="false">Bridge!F55</f>
        <v>2293</v>
      </c>
    </row>
    <row r="26" customFormat="false" ht="24" hidden="false" customHeight="true" outlineLevel="0" collapsed="false">
      <c r="B26" s="110" t="s">
        <v>316</v>
      </c>
      <c r="C26" s="120" t="n">
        <f aca="false">Bridge!B56</f>
        <v>16.6807830603276</v>
      </c>
      <c r="D26" s="120" t="n">
        <f aca="false">Bridge!C56</f>
        <v>16.6807830603276</v>
      </c>
      <c r="E26" s="120" t="n">
        <f aca="false">Bridge!D56</f>
        <v>16.6807830603276</v>
      </c>
      <c r="F26" s="120" t="n">
        <f aca="false">Bridge!E56</f>
        <v>16.6807830603276</v>
      </c>
      <c r="G26" s="120" t="n">
        <f aca="false">Bridge!F56</f>
        <v>18.2084605320541</v>
      </c>
    </row>
    <row r="28" customFormat="false" ht="15" hidden="false" customHeight="false" outlineLevel="0" collapsed="false">
      <c r="B28" s="121" t="s">
        <v>336</v>
      </c>
    </row>
  </sheetData>
  <mergeCells count="2">
    <mergeCell ref="C3:G3"/>
    <mergeCell ref="C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2026-03-19T13:24:11Z</dcterms:created>
  <dc:creator>openpyxl</dc:creator>
  <dc:description/>
  <dc:language>en-US</dc:language>
  <cp:lastModifiedBy/>
  <dcterms:modified xsi:type="dcterms:W3CDTF">2026-03-20T22:44:05Z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