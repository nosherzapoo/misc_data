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lume Comparison" sheetId="1" state="visible" r:id="rId3"/>
    <sheet name="Growth Ranking" sheetId="2" state="visible" r:id="rId4"/>
    <sheet name="DK Math" sheetId="3" state="visible" r:id="rId5"/>
    <sheet name="Scale Comparison" sheetId="4" state="visible" r:id="rId6"/>
    <sheet name="Notes &amp; Cavea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<sst xmlns="http://schemas.openxmlformats.org/spreadsheetml/2006/main" count="119" uniqueCount="108">
  <si>
    <t xml:space="preserve">DraftKings Predictions vs. Prediction Market Peers</t>
  </si>
  <si>
    <t xml:space="preserve">Monthly Notional Volume: March 2026 vs. April 2026 ($M)</t>
  </si>
  <si>
    <t xml:space="preserve">Platform</t>
  </si>
  <si>
    <t xml:space="preserve">Mar 2026 ($M)</t>
  </si>
  <si>
    <t xml:space="preserve">Apr 2026 ($M)</t>
  </si>
  <si>
    <t xml:space="preserve">MoM Growth</t>
  </si>
  <si>
    <t xml:space="preserve">Mar Share</t>
  </si>
  <si>
    <t xml:space="preserve">Apr Share</t>
  </si>
  <si>
    <t xml:space="preserve">Notes</t>
  </si>
  <si>
    <t xml:space="preserve">Kalshi</t>
  </si>
  <si>
    <t xml:space="preserve">Source: Dune dashboard, March 1 / April 1 2026 snapshots</t>
  </si>
  <si>
    <t xml:space="preserve">Polymarket (Global)</t>
  </si>
  <si>
    <t xml:space="preserve">Source: Dune dashboard</t>
  </si>
  <si>
    <t xml:space="preserve">Limitless</t>
  </si>
  <si>
    <t xml:space="preserve">Source: Dune dashboard. Crossed $1B notional for first time in April per company</t>
  </si>
  <si>
    <t xml:space="preserve">Predict.fun</t>
  </si>
  <si>
    <t xml:space="preserve">Source: Dune dashboard. Massive April acceleration</t>
  </si>
  <si>
    <t xml:space="preserve">Polymarket (US)</t>
  </si>
  <si>
    <t xml:space="preserve">Source: Dune dashboard. Re-entered US via QCEX acquisition</t>
  </si>
  <si>
    <t xml:space="preserve">Opinion</t>
  </si>
  <si>
    <t xml:space="preserve">Crypto.com</t>
  </si>
  <si>
    <t xml:space="preserve">DraftKings (total volume incl. MM)</t>
  </si>
  <si>
    <t xml:space="preserve">Derived: $2.3B annualized April / 12; March implied from +43% MoM</t>
  </si>
  <si>
    <t xml:space="preserve">DraftKings (consumer only)</t>
  </si>
  <si>
    <t xml:space="preserve">Derived: $1B annualized April / 12; March implied from +38% MoM</t>
  </si>
  <si>
    <t xml:space="preserve">Other</t>
  </si>
  <si>
    <t xml:space="preserve">Source: Dune dashboard, residual category</t>
  </si>
  <si>
    <t xml:space="preserve">Total Dune-tracked PM market</t>
  </si>
  <si>
    <t xml:space="preserve">Total incl. DK consumer (memo)</t>
  </si>
  <si>
    <t xml:space="preserve">DK is NOT on Dune dashboard; this row adds DK consumer to Dune-tracked total</t>
  </si>
  <si>
    <t xml:space="preserve">Platforms Ranked by April 2026 MoM Growth</t>
  </si>
  <si>
    <t xml:space="preserve">DK comparison context: was the +38% / +43% MoM growth special?</t>
  </si>
  <si>
    <t xml:space="preserve">Rank</t>
  </si>
  <si>
    <t xml:space="preserve">Mar ($M)</t>
  </si>
  <si>
    <t xml:space="preserve">Apr ($M)</t>
  </si>
  <si>
    <t xml:space="preserve">DraftKings (total)</t>
  </si>
  <si>
    <t xml:space="preserve">DraftKings (consumer)</t>
  </si>
  <si>
    <t xml:space="preserve">DraftKings Predictions: Deriving April and March Volumes</t>
  </si>
  <si>
    <t xml:space="preserve">Inputs from Q1 2026 earnings call (May 8, 2026)</t>
  </si>
  <si>
    <t xml:space="preserve">April annualized consumer volume ($M)</t>
  </si>
  <si>
    <t xml:space="preserve">Robins: 'annualized predictions consumer volume exceeded $1 billion'</t>
  </si>
  <si>
    <t xml:space="preserve">April annualized total volume traded ($M)</t>
  </si>
  <si>
    <t xml:space="preserve">Robins: 'annualized total volume traded exceeded $2.3 billion'</t>
  </si>
  <si>
    <t xml:space="preserve">Consumer MoM growth</t>
  </si>
  <si>
    <t xml:space="preserve">Robins: '38% month-over-month' on consumer volume</t>
  </si>
  <si>
    <t xml:space="preserve">Total volume MoM growth</t>
  </si>
  <si>
    <t xml:space="preserve">Robins: '43% month-over-month' on total volume</t>
  </si>
  <si>
    <t xml:space="preserve">Step 1: Convert annualized to April monthly</t>
  </si>
  <si>
    <t xml:space="preserve">April consumer volume ($M)</t>
  </si>
  <si>
    <t xml:space="preserve">$1,000M / 12</t>
  </si>
  <si>
    <t xml:space="preserve">April total volume ($M)</t>
  </si>
  <si>
    <t xml:space="preserve">$2,300M / 12</t>
  </si>
  <si>
    <t xml:space="preserve">Step 2: Back into March from MoM growth</t>
  </si>
  <si>
    <t xml:space="preserve">March consumer volume ($M)</t>
  </si>
  <si>
    <t xml:space="preserve">April / (1 + 38%) since April = March x 1.38</t>
  </si>
  <si>
    <t xml:space="preserve">March total volume ($M)</t>
  </si>
  <si>
    <t xml:space="preserve">April / (1 + 43%) since April = March x 1.43</t>
  </si>
  <si>
    <t xml:space="preserve">Implied market-making volume (April, $M)</t>
  </si>
  <si>
    <t xml:space="preserve">Total - Consumer</t>
  </si>
  <si>
    <t xml:space="preserve">DraftKings Scale vs. Peers (April 2026, $M notional)</t>
  </si>
  <si>
    <t xml:space="preserve">Comparison</t>
  </si>
  <si>
    <t xml:space="preserve">DK Apr ($M)</t>
  </si>
  <si>
    <t xml:space="preserve">Peer Apr ($M)</t>
  </si>
  <si>
    <t xml:space="preserve">DK as % of Peer</t>
  </si>
  <si>
    <t xml:space="preserve">Note</t>
  </si>
  <si>
    <t xml:space="preserve">DK consumer vs. Kalshi</t>
  </si>
  <si>
    <t xml:space="preserve">Cleanest read</t>
  </si>
  <si>
    <t xml:space="preserve">DK total vs. Kalshi</t>
  </si>
  <si>
    <t xml:space="preserve">DK total includes own market-making</t>
  </si>
  <si>
    <t xml:space="preserve">DK consumer vs. Polymarket Global</t>
  </si>
  <si>
    <t xml:space="preserve">Polymarket Global is sports-light</t>
  </si>
  <si>
    <t xml:space="preserve">DK total vs. Polymarket US</t>
  </si>
  <si>
    <t xml:space="preserve">Closer comparison: US-only retail PM products</t>
  </si>
  <si>
    <t xml:space="preserve">DK consumer vs. Limitless</t>
  </si>
  <si>
    <t xml:space="preserve">Limitless grew 208% MoM, now well above DK</t>
  </si>
  <si>
    <t xml:space="preserve">DK consumer vs. Predict.fun</t>
  </si>
  <si>
    <t xml:space="preserve">Predict.fun grew 368% MoM</t>
  </si>
  <si>
    <t xml:space="preserve">DK total vs. Opinion</t>
  </si>
  <si>
    <t xml:space="preserve">DK total is ~25% of Opinion</t>
  </si>
  <si>
    <t xml:space="preserve">DK total vs. Crypto.com</t>
  </si>
  <si>
    <t xml:space="preserve">DK total is ~27% of Crypto.com</t>
  </si>
  <si>
    <t xml:space="preserve">Methodology Notes and Caveats</t>
  </si>
  <si>
    <t xml:space="preserve">Data source</t>
  </si>
  <si>
    <t xml:space="preserve">All peer data from Dune Analytics @datadashboards prediction markets dashboard, March 1 / April 1 2026 monthly snapshots. DK figures derived from disclosures in DraftKings Q1 2026 earnings call (May 8, 2026).</t>
  </si>
  <si>
    <t xml:space="preserve">Volume convention</t>
  </si>
  <si>
    <t xml:space="preserve">All figures are notional volume (not taker). Notional counts both maker and taker sides of each fill. This matches Polymarket / Kalshi / Dune methodology and is also how DK reports prediction market volumes, so platform-to-platform comparisons are 1:1 apples-to-apples.</t>
  </si>
  <si>
    <t xml:space="preserve">DK consumer vs. total</t>
  </si>
  <si>
    <t xml:space="preserve">DK disclosed two figures: 'consumer volume' ($1B annualized April) and 'total volume traded' ($2.3B annualized April). Gap of ~$108M in April is DK's own market-making. Use consumer for cleanest peer comparison.</t>
  </si>
  <si>
    <t xml:space="preserve">Surprising result on smaller PMs</t>
  </si>
  <si>
    <t xml:space="preserve">Limitless and Predict.fun are now meaningfully larger than DK on a notional basis ($1.66B and $1.54B vs. DK's $83M consumer / $192M total). Both also grew faster MoM than DK (208% and 368% vs. 38-43%).</t>
  </si>
  <si>
    <t xml:space="preserve">Kalshi sports concentration</t>
  </si>
  <si>
    <t xml:space="preserve">Kalshi is ~85% sports + exotics. April record was driven heavily by parlay volume: ~$1.2B of the $1.7B March-to-April growth came from parlays alone. April had no Super Bowl, no March Madness, no NFL playoffs, yet Kalshi still grew 13%.</t>
  </si>
  <si>
    <t xml:space="preserve">Polymarket mix</t>
  </si>
  <si>
    <t xml:space="preserve">Polymarket Global is sports-light (mostly politics, crypto). April mix included $507M politics, $416M crypto. Volume fell 14.8% MoM as March Madness / earlier political event lift unwound. Polymarket US (post-QCEX) grew 75% MoM but off small base.</t>
  </si>
  <si>
    <t xml:space="preserve">Robinhood-Kalshi distribution</t>
  </si>
  <si>
    <t xml:space="preserve">Per Sacra, Robinhood accounts for &gt;50% of Kalshi's volume. Kalshi's 'retail' scale is partly driven by RH brokerage distribution (27M funded accounts), which may inflate the optical gap vs. DK's standalone app.</t>
  </si>
  <si>
    <t xml:space="preserve">DK growth context</t>
  </si>
  <si>
    <t xml:space="preserve">DK's +38% / +43% MoM is off a small base ($60M / $134M) and reflects a one-time step-change from Predictions going live on the flagship Sportsbook app in April (CAC dropped &gt;80% per Robins). True organic run-rate uncertain until base effect normalizes.</t>
  </si>
  <si>
    <t xml:space="preserve">$200-300M spend ramp</t>
  </si>
  <si>
    <t xml:space="preserve">DK guided $200-300M Predictions investment in 2026, vast majority in H2 around World Cup. DK has not yet 'turned on' marketing materially; the comparison should be revisited at year-end exit rate.</t>
  </si>
  <si>
    <t xml:space="preserve">Fee / take rate divergence</t>
  </si>
  <si>
    <t xml:space="preserve">Polymarket collected $29.22M April fees on $9B notional (~32 bps). Kalshi take rate ~1%. DK Sportsbook hold rate is 7-10%. Revenue-per-dollar-of-volume differs sharply by platform.</t>
  </si>
  <si>
    <t xml:space="preserve">Sources</t>
  </si>
  <si>
    <t xml:space="preserve">  - DraftKings Q1 2026 earnings call transcript (May 8, 2026), S&amp;P Global Market Intelligence</t>
  </si>
  <si>
    <t xml:space="preserve">  - Dune Analytics @datadashboards prediction markets dashboard - direct screenshots provided by user</t>
  </si>
  <si>
    <t xml:space="preserve">  - Sacra, Kalshi and Polymarket company profiles</t>
  </si>
  <si>
    <t xml:space="preserve">  - Sports Illustrated, 'Kalshi Just Hit a Record $14.8 Billion in April and Parlays Are Why', May 7, 2026</t>
  </si>
  <si>
    <t xml:space="preserve">  - Bitcoin News, 'Prediction Market Traders Push April 2026 Volume to $8.6B', May 4, 2026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</si>
</sst>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;\(#,##0.0\);\-"/>
    <numFmt numFmtId="166" formatCode="0.0%;\(0.0%\);\-"/>
    <numFmt numFmtId="167" formatCode="0.00%;\(0.00%\);\-"/>
    <numFmt numFmtId="168" formatCode="#,##0.0"/>
    <numFmt numFmtId="169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5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5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v>13070.246</v>
      </c>
      <c r="C5" s="5" t="n">
        <v>14807.808</v>
      </c>
      <c r="D5" s="6" t="n">
        <f aca="false">C5/B5-1</f>
        <v>0.132940267535898</v>
      </c>
      <c r="E5" s="7" t="n">
        <f aca="false">B5/$B$16</f>
        <v>0.492759140623121</v>
      </c>
      <c r="F5" s="7" t="n">
        <f aca="false">C5/$C$16</f>
        <v>0.497237188370651</v>
      </c>
      <c r="G5" s="8" t="s">
        <v>10</v>
      </c>
    </row>
    <row r="6" customFormat="false" ht="15" hidden="false" customHeight="false" outlineLevel="0" collapsed="false">
      <c r="A6" s="4" t="s">
        <v>11</v>
      </c>
      <c r="B6" s="5" t="n">
        <v>10572.416</v>
      </c>
      <c r="C6" s="5" t="n">
        <v>9008.704</v>
      </c>
      <c r="D6" s="6" t="n">
        <f aca="false">C6/B6-1</f>
        <v>-0.147904887586716</v>
      </c>
      <c r="E6" s="7" t="n">
        <f aca="false">B6/$B$16</f>
        <v>0.398588872961544</v>
      </c>
      <c r="F6" s="7" t="n">
        <f aca="false">C6/$C$16</f>
        <v>0.302506802345319</v>
      </c>
      <c r="G6" s="8" t="s">
        <v>12</v>
      </c>
    </row>
    <row r="7" customFormat="false" ht="22.35" hidden="false" customHeight="false" outlineLevel="0" collapsed="false">
      <c r="A7" s="4" t="s">
        <v>13</v>
      </c>
      <c r="B7" s="5" t="n">
        <v>538.466</v>
      </c>
      <c r="C7" s="5" t="n">
        <v>1657.497</v>
      </c>
      <c r="D7" s="6" t="n">
        <f aca="false">C7/B7-1</f>
        <v>2.07818320933912</v>
      </c>
      <c r="E7" s="7" t="n">
        <f aca="false">B7/$B$16</f>
        <v>0.0203006158732414</v>
      </c>
      <c r="F7" s="7" t="n">
        <f aca="false">C7/$C$16</f>
        <v>0.0556577413762245</v>
      </c>
      <c r="G7" s="8" t="s">
        <v>14</v>
      </c>
    </row>
    <row r="8" customFormat="false" ht="15" hidden="false" customHeight="false" outlineLevel="0" collapsed="false">
      <c r="A8" s="4" t="s">
        <v>15</v>
      </c>
      <c r="B8" s="5" t="n">
        <v>329.654</v>
      </c>
      <c r="C8" s="5" t="n">
        <v>1543.3</v>
      </c>
      <c r="D8" s="6" t="n">
        <f aca="false">C8/B8-1</f>
        <v>3.68157522735959</v>
      </c>
      <c r="E8" s="7" t="n">
        <f aca="false">B8/$B$16</f>
        <v>0.0124282298698107</v>
      </c>
      <c r="F8" s="7" t="n">
        <f aca="false">C8/$C$16</f>
        <v>0.051823075556654</v>
      </c>
      <c r="G8" s="8" t="s">
        <v>16</v>
      </c>
    </row>
    <row r="9" customFormat="false" ht="15" hidden="false" customHeight="false" outlineLevel="0" collapsed="false">
      <c r="A9" s="4" t="s">
        <v>17</v>
      </c>
      <c r="B9" s="5" t="n">
        <v>701.468</v>
      </c>
      <c r="C9" s="5" t="n">
        <v>1230.316</v>
      </c>
      <c r="D9" s="6" t="n">
        <f aca="false">C9/B9-1</f>
        <v>0.753916073149453</v>
      </c>
      <c r="E9" s="7" t="n">
        <f aca="false">B9/$B$16</f>
        <v>0.0264459267908668</v>
      </c>
      <c r="F9" s="7" t="n">
        <f aca="false">C9/$C$16</f>
        <v>0.0413132631546428</v>
      </c>
      <c r="G9" s="8" t="s">
        <v>18</v>
      </c>
    </row>
    <row r="10" customFormat="false" ht="15" hidden="false" customHeight="false" outlineLevel="0" collapsed="false">
      <c r="A10" s="4" t="s">
        <v>19</v>
      </c>
      <c r="B10" s="5" t="n">
        <v>496.22</v>
      </c>
      <c r="C10" s="5" t="n">
        <v>752.317</v>
      </c>
      <c r="D10" s="6" t="n">
        <f aca="false">C10/B10-1</f>
        <v>0.516095683366249</v>
      </c>
      <c r="E10" s="7" t="n">
        <f aca="false">B10/$B$16</f>
        <v>0.0187079065504968</v>
      </c>
      <c r="F10" s="7" t="n">
        <f aca="false">C10/$C$16</f>
        <v>0.025262347394256</v>
      </c>
      <c r="G10" s="8" t="s">
        <v>12</v>
      </c>
    </row>
    <row r="11" customFormat="false" ht="15" hidden="false" customHeight="false" outlineLevel="0" collapsed="false">
      <c r="A11" s="4" t="s">
        <v>20</v>
      </c>
      <c r="B11" s="5" t="n">
        <v>629.694</v>
      </c>
      <c r="C11" s="5" t="n">
        <v>701.161</v>
      </c>
      <c r="D11" s="6" t="n">
        <f aca="false">C11/B11-1</f>
        <v>0.113494808589569</v>
      </c>
      <c r="E11" s="7" t="n">
        <f aca="false">B11/$B$16</f>
        <v>0.0237399873189484</v>
      </c>
      <c r="F11" s="7" t="n">
        <f aca="false">C11/$C$16</f>
        <v>0.0235445600209804</v>
      </c>
      <c r="G11" s="8" t="s">
        <v>12</v>
      </c>
    </row>
    <row r="12" customFormat="false" ht="22.35" hidden="false" customHeight="false" outlineLevel="0" collapsed="false">
      <c r="A12" s="9" t="s">
        <v>21</v>
      </c>
      <c r="B12" s="10" t="n">
        <v>134.032</v>
      </c>
      <c r="C12" s="10" t="n">
        <v>191.667</v>
      </c>
      <c r="D12" s="11" t="n">
        <f aca="false">C12/B12-1</f>
        <v>0.430009251522024</v>
      </c>
      <c r="E12" s="12" t="n">
        <f aca="false">B12/$B$16</f>
        <v>0.00505311783236506</v>
      </c>
      <c r="F12" s="12" t="n">
        <f aca="false">C12/$C$16</f>
        <v>0.00643606131194013</v>
      </c>
      <c r="G12" s="13" t="s">
        <v>22</v>
      </c>
    </row>
    <row r="13" customFormat="false" ht="15" hidden="false" customHeight="false" outlineLevel="0" collapsed="false">
      <c r="A13" s="9" t="s">
        <v>23</v>
      </c>
      <c r="B13" s="10" t="n">
        <v>60.386</v>
      </c>
      <c r="C13" s="10" t="n">
        <v>83.333</v>
      </c>
      <c r="D13" s="11" t="n">
        <f aca="false">C13/B13-1</f>
        <v>0.380005299241546</v>
      </c>
      <c r="E13" s="12" t="n">
        <f aca="false">B13/$B$16</f>
        <v>0.00227660240409154</v>
      </c>
      <c r="F13" s="12" t="n">
        <f aca="false">C13/$C$16</f>
        <v>0.00279827146722131</v>
      </c>
      <c r="G13" s="13" t="s">
        <v>24</v>
      </c>
    </row>
    <row r="14" customFormat="false" ht="15" hidden="false" customHeight="false" outlineLevel="0" collapsed="false">
      <c r="A14" s="4" t="s">
        <v>25</v>
      </c>
      <c r="B14" s="5" t="n">
        <v>186.45</v>
      </c>
      <c r="C14" s="5" t="n">
        <v>79.067</v>
      </c>
      <c r="D14" s="6" t="n">
        <f aca="false">C14/B14-1</f>
        <v>-0.575934566908018</v>
      </c>
      <c r="E14" s="7" t="n">
        <f aca="false">B14/$B$16</f>
        <v>0.00702932001197077</v>
      </c>
      <c r="F14" s="7" t="n">
        <f aca="false">C14/$C$16</f>
        <v>0.00265502178127257</v>
      </c>
      <c r="G14" s="8" t="s">
        <v>26</v>
      </c>
    </row>
    <row r="16" customFormat="false" ht="15" hidden="false" customHeight="false" outlineLevel="0" collapsed="false">
      <c r="A16" s="14" t="s">
        <v>27</v>
      </c>
      <c r="B16" s="15" t="n">
        <f aca="false">SUM(B5:B11)+B14</f>
        <v>26524.614</v>
      </c>
      <c r="C16" s="15" t="n">
        <f aca="false">SUM(C5:C11)+C14</f>
        <v>29780.17</v>
      </c>
      <c r="D16" s="16" t="n">
        <f aca="false">C16/B16-1</f>
        <v>0.122737167824572</v>
      </c>
      <c r="E16" s="17"/>
      <c r="F16" s="17"/>
      <c r="G16" s="17"/>
    </row>
    <row r="17" customFormat="false" ht="22.35" hidden="false" customHeight="false" outlineLevel="0" collapsed="false">
      <c r="A17" s="18" t="s">
        <v>28</v>
      </c>
      <c r="B17" s="19" t="n">
        <f aca="false">B16+B13</f>
        <v>26585</v>
      </c>
      <c r="C17" s="19" t="n">
        <f aca="false">C16+C13</f>
        <v>29863.503</v>
      </c>
      <c r="D17" s="6" t="n">
        <f aca="false">C17/B17-1</f>
        <v>0.123321534700019</v>
      </c>
      <c r="E17" s="20"/>
      <c r="F17" s="20"/>
      <c r="G17" s="8" t="s">
        <v>29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5" min="3" style="0" width="14"/>
  </cols>
  <sheetData>
    <row r="1" customFormat="false" ht="17.35" hidden="false" customHeight="false" outlineLevel="0" collapsed="false">
      <c r="A1" s="1" t="s">
        <v>30</v>
      </c>
      <c r="B1" s="1"/>
      <c r="C1" s="1"/>
      <c r="D1" s="1"/>
      <c r="E1" s="1"/>
    </row>
    <row r="2" customFormat="false" ht="15" hidden="false" customHeight="false" outlineLevel="0" collapsed="false">
      <c r="A2" s="21" t="s">
        <v>31</v>
      </c>
      <c r="B2" s="21"/>
      <c r="C2" s="21"/>
      <c r="D2" s="21"/>
      <c r="E2" s="21"/>
    </row>
    <row r="4" customFormat="false" ht="15" hidden="false" customHeight="false" outlineLevel="0" collapsed="false">
      <c r="A4" s="22" t="s">
        <v>32</v>
      </c>
      <c r="B4" s="22" t="s">
        <v>2</v>
      </c>
      <c r="C4" s="22" t="s">
        <v>33</v>
      </c>
      <c r="D4" s="22" t="s">
        <v>34</v>
      </c>
      <c r="E4" s="22" t="s">
        <v>5</v>
      </c>
    </row>
    <row r="5" customFormat="false" ht="15" hidden="false" customHeight="false" outlineLevel="0" collapsed="false">
      <c r="A5" s="23" t="n">
        <v>1</v>
      </c>
      <c r="B5" s="24" t="s">
        <v>15</v>
      </c>
      <c r="C5" s="5" t="n">
        <v>329.654</v>
      </c>
      <c r="D5" s="5" t="n">
        <v>1543.3</v>
      </c>
      <c r="E5" s="25" t="n">
        <f aca="false">D5/C5-1</f>
        <v>3.68157522735959</v>
      </c>
    </row>
    <row r="6" customFormat="false" ht="15" hidden="false" customHeight="false" outlineLevel="0" collapsed="false">
      <c r="A6" s="23" t="n">
        <v>2</v>
      </c>
      <c r="B6" s="24" t="s">
        <v>13</v>
      </c>
      <c r="C6" s="5" t="n">
        <v>538.466</v>
      </c>
      <c r="D6" s="5" t="n">
        <v>1657.497</v>
      </c>
      <c r="E6" s="25" t="n">
        <f aca="false">D6/C6-1</f>
        <v>2.07818320933912</v>
      </c>
    </row>
    <row r="7" customFormat="false" ht="15" hidden="false" customHeight="false" outlineLevel="0" collapsed="false">
      <c r="A7" s="23" t="n">
        <v>3</v>
      </c>
      <c r="B7" s="24" t="s">
        <v>17</v>
      </c>
      <c r="C7" s="5" t="n">
        <v>701.468</v>
      </c>
      <c r="D7" s="5" t="n">
        <v>1230.316</v>
      </c>
      <c r="E7" s="25" t="n">
        <f aca="false">D7/C7-1</f>
        <v>0.753916073149453</v>
      </c>
    </row>
    <row r="8" customFormat="false" ht="15" hidden="false" customHeight="false" outlineLevel="0" collapsed="false">
      <c r="A8" s="23" t="n">
        <v>4</v>
      </c>
      <c r="B8" s="24" t="s">
        <v>19</v>
      </c>
      <c r="C8" s="5" t="n">
        <v>496.22</v>
      </c>
      <c r="D8" s="5" t="n">
        <v>752.317</v>
      </c>
      <c r="E8" s="25" t="n">
        <f aca="false">D8/C8-1</f>
        <v>0.516095683366249</v>
      </c>
    </row>
    <row r="9" customFormat="false" ht="15" hidden="false" customHeight="false" outlineLevel="0" collapsed="false">
      <c r="A9" s="26" t="n">
        <v>5</v>
      </c>
      <c r="B9" s="27" t="s">
        <v>35</v>
      </c>
      <c r="C9" s="10" t="n">
        <v>134.032</v>
      </c>
      <c r="D9" s="10" t="n">
        <v>191.667</v>
      </c>
      <c r="E9" s="28" t="n">
        <f aca="false">D9/C9-1</f>
        <v>0.430009251522024</v>
      </c>
    </row>
    <row r="10" customFormat="false" ht="15" hidden="false" customHeight="false" outlineLevel="0" collapsed="false">
      <c r="A10" s="26" t="n">
        <v>6</v>
      </c>
      <c r="B10" s="27" t="s">
        <v>36</v>
      </c>
      <c r="C10" s="10" t="n">
        <v>60.386</v>
      </c>
      <c r="D10" s="10" t="n">
        <v>83.333</v>
      </c>
      <c r="E10" s="28" t="n">
        <f aca="false">D10/C10-1</f>
        <v>0.380005299241546</v>
      </c>
    </row>
    <row r="11" customFormat="false" ht="15" hidden="false" customHeight="false" outlineLevel="0" collapsed="false">
      <c r="A11" s="23" t="n">
        <v>7</v>
      </c>
      <c r="B11" s="24" t="s">
        <v>9</v>
      </c>
      <c r="C11" s="5" t="n">
        <v>13070.246</v>
      </c>
      <c r="D11" s="5" t="n">
        <v>14807.808</v>
      </c>
      <c r="E11" s="25" t="n">
        <f aca="false">D11/C11-1</f>
        <v>0.132940267535898</v>
      </c>
    </row>
    <row r="12" customFormat="false" ht="15" hidden="false" customHeight="false" outlineLevel="0" collapsed="false">
      <c r="A12" s="23" t="n">
        <v>8</v>
      </c>
      <c r="B12" s="24" t="s">
        <v>20</v>
      </c>
      <c r="C12" s="5" t="n">
        <v>629.694</v>
      </c>
      <c r="D12" s="5" t="n">
        <v>701.161</v>
      </c>
      <c r="E12" s="25" t="n">
        <f aca="false">D12/C12-1</f>
        <v>0.113494808589569</v>
      </c>
    </row>
    <row r="13" customFormat="false" ht="15" hidden="false" customHeight="false" outlineLevel="0" collapsed="false">
      <c r="A13" s="23" t="n">
        <v>9</v>
      </c>
      <c r="B13" s="24" t="s">
        <v>11</v>
      </c>
      <c r="C13" s="5" t="n">
        <v>10572.416</v>
      </c>
      <c r="D13" s="5" t="n">
        <v>9008.704</v>
      </c>
      <c r="E13" s="25" t="n">
        <f aca="false">D13/C13-1</f>
        <v>-0.147904887586716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37</v>
      </c>
      <c r="B1" s="1"/>
      <c r="C1" s="1"/>
      <c r="D1" s="1"/>
    </row>
    <row r="3" customFormat="false" ht="15" hidden="false" customHeight="false" outlineLevel="0" collapsed="false">
      <c r="A3" s="29" t="s">
        <v>38</v>
      </c>
      <c r="B3" s="29"/>
      <c r="C3" s="29"/>
      <c r="D3" s="29"/>
    </row>
    <row r="4" customFormat="false" ht="15" hidden="false" customHeight="false" outlineLevel="0" collapsed="false">
      <c r="A4" s="30" t="s">
        <v>39</v>
      </c>
      <c r="B4" s="31" t="n">
        <v>1000</v>
      </c>
      <c r="C4" s="32" t="s">
        <v>40</v>
      </c>
    </row>
    <row r="5" customFormat="false" ht="15" hidden="false" customHeight="false" outlineLevel="0" collapsed="false">
      <c r="A5" s="30" t="s">
        <v>41</v>
      </c>
      <c r="B5" s="31" t="n">
        <v>2300</v>
      </c>
      <c r="C5" s="32" t="s">
        <v>42</v>
      </c>
    </row>
    <row r="6" customFormat="false" ht="15" hidden="false" customHeight="false" outlineLevel="0" collapsed="false">
      <c r="A6" s="30" t="s">
        <v>43</v>
      </c>
      <c r="B6" s="33" t="n">
        <v>0.38</v>
      </c>
      <c r="C6" s="32" t="s">
        <v>44</v>
      </c>
    </row>
    <row r="7" customFormat="false" ht="15" hidden="false" customHeight="false" outlineLevel="0" collapsed="false">
      <c r="A7" s="30" t="s">
        <v>45</v>
      </c>
      <c r="B7" s="33" t="n">
        <v>0.43</v>
      </c>
      <c r="C7" s="32" t="s">
        <v>46</v>
      </c>
    </row>
    <row r="9" customFormat="false" ht="15" hidden="false" customHeight="false" outlineLevel="0" collapsed="false">
      <c r="A9" s="29" t="s">
        <v>47</v>
      </c>
      <c r="B9" s="29"/>
      <c r="C9" s="29"/>
      <c r="D9" s="29"/>
    </row>
    <row r="10" customFormat="false" ht="15" hidden="false" customHeight="false" outlineLevel="0" collapsed="false">
      <c r="A10" s="20" t="s">
        <v>48</v>
      </c>
      <c r="B10" s="34" t="n">
        <f aca="false">B4/12</f>
        <v>83.3333333333333</v>
      </c>
      <c r="C10" s="32" t="s">
        <v>49</v>
      </c>
    </row>
    <row r="11" customFormat="false" ht="15" hidden="false" customHeight="false" outlineLevel="0" collapsed="false">
      <c r="A11" s="20" t="s">
        <v>50</v>
      </c>
      <c r="B11" s="34" t="n">
        <f aca="false">B5/12</f>
        <v>191.666666666667</v>
      </c>
      <c r="C11" s="32" t="s">
        <v>51</v>
      </c>
    </row>
    <row r="13" customFormat="false" ht="15" hidden="false" customHeight="false" outlineLevel="0" collapsed="false">
      <c r="A13" s="29" t="s">
        <v>52</v>
      </c>
      <c r="B13" s="29"/>
      <c r="C13" s="29"/>
      <c r="D13" s="29"/>
    </row>
    <row r="14" customFormat="false" ht="15" hidden="false" customHeight="false" outlineLevel="0" collapsed="false">
      <c r="A14" s="20" t="s">
        <v>53</v>
      </c>
      <c r="B14" s="34" t="n">
        <f aca="false">B10/(1+B6)</f>
        <v>60.3864734299517</v>
      </c>
      <c r="C14" s="32" t="s">
        <v>54</v>
      </c>
    </row>
    <row r="15" customFormat="false" ht="15" hidden="false" customHeight="false" outlineLevel="0" collapsed="false">
      <c r="A15" s="20" t="s">
        <v>55</v>
      </c>
      <c r="B15" s="34" t="n">
        <f aca="false">B11/(1+B7)</f>
        <v>134.032634032634</v>
      </c>
      <c r="C15" s="32" t="s">
        <v>56</v>
      </c>
    </row>
    <row r="17" customFormat="false" ht="15" hidden="false" customHeight="false" outlineLevel="0" collapsed="false">
      <c r="A17" s="4" t="s">
        <v>57</v>
      </c>
      <c r="B17" s="35" t="n">
        <f aca="false">B11-B10</f>
        <v>108.333333333333</v>
      </c>
      <c r="C17" s="32" t="s">
        <v>58</v>
      </c>
    </row>
  </sheetData>
  <mergeCells count="4">
    <mergeCell ref="A1:D1"/>
    <mergeCell ref="A3:D3"/>
    <mergeCell ref="A9:D9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59</v>
      </c>
      <c r="B1" s="1"/>
      <c r="C1" s="1"/>
      <c r="D1" s="1"/>
      <c r="E1" s="1"/>
    </row>
    <row r="3" customFormat="false" ht="26.85" hidden="false" customHeight="false" outlineLevel="0" collapsed="false">
      <c r="A3" s="3" t="s">
        <v>60</v>
      </c>
      <c r="B3" s="3" t="s">
        <v>61</v>
      </c>
      <c r="C3" s="3" t="s">
        <v>62</v>
      </c>
      <c r="D3" s="3" t="s">
        <v>63</v>
      </c>
      <c r="E3" s="3" t="s">
        <v>64</v>
      </c>
    </row>
    <row r="4" customFormat="false" ht="15" hidden="false" customHeight="false" outlineLevel="0" collapsed="false">
      <c r="A4" s="30" t="s">
        <v>65</v>
      </c>
      <c r="B4" s="5" t="n">
        <v>83.333</v>
      </c>
      <c r="C4" s="5" t="n">
        <v>14807.808</v>
      </c>
      <c r="D4" s="7" t="n">
        <f aca="false">B4/C4</f>
        <v>0.00562763914821154</v>
      </c>
      <c r="E4" s="8" t="s">
        <v>66</v>
      </c>
    </row>
    <row r="5" customFormat="false" ht="15" hidden="false" customHeight="false" outlineLevel="0" collapsed="false">
      <c r="A5" s="30" t="s">
        <v>67</v>
      </c>
      <c r="B5" s="5" t="n">
        <v>191.667</v>
      </c>
      <c r="C5" s="5" t="n">
        <v>14807.808</v>
      </c>
      <c r="D5" s="7" t="n">
        <f aca="false">B5/C5</f>
        <v>0.0129436443260204</v>
      </c>
      <c r="E5" s="8" t="s">
        <v>68</v>
      </c>
    </row>
    <row r="6" customFormat="false" ht="15" hidden="false" customHeight="false" outlineLevel="0" collapsed="false">
      <c r="A6" s="30" t="s">
        <v>69</v>
      </c>
      <c r="B6" s="5" t="n">
        <v>83.333</v>
      </c>
      <c r="C6" s="5" t="n">
        <v>9008.704</v>
      </c>
      <c r="D6" s="7" t="n">
        <f aca="false">B6/C6</f>
        <v>0.00925027617735026</v>
      </c>
      <c r="E6" s="8" t="s">
        <v>70</v>
      </c>
    </row>
    <row r="7" customFormat="false" ht="15" hidden="false" customHeight="false" outlineLevel="0" collapsed="false">
      <c r="A7" s="30" t="s">
        <v>71</v>
      </c>
      <c r="B7" s="5" t="n">
        <v>191.667</v>
      </c>
      <c r="C7" s="5" t="n">
        <v>1230.316</v>
      </c>
      <c r="D7" s="7" t="n">
        <f aca="false">B7/C7</f>
        <v>0.155786805991306</v>
      </c>
      <c r="E7" s="8" t="s">
        <v>72</v>
      </c>
    </row>
    <row r="8" customFormat="false" ht="15" hidden="false" customHeight="false" outlineLevel="0" collapsed="false">
      <c r="A8" s="30" t="s">
        <v>73</v>
      </c>
      <c r="B8" s="5" t="n">
        <v>83.333</v>
      </c>
      <c r="C8" s="5" t="n">
        <v>1657.497</v>
      </c>
      <c r="D8" s="7" t="n">
        <f aca="false">B8/C8</f>
        <v>0.0502764107567012</v>
      </c>
      <c r="E8" s="8" t="s">
        <v>74</v>
      </c>
    </row>
    <row r="9" customFormat="false" ht="15" hidden="false" customHeight="false" outlineLevel="0" collapsed="false">
      <c r="A9" s="30" t="s">
        <v>75</v>
      </c>
      <c r="B9" s="5" t="n">
        <v>83.333</v>
      </c>
      <c r="C9" s="5" t="n">
        <v>1543.3</v>
      </c>
      <c r="D9" s="7" t="n">
        <f aca="false">B9/C9</f>
        <v>0.0539966305967732</v>
      </c>
      <c r="E9" s="8" t="s">
        <v>76</v>
      </c>
    </row>
    <row r="10" customFormat="false" ht="15" hidden="false" customHeight="false" outlineLevel="0" collapsed="false">
      <c r="A10" s="30" t="s">
        <v>77</v>
      </c>
      <c r="B10" s="5" t="n">
        <v>191.667</v>
      </c>
      <c r="C10" s="5" t="n">
        <v>752.317</v>
      </c>
      <c r="D10" s="7" t="n">
        <f aca="false">B10/C10</f>
        <v>0.254768933840389</v>
      </c>
      <c r="E10" s="8" t="s">
        <v>78</v>
      </c>
    </row>
    <row r="11" customFormat="false" ht="15" hidden="false" customHeight="false" outlineLevel="0" collapsed="false">
      <c r="A11" s="30" t="s">
        <v>79</v>
      </c>
      <c r="B11" s="5" t="n">
        <v>191.667</v>
      </c>
      <c r="C11" s="5" t="n">
        <v>701.161</v>
      </c>
      <c r="D11" s="7" t="n">
        <f aca="false">B11/C11</f>
        <v>0.273356618522707</v>
      </c>
      <c r="E11" s="8" t="s">
        <v>80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36" t="s">
        <v>81</v>
      </c>
    </row>
    <row r="3" customFormat="false" ht="15" hidden="false" customHeight="false" outlineLevel="0" collapsed="false">
      <c r="A3" s="37" t="s">
        <v>82</v>
      </c>
    </row>
    <row r="4" customFormat="false" ht="49.5" hidden="false" customHeight="true" outlineLevel="0" collapsed="false">
      <c r="A4" s="38" t="s">
        <v>83</v>
      </c>
    </row>
    <row r="5" customFormat="false" ht="15" hidden="false" customHeight="false" outlineLevel="0" collapsed="false">
      <c r="A5" s="37" t="s">
        <v>84</v>
      </c>
    </row>
    <row r="6" customFormat="false" ht="49.5" hidden="false" customHeight="true" outlineLevel="0" collapsed="false">
      <c r="A6" s="38" t="s">
        <v>85</v>
      </c>
    </row>
    <row r="7" customFormat="false" ht="15" hidden="false" customHeight="false" outlineLevel="0" collapsed="false">
      <c r="A7" s="37" t="s">
        <v>86</v>
      </c>
    </row>
    <row r="8" customFormat="false" ht="49.5" hidden="false" customHeight="true" outlineLevel="0" collapsed="false">
      <c r="A8" s="38" t="s">
        <v>87</v>
      </c>
    </row>
    <row r="9" customFormat="false" ht="15" hidden="false" customHeight="false" outlineLevel="0" collapsed="false">
      <c r="A9" s="37" t="s">
        <v>88</v>
      </c>
    </row>
    <row r="10" customFormat="false" ht="49.5" hidden="false" customHeight="true" outlineLevel="0" collapsed="false">
      <c r="A10" s="38" t="s">
        <v>89</v>
      </c>
    </row>
    <row r="11" customFormat="false" ht="15" hidden="false" customHeight="false" outlineLevel="0" collapsed="false">
      <c r="A11" s="37" t="s">
        <v>90</v>
      </c>
    </row>
    <row r="12" customFormat="false" ht="49.5" hidden="false" customHeight="true" outlineLevel="0" collapsed="false">
      <c r="A12" s="38" t="s">
        <v>91</v>
      </c>
    </row>
    <row r="13" customFormat="false" ht="15" hidden="false" customHeight="false" outlineLevel="0" collapsed="false">
      <c r="A13" s="37" t="s">
        <v>92</v>
      </c>
    </row>
    <row r="14" customFormat="false" ht="49.5" hidden="false" customHeight="true" outlineLevel="0" collapsed="false">
      <c r="A14" s="38" t="s">
        <v>93</v>
      </c>
    </row>
    <row r="15" customFormat="false" ht="15" hidden="false" customHeight="false" outlineLevel="0" collapsed="false">
      <c r="A15" s="37" t="s">
        <v>94</v>
      </c>
    </row>
    <row r="16" customFormat="false" ht="49.5" hidden="false" customHeight="true" outlineLevel="0" collapsed="false">
      <c r="A16" s="38" t="s">
        <v>95</v>
      </c>
    </row>
    <row r="17" customFormat="false" ht="15" hidden="false" customHeight="false" outlineLevel="0" collapsed="false">
      <c r="A17" s="37" t="s">
        <v>96</v>
      </c>
    </row>
    <row r="18" customFormat="false" ht="49.5" hidden="false" customHeight="true" outlineLevel="0" collapsed="false">
      <c r="A18" s="38" t="s">
        <v>97</v>
      </c>
    </row>
    <row r="19" customFormat="false" ht="15" hidden="false" customHeight="false" outlineLevel="0" collapsed="false">
      <c r="A19" s="37" t="s">
        <v>98</v>
      </c>
    </row>
    <row r="20" customFormat="false" ht="49.5" hidden="false" customHeight="true" outlineLevel="0" collapsed="false">
      <c r="A20" s="38" t="s">
        <v>99</v>
      </c>
    </row>
    <row r="21" customFormat="false" ht="15" hidden="false" customHeight="false" outlineLevel="0" collapsed="false">
      <c r="A21" s="37" t="s">
        <v>100</v>
      </c>
    </row>
    <row r="22" customFormat="false" ht="49.5" hidden="false" customHeight="true" outlineLevel="0" collapsed="false">
      <c r="A22" s="38" t="s">
        <v>101</v>
      </c>
    </row>
    <row r="25" customFormat="false" ht="15" hidden="false" customHeight="false" outlineLevel="0" collapsed="false">
      <c r="A25" s="39" t="s">
        <v>102</v>
      </c>
    </row>
    <row r="26" customFormat="false" ht="15" hidden="false" customHeight="false" outlineLevel="0" collapsed="false">
      <c r="A26" s="40" t="s">
        <v>103</v>
      </c>
    </row>
    <row r="27" customFormat="false" ht="15" hidden="false" customHeight="false" outlineLevel="0" collapsed="false">
      <c r="A27" s="40" t="s">
        <v>104</v>
      </c>
    </row>
    <row r="28" customFormat="false" ht="15" hidden="false" customHeight="false" outlineLevel="0" collapsed="false">
      <c r="A28" s="40" t="s">
        <v>105</v>
      </c>
    </row>
    <row r="29" customFormat="false" ht="15" hidden="false" customHeight="false" outlineLevel="0" collapsed="false">
      <c r="A29" s="40" t="s">
        <v>106</v>
      </c>
    </row>
    <row r="30" customFormat="false" ht="15" hidden="false" customHeight="false" outlineLevel="0" collapsed="false">
      <c r="A30" s="40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2026-05-08T17:12:43Z</dcterms:created>
  <dc:creator>openpyxl</dc:creator>
  <dc:description/>
  <dc:language>en-US</dc:language>
  <cp:lastModifiedBy/>
  <dcterms:modified xsi:type="dcterms:W3CDTF">2026-05-08T17:12:43Z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