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netization_Gap" sheetId="2" state="visible" r:id="rId4"/>
    <sheet name="Sponsor_Inventory" sheetId="3" state="visible" r:id="rId5"/>
    <sheet name="Whitespace_Map" sheetId="4" state="visible" r:id="rId6"/>
    <sheet name="Trajectory_Model" sheetId="5" state="visible" r:id="rId7"/>
    <sheet name="Liberty_Playbook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<sst xmlns="http://schemas.openxmlformats.org/spreadsheetml/2006/main" count="459" uniqueCount="386">
  <si>
    <t xml:space="preserve">Bernstein Research — MotoGP Whitespace Deep-Dive</t>
  </si>
  <si>
    <t xml:space="preserve">MotoGP captures ~76% of F1's fans but only ~10% of F1's series-level sponsorship — the gap is the opportunity</t>
  </si>
  <si>
    <t xml:space="preserve">MODEL CONTENTS</t>
  </si>
  <si>
    <t xml:space="preserve">1. Cover</t>
  </si>
  <si>
    <t xml:space="preserve">Executive thesis and key takeaways</t>
  </si>
  <si>
    <t xml:space="preserve">2. Monetization_Gap</t>
  </si>
  <si>
    <t xml:space="preserve">MotoGP vs. F1 sponsorship monetization on a per-fan basis (Exhibit 1)</t>
  </si>
  <si>
    <t xml:space="preserve">3. Sponsor_Inventory</t>
  </si>
  <si>
    <t xml:space="preserve">Current MotoGP series-level sponsor roster by tier</t>
  </si>
  <si>
    <t xml:space="preserve">4. Whitespace_Map</t>
  </si>
  <si>
    <t xml:space="preserve">Category-by-category F1 vs. MotoGP whitespace analysis (Exhibit 2)</t>
  </si>
  <si>
    <t xml:space="preserve">5. Trajectory_Model</t>
  </si>
  <si>
    <t xml:space="preserve">Base/bull case sponsorship forecast 2024-2032 (Exhibit 3)</t>
  </si>
  <si>
    <t xml:space="preserve">6. Liberty_Playbook</t>
  </si>
  <si>
    <t xml:space="preserve">F1 2017-2025 sponsorship growth path as analog</t>
  </si>
  <si>
    <t xml:space="preserve">7. Sources</t>
  </si>
  <si>
    <t xml:space="preserve">Source list and methodology notes</t>
  </si>
  <si>
    <t xml:space="preserve">EXECUTIVE THESIS</t>
  </si>
  <si>
    <t xml:space="preserve">  • Per-fan monetization gap is structural, not fundamental</t>
  </si>
  <si>
    <t xml:space="preserve">MotoGP captures ~$0.13 of series-level sponsorship per fan against F1's ~$1.02, an 8x gap that reflects historical commercial structure rather than any ceiling on demand</t>
  </si>
  <si>
    <t xml:space="preserve">  • Liberty playbook is being explicitly transplanted</t>
  </si>
  <si>
    <t xml:space="preserve">Carmelo Ezpeleta's Q1 commentary about 'scaling globally as we continue investing across all commercial functions' signals direct application of F1 commercial framework</t>
  </si>
  <si>
    <t xml:space="preserve">  • Whitespace map mirrors pre-Liberty F1 in 2017</t>
  </si>
  <si>
    <t xml:space="preserve">Almost every category saturated at F1 today (luxury, financial services, technology, betting, telecom) is open or under-monetized at MotoGP</t>
  </si>
  <si>
    <t xml:space="preserve">  • No marquee anchor deal yet — and that is the opportunity</t>
  </si>
  <si>
    <t xml:space="preserve">MotoGP lacks an LVMH/Aramco-equivalent pricing reference. A first marquee deal in 2027-2028 would establish premium positioning for the rest of the portfolio</t>
  </si>
  <si>
    <t xml:space="preserve">  • Demographic profile is sponsor-friendly</t>
  </si>
  <si>
    <t xml:space="preserve">60% under-35 audience, ~80% male skew on owned digital, prime betting and consumer-tech demo; 632M global fanbase up 12% YoY in 2025</t>
  </si>
  <si>
    <t xml:space="preserve">  • Base case = ~$250M sponsorship by 2032 (3x in 7 years)</t>
  </si>
  <si>
    <t xml:space="preserve">Below F1's 3.1x in 8 years; bull case approaches $400M with marquee anchor and accelerated category build</t>
  </si>
  <si>
    <t xml:space="preserve">  • This is a multi-year compounder, not a near-term catalyst</t>
  </si>
  <si>
    <t xml:space="preserve">MotoGP whitespace is a 5-7 year story; investors should size accordingly relative to F1's nearer-term Apple lag-compression thesis</t>
  </si>
  <si>
    <t xml:space="preserve">COLOR LEGEND</t>
  </si>
  <si>
    <t xml:space="preserve">Blue text</t>
  </si>
  <si>
    <t xml:space="preserve">Hardcoded inputs</t>
  </si>
  <si>
    <t xml:space="preserve">Black text</t>
  </si>
  <si>
    <t xml:space="preserve">Formulas</t>
  </si>
  <si>
    <t xml:space="preserve">Green fill</t>
  </si>
  <si>
    <t xml:space="preserve">MotoGP data</t>
  </si>
  <si>
    <t xml:space="preserve">Red fill</t>
  </si>
  <si>
    <t xml:space="preserve">F1 comparable data</t>
  </si>
  <si>
    <t xml:space="preserve">Orange fill</t>
  </si>
  <si>
    <t xml:space="preserve">Whitespace category</t>
  </si>
  <si>
    <t xml:space="preserve">EXHIBIT 1: MotoGP vs F1 Sponsorship Monetization Gap</t>
  </si>
  <si>
    <t xml:space="preserve">MotoGP captures ~$0.13 of series-level sponsorship per fan vs F1's ~$1.02 — an 8x gap we view as structural rather than fundamental</t>
  </si>
  <si>
    <t xml:space="preserve">Metric</t>
  </si>
  <si>
    <t xml:space="preserve">MotoGP (2025)</t>
  </si>
  <si>
    <t xml:space="preserve">F1 (2025)</t>
  </si>
  <si>
    <t xml:space="preserve">F1 / MotoGP Ratio</t>
  </si>
  <si>
    <t xml:space="preserve">Implied MotoGP Run-Rate at F1 Multiples</t>
  </si>
  <si>
    <t xml:space="preserve">Notes</t>
  </si>
  <si>
    <t xml:space="preserve">Total series revenue ($M)</t>
  </si>
  <si>
    <t xml:space="preserve">FWON FY2025 disclosures</t>
  </si>
  <si>
    <t xml:space="preserve">Series-level sponsorship revenue ($M)</t>
  </si>
  <si>
    <t xml:space="preserve">MotoGP per GlobalData; F1 = 21.7% × $3.87B</t>
  </si>
  <si>
    <t xml:space="preserve">Sponsorship as % of revenue</t>
  </si>
  <si>
    <t xml:space="preserve">Reported sponsorship line as % of total</t>
  </si>
  <si>
    <t xml:space="preserve">Global fanbase (M)</t>
  </si>
  <si>
    <t xml:space="preserve">MotoGP 2025 (+12% YoY); F1 per Standard Chartered partnership</t>
  </si>
  <si>
    <t xml:space="preserve">Sponsorship $ per fan</t>
  </si>
  <si>
    <t xml:space="preserve">Series-level only; team/race deals additional</t>
  </si>
  <si>
    <t xml:space="preserve">Race weekend attendance (M)</t>
  </si>
  <si>
    <t xml:space="preserve">MotoGP 2025 records; F1 2025 attendance</t>
  </si>
  <si>
    <t xml:space="preserve"># Tier 1 / Global Partners (count)</t>
  </si>
  <si>
    <t xml:space="preserve">MotoGP: Tissot, Michelin, DHL, BMW, Estrella, Qatar Airways, Pertamina, Monster Energy</t>
  </si>
  <si>
    <t xml:space="preserve">Largest single sponsor deal ($M/yr)</t>
  </si>
  <si>
    <t xml:space="preserve">MotoGP: Tissot estimated; F1: LVMH 10-yr deal</t>
  </si>
  <si>
    <t xml:space="preserve">IMPLIED MONETIZATION GAP — UPLIFT POTENTIAL</t>
  </si>
  <si>
    <t xml:space="preserve">Current MotoGP series-level sponsorship ($M)</t>
  </si>
  <si>
    <t xml:space="preserve">Per Q1 2026 trailing</t>
  </si>
  <si>
    <t xml:space="preserve">If MotoGP monetized at F1's per-fan rate ($M)</t>
  </si>
  <si>
    <t xml:space="preserve">Theoretical max — assumes equal monetization quality</t>
  </si>
  <si>
    <t xml:space="preserve">Theoretical full-monetization gap ($M)</t>
  </si>
  <si>
    <t xml:space="preserve">Pure mechanical gap; not all capturable due to demo/affluence differences</t>
  </si>
  <si>
    <t xml:space="preserve">Uplift multiple if fully monetized (x)</t>
  </si>
  <si>
    <t xml:space="preserve">Even capturing 30-40% of this gap = $200M+ of incremental sponsorship</t>
  </si>
  <si>
    <t xml:space="preserve">KEY ANALYTICAL TAKEAWAYS</t>
  </si>
  <si>
    <t xml:space="preserve">1. The 8x per-fan monetization gap cannot be fully closed — F1's audience skews more affluent and the demographic profile is more sponsor-diverse — but capturing even 30-40% would add ~$200M of annual sponsorship revenue.</t>
  </si>
  <si>
    <t xml:space="preserve">2. The 10x sponsorship gap on only a 6.8x revenue gap is the analytically interesting datapoint. Sponsorship is structurally underweight in MotoGP's revenue mix at 14.5% vs F1's 21.7%.</t>
  </si>
  <si>
    <t xml:space="preserve">3. Only 8 named Tier-1 series-level partners at MotoGP vs 12 at F1; the headcount gap is smaller than the value gap, implying significant per-deal pricing upside on existing relationships.</t>
  </si>
  <si>
    <t xml:space="preserve">4. Largest single MotoGP deal (~$12M Tissot) is one-twelfth the size of F1's largest (LVMH at $150M). No marquee anchor exists to establish premium pricing.</t>
  </si>
  <si>
    <t xml:space="preserve">5. Audience gap is only 1.3x — MotoGP scale is more comparable to F1 than the sponsorship line implies. The gap is in monetization architecture, not in audience reach.</t>
  </si>
  <si>
    <t xml:space="preserve">MotoGP Series-Level Sponsor Roster (2026)</t>
  </si>
  <si>
    <t xml:space="preserve">Note the heavy reliance on race-level title sponsors vs series-level Global Partners — similar to F1 pre-Liberty</t>
  </si>
  <si>
    <t xml:space="preserve">Sponsor</t>
  </si>
  <si>
    <t xml:space="preserve">Tier</t>
  </si>
  <si>
    <t xml:space="preserve">Category</t>
  </si>
  <si>
    <t xml:space="preserve">Type (B2B/B2C)</t>
  </si>
  <si>
    <t xml:space="preserve">Est. Annual Value ($M)</t>
  </si>
  <si>
    <t xml:space="preserve">Term Range</t>
  </si>
  <si>
    <t xml:space="preserve">Notes / Status</t>
  </si>
  <si>
    <t xml:space="preserve">F1 Equivalent</t>
  </si>
  <si>
    <t xml:space="preserve">TIER 1: GLOBAL / OFFICIAL PARTNERS (~8 active series-level)</t>
  </si>
  <si>
    <t xml:space="preserve">Tissot</t>
  </si>
  <si>
    <t xml:space="preserve">Global Partner</t>
  </si>
  <si>
    <t xml:space="preserve">Luxury / Watches</t>
  </si>
  <si>
    <t xml:space="preserve">B2C</t>
  </si>
  <si>
    <t xml:space="preserve">2001-2026 (renewing)</t>
  </si>
  <si>
    <t xml:space="preserve">Title sponsor of Sprint races; longest-running partner</t>
  </si>
  <si>
    <t xml:space="preserve">TAG Heuer / Rolex</t>
  </si>
  <si>
    <t xml:space="preserve">Michelin</t>
  </si>
  <si>
    <t xml:space="preserve">Tires (sole supplier)</t>
  </si>
  <si>
    <t xml:space="preserve">B2B</t>
  </si>
  <si>
    <t xml:space="preserve">2016-2026</t>
  </si>
  <si>
    <t xml:space="preserve">Sole tire supplier; quasi-sponsor</t>
  </si>
  <si>
    <t xml:space="preserve">Pirelli</t>
  </si>
  <si>
    <t xml:space="preserve">DHL</t>
  </si>
  <si>
    <t xml:space="preserve">Logistics</t>
  </si>
  <si>
    <t xml:space="preserve">2015-2028 (extended 2024)</t>
  </si>
  <si>
    <t xml:space="preserve">Multi-year extension signed 2024</t>
  </si>
  <si>
    <t xml:space="preserve">DHL (same brand at F1)</t>
  </si>
  <si>
    <t xml:space="preserve">BMW</t>
  </si>
  <si>
    <t xml:space="preserve">Official Partner</t>
  </si>
  <si>
    <t xml:space="preserve">Automotive (Safety Car)</t>
  </si>
  <si>
    <t xml:space="preserve">B2B/B2C</t>
  </si>
  <si>
    <t xml:space="preserve">1999-ongoing</t>
  </si>
  <si>
    <t xml:space="preserve">Official safety car since 1999</t>
  </si>
  <si>
    <t xml:space="preserve">(no F1 equivalent)</t>
  </si>
  <si>
    <t xml:space="preserve">Estrella Galicia 0,0</t>
  </si>
  <si>
    <t xml:space="preserve">Beverage / Beer</t>
  </si>
  <si>
    <t xml:space="preserve">2023-2028</t>
  </si>
  <si>
    <t xml:space="preserve">Replaced Singha; expanding role</t>
  </si>
  <si>
    <t xml:space="preserve">Heineken</t>
  </si>
  <si>
    <t xml:space="preserve">Qatar Airways</t>
  </si>
  <si>
    <t xml:space="preserve">Travel / Airline</t>
  </si>
  <si>
    <t xml:space="preserve">2024-2030</t>
  </si>
  <si>
    <t xml:space="preserve">Most recent top-tier add (May 2024)</t>
  </si>
  <si>
    <t xml:space="preserve">Qatar Airways (same brand at F1)</t>
  </si>
  <si>
    <t xml:space="preserve">Pertamina</t>
  </si>
  <si>
    <t xml:space="preserve">Energy / Oil</t>
  </si>
  <si>
    <t xml:space="preserve">2022-ongoing</t>
  </si>
  <si>
    <t xml:space="preserve">Indonesia-anchored; also Indonesian GP title</t>
  </si>
  <si>
    <t xml:space="preserve">Aramco</t>
  </si>
  <si>
    <t xml:space="preserve">Monster Energy</t>
  </si>
  <si>
    <t xml:space="preserve">Beverage / Energy</t>
  </si>
  <si>
    <t xml:space="preserve">Multi-year</t>
  </si>
  <si>
    <t xml:space="preserve">Title sponsor of British/Czech/Catalan GPs</t>
  </si>
  <si>
    <t xml:space="preserve">(F1 has no energy drink Global Partner)</t>
  </si>
  <si>
    <t xml:space="preserve">Tier 1 Subtotal</t>
  </si>
  <si>
    <t xml:space="preserve">MAJOR RACE-LEVEL TITLE SPONSORS (architecture issue: $$ at race-level vs series-level)</t>
  </si>
  <si>
    <t xml:space="preserve">Race title</t>
  </si>
  <si>
    <t xml:space="preserve">2022-2024 (renewed)</t>
  </si>
  <si>
    <t xml:space="preserve">Indonesian GP title</t>
  </si>
  <si>
    <t xml:space="preserve">(no equivalent at F1 Group level)</t>
  </si>
  <si>
    <t xml:space="preserve">Red Bull</t>
  </si>
  <si>
    <t xml:space="preserve">Spanish GP, GP of Americas titles</t>
  </si>
  <si>
    <t xml:space="preserve">CryptoDATA Tech</t>
  </si>
  <si>
    <t xml:space="preserve">Tech / Crypto</t>
  </si>
  <si>
    <t xml:space="preserve">2022-2024</t>
  </si>
  <si>
    <t xml:space="preserve">Austrian GP title</t>
  </si>
  <si>
    <t xml:space="preserve">Crypto.com Miami GP title</t>
  </si>
  <si>
    <t xml:space="preserve">Animoca Brands</t>
  </si>
  <si>
    <t xml:space="preserve">Tech / Web3</t>
  </si>
  <si>
    <t xml:space="preserve">2022-2023</t>
  </si>
  <si>
    <t xml:space="preserve">Aragon and Australian GP titles</t>
  </si>
  <si>
    <t xml:space="preserve">(no equivalent)</t>
  </si>
  <si>
    <t xml:space="preserve">2025-2030</t>
  </si>
  <si>
    <t xml:space="preserve">Brazil GP title (NEW 2025)</t>
  </si>
  <si>
    <t xml:space="preserve">Louis Vuitton (Australian GP)</t>
  </si>
  <si>
    <t xml:space="preserve">Race-level Subtotal</t>
  </si>
  <si>
    <t xml:space="preserve">TOTAL DISCLOSED SERIES + RACE-LEVEL VALUE</t>
  </si>
  <si>
    <t xml:space="preserve">Reconciles broadly to ~$83M GlobalData estimate of MotoGP series-level sponsorship + race deals</t>
  </si>
  <si>
    <t xml:space="preserve">EXHIBIT 2: Category Whitespace Map — F1 vs MotoGP</t>
  </si>
  <si>
    <t xml:space="preserve">Almost every category saturated at F1 today is open or under-monetized at MotoGP — mirrors pre-Liberty F1 in 2017</t>
  </si>
  <si>
    <t xml:space="preserve">F1 Status</t>
  </si>
  <si>
    <t xml:space="preserve">F1 Sponsors</t>
  </si>
  <si>
    <t xml:space="preserve">MotoGP Status</t>
  </si>
  <si>
    <t xml:space="preserve">MotoGP Sponsors</t>
  </si>
  <si>
    <t xml:space="preserve">MotoGP Whitespace ($M)</t>
  </si>
  <si>
    <t xml:space="preserve">Luxury (watches, fashion, spirits)</t>
  </si>
  <si>
    <t xml:space="preserve">SATURATED</t>
  </si>
  <si>
    <t xml:space="preserve">LVMH (LV/Moet/TAG), Rolex</t>
  </si>
  <si>
    <t xml:space="preserve">WHITESPACE</t>
  </si>
  <si>
    <t xml:space="preserve">Tissot only</t>
  </si>
  <si>
    <t xml:space="preserve">Financial Services (banking/payments)</t>
  </si>
  <si>
    <t xml:space="preserve">Salesforce, Amex, Santander, Std Chartered, Crypto.com, Allwyn, Marsh</t>
  </si>
  <si>
    <t xml:space="preserve">OPEN</t>
  </si>
  <si>
    <t xml:space="preserve">None at series level</t>
  </si>
  <si>
    <t xml:space="preserve">Technology (cloud/SaaS/AI)</t>
  </si>
  <si>
    <t xml:space="preserve">SATURATING</t>
  </si>
  <si>
    <t xml:space="preserve">AWS, Salesforce, Lenovo, Globant</t>
  </si>
  <si>
    <t xml:space="preserve">Betting / Gaming</t>
  </si>
  <si>
    <t xml:space="preserve">NEWLY OPENED</t>
  </si>
  <si>
    <t xml:space="preserve">FanDuel, Betway</t>
  </si>
  <si>
    <t xml:space="preserve">None</t>
  </si>
  <si>
    <t xml:space="preserve">Telecom (global)</t>
  </si>
  <si>
    <t xml:space="preserve">Travel / Airlines</t>
  </si>
  <si>
    <t xml:space="preserve">Qatar Airways, MSC Cruises</t>
  </si>
  <si>
    <t xml:space="preserve">PARTIAL</t>
  </si>
  <si>
    <t xml:space="preserve">Qatar Airways only</t>
  </si>
  <si>
    <t xml:space="preserve">Consumer Beverages &amp; Food</t>
  </si>
  <si>
    <t xml:space="preserve">MOSTLY FULL</t>
  </si>
  <si>
    <t xml:space="preserve">Heineken, PepsiCo, Barilla, Nestle</t>
  </si>
  <si>
    <t xml:space="preserve">Estrella, Monster, Red Bull (race-only)</t>
  </si>
  <si>
    <t xml:space="preserve">FULL</t>
  </si>
  <si>
    <t xml:space="preserve">Pertamina (Indonesia-anchored)</t>
  </si>
  <si>
    <t xml:space="preserve">Automotive / Auto Parts</t>
  </si>
  <si>
    <t xml:space="preserve">Liqui Moly only</t>
  </si>
  <si>
    <t xml:space="preserve">BMW (safety car only)</t>
  </si>
  <si>
    <t xml:space="preserve">Insurance</t>
  </si>
  <si>
    <t xml:space="preserve">Marsh (NEW Q1 2026)</t>
  </si>
  <si>
    <t xml:space="preserve">Hotels / Hospitality</t>
  </si>
  <si>
    <t xml:space="preserve">None (Quint operates programs)</t>
  </si>
  <si>
    <t xml:space="preserve">Beauty / Cosmetics</t>
  </si>
  <si>
    <t xml:space="preserve">None at F1 Group level</t>
  </si>
  <si>
    <t xml:space="preserve">TOTAL ESTIMATED MOTOGP WHITESPACE</t>
  </si>
  <si>
    <t xml:space="preserve">WHITESPACE TAKEAWAYS</t>
  </si>
  <si>
    <t xml:space="preserve">1. ~$160M of identified whitespace across 14 categories. The number is comparable to F1's identified whitespace ($120-220M) despite MotoGP being a much smaller sponsorship base — the asymmetry signals a more open opportunity set.</t>
  </si>
  <si>
    <t xml:space="preserve">2. LUXURY is the single biggest gap. No LVMH-equivalent multi-brand anchor; no fashion, spirits, or jewelry presence; only Tissot at the watch end. A marquee luxury deal would replicate F1's 2024-2025 pricing reset.</t>
  </si>
  <si>
    <t xml:space="preserve">3. FINANCIAL SERVICES is entirely absent at series level despite being F1's largest category by count (7 sponsors). No bank, payments, wealth manager, or insurance partner exists.</t>
  </si>
  <si>
    <t xml:space="preserve">4. BETTING is the most natural fit given MotoGP's ~80% male, 60% under-35 demographic — arguably the prime betting demo across global sports. Yet completely untapped.</t>
  </si>
  <si>
    <t xml:space="preserve">5. TECHNOLOGY whitespace is striking given MotoGP's data-rich product (Marelli electronic control units, Vislink RF systems already in place but not commercial sponsors). Cloud/AI/chip deals all open.</t>
  </si>
  <si>
    <t xml:space="preserve">6. The pattern resembles F1 in 2017 pre-Liberty: heavy reliance on logistics, tires, and beverage; absence of luxury, financial services, and tech. Liberty grew F1 sponsorship from ~$268M to ~$840M filling exactly these gaps.</t>
  </si>
  <si>
    <t xml:space="preserve">EXHIBIT 3: MotoGP Sponsorship Trajectory — Bear / Base / Bull 2024-2032</t>
  </si>
  <si>
    <t xml:space="preserve">Base case implies 3x sponsorship growth in 7 years vs F1's 3.1x in 8 years under Liberty — well within precedent</t>
  </si>
  <si>
    <t xml:space="preserve">Scenario</t>
  </si>
  <si>
    <t xml:space="preserve">2024-2032 CAGR</t>
  </si>
  <si>
    <t xml:space="preserve">Bear Case ($M)</t>
  </si>
  <si>
    <t xml:space="preserve">Base Case ($M)</t>
  </si>
  <si>
    <t xml:space="preserve">Bull Case ($M)</t>
  </si>
  <si>
    <t xml:space="preserve">F1 ANALOG: 2017-2025 ACTUAL UNDER LIBERTY</t>
  </si>
  <si>
    <t xml:space="preserve">F1 Year</t>
  </si>
  <si>
    <t xml:space="preserve">2017-2025 CAGR</t>
  </si>
  <si>
    <t xml:space="preserve">F1 Sponsorship ($M)</t>
  </si>
  <si>
    <t xml:space="preserve">SCENARIO ASSUMPTIONS</t>
  </si>
  <si>
    <t xml:space="preserve">Bear</t>
  </si>
  <si>
    <t xml:space="preserve">Modest category build, no marquee anchor, US monetization disappoints, ~11% CAGR — well below F1 Liberty playbook</t>
  </si>
  <si>
    <t xml:space="preserve">Base</t>
  </si>
  <si>
    <t xml:space="preserve">Marquee anchor deal in 2027-2028 (luxury or financial services Tier 1), steady category expansion, ~15% CAGR — modestly below F1's ~16% CAGR</t>
  </si>
  <si>
    <t xml:space="preserve">Bull</t>
  </si>
  <si>
    <t xml:space="preserve">Marquee anchor 2027 + accelerated category build (financial services + tech + betting all add Tier 1 partners), Apple-style US uplift, ~22% CAGR — exceeds F1 Liberty pace</t>
  </si>
  <si>
    <t xml:space="preserve">INCREMENTAL CUMULATIVE SPONSORSHIP VS 2024 BASELINE</t>
  </si>
  <si>
    <t xml:space="preserve">9-yr Cumul.</t>
  </si>
  <si>
    <t xml:space="preserve">Bear Incremental ($M)</t>
  </si>
  <si>
    <t xml:space="preserve">Base Incremental ($M)</t>
  </si>
  <si>
    <t xml:space="preserve">Bull Incremental ($M)</t>
  </si>
  <si>
    <t xml:space="preserve">CATALYST CALENDAR</t>
  </si>
  <si>
    <t xml:space="preserve">2025</t>
  </si>
  <si>
    <t xml:space="preserve">Liberty acquisition closes (Jul 2025); Quint hospitality partnership signed; Estrella Galicia Brazil GP title</t>
  </si>
  <si>
    <t xml:space="preserve">2026</t>
  </si>
  <si>
    <t xml:space="preserve">First full year under Liberty; Fox US broadcast launch; IRTA renewals; Adelaide announced for 2027</t>
  </si>
  <si>
    <t xml:space="preserve">2027</t>
  </si>
  <si>
    <t xml:space="preserve">Australian GP moves to Adelaide city center; Argentina returns; expected first marquee anchor deal window opens</t>
  </si>
  <si>
    <t xml:space="preserve">2028</t>
  </si>
  <si>
    <t xml:space="preserve">Second wave of category expansion; technology Tier 1 partner expected; financial services penetration begins</t>
  </si>
  <si>
    <t xml:space="preserve">2030</t>
  </si>
  <si>
    <t xml:space="preserve">Mature Liberty playbook execution; bull case requires marquee anchor + 4-5 additional Tier 1 partners by this point</t>
  </si>
  <si>
    <t xml:space="preserve">Liberty Playbook Analog: F1 2017-2025 Sponsorship Build</t>
  </si>
  <si>
    <t xml:space="preserve">What Liberty did at F1 from 2017-2025 — and why we expect the same playbook at MotoGP from 2025 onward</t>
  </si>
  <si>
    <t xml:space="preserve">Phase</t>
  </si>
  <si>
    <t xml:space="preserve">F1 (2017-2025)</t>
  </si>
  <si>
    <t xml:space="preserve">MotoGP (2025-2032E)</t>
  </si>
  <si>
    <t xml:space="preserve">Status</t>
  </si>
  <si>
    <t xml:space="preserve">Risk</t>
  </si>
  <si>
    <t xml:space="preserve">Phase 1: Foundation</t>
  </si>
  <si>
    <t xml:space="preserve">Brand modernization, Drive to Survive (2019), Heineken expansion, AWS Cloud Partner</t>
  </si>
  <si>
    <t xml:space="preserve">Liberty rebrand pending, Quint hospitality, Fox US broadcast launch, calendar expansion (Brazil, Adelaide)</t>
  </si>
  <si>
    <t xml:space="preserve">IN PROGRESS — Q1 2026</t>
  </si>
  <si>
    <t xml:space="preserve">Drive to Survive equivalent for MotoGP not yet emerged</t>
  </si>
  <si>
    <t xml:space="preserve">Phase 2: Marquee Anchor</t>
  </si>
  <si>
    <t xml:space="preserve">Aramco 2020 (10-yr, ~$45M/yr) — first major pricing benchmark</t>
  </si>
  <si>
    <t xml:space="preserve">Marquee deal expected 2027-2028 (luxury or financial services preferred)</t>
  </si>
  <si>
    <t xml:space="preserve">PENDING</t>
  </si>
  <si>
    <t xml:space="preserve">Without marquee anchor, no pricing reference for premium tier</t>
  </si>
  <si>
    <t xml:space="preserve">Phase 3: Category Expansion</t>
  </si>
  <si>
    <t xml:space="preserve">Salesforce, Crypto.com, MSC, Lenovo, Santander, Globant, Standard Chartered, Marsh, FanDuel, Betway</t>
  </si>
  <si>
    <t xml:space="preserve">Financial services, technology, betting all open for category expansion</t>
  </si>
  <si>
    <t xml:space="preserve">OPPORTUNITY</t>
  </si>
  <si>
    <t xml:space="preserve">F1 is now competing for many of the same global sponsorship dollars</t>
  </si>
  <si>
    <t xml:space="preserve">Phase 4: Pricing Reset</t>
  </si>
  <si>
    <t xml:space="preserve">LVMH 2025 (10-yr, ~$150M/yr) — 3x Aramco benchmark, established premium positioning</t>
  </si>
  <si>
    <t xml:space="preserve">If MotoGP can land a $40-60M Tier 1 deal by 2028, would be its own pricing reset moment</t>
  </si>
  <si>
    <t xml:space="preserve">FUTURE</t>
  </si>
  <si>
    <t xml:space="preserve">MotoGP demographic less luxury-aligned than F1; reset pricing may be lower multiple</t>
  </si>
  <si>
    <t xml:space="preserve">Phase 5: Renewal Cycle Pricing Power</t>
  </si>
  <si>
    <t xml:space="preserve">2025-2030 cycle defending position with early renewals (Domenicali Q1 commentary)</t>
  </si>
  <si>
    <t xml:space="preserve">MotoGP 2030+ when current Tier 1 partners come up for renewal at re-rated levels</t>
  </si>
  <si>
    <t xml:space="preserve">Multi-year compounder; not a near-term catalyst</t>
  </si>
  <si>
    <t xml:space="preserve">F1 SPONSORSHIP GROWTH UNDER LIBERTY: ~3.1x IN 8 YEARS</t>
  </si>
  <si>
    <t xml:space="preserve">2017 F1 Sponsorship ($M)</t>
  </si>
  <si>
    <t xml:space="preserve">2025 F1 Sponsorship ($M)</t>
  </si>
  <si>
    <t xml:space="preserve">F1 Multiple (x)</t>
  </si>
  <si>
    <t xml:space="preserve">F1 8-yr CAGR</t>
  </si>
  <si>
    <t xml:space="preserve">2025 MotoGP Sponsorship ($M)</t>
  </si>
  <si>
    <t xml:space="preserve">If MotoGP achieves F1's 3.1x multiple by 2032 ($M)</t>
  </si>
  <si>
    <t xml:space="preserve">vs Base Case 2032 ($M)</t>
  </si>
  <si>
    <t xml:space="preserve">Base case as % of F1 analog full multiple</t>
  </si>
  <si>
    <t xml:space="preserve">WHY MOTOGP COULD UNDER-SHOOT OR OVER-SHOOT THE F1 ANALOG</t>
  </si>
  <si>
    <t xml:space="preserve">UNDER-SHOOT FACTORS</t>
  </si>
  <si>
    <t xml:space="preserve">  • MotoGP demographic skews more male and less affluent than F1 — limits luxury/financial services pricing</t>
  </si>
  <si>
    <t xml:space="preserve">  • F1 is now competing for many of the same global sponsorship dollars MotoGP would target</t>
  </si>
  <si>
    <t xml:space="preserve">  • MotoGP US monetization is unproven; F1's 'Drive to Survive' moment may not have a clean MotoGP equivalent</t>
  </si>
  <si>
    <t xml:space="preserve">  • Smaller sponsorship base means each individual deal moves the needle less than at F1 scale</t>
  </si>
  <si>
    <t xml:space="preserve">OVER-SHOOT FACTORS</t>
  </si>
  <si>
    <t xml:space="preserve">  • MotoGP starts with more whitespace than F1 had in 2017 (luxury, financial services, betting all completely open)</t>
  </si>
  <si>
    <t xml:space="preserve">  • Liberty's playbook is now explicit and tested — execution risk lower than F1 in 2017</t>
  </si>
  <si>
    <t xml:space="preserve">  • Liberty captured F1 audience growth before commercial maturation; can capture MotoGP at similar phase but with proven framework</t>
  </si>
  <si>
    <t xml:space="preserve">  • MotoGP's 60% under-35 demo and digital engagement (61% YoY engagement growth) is sponsor-friendly</t>
  </si>
  <si>
    <t xml:space="preserve">  • Asia-Pacific concentration (Indonesia, India, Thailand) opens regional sponsor categories F1 couldn't access</t>
  </si>
  <si>
    <t xml:space="preserve">Sources &amp; Methodology Notes</t>
  </si>
  <si>
    <t xml:space="preserve">Data Point</t>
  </si>
  <si>
    <t xml:space="preserve">Value/Detail</t>
  </si>
  <si>
    <t xml:space="preserve">Source</t>
  </si>
  <si>
    <t xml:space="preserve">Date</t>
  </si>
  <si>
    <t xml:space="preserve">MotoGP 2025 total revenue</t>
  </si>
  <si>
    <t xml:space="preserve">$573M (+14% YoY pro forma)</t>
  </si>
  <si>
    <t xml:space="preserve">Liberty Media FY2025 earnings release</t>
  </si>
  <si>
    <t xml:space="preserve">Feb 2026</t>
  </si>
  <si>
    <t xml:space="preserve">MotoGP 2025 series-level sponsorship revenue</t>
  </si>
  <si>
    <t xml:space="preserve">~$83M annual sponsorship value</t>
  </si>
  <si>
    <t xml:space="preserve">GlobalData / ResearchAndMarkets MotoGP 2024 industry report</t>
  </si>
  <si>
    <t xml:space="preserve">Dec 2024</t>
  </si>
  <si>
    <t xml:space="preserve">MotoGP 2025 fan attendance</t>
  </si>
  <si>
    <t xml:space="preserve">3.66M (+21% YoY); record season</t>
  </si>
  <si>
    <t xml:space="preserve">Liberty Media FY2025 release; RevZilla</t>
  </si>
  <si>
    <t xml:space="preserve">MotoGP 2025 global fanbase</t>
  </si>
  <si>
    <t xml:space="preserve">632M (+12% YoY)</t>
  </si>
  <si>
    <t xml:space="preserve">Dorna disclosures via RevZilla</t>
  </si>
  <si>
    <t xml:space="preserve">Dec 2025</t>
  </si>
  <si>
    <t xml:space="preserve">MotoGP 2025 viewership</t>
  </si>
  <si>
    <t xml:space="preserve">Cumulative TV viewership +9% YoY</t>
  </si>
  <si>
    <t xml:space="preserve">Liberty Media FY2025 earnings</t>
  </si>
  <si>
    <t xml:space="preserve">MotoGP 2025 social engagement</t>
  </si>
  <si>
    <t xml:space="preserve">60M+ followers; engagement +61% YoY</t>
  </si>
  <si>
    <t xml:space="preserve">MotoGP demographic</t>
  </si>
  <si>
    <t xml:space="preserve">60% under-35, ~80% male on owned digital</t>
  </si>
  <si>
    <t xml:space="preserve">Nielsen Sport 2020; Similarweb motogp.com</t>
  </si>
  <si>
    <t xml:space="preserve">2020/2025</t>
  </si>
  <si>
    <t xml:space="preserve">MotoGP audience by region</t>
  </si>
  <si>
    <t xml:space="preserve">EU 45% / APAC 35% / NA 12% / LatAm 8%</t>
  </si>
  <si>
    <t xml:space="preserve">AMW Group MotoGP Business Model report</t>
  </si>
  <si>
    <t xml:space="preserve">Jan 2026</t>
  </si>
  <si>
    <t xml:space="preserve">Liberty Media MotoGP acquisition</t>
  </si>
  <si>
    <t xml:space="preserve">$4.2B EV; closed Jul 3, 2025; 84% stake</t>
  </si>
  <si>
    <t xml:space="preserve">Liberty Media filings; SEC 8-K</t>
  </si>
  <si>
    <t xml:space="preserve">Jul 2025</t>
  </si>
  <si>
    <t xml:space="preserve">Tissot MotoGP partnership</t>
  </si>
  <si>
    <t xml:space="preserve">Title sponsor of Sprint races; since 2001</t>
  </si>
  <si>
    <t xml:space="preserve">Sportcal; Dorna</t>
  </si>
  <si>
    <t xml:space="preserve">Mar 2023</t>
  </si>
  <si>
    <t xml:space="preserve">Estrella Galicia 0,0 deal</t>
  </si>
  <si>
    <t xml:space="preserve">Global beer partner; Brazil GP title 2025</t>
  </si>
  <si>
    <t xml:space="preserve">BlackBook Motorsport; F1/MotoGP releases</t>
  </si>
  <si>
    <t xml:space="preserve">Mar 2023 / 2025</t>
  </si>
  <si>
    <t xml:space="preserve">Qatar Airways MotoGP deal</t>
  </si>
  <si>
    <t xml:space="preserve">Official Airline Partner from 2024</t>
  </si>
  <si>
    <t xml:space="preserve">BlackBook Motorsport</t>
  </si>
  <si>
    <t xml:space="preserve">May 2024</t>
  </si>
  <si>
    <t xml:space="preserve">DHL MotoGP extension</t>
  </si>
  <si>
    <t xml:space="preserve">2024</t>
  </si>
  <si>
    <t xml:space="preserve">Carmelo Ezpeleta Q1 2026 commentary</t>
  </si>
  <si>
    <t xml:space="preserve">'Scaling globally as we continue investing across all commercial functions'; IRTA renewals; Quint hospitality</t>
  </si>
  <si>
    <t xml:space="preserve">FWON Q1 2026 earnings call</t>
  </si>
  <si>
    <t xml:space="preserve">May 7, 2026</t>
  </si>
  <si>
    <t xml:space="preserve">F1 2025 sponsorship revenue</t>
  </si>
  <si>
    <t xml:space="preserve">~$840M (21.7% × $3.87B)</t>
  </si>
  <si>
    <t xml:space="preserve">Liberty Media FY2025; Bernstein calculation</t>
  </si>
  <si>
    <t xml:space="preserve">F1 2017 sponsorship revenue</t>
  </si>
  <si>
    <t xml:space="preserve">~$268M baseline (Liberty acquisition year)</t>
  </si>
  <si>
    <t xml:space="preserve">Liberty Media historical filings; S&amp;P Global Market Intelligence</t>
  </si>
  <si>
    <t xml:space="preserve">2017-2025</t>
  </si>
  <si>
    <t xml:space="preserve">F1 fanbase 827M; F1 demo</t>
  </si>
  <si>
    <t xml:space="preserve">43% under 35; 42% female</t>
  </si>
  <si>
    <t xml:space="preserve">Standard Chartered partnership announcement</t>
  </si>
  <si>
    <t xml:space="preserve">Quint exclusive partnership</t>
  </si>
  <si>
    <t xml:space="preserve">Premium hospitality programs operator at MotoGP</t>
  </si>
  <si>
    <t xml:space="preserve">Liberty Media Q1 2026 earnings</t>
  </si>
  <si>
    <t xml:space="preserve">May 2026</t>
  </si>
  <si>
    <t xml:space="preserve">MotoGP US broadcast</t>
  </si>
  <si>
    <t xml:space="preserve">Fox Sports for 2026</t>
  </si>
  <si>
    <t xml:space="preserve">Sports Business Journal; Awful Announcing</t>
  </si>
  <si>
    <t xml:space="preserve">METHODOLOGY NOTES</t>
  </si>
  <si>
    <t xml:space="preserve">MotoGP sponsorship value caveat</t>
  </si>
  <si>
    <t xml:space="preserve">GlobalData estimates MotoGP series-level annual sponsorship at ~$83M and team-level at ~$278M for ~$361M combined commercial sponsorship. Our analysis focuses on the series-level pool because that is what Liberty controls and where the F1 playbook applies most directly. Team-level sponsorship monetization at MotoGP is a separate (and also under-monetized) opportunity.</t>
  </si>
  <si>
    <t xml:space="preserve">Sponsor deal value estimates</t>
  </si>
  <si>
    <t xml:space="preserve">Individual MotoGP sponsor deal values are estimates from public reporting and industry sources. Margin of error is +/- 30% on individual deals given limited public disclosure. The aggregate reconciles broadly to GlobalData's $83M series-level estimate.</t>
  </si>
  <si>
    <t xml:space="preserve">F1 historical sponsorship</t>
  </si>
  <si>
    <t xml:space="preserve">F1 sponsorship % of revenue is disclosed by Liberty starting from full-Liberty period. 2017 baseline is calculated from total F1 revenue (~$1.83B per Bocconi analysis) × estimated 14-15% sponsorship share, with the remainder of trajectory smoothed against disclosed years. Margin of error on early-period estimates.</t>
  </si>
  <si>
    <t xml:space="preserve">Per-fan monetization comparison</t>
  </si>
  <si>
    <t xml:space="preserve">MotoGP and F1 fanbase figures use respective company-disclosed numbers. Methodology may differ between the two organizations (MotoGP appears to use cumulative reach; F1 number is from Standard Chartered partnership materials). The 8x gap is robust to reasonable methodology variations because the size of the gap exceeds plausible measurement variance.</t>
  </si>
  <si>
    <t xml:space="preserve">Trajectory model assumptions</t>
  </si>
  <si>
    <t xml:space="preserve">Bear/Base/Bull scenarios are illustrative. Bear case assumes ~11% CAGR (well below F1 Liberty playbook of 16% to reflect MotoGP-specific headwinds). Base case ~15%. Bull case ~22% (above F1 to reflect lower starting base advantage). Compares against F1 analog of ~16% over 8 years 2017-2025.</t>
  </si>
  <si>
    <t xml:space="preserve">Whitespace estimates</t>
  </si>
  <si>
    <t xml:space="preserve">MotoGP whitespace dollar estimates assume conservative pricing relative to F1 comparables (typically 30-50% of equivalent F1 deal value), reflecting smaller series scale and demographic differences. Sized for indicative scale rather than precise forecasting.</t>
  </si>
  <si>
    <t xml:space="preserve">Comparison to F1 analog</t>
  </si>
  <si>
    <t xml:space="preserve">F1 went from ~$268M to ~$840M over 8 years (2017-2025) under Liberty, a 3.1x multiple at ~16% CAGR. MotoGP base case implies 3.0x over 7 years at ~15% CAGR, a deliberately conservative pace below F1's actual experience.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</si>
</sst>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\x"/>
    <numFmt numFmtId="167" formatCode="0.0%"/>
    <numFmt numFmtId="168" formatCode="#,##0"/>
    <numFmt numFmtId="169" formatCode="\$#,##0.00"/>
    <numFmt numFmtId="170" formatCode="#,##0.00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672A8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3A9CE"/>
      <rgbColor rgb="FF9D3E3B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9F9F9"/>
      <rgbColor rgb="FF99CCFF"/>
      <rgbColor rgb="FFD4A5A4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4672A8"/>
      <rgbColor rgb="FF969696"/>
      <rgbColor rgb="FF003366"/>
      <rgbColor rgb="FF339966"/>
      <rgbColor rgb="FF003300"/>
      <rgbColor rgb="FF333300"/>
      <rgbColor rgb="FF993300"/>
      <rgbColor rgb="FFBE4B48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MotoGP vs F1 Sponsorship $ Per Fan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Monetization_Gap!$B$4:$C$4</c:f>
              <c:strCache>
                <c:ptCount val="2"/>
                <c:pt idx="0">
                  <c:v>MotoGP (2025)</c:v>
                </c:pt>
                <c:pt idx="1">
                  <c:v>F1 (2025)</c:v>
                </c:pt>
              </c:strCache>
            </c:strRef>
          </c:cat>
          <c:val>
            <c:numRef>
              <c:f>Monetization_Gap!$B$9</c:f>
              <c:numCache>
                <c:formatCode>\$#,##0.00</c:formatCode>
                <c:ptCount val="1"/>
                <c:pt idx="0">
                  <c:v>0.131329113924051</c:v>
                </c:pt>
              </c:numCache>
            </c:numRef>
          </c:val>
        </c:ser>
        <c:ser>
          <c:idx val="1"/>
          <c:order val="1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Monetization_Gap!$B$4:$C$4</c:f>
              <c:strCache>
                <c:ptCount val="2"/>
                <c:pt idx="0">
                  <c:v>MotoGP (2025)</c:v>
                </c:pt>
                <c:pt idx="1">
                  <c:v>F1 (2025)</c:v>
                </c:pt>
              </c:strCache>
            </c:strRef>
          </c:cat>
          <c:val>
            <c:numRef>
              <c:f>Monetization_Gap!$C$9</c:f>
              <c:numCache>
                <c:formatCode>\$#,##0.00</c:formatCode>
                <c:ptCount val="1"/>
                <c:pt idx="0">
                  <c:v>1.01571946795647</c:v>
                </c:pt>
              </c:numCache>
            </c:numRef>
          </c:val>
        </c:ser>
        <c:gapWidth val="150"/>
        <c:overlap val="0"/>
        <c:axId val="54533214"/>
        <c:axId val="31588490"/>
      </c:barChart>
      <c:catAx>
        <c:axId val="54533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88490"/>
        <c:crosses val="autoZero"/>
        <c:auto val="1"/>
        <c:lblAlgn val="ctr"/>
        <c:lblOffset val="100"/>
        <c:noMultiLvlLbl val="0"/>
      </c:catAx>
      <c:valAx>
        <c:axId val="31588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Sponsorship $ per fan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32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MotoGP Sponsorship Trajectory: Bear / Base / Bull 2024-2032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Trajectory_Model!A5</c:f>
              <c:strCache>
                <c:ptCount val="1"/>
                <c:pt idx="0">
                  <c:v>Bear Case ($M)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Trajectory_Model!$B$4:$J$4</c:f>
              <c:strCache>
                <c:ptCount val="9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</c:strCache>
            </c:strRef>
          </c:cat>
          <c:val>
            <c:numRef>
              <c:f>Trajectory_Model!$B$5:$J$5</c:f>
              <c:numCache>
                <c:formatCode>\$#,##0</c:formatCode>
                <c:ptCount val="9"/>
                <c:pt idx="0">
                  <c:v>83</c:v>
                </c:pt>
                <c:pt idx="1">
                  <c:v>88</c:v>
                </c:pt>
                <c:pt idx="2">
                  <c:v>95</c:v>
                </c:pt>
                <c:pt idx="3">
                  <c:v>105</c:v>
                </c:pt>
                <c:pt idx="4">
                  <c:v>120</c:v>
                </c:pt>
                <c:pt idx="5">
                  <c:v>138</c:v>
                </c:pt>
                <c:pt idx="6">
                  <c:v>155</c:v>
                </c:pt>
                <c:pt idx="7">
                  <c:v>175</c:v>
                </c:pt>
                <c:pt idx="8">
                  <c:v>195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Trajectory_Model!A6</c:f>
              <c:strCache>
                <c:ptCount val="1"/>
                <c:pt idx="0">
                  <c:v>Base Case ($M)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Trajectory_Model!$B$4:$J$4</c:f>
              <c:strCache>
                <c:ptCount val="9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</c:strCache>
            </c:strRef>
          </c:cat>
          <c:val>
            <c:numRef>
              <c:f>Trajectory_Model!$B$6:$J$6</c:f>
              <c:numCache>
                <c:formatCode>\$#,##0</c:formatCode>
                <c:ptCount val="9"/>
                <c:pt idx="0">
                  <c:v>83</c:v>
                </c:pt>
                <c:pt idx="1">
                  <c:v>90</c:v>
                </c:pt>
                <c:pt idx="2">
                  <c:v>100</c:v>
                </c:pt>
                <c:pt idx="3">
                  <c:v>120</c:v>
                </c:pt>
                <c:pt idx="4">
                  <c:v>145</c:v>
                </c:pt>
                <c:pt idx="5">
                  <c:v>175</c:v>
                </c:pt>
                <c:pt idx="6">
                  <c:v>205</c:v>
                </c:pt>
                <c:pt idx="7">
                  <c:v>230</c:v>
                </c:pt>
                <c:pt idx="8">
                  <c:v>250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Trajectory_Model!A7</c:f>
              <c:strCache>
                <c:ptCount val="1"/>
                <c:pt idx="0">
                  <c:v>Bull Case ($M)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Trajectory_Model!$B$4:$J$4</c:f>
              <c:strCache>
                <c:ptCount val="9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</c:strCache>
            </c:strRef>
          </c:cat>
          <c:val>
            <c:numRef>
              <c:f>Trajectory_Model!$B$7:$J$7</c:f>
              <c:numCache>
                <c:formatCode>\$#,##0</c:formatCode>
                <c:ptCount val="9"/>
                <c:pt idx="0">
                  <c:v>83</c:v>
                </c:pt>
                <c:pt idx="1">
                  <c:v>92</c:v>
                </c:pt>
                <c:pt idx="2">
                  <c:v>110</c:v>
                </c:pt>
                <c:pt idx="3">
                  <c:v>140</c:v>
                </c:pt>
                <c:pt idx="4">
                  <c:v>180</c:v>
                </c:pt>
                <c:pt idx="5">
                  <c:v>230</c:v>
                </c:pt>
                <c:pt idx="6">
                  <c:v>290</c:v>
                </c:pt>
                <c:pt idx="7">
                  <c:v>345</c:v>
                </c:pt>
                <c:pt idx="8">
                  <c:v>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723646"/>
        <c:axId val="46705288"/>
      </c:lineChart>
      <c:catAx>
        <c:axId val="547236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5288"/>
        <c:crosses val="autoZero"/>
        <c:auto val="1"/>
        <c:lblAlgn val="ctr"/>
        <c:lblOffset val="100"/>
        <c:noMultiLvlLbl val="0"/>
      </c:catAx>
      <c:valAx>
        <c:axId val="46705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Sponsorship 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23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159840</xdr:rowOff>
    </xdr:from>
    <xdr:to>
      <xdr:col>3</xdr:col>
      <xdr:colOff>246600</xdr:colOff>
      <xdr:row>34</xdr:row>
      <xdr:rowOff>160920</xdr:rowOff>
    </xdr:to>
    <xdr:graphicFrame>
      <xdr:nvGraphicFramePr>
        <xdr:cNvPr id="0" name="Chart 1"/>
        <xdr:cNvGraphicFramePr/>
      </xdr:nvGraphicFramePr>
      <xdr:xfrm>
        <a:off x="0" y="4181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79920</xdr:rowOff>
    </xdr:from>
    <xdr:to>
      <xdr:col>9</xdr:col>
      <xdr:colOff>166320</xdr:colOff>
      <xdr:row>44</xdr:row>
      <xdr:rowOff>39240</xdr:rowOff>
    </xdr:to>
    <xdr:graphicFrame>
      <xdr:nvGraphicFramePr>
        <xdr:cNvPr id="1" name="Chart 1"/>
        <xdr:cNvGraphicFramePr/>
      </xdr:nvGraphicFramePr>
      <xdr:xfrm>
        <a:off x="0" y="55530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4" customFormat="false" ht="15" hidden="false" customHeight="false" outlineLevel="0" collapsed="false">
      <c r="A14" s="3" t="s">
        <v>17</v>
      </c>
      <c r="B14" s="3"/>
      <c r="C14" s="3"/>
      <c r="D14" s="3"/>
      <c r="E14" s="3"/>
      <c r="F14" s="3"/>
      <c r="G14" s="3"/>
    </row>
    <row r="15" customFormat="false" ht="31.5" hidden="false" customHeight="true" outlineLevel="0" collapsed="false">
      <c r="A15" s="6" t="s">
        <v>18</v>
      </c>
      <c r="B15" s="7" t="s">
        <v>19</v>
      </c>
      <c r="C15" s="7"/>
      <c r="D15" s="7"/>
      <c r="E15" s="7"/>
      <c r="F15" s="7"/>
      <c r="G15" s="7"/>
    </row>
    <row r="16" customFormat="false" ht="31.5" hidden="false" customHeight="true" outlineLevel="0" collapsed="false">
      <c r="A16" s="6" t="s">
        <v>20</v>
      </c>
      <c r="B16" s="7" t="s">
        <v>21</v>
      </c>
      <c r="C16" s="7"/>
      <c r="D16" s="7"/>
      <c r="E16" s="7"/>
      <c r="F16" s="7"/>
      <c r="G16" s="7"/>
    </row>
    <row r="17" customFormat="false" ht="31.5" hidden="false" customHeight="true" outlineLevel="0" collapsed="false">
      <c r="A17" s="6" t="s">
        <v>22</v>
      </c>
      <c r="B17" s="7" t="s">
        <v>23</v>
      </c>
      <c r="C17" s="7"/>
      <c r="D17" s="7"/>
      <c r="E17" s="7"/>
      <c r="F17" s="7"/>
      <c r="G17" s="7"/>
    </row>
    <row r="18" customFormat="false" ht="31.5" hidden="false" customHeight="true" outlineLevel="0" collapsed="false">
      <c r="A18" s="6" t="s">
        <v>24</v>
      </c>
      <c r="B18" s="7" t="s">
        <v>25</v>
      </c>
      <c r="C18" s="7"/>
      <c r="D18" s="7"/>
      <c r="E18" s="7"/>
      <c r="F18" s="7"/>
      <c r="G18" s="7"/>
    </row>
    <row r="19" customFormat="false" ht="31.5" hidden="false" customHeight="true" outlineLevel="0" collapsed="false">
      <c r="A19" s="6" t="s">
        <v>26</v>
      </c>
      <c r="B19" s="7" t="s">
        <v>27</v>
      </c>
      <c r="C19" s="7"/>
      <c r="D19" s="7"/>
      <c r="E19" s="7"/>
      <c r="F19" s="7"/>
      <c r="G19" s="7"/>
    </row>
    <row r="20" customFormat="false" ht="31.5" hidden="false" customHeight="true" outlineLevel="0" collapsed="false">
      <c r="A20" s="6" t="s">
        <v>28</v>
      </c>
      <c r="B20" s="7" t="s">
        <v>29</v>
      </c>
      <c r="C20" s="7"/>
      <c r="D20" s="7"/>
      <c r="E20" s="7"/>
      <c r="F20" s="7"/>
      <c r="G20" s="7"/>
    </row>
    <row r="21" customFormat="false" ht="31.5" hidden="false" customHeight="true" outlineLevel="0" collapsed="false">
      <c r="A21" s="6" t="s">
        <v>30</v>
      </c>
      <c r="B21" s="7" t="s">
        <v>31</v>
      </c>
      <c r="C21" s="7"/>
      <c r="D21" s="7"/>
      <c r="E21" s="7"/>
      <c r="F21" s="7"/>
      <c r="G21" s="7"/>
    </row>
    <row r="23" customFormat="false" ht="15" hidden="false" customHeight="false" outlineLevel="0" collapsed="false">
      <c r="A23" s="8" t="s">
        <v>32</v>
      </c>
      <c r="B23" s="8"/>
    </row>
    <row r="24" customFormat="false" ht="15" hidden="false" customHeight="false" outlineLevel="0" collapsed="false">
      <c r="A24" s="9" t="s">
        <v>33</v>
      </c>
      <c r="B24" s="10" t="s">
        <v>34</v>
      </c>
    </row>
    <row r="25" customFormat="false" ht="15" hidden="false" customHeight="false" outlineLevel="0" collapsed="false">
      <c r="A25" s="11" t="s">
        <v>35</v>
      </c>
      <c r="B25" s="10" t="s">
        <v>36</v>
      </c>
    </row>
    <row r="26" customFormat="false" ht="15" hidden="false" customHeight="false" outlineLevel="0" collapsed="false">
      <c r="A26" s="12" t="s">
        <v>37</v>
      </c>
      <c r="B26" s="10" t="s">
        <v>38</v>
      </c>
    </row>
    <row r="27" customFormat="false" ht="15" hidden="false" customHeight="false" outlineLevel="0" collapsed="false">
      <c r="A27" s="13" t="s">
        <v>39</v>
      </c>
      <c r="B27" s="10" t="s">
        <v>40</v>
      </c>
    </row>
    <row r="28" customFormat="false" ht="15" hidden="false" customHeight="false" outlineLevel="0" collapsed="false">
      <c r="A28" s="14" t="s">
        <v>41</v>
      </c>
      <c r="B28" s="10" t="s">
        <v>42</v>
      </c>
    </row>
  </sheetData>
  <mergeCells count="12">
    <mergeCell ref="A1:G1"/>
    <mergeCell ref="A2:G2"/>
    <mergeCell ref="A4:B4"/>
    <mergeCell ref="A14:G14"/>
    <mergeCell ref="B15:G15"/>
    <mergeCell ref="B16:G16"/>
    <mergeCell ref="B17:G17"/>
    <mergeCell ref="B18:G18"/>
    <mergeCell ref="B19:G19"/>
    <mergeCell ref="B20:G20"/>
    <mergeCell ref="B21:G21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15" t="s">
        <v>43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44</v>
      </c>
      <c r="B2" s="16"/>
      <c r="C2" s="16"/>
      <c r="D2" s="16"/>
      <c r="E2" s="16"/>
      <c r="F2" s="16"/>
    </row>
    <row r="4" customFormat="false" ht="31.5" hidden="false" customHeight="true" outlineLevel="0" collapsed="false">
      <c r="A4" s="17" t="s">
        <v>45</v>
      </c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</row>
    <row r="5" customFormat="false" ht="15" hidden="false" customHeight="false" outlineLevel="0" collapsed="false">
      <c r="A5" s="18" t="s">
        <v>51</v>
      </c>
      <c r="B5" s="19" t="n">
        <v>573</v>
      </c>
      <c r="C5" s="20" t="n">
        <v>3870</v>
      </c>
      <c r="D5" s="21" t="n">
        <f aca="false">C5/B5</f>
        <v>6.75392670157068</v>
      </c>
      <c r="E5" s="22"/>
      <c r="F5" s="23" t="s">
        <v>52</v>
      </c>
    </row>
    <row r="6" customFormat="false" ht="15" hidden="false" customHeight="false" outlineLevel="0" collapsed="false">
      <c r="A6" s="18" t="s">
        <v>53</v>
      </c>
      <c r="B6" s="19" t="n">
        <v>83</v>
      </c>
      <c r="C6" s="20" t="n">
        <v>840</v>
      </c>
      <c r="D6" s="21" t="n">
        <f aca="false">C6/B6</f>
        <v>10.1204819277108</v>
      </c>
      <c r="E6" s="24" t="n">
        <f aca="false">B8*C9</f>
        <v>641.934703748489</v>
      </c>
      <c r="F6" s="23" t="s">
        <v>54</v>
      </c>
    </row>
    <row r="7" customFormat="false" ht="15" hidden="false" customHeight="false" outlineLevel="0" collapsed="false">
      <c r="A7" s="18" t="s">
        <v>55</v>
      </c>
      <c r="B7" s="25" t="n">
        <f aca="false">B6/B5</f>
        <v>0.144851657940663</v>
      </c>
      <c r="C7" s="26" t="n">
        <f aca="false">C6/C5</f>
        <v>0.217054263565891</v>
      </c>
      <c r="D7" s="21" t="n">
        <f aca="false">C7/B7</f>
        <v>1.49845895208742</v>
      </c>
      <c r="E7" s="22"/>
      <c r="F7" s="23" t="s">
        <v>56</v>
      </c>
    </row>
    <row r="8" customFormat="false" ht="22.35" hidden="false" customHeight="false" outlineLevel="0" collapsed="false">
      <c r="A8" s="18" t="s">
        <v>57</v>
      </c>
      <c r="B8" s="27" t="n">
        <v>632</v>
      </c>
      <c r="C8" s="28" t="n">
        <v>827</v>
      </c>
      <c r="D8" s="21" t="n">
        <f aca="false">C8/B8</f>
        <v>1.30854430379747</v>
      </c>
      <c r="E8" s="22"/>
      <c r="F8" s="23" t="s">
        <v>58</v>
      </c>
    </row>
    <row r="9" customFormat="false" ht="15" hidden="false" customHeight="false" outlineLevel="0" collapsed="false">
      <c r="A9" s="18" t="s">
        <v>59</v>
      </c>
      <c r="B9" s="29" t="n">
        <f aca="false">B6/B8</f>
        <v>0.131329113924051</v>
      </c>
      <c r="C9" s="30" t="n">
        <f aca="false">C6/C8</f>
        <v>1.01571946795647</v>
      </c>
      <c r="D9" s="21" t="n">
        <f aca="false">C9/B9</f>
        <v>7.73415305721071</v>
      </c>
      <c r="E9" s="31" t="n">
        <f aca="false">C9</f>
        <v>1.01571946795647</v>
      </c>
      <c r="F9" s="23" t="s">
        <v>60</v>
      </c>
    </row>
    <row r="10" customFormat="false" ht="15" hidden="false" customHeight="false" outlineLevel="0" collapsed="false">
      <c r="A10" s="18" t="s">
        <v>61</v>
      </c>
      <c r="B10" s="32" t="n">
        <v>3.66</v>
      </c>
      <c r="C10" s="33" t="n">
        <v>6.75</v>
      </c>
      <c r="D10" s="21" t="n">
        <f aca="false">C10/B10</f>
        <v>1.84426229508197</v>
      </c>
      <c r="E10" s="22"/>
      <c r="F10" s="23" t="s">
        <v>62</v>
      </c>
    </row>
    <row r="11" customFormat="false" ht="22.35" hidden="false" customHeight="false" outlineLevel="0" collapsed="false">
      <c r="A11" s="18" t="s">
        <v>63</v>
      </c>
      <c r="B11" s="34" t="n">
        <v>8</v>
      </c>
      <c r="C11" s="35" t="n">
        <v>12</v>
      </c>
      <c r="D11" s="21" t="n">
        <f aca="false">C11/B11</f>
        <v>1.5</v>
      </c>
      <c r="E11" s="22"/>
      <c r="F11" s="23" t="s">
        <v>64</v>
      </c>
    </row>
    <row r="12" customFormat="false" ht="15" hidden="false" customHeight="false" outlineLevel="0" collapsed="false">
      <c r="A12" s="18" t="s">
        <v>65</v>
      </c>
      <c r="B12" s="19" t="n">
        <v>12</v>
      </c>
      <c r="C12" s="20" t="n">
        <v>150</v>
      </c>
      <c r="D12" s="21" t="n">
        <f aca="false">C12/B12</f>
        <v>12.5</v>
      </c>
      <c r="E12" s="22"/>
      <c r="F12" s="23" t="s">
        <v>66</v>
      </c>
    </row>
    <row r="14" customFormat="false" ht="15" hidden="false" customHeight="false" outlineLevel="0" collapsed="false">
      <c r="A14" s="3" t="s">
        <v>67</v>
      </c>
      <c r="B14" s="3"/>
      <c r="C14" s="3"/>
      <c r="D14" s="3"/>
      <c r="E14" s="3"/>
      <c r="F14" s="3"/>
    </row>
    <row r="15" customFormat="false" ht="23.85" hidden="false" customHeight="false" outlineLevel="0" collapsed="false">
      <c r="A15" s="18" t="s">
        <v>68</v>
      </c>
      <c r="B15" s="36" t="n">
        <f aca="false">B6</f>
        <v>83</v>
      </c>
      <c r="C15" s="37" t="s">
        <v>69</v>
      </c>
      <c r="D15" s="37"/>
      <c r="E15" s="37"/>
      <c r="F15" s="37"/>
    </row>
    <row r="16" customFormat="false" ht="23.85" hidden="false" customHeight="false" outlineLevel="0" collapsed="false">
      <c r="A16" s="18" t="s">
        <v>70</v>
      </c>
      <c r="B16" s="38" t="n">
        <f aca="false">B8*C9</f>
        <v>641.934703748489</v>
      </c>
      <c r="C16" s="37" t="s">
        <v>71</v>
      </c>
      <c r="D16" s="37"/>
      <c r="E16" s="37"/>
      <c r="F16" s="37"/>
    </row>
    <row r="17" customFormat="false" ht="15" hidden="false" customHeight="false" outlineLevel="0" collapsed="false">
      <c r="A17" s="18" t="s">
        <v>72</v>
      </c>
      <c r="B17" s="39" t="n">
        <f aca="false">B16-B15</f>
        <v>558.934703748489</v>
      </c>
      <c r="C17" s="37" t="s">
        <v>73</v>
      </c>
      <c r="D17" s="37"/>
      <c r="E17" s="37"/>
      <c r="F17" s="37"/>
    </row>
    <row r="18" customFormat="false" ht="15" hidden="false" customHeight="false" outlineLevel="0" collapsed="false">
      <c r="A18" s="18" t="s">
        <v>74</v>
      </c>
      <c r="B18" s="40" t="n">
        <f aca="false">B16/B15</f>
        <v>7.73415305721071</v>
      </c>
      <c r="C18" s="37" t="s">
        <v>75</v>
      </c>
      <c r="D18" s="37"/>
      <c r="E18" s="37"/>
      <c r="F18" s="37"/>
    </row>
    <row r="38" customFormat="false" ht="15" hidden="false" customHeight="false" outlineLevel="0" collapsed="false">
      <c r="A38" s="3" t="s">
        <v>76</v>
      </c>
      <c r="B38" s="3"/>
      <c r="C38" s="3"/>
      <c r="D38" s="3"/>
      <c r="E38" s="3"/>
      <c r="F38" s="3"/>
    </row>
    <row r="39" customFormat="false" ht="31.5" hidden="false" customHeight="true" outlineLevel="0" collapsed="false">
      <c r="A39" s="7" t="s">
        <v>77</v>
      </c>
      <c r="B39" s="7"/>
      <c r="C39" s="7"/>
      <c r="D39" s="7"/>
      <c r="E39" s="7"/>
      <c r="F39" s="7"/>
    </row>
    <row r="40" customFormat="false" ht="31.5" hidden="false" customHeight="true" outlineLevel="0" collapsed="false">
      <c r="A40" s="7" t="s">
        <v>78</v>
      </c>
      <c r="B40" s="7"/>
      <c r="C40" s="7"/>
      <c r="D40" s="7"/>
      <c r="E40" s="7"/>
      <c r="F40" s="7"/>
    </row>
    <row r="41" customFormat="false" ht="31.5" hidden="false" customHeight="true" outlineLevel="0" collapsed="false">
      <c r="A41" s="7" t="s">
        <v>79</v>
      </c>
      <c r="B41" s="7"/>
      <c r="C41" s="7"/>
      <c r="D41" s="7"/>
      <c r="E41" s="7"/>
      <c r="F41" s="7"/>
    </row>
    <row r="42" customFormat="false" ht="31.5" hidden="false" customHeight="true" outlineLevel="0" collapsed="false">
      <c r="A42" s="7" t="s">
        <v>80</v>
      </c>
      <c r="B42" s="7"/>
      <c r="C42" s="7"/>
      <c r="D42" s="7"/>
      <c r="E42" s="7"/>
      <c r="F42" s="7"/>
    </row>
    <row r="43" customFormat="false" ht="31.5" hidden="false" customHeight="true" outlineLevel="0" collapsed="false">
      <c r="A43" s="7" t="s">
        <v>81</v>
      </c>
      <c r="B43" s="7"/>
      <c r="C43" s="7"/>
      <c r="D43" s="7"/>
      <c r="E43" s="7"/>
      <c r="F43" s="7"/>
    </row>
  </sheetData>
  <mergeCells count="13">
    <mergeCell ref="A1:F1"/>
    <mergeCell ref="A2:F2"/>
    <mergeCell ref="A14:F14"/>
    <mergeCell ref="C15:F15"/>
    <mergeCell ref="C16:F16"/>
    <mergeCell ref="C17:F17"/>
    <mergeCell ref="C18:F18"/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24"/>
  </cols>
  <sheetData>
    <row r="1" customFormat="false" ht="27.75" hidden="false" customHeight="true" outlineLevel="0" collapsed="false">
      <c r="A1" s="15" t="s">
        <v>82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83</v>
      </c>
      <c r="B2" s="16"/>
      <c r="C2" s="16"/>
      <c r="D2" s="16"/>
      <c r="E2" s="16"/>
      <c r="F2" s="16"/>
      <c r="G2" s="16"/>
      <c r="H2" s="16"/>
    </row>
    <row r="4" customFormat="false" ht="31.5" hidden="false" customHeight="true" outlineLevel="0" collapsed="false">
      <c r="A4" s="17" t="s">
        <v>84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</row>
    <row r="5" customFormat="false" ht="15" hidden="false" customHeight="false" outlineLevel="0" collapsed="false">
      <c r="A5" s="3" t="s">
        <v>92</v>
      </c>
      <c r="B5" s="3"/>
      <c r="C5" s="3"/>
      <c r="D5" s="3"/>
      <c r="E5" s="3"/>
      <c r="F5" s="3"/>
      <c r="G5" s="3"/>
      <c r="H5" s="3"/>
    </row>
    <row r="6" customFormat="false" ht="22.35" hidden="false" customHeight="false" outlineLevel="0" collapsed="false">
      <c r="A6" s="41" t="s">
        <v>93</v>
      </c>
      <c r="B6" s="42" t="s">
        <v>94</v>
      </c>
      <c r="C6" s="43" t="s">
        <v>95</v>
      </c>
      <c r="D6" s="42" t="s">
        <v>96</v>
      </c>
      <c r="E6" s="44" t="n">
        <v>12</v>
      </c>
      <c r="F6" s="42" t="s">
        <v>97</v>
      </c>
      <c r="G6" s="45" t="s">
        <v>98</v>
      </c>
      <c r="H6" s="46" t="s">
        <v>99</v>
      </c>
    </row>
    <row r="7" customFormat="false" ht="15" hidden="false" customHeight="false" outlineLevel="0" collapsed="false">
      <c r="A7" s="41" t="s">
        <v>100</v>
      </c>
      <c r="B7" s="42" t="s">
        <v>94</v>
      </c>
      <c r="C7" s="43" t="s">
        <v>101</v>
      </c>
      <c r="D7" s="42" t="s">
        <v>102</v>
      </c>
      <c r="E7" s="44" t="n">
        <v>15</v>
      </c>
      <c r="F7" s="42" t="s">
        <v>103</v>
      </c>
      <c r="G7" s="45" t="s">
        <v>104</v>
      </c>
      <c r="H7" s="46" t="s">
        <v>105</v>
      </c>
    </row>
    <row r="8" customFormat="false" ht="15" hidden="false" customHeight="false" outlineLevel="0" collapsed="false">
      <c r="A8" s="41" t="s">
        <v>106</v>
      </c>
      <c r="B8" s="42" t="s">
        <v>94</v>
      </c>
      <c r="C8" s="43" t="s">
        <v>107</v>
      </c>
      <c r="D8" s="42" t="s">
        <v>102</v>
      </c>
      <c r="E8" s="44" t="n">
        <v>12</v>
      </c>
      <c r="F8" s="42" t="s">
        <v>108</v>
      </c>
      <c r="G8" s="45" t="s">
        <v>109</v>
      </c>
      <c r="H8" s="46" t="s">
        <v>110</v>
      </c>
    </row>
    <row r="9" customFormat="false" ht="15" hidden="false" customHeight="false" outlineLevel="0" collapsed="false">
      <c r="A9" s="41" t="s">
        <v>111</v>
      </c>
      <c r="B9" s="42" t="s">
        <v>112</v>
      </c>
      <c r="C9" s="43" t="s">
        <v>113</v>
      </c>
      <c r="D9" s="42" t="s">
        <v>114</v>
      </c>
      <c r="E9" s="44" t="n">
        <v>8</v>
      </c>
      <c r="F9" s="42" t="s">
        <v>115</v>
      </c>
      <c r="G9" s="45" t="s">
        <v>116</v>
      </c>
      <c r="H9" s="46" t="s">
        <v>117</v>
      </c>
    </row>
    <row r="10" customFormat="false" ht="15" hidden="false" customHeight="false" outlineLevel="0" collapsed="false">
      <c r="A10" s="41" t="s">
        <v>118</v>
      </c>
      <c r="B10" s="42" t="s">
        <v>94</v>
      </c>
      <c r="C10" s="43" t="s">
        <v>119</v>
      </c>
      <c r="D10" s="42" t="s">
        <v>96</v>
      </c>
      <c r="E10" s="44" t="n">
        <v>10</v>
      </c>
      <c r="F10" s="42" t="s">
        <v>120</v>
      </c>
      <c r="G10" s="45" t="s">
        <v>121</v>
      </c>
      <c r="H10" s="46" t="s">
        <v>122</v>
      </c>
    </row>
    <row r="11" customFormat="false" ht="15" hidden="false" customHeight="false" outlineLevel="0" collapsed="false">
      <c r="A11" s="41" t="s">
        <v>123</v>
      </c>
      <c r="B11" s="42" t="s">
        <v>94</v>
      </c>
      <c r="C11" s="43" t="s">
        <v>124</v>
      </c>
      <c r="D11" s="42" t="s">
        <v>96</v>
      </c>
      <c r="E11" s="44" t="n">
        <v>12</v>
      </c>
      <c r="F11" s="42" t="s">
        <v>125</v>
      </c>
      <c r="G11" s="45" t="s">
        <v>126</v>
      </c>
      <c r="H11" s="46" t="s">
        <v>127</v>
      </c>
    </row>
    <row r="12" customFormat="false" ht="15" hidden="false" customHeight="false" outlineLevel="0" collapsed="false">
      <c r="A12" s="41" t="s">
        <v>128</v>
      </c>
      <c r="B12" s="42" t="s">
        <v>94</v>
      </c>
      <c r="C12" s="43" t="s">
        <v>129</v>
      </c>
      <c r="D12" s="42" t="s">
        <v>96</v>
      </c>
      <c r="E12" s="44" t="n">
        <v>8</v>
      </c>
      <c r="F12" s="42" t="s">
        <v>130</v>
      </c>
      <c r="G12" s="45" t="s">
        <v>131</v>
      </c>
      <c r="H12" s="46" t="s">
        <v>132</v>
      </c>
    </row>
    <row r="13" customFormat="false" ht="15" hidden="false" customHeight="false" outlineLevel="0" collapsed="false">
      <c r="A13" s="41" t="s">
        <v>133</v>
      </c>
      <c r="B13" s="42" t="s">
        <v>94</v>
      </c>
      <c r="C13" s="43" t="s">
        <v>134</v>
      </c>
      <c r="D13" s="42" t="s">
        <v>96</v>
      </c>
      <c r="E13" s="44" t="n">
        <v>6</v>
      </c>
      <c r="F13" s="42" t="s">
        <v>135</v>
      </c>
      <c r="G13" s="45" t="s">
        <v>136</v>
      </c>
      <c r="H13" s="46" t="s">
        <v>137</v>
      </c>
    </row>
    <row r="14" customFormat="false" ht="15" hidden="false" customHeight="false" outlineLevel="0" collapsed="false">
      <c r="A14" s="47" t="s">
        <v>138</v>
      </c>
      <c r="B14" s="47"/>
      <c r="C14" s="47"/>
      <c r="D14" s="47"/>
      <c r="E14" s="48" t="n">
        <f aca="false">SUM(E6:E13)</f>
        <v>83</v>
      </c>
      <c r="F14" s="49"/>
      <c r="G14" s="49"/>
      <c r="H14" s="49"/>
    </row>
    <row r="16" customFormat="false" ht="15" hidden="false" customHeight="false" outlineLevel="0" collapsed="false">
      <c r="A16" s="3" t="s">
        <v>139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50" t="s">
        <v>128</v>
      </c>
      <c r="B17" s="42" t="s">
        <v>140</v>
      </c>
      <c r="C17" s="43" t="s">
        <v>129</v>
      </c>
      <c r="D17" s="42" t="s">
        <v>96</v>
      </c>
      <c r="E17" s="44" t="n">
        <v>5</v>
      </c>
      <c r="F17" s="42" t="s">
        <v>141</v>
      </c>
      <c r="G17" s="45" t="s">
        <v>142</v>
      </c>
      <c r="H17" s="46" t="s">
        <v>143</v>
      </c>
    </row>
    <row r="18" customFormat="false" ht="15" hidden="false" customHeight="false" outlineLevel="0" collapsed="false">
      <c r="A18" s="50" t="s">
        <v>144</v>
      </c>
      <c r="B18" s="42" t="s">
        <v>140</v>
      </c>
      <c r="C18" s="43" t="s">
        <v>134</v>
      </c>
      <c r="D18" s="42" t="s">
        <v>96</v>
      </c>
      <c r="E18" s="44" t="n">
        <v>6</v>
      </c>
      <c r="F18" s="42" t="s">
        <v>135</v>
      </c>
      <c r="G18" s="45" t="s">
        <v>145</v>
      </c>
      <c r="H18" s="46" t="s">
        <v>143</v>
      </c>
    </row>
    <row r="19" customFormat="false" ht="15" hidden="false" customHeight="false" outlineLevel="0" collapsed="false">
      <c r="A19" s="50" t="s">
        <v>146</v>
      </c>
      <c r="B19" s="42" t="s">
        <v>140</v>
      </c>
      <c r="C19" s="43" t="s">
        <v>147</v>
      </c>
      <c r="D19" s="42" t="s">
        <v>102</v>
      </c>
      <c r="E19" s="44" t="n">
        <v>4</v>
      </c>
      <c r="F19" s="42" t="s">
        <v>148</v>
      </c>
      <c r="G19" s="45" t="s">
        <v>149</v>
      </c>
      <c r="H19" s="46" t="s">
        <v>150</v>
      </c>
    </row>
    <row r="20" customFormat="false" ht="15" hidden="false" customHeight="false" outlineLevel="0" collapsed="false">
      <c r="A20" s="50" t="s">
        <v>151</v>
      </c>
      <c r="B20" s="42" t="s">
        <v>140</v>
      </c>
      <c r="C20" s="43" t="s">
        <v>152</v>
      </c>
      <c r="D20" s="42" t="s">
        <v>96</v>
      </c>
      <c r="E20" s="44" t="n">
        <v>3</v>
      </c>
      <c r="F20" s="42" t="s">
        <v>153</v>
      </c>
      <c r="G20" s="45" t="s">
        <v>154</v>
      </c>
      <c r="H20" s="46" t="s">
        <v>155</v>
      </c>
    </row>
    <row r="21" customFormat="false" ht="15" hidden="false" customHeight="false" outlineLevel="0" collapsed="false">
      <c r="A21" s="50" t="s">
        <v>118</v>
      </c>
      <c r="B21" s="42" t="s">
        <v>140</v>
      </c>
      <c r="C21" s="43" t="s">
        <v>119</v>
      </c>
      <c r="D21" s="42" t="s">
        <v>96</v>
      </c>
      <c r="E21" s="44" t="n">
        <v>4</v>
      </c>
      <c r="F21" s="42" t="s">
        <v>156</v>
      </c>
      <c r="G21" s="45" t="s">
        <v>157</v>
      </c>
      <c r="H21" s="46" t="s">
        <v>158</v>
      </c>
    </row>
    <row r="22" customFormat="false" ht="15" hidden="false" customHeight="false" outlineLevel="0" collapsed="false">
      <c r="A22" s="47" t="s">
        <v>159</v>
      </c>
      <c r="B22" s="47"/>
      <c r="C22" s="47"/>
      <c r="D22" s="47"/>
      <c r="E22" s="48" t="n">
        <f aca="false">SUM(E17:E21)</f>
        <v>22</v>
      </c>
      <c r="F22" s="49"/>
      <c r="G22" s="49"/>
      <c r="H22" s="49"/>
    </row>
    <row r="24" customFormat="false" ht="15" hidden="false" customHeight="false" outlineLevel="0" collapsed="false">
      <c r="A24" s="51" t="s">
        <v>160</v>
      </c>
      <c r="B24" s="51"/>
      <c r="C24" s="51"/>
      <c r="D24" s="51"/>
      <c r="E24" s="39" t="n">
        <f aca="false">E14+E22</f>
        <v>105</v>
      </c>
      <c r="F24" s="52"/>
      <c r="G24" s="53" t="s">
        <v>161</v>
      </c>
      <c r="H24" s="53"/>
    </row>
  </sheetData>
  <mergeCells count="8">
    <mergeCell ref="A1:H1"/>
    <mergeCell ref="A2:H2"/>
    <mergeCell ref="A5:H5"/>
    <mergeCell ref="A14:D14"/>
    <mergeCell ref="A16:H16"/>
    <mergeCell ref="A22:D22"/>
    <mergeCell ref="A24:D24"/>
    <mergeCell ref="G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5" t="s">
        <v>162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163</v>
      </c>
      <c r="B2" s="16"/>
      <c r="C2" s="16"/>
      <c r="D2" s="16"/>
      <c r="E2" s="16"/>
      <c r="F2" s="16"/>
    </row>
    <row r="4" customFormat="false" ht="31.5" hidden="false" customHeight="true" outlineLevel="0" collapsed="false">
      <c r="A4" s="17" t="s">
        <v>86</v>
      </c>
      <c r="B4" s="17" t="s">
        <v>164</v>
      </c>
      <c r="C4" s="17" t="s">
        <v>165</v>
      </c>
      <c r="D4" s="17" t="s">
        <v>166</v>
      </c>
      <c r="E4" s="17" t="s">
        <v>167</v>
      </c>
      <c r="F4" s="17" t="s">
        <v>168</v>
      </c>
    </row>
    <row r="5" customFormat="false" ht="31.5" hidden="false" customHeight="true" outlineLevel="0" collapsed="false">
      <c r="A5" s="18" t="s">
        <v>169</v>
      </c>
      <c r="B5" s="54" t="s">
        <v>170</v>
      </c>
      <c r="C5" s="45" t="s">
        <v>171</v>
      </c>
      <c r="D5" s="55" t="s">
        <v>172</v>
      </c>
      <c r="E5" s="45" t="s">
        <v>173</v>
      </c>
      <c r="F5" s="44" t="n">
        <v>30</v>
      </c>
    </row>
    <row r="6" customFormat="false" ht="31.5" hidden="false" customHeight="true" outlineLevel="0" collapsed="false">
      <c r="A6" s="18" t="s">
        <v>174</v>
      </c>
      <c r="B6" s="54" t="s">
        <v>170</v>
      </c>
      <c r="C6" s="45" t="s">
        <v>175</v>
      </c>
      <c r="D6" s="55" t="s">
        <v>176</v>
      </c>
      <c r="E6" s="45" t="s">
        <v>177</v>
      </c>
      <c r="F6" s="44" t="n">
        <v>25</v>
      </c>
    </row>
    <row r="7" customFormat="false" ht="31.5" hidden="false" customHeight="true" outlineLevel="0" collapsed="false">
      <c r="A7" s="18" t="s">
        <v>178</v>
      </c>
      <c r="B7" s="56" t="s">
        <v>179</v>
      </c>
      <c r="C7" s="45" t="s">
        <v>180</v>
      </c>
      <c r="D7" s="55" t="s">
        <v>176</v>
      </c>
      <c r="E7" s="45" t="s">
        <v>177</v>
      </c>
      <c r="F7" s="44" t="n">
        <v>20</v>
      </c>
    </row>
    <row r="8" customFormat="false" ht="31.5" hidden="false" customHeight="true" outlineLevel="0" collapsed="false">
      <c r="A8" s="18" t="s">
        <v>181</v>
      </c>
      <c r="B8" s="56" t="s">
        <v>182</v>
      </c>
      <c r="C8" s="45" t="s">
        <v>183</v>
      </c>
      <c r="D8" s="55" t="s">
        <v>172</v>
      </c>
      <c r="E8" s="45" t="s">
        <v>184</v>
      </c>
      <c r="F8" s="44" t="n">
        <v>15</v>
      </c>
    </row>
    <row r="9" customFormat="false" ht="31.5" hidden="false" customHeight="true" outlineLevel="0" collapsed="false">
      <c r="A9" s="18" t="s">
        <v>185</v>
      </c>
      <c r="B9" s="55" t="s">
        <v>176</v>
      </c>
      <c r="C9" s="45" t="s">
        <v>184</v>
      </c>
      <c r="D9" s="55" t="s">
        <v>176</v>
      </c>
      <c r="E9" s="45" t="s">
        <v>184</v>
      </c>
      <c r="F9" s="44" t="n">
        <v>10</v>
      </c>
    </row>
    <row r="10" customFormat="false" ht="31.5" hidden="false" customHeight="true" outlineLevel="0" collapsed="false">
      <c r="A10" s="18" t="s">
        <v>186</v>
      </c>
      <c r="B10" s="54" t="s">
        <v>170</v>
      </c>
      <c r="C10" s="45" t="s">
        <v>187</v>
      </c>
      <c r="D10" s="56" t="s">
        <v>188</v>
      </c>
      <c r="E10" s="45" t="s">
        <v>189</v>
      </c>
      <c r="F10" s="44" t="n">
        <v>10</v>
      </c>
    </row>
    <row r="11" customFormat="false" ht="31.5" hidden="false" customHeight="true" outlineLevel="0" collapsed="false">
      <c r="A11" s="18" t="s">
        <v>190</v>
      </c>
      <c r="B11" s="56" t="s">
        <v>191</v>
      </c>
      <c r="C11" s="45" t="s">
        <v>192</v>
      </c>
      <c r="D11" s="56" t="s">
        <v>188</v>
      </c>
      <c r="E11" s="45" t="s">
        <v>193</v>
      </c>
      <c r="F11" s="44" t="n">
        <v>10</v>
      </c>
    </row>
    <row r="12" customFormat="false" ht="31.5" hidden="false" customHeight="true" outlineLevel="0" collapsed="false">
      <c r="A12" s="18" t="s">
        <v>129</v>
      </c>
      <c r="B12" s="54" t="s">
        <v>194</v>
      </c>
      <c r="C12" s="45" t="s">
        <v>132</v>
      </c>
      <c r="D12" s="56" t="s">
        <v>188</v>
      </c>
      <c r="E12" s="45" t="s">
        <v>195</v>
      </c>
      <c r="F12" s="44" t="n">
        <v>8</v>
      </c>
    </row>
    <row r="13" customFormat="false" ht="31.5" hidden="false" customHeight="true" outlineLevel="0" collapsed="false">
      <c r="A13" s="18" t="s">
        <v>107</v>
      </c>
      <c r="B13" s="54" t="s">
        <v>194</v>
      </c>
      <c r="C13" s="45" t="s">
        <v>106</v>
      </c>
      <c r="D13" s="54" t="s">
        <v>194</v>
      </c>
      <c r="E13" s="45" t="s">
        <v>106</v>
      </c>
      <c r="F13" s="44" t="n">
        <v>0</v>
      </c>
    </row>
    <row r="14" customFormat="false" ht="31.5" hidden="false" customHeight="true" outlineLevel="0" collapsed="false">
      <c r="A14" s="18" t="s">
        <v>101</v>
      </c>
      <c r="B14" s="54" t="s">
        <v>194</v>
      </c>
      <c r="C14" s="45" t="s">
        <v>105</v>
      </c>
      <c r="D14" s="54" t="s">
        <v>194</v>
      </c>
      <c r="E14" s="45" t="s">
        <v>100</v>
      </c>
      <c r="F14" s="44" t="n">
        <v>0</v>
      </c>
    </row>
    <row r="15" customFormat="false" ht="31.5" hidden="false" customHeight="true" outlineLevel="0" collapsed="false">
      <c r="A15" s="18" t="s">
        <v>196</v>
      </c>
      <c r="B15" s="55" t="s">
        <v>176</v>
      </c>
      <c r="C15" s="45" t="s">
        <v>197</v>
      </c>
      <c r="D15" s="55" t="s">
        <v>176</v>
      </c>
      <c r="E15" s="45" t="s">
        <v>198</v>
      </c>
      <c r="F15" s="44" t="n">
        <v>12</v>
      </c>
    </row>
    <row r="16" customFormat="false" ht="31.5" hidden="false" customHeight="true" outlineLevel="0" collapsed="false">
      <c r="A16" s="18" t="s">
        <v>199</v>
      </c>
      <c r="B16" s="56" t="s">
        <v>188</v>
      </c>
      <c r="C16" s="45" t="s">
        <v>200</v>
      </c>
      <c r="D16" s="55" t="s">
        <v>176</v>
      </c>
      <c r="E16" s="45" t="s">
        <v>184</v>
      </c>
      <c r="F16" s="44" t="n">
        <v>10</v>
      </c>
    </row>
    <row r="17" customFormat="false" ht="31.5" hidden="false" customHeight="true" outlineLevel="0" collapsed="false">
      <c r="A17" s="18" t="s">
        <v>201</v>
      </c>
      <c r="B17" s="55" t="s">
        <v>176</v>
      </c>
      <c r="C17" s="45" t="s">
        <v>184</v>
      </c>
      <c r="D17" s="55" t="s">
        <v>176</v>
      </c>
      <c r="E17" s="45" t="s">
        <v>202</v>
      </c>
      <c r="F17" s="44" t="n">
        <v>8</v>
      </c>
    </row>
    <row r="18" customFormat="false" ht="31.5" hidden="false" customHeight="true" outlineLevel="0" collapsed="false">
      <c r="A18" s="18" t="s">
        <v>203</v>
      </c>
      <c r="B18" s="55" t="s">
        <v>176</v>
      </c>
      <c r="C18" s="45" t="s">
        <v>204</v>
      </c>
      <c r="D18" s="55" t="s">
        <v>176</v>
      </c>
      <c r="E18" s="45" t="s">
        <v>184</v>
      </c>
      <c r="F18" s="44" t="n">
        <v>5</v>
      </c>
    </row>
    <row r="19" customFormat="false" ht="15" hidden="false" customHeight="false" outlineLevel="0" collapsed="false">
      <c r="A19" s="57" t="s">
        <v>205</v>
      </c>
      <c r="B19" s="57"/>
      <c r="C19" s="57"/>
      <c r="D19" s="57"/>
      <c r="E19" s="57"/>
      <c r="F19" s="58" t="n">
        <f aca="false">SUM(F5:F18)</f>
        <v>163</v>
      </c>
    </row>
    <row r="21" customFormat="false" ht="15" hidden="false" customHeight="false" outlineLevel="0" collapsed="false">
      <c r="A21" s="3" t="s">
        <v>206</v>
      </c>
      <c r="B21" s="3"/>
      <c r="C21" s="3"/>
      <c r="D21" s="3"/>
      <c r="E21" s="3"/>
      <c r="F21" s="3"/>
    </row>
    <row r="22" customFormat="false" ht="31.5" hidden="false" customHeight="true" outlineLevel="0" collapsed="false">
      <c r="A22" s="7" t="s">
        <v>207</v>
      </c>
      <c r="B22" s="7"/>
      <c r="C22" s="7"/>
      <c r="D22" s="7"/>
      <c r="E22" s="7"/>
      <c r="F22" s="7"/>
    </row>
    <row r="23" customFormat="false" ht="31.5" hidden="false" customHeight="true" outlineLevel="0" collapsed="false">
      <c r="A23" s="7" t="s">
        <v>208</v>
      </c>
      <c r="B23" s="7"/>
      <c r="C23" s="7"/>
      <c r="D23" s="7"/>
      <c r="E23" s="7"/>
      <c r="F23" s="7"/>
    </row>
    <row r="24" customFormat="false" ht="31.5" hidden="false" customHeight="true" outlineLevel="0" collapsed="false">
      <c r="A24" s="7" t="s">
        <v>209</v>
      </c>
      <c r="B24" s="7"/>
      <c r="C24" s="7"/>
      <c r="D24" s="7"/>
      <c r="E24" s="7"/>
      <c r="F24" s="7"/>
    </row>
    <row r="25" customFormat="false" ht="31.5" hidden="false" customHeight="true" outlineLevel="0" collapsed="false">
      <c r="A25" s="7" t="s">
        <v>210</v>
      </c>
      <c r="B25" s="7"/>
      <c r="C25" s="7"/>
      <c r="D25" s="7"/>
      <c r="E25" s="7"/>
      <c r="F25" s="7"/>
    </row>
    <row r="26" customFormat="false" ht="31.5" hidden="false" customHeight="true" outlineLevel="0" collapsed="false">
      <c r="A26" s="7" t="s">
        <v>211</v>
      </c>
      <c r="B26" s="7"/>
      <c r="C26" s="7"/>
      <c r="D26" s="7"/>
      <c r="E26" s="7"/>
      <c r="F26" s="7"/>
    </row>
    <row r="27" customFormat="false" ht="31.5" hidden="false" customHeight="true" outlineLevel="0" collapsed="false">
      <c r="A27" s="7" t="s">
        <v>212</v>
      </c>
      <c r="B27" s="7"/>
      <c r="C27" s="7"/>
      <c r="D27" s="7"/>
      <c r="E27" s="7"/>
      <c r="F27" s="7"/>
    </row>
  </sheetData>
  <mergeCells count="10">
    <mergeCell ref="A1:F1"/>
    <mergeCell ref="A2:F2"/>
    <mergeCell ref="A19:E19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1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5" t="s">
        <v>213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false" outlineLevel="0" collapsed="false">
      <c r="A2" s="16" t="s">
        <v>214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customFormat="false" ht="26.85" hidden="false" customHeight="false" outlineLevel="0" collapsed="false">
      <c r="A4" s="17" t="s">
        <v>215</v>
      </c>
      <c r="B4" s="59" t="n">
        <v>2024</v>
      </c>
      <c r="C4" s="59" t="n">
        <v>2025</v>
      </c>
      <c r="D4" s="59" t="n">
        <v>2026</v>
      </c>
      <c r="E4" s="59" t="n">
        <v>2027</v>
      </c>
      <c r="F4" s="59" t="n">
        <v>2028</v>
      </c>
      <c r="G4" s="59" t="n">
        <v>2029</v>
      </c>
      <c r="H4" s="59" t="n">
        <v>2030</v>
      </c>
      <c r="I4" s="59" t="n">
        <v>2031</v>
      </c>
      <c r="J4" s="59" t="n">
        <v>2032</v>
      </c>
      <c r="K4" s="17" t="s">
        <v>216</v>
      </c>
    </row>
    <row r="5" customFormat="false" ht="15" hidden="false" customHeight="false" outlineLevel="0" collapsed="false">
      <c r="A5" s="60" t="s">
        <v>217</v>
      </c>
      <c r="B5" s="44" t="n">
        <v>83</v>
      </c>
      <c r="C5" s="44" t="n">
        <v>88</v>
      </c>
      <c r="D5" s="44" t="n">
        <v>95</v>
      </c>
      <c r="E5" s="44" t="n">
        <v>105</v>
      </c>
      <c r="F5" s="44" t="n">
        <v>120</v>
      </c>
      <c r="G5" s="44" t="n">
        <v>138</v>
      </c>
      <c r="H5" s="44" t="n">
        <v>155</v>
      </c>
      <c r="I5" s="44" t="n">
        <v>175</v>
      </c>
      <c r="J5" s="44" t="n">
        <v>195</v>
      </c>
      <c r="K5" s="61" t="n">
        <f aca="false">(J5/B5)^(1/8)-1</f>
        <v>0.11267816310333</v>
      </c>
    </row>
    <row r="6" customFormat="false" ht="15" hidden="false" customHeight="false" outlineLevel="0" collapsed="false">
      <c r="A6" s="62" t="s">
        <v>218</v>
      </c>
      <c r="B6" s="63" t="n">
        <v>83</v>
      </c>
      <c r="C6" s="63" t="n">
        <v>90</v>
      </c>
      <c r="D6" s="63" t="n">
        <v>100</v>
      </c>
      <c r="E6" s="63" t="n">
        <v>120</v>
      </c>
      <c r="F6" s="63" t="n">
        <v>145</v>
      </c>
      <c r="G6" s="63" t="n">
        <v>175</v>
      </c>
      <c r="H6" s="63" t="n">
        <v>205</v>
      </c>
      <c r="I6" s="63" t="n">
        <v>230</v>
      </c>
      <c r="J6" s="63" t="n">
        <v>250</v>
      </c>
      <c r="K6" s="64" t="n">
        <f aca="false">(J6/B6)^(1/8)-1</f>
        <v>0.147777586056297</v>
      </c>
    </row>
    <row r="7" customFormat="false" ht="15" hidden="false" customHeight="false" outlineLevel="0" collapsed="false">
      <c r="A7" s="65" t="s">
        <v>219</v>
      </c>
      <c r="B7" s="19" t="n">
        <v>83</v>
      </c>
      <c r="C7" s="19" t="n">
        <v>92</v>
      </c>
      <c r="D7" s="19" t="n">
        <v>110</v>
      </c>
      <c r="E7" s="19" t="n">
        <v>140</v>
      </c>
      <c r="F7" s="19" t="n">
        <v>180</v>
      </c>
      <c r="G7" s="19" t="n">
        <v>230</v>
      </c>
      <c r="H7" s="19" t="n">
        <v>290</v>
      </c>
      <c r="I7" s="19" t="n">
        <v>345</v>
      </c>
      <c r="J7" s="19" t="n">
        <v>400</v>
      </c>
      <c r="K7" s="25" t="n">
        <f aca="false">(J7/B7)^(1/8)-1</f>
        <v>0.217230251901842</v>
      </c>
    </row>
    <row r="9" customFormat="false" ht="15" hidden="false" customHeight="false" outlineLevel="0" collapsed="false">
      <c r="A9" s="3" t="s">
        <v>220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26.85" hidden="false" customHeight="false" outlineLevel="0" collapsed="false">
      <c r="A10" s="17" t="s">
        <v>221</v>
      </c>
      <c r="B10" s="59" t="n">
        <v>2017</v>
      </c>
      <c r="C10" s="59" t="n">
        <v>2018</v>
      </c>
      <c r="D10" s="59" t="n">
        <v>2019</v>
      </c>
      <c r="E10" s="59" t="n">
        <v>2020</v>
      </c>
      <c r="F10" s="59" t="n">
        <v>2021</v>
      </c>
      <c r="G10" s="59" t="n">
        <v>2022</v>
      </c>
      <c r="H10" s="59" t="n">
        <v>2023</v>
      </c>
      <c r="I10" s="59" t="n">
        <v>2024</v>
      </c>
      <c r="J10" s="59" t="n">
        <v>2025</v>
      </c>
      <c r="K10" s="17" t="s">
        <v>222</v>
      </c>
    </row>
    <row r="11" customFormat="false" ht="15" hidden="false" customHeight="false" outlineLevel="0" collapsed="false">
      <c r="A11" s="66" t="s">
        <v>223</v>
      </c>
      <c r="B11" s="20" t="n">
        <v>268</v>
      </c>
      <c r="C11" s="20" t="n">
        <v>384</v>
      </c>
      <c r="D11" s="20" t="n">
        <v>405</v>
      </c>
      <c r="E11" s="20" t="n">
        <v>240</v>
      </c>
      <c r="F11" s="20" t="n">
        <v>427</v>
      </c>
      <c r="G11" s="20" t="n">
        <v>515</v>
      </c>
      <c r="H11" s="20" t="n">
        <v>612</v>
      </c>
      <c r="I11" s="20" t="n">
        <v>680</v>
      </c>
      <c r="J11" s="20" t="n">
        <v>840</v>
      </c>
      <c r="K11" s="26" t="n">
        <f aca="false">(J11/B11)^(1/8)-1</f>
        <v>0.153501228805912</v>
      </c>
    </row>
    <row r="13" customFormat="false" ht="15" hidden="false" customHeight="false" outlineLevel="0" collapsed="false">
      <c r="A13" s="3" t="s">
        <v>224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31.5" hidden="false" customHeight="true" outlineLevel="0" collapsed="false">
      <c r="A14" s="60" t="s">
        <v>225</v>
      </c>
      <c r="B14" s="7" t="s">
        <v>226</v>
      </c>
      <c r="C14" s="7"/>
      <c r="D14" s="7"/>
      <c r="E14" s="7"/>
      <c r="F14" s="7"/>
      <c r="G14" s="7"/>
      <c r="H14" s="7"/>
      <c r="I14" s="7"/>
      <c r="J14" s="7"/>
      <c r="K14" s="7"/>
    </row>
    <row r="15" customFormat="false" ht="31.5" hidden="false" customHeight="true" outlineLevel="0" collapsed="false">
      <c r="A15" s="62" t="s">
        <v>227</v>
      </c>
      <c r="B15" s="7" t="s">
        <v>228</v>
      </c>
      <c r="C15" s="7"/>
      <c r="D15" s="7"/>
      <c r="E15" s="7"/>
      <c r="F15" s="7"/>
      <c r="G15" s="7"/>
      <c r="H15" s="7"/>
      <c r="I15" s="7"/>
      <c r="J15" s="7"/>
      <c r="K15" s="7"/>
    </row>
    <row r="16" customFormat="false" ht="31.5" hidden="false" customHeight="true" outlineLevel="0" collapsed="false">
      <c r="A16" s="65" t="s">
        <v>229</v>
      </c>
      <c r="B16" s="7" t="s">
        <v>230</v>
      </c>
      <c r="C16" s="7"/>
      <c r="D16" s="7"/>
      <c r="E16" s="7"/>
      <c r="F16" s="7"/>
      <c r="G16" s="7"/>
      <c r="H16" s="7"/>
      <c r="I16" s="7"/>
      <c r="J16" s="7"/>
      <c r="K16" s="7"/>
    </row>
    <row r="18" customFormat="false" ht="15" hidden="false" customHeight="false" outlineLevel="0" collapsed="false">
      <c r="A18" s="3" t="s">
        <v>231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17" t="s">
        <v>215</v>
      </c>
      <c r="B19" s="59" t="n">
        <v>2024</v>
      </c>
      <c r="C19" s="59" t="n">
        <v>2025</v>
      </c>
      <c r="D19" s="59" t="n">
        <v>2026</v>
      </c>
      <c r="E19" s="59" t="n">
        <v>2027</v>
      </c>
      <c r="F19" s="59" t="n">
        <v>2028</v>
      </c>
      <c r="G19" s="59" t="n">
        <v>2029</v>
      </c>
      <c r="H19" s="59" t="n">
        <v>2030</v>
      </c>
      <c r="I19" s="59" t="n">
        <v>2031</v>
      </c>
      <c r="J19" s="59" t="n">
        <v>2032</v>
      </c>
      <c r="K19" s="17" t="s">
        <v>232</v>
      </c>
    </row>
    <row r="20" customFormat="false" ht="15" hidden="false" customHeight="false" outlineLevel="0" collapsed="false">
      <c r="A20" s="60" t="s">
        <v>233</v>
      </c>
      <c r="B20" s="24" t="n">
        <f aca="false">B5-$B$5</f>
        <v>0</v>
      </c>
      <c r="C20" s="24" t="n">
        <f aca="false">C5-$B$5</f>
        <v>5</v>
      </c>
      <c r="D20" s="24" t="n">
        <f aca="false">D5-$B$5</f>
        <v>12</v>
      </c>
      <c r="E20" s="24" t="n">
        <f aca="false">E5-$B$5</f>
        <v>22</v>
      </c>
      <c r="F20" s="24" t="n">
        <f aca="false">F5-$B$5</f>
        <v>37</v>
      </c>
      <c r="G20" s="24" t="n">
        <f aca="false">G5-$B$5</f>
        <v>55</v>
      </c>
      <c r="H20" s="24" t="n">
        <f aca="false">H5-$B$5</f>
        <v>72</v>
      </c>
      <c r="I20" s="24" t="n">
        <f aca="false">I5-$B$5</f>
        <v>92</v>
      </c>
      <c r="J20" s="24" t="n">
        <f aca="false">J5-$B$5</f>
        <v>112</v>
      </c>
      <c r="K20" s="67" t="n">
        <f aca="false">SUM(B20:J20)</f>
        <v>407</v>
      </c>
    </row>
    <row r="21" customFormat="false" ht="15" hidden="false" customHeight="false" outlineLevel="0" collapsed="false">
      <c r="A21" s="62" t="s">
        <v>234</v>
      </c>
      <c r="B21" s="38" t="n">
        <f aca="false">B6-$B$6</f>
        <v>0</v>
      </c>
      <c r="C21" s="38" t="n">
        <f aca="false">C6-$B$6</f>
        <v>7</v>
      </c>
      <c r="D21" s="38" t="n">
        <f aca="false">D6-$B$6</f>
        <v>17</v>
      </c>
      <c r="E21" s="38" t="n">
        <f aca="false">E6-$B$6</f>
        <v>37</v>
      </c>
      <c r="F21" s="38" t="n">
        <f aca="false">F6-$B$6</f>
        <v>62</v>
      </c>
      <c r="G21" s="38" t="n">
        <f aca="false">G6-$B$6</f>
        <v>92</v>
      </c>
      <c r="H21" s="38" t="n">
        <f aca="false">H6-$B$6</f>
        <v>122</v>
      </c>
      <c r="I21" s="38" t="n">
        <f aca="false">I6-$B$6</f>
        <v>147</v>
      </c>
      <c r="J21" s="38" t="n">
        <f aca="false">J6-$B$6</f>
        <v>167</v>
      </c>
      <c r="K21" s="68" t="n">
        <f aca="false">SUM(B21:J21)</f>
        <v>651</v>
      </c>
    </row>
    <row r="22" customFormat="false" ht="15" hidden="false" customHeight="false" outlineLevel="0" collapsed="false">
      <c r="A22" s="65" t="s">
        <v>235</v>
      </c>
      <c r="B22" s="36" t="n">
        <f aca="false">B7-$B$7</f>
        <v>0</v>
      </c>
      <c r="C22" s="36" t="n">
        <f aca="false">C7-$B$7</f>
        <v>9</v>
      </c>
      <c r="D22" s="36" t="n">
        <f aca="false">D7-$B$7</f>
        <v>27</v>
      </c>
      <c r="E22" s="36" t="n">
        <f aca="false">E7-$B$7</f>
        <v>57</v>
      </c>
      <c r="F22" s="36" t="n">
        <f aca="false">F7-$B$7</f>
        <v>97</v>
      </c>
      <c r="G22" s="36" t="n">
        <f aca="false">G7-$B$7</f>
        <v>147</v>
      </c>
      <c r="H22" s="36" t="n">
        <f aca="false">H7-$B$7</f>
        <v>207</v>
      </c>
      <c r="I22" s="36" t="n">
        <f aca="false">I7-$B$7</f>
        <v>262</v>
      </c>
      <c r="J22" s="36" t="n">
        <f aca="false">J7-$B$7</f>
        <v>317</v>
      </c>
      <c r="K22" s="69" t="n">
        <f aca="false">SUM(B22:J22)</f>
        <v>1123</v>
      </c>
    </row>
    <row r="47" customFormat="false" ht="15" hidden="false" customHeight="false" outlineLevel="0" collapsed="false">
      <c r="A47" s="3" t="s">
        <v>236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25.5" hidden="false" customHeight="true" outlineLevel="0" collapsed="false">
      <c r="A48" s="70" t="s">
        <v>237</v>
      </c>
      <c r="B48" s="7" t="s">
        <v>238</v>
      </c>
      <c r="C48" s="7"/>
      <c r="D48" s="7"/>
      <c r="E48" s="7"/>
      <c r="F48" s="7"/>
      <c r="G48" s="7"/>
      <c r="H48" s="7"/>
      <c r="I48" s="7"/>
      <c r="J48" s="7"/>
      <c r="K48" s="7"/>
    </row>
    <row r="49" customFormat="false" ht="25.5" hidden="false" customHeight="true" outlineLevel="0" collapsed="false">
      <c r="A49" s="70" t="s">
        <v>239</v>
      </c>
      <c r="B49" s="7" t="s">
        <v>240</v>
      </c>
      <c r="C49" s="7"/>
      <c r="D49" s="7"/>
      <c r="E49" s="7"/>
      <c r="F49" s="7"/>
      <c r="G49" s="7"/>
      <c r="H49" s="7"/>
      <c r="I49" s="7"/>
      <c r="J49" s="7"/>
      <c r="K49" s="7"/>
    </row>
    <row r="50" customFormat="false" ht="25.5" hidden="false" customHeight="true" outlineLevel="0" collapsed="false">
      <c r="A50" s="70" t="s">
        <v>241</v>
      </c>
      <c r="B50" s="7" t="s">
        <v>242</v>
      </c>
      <c r="C50" s="7"/>
      <c r="D50" s="7"/>
      <c r="E50" s="7"/>
      <c r="F50" s="7"/>
      <c r="G50" s="7"/>
      <c r="H50" s="7"/>
      <c r="I50" s="7"/>
      <c r="J50" s="7"/>
      <c r="K50" s="7"/>
    </row>
    <row r="51" customFormat="false" ht="25.5" hidden="false" customHeight="true" outlineLevel="0" collapsed="false">
      <c r="A51" s="70" t="s">
        <v>243</v>
      </c>
      <c r="B51" s="7" t="s">
        <v>244</v>
      </c>
      <c r="C51" s="7"/>
      <c r="D51" s="7"/>
      <c r="E51" s="7"/>
      <c r="F51" s="7"/>
      <c r="G51" s="7"/>
      <c r="H51" s="7"/>
      <c r="I51" s="7"/>
      <c r="J51" s="7"/>
      <c r="K51" s="7"/>
    </row>
    <row r="52" customFormat="false" ht="25.5" hidden="false" customHeight="true" outlineLevel="0" collapsed="false">
      <c r="A52" s="70" t="s">
        <v>245</v>
      </c>
      <c r="B52" s="7" t="s">
        <v>246</v>
      </c>
      <c r="C52" s="7"/>
      <c r="D52" s="7"/>
      <c r="E52" s="7"/>
      <c r="F52" s="7"/>
      <c r="G52" s="7"/>
      <c r="H52" s="7"/>
      <c r="I52" s="7"/>
      <c r="J52" s="7"/>
      <c r="K52" s="7"/>
    </row>
  </sheetData>
  <mergeCells count="14">
    <mergeCell ref="A1:K1"/>
    <mergeCell ref="A2:K2"/>
    <mergeCell ref="A9:K9"/>
    <mergeCell ref="A13:K13"/>
    <mergeCell ref="B14:K14"/>
    <mergeCell ref="B15:K15"/>
    <mergeCell ref="B16:K16"/>
    <mergeCell ref="A18:K18"/>
    <mergeCell ref="A47:K47"/>
    <mergeCell ref="B48:K48"/>
    <mergeCell ref="B49:K49"/>
    <mergeCell ref="B50:K50"/>
    <mergeCell ref="B51:K51"/>
    <mergeCell ref="B52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2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5" t="s">
        <v>247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248</v>
      </c>
      <c r="B2" s="16"/>
      <c r="C2" s="16"/>
      <c r="D2" s="16"/>
      <c r="E2" s="16"/>
      <c r="F2" s="16"/>
    </row>
    <row r="4" customFormat="false" ht="31.5" hidden="false" customHeight="true" outlineLevel="0" collapsed="false">
      <c r="A4" s="17" t="s">
        <v>249</v>
      </c>
      <c r="B4" s="17" t="s">
        <v>250</v>
      </c>
      <c r="C4" s="17" t="s">
        <v>251</v>
      </c>
      <c r="D4" s="17" t="s">
        <v>252</v>
      </c>
      <c r="E4" s="17" t="s">
        <v>253</v>
      </c>
    </row>
    <row r="5" customFormat="false" ht="60" hidden="false" customHeight="true" outlineLevel="0" collapsed="false">
      <c r="A5" s="71" t="s">
        <v>254</v>
      </c>
      <c r="B5" s="72" t="s">
        <v>255</v>
      </c>
      <c r="C5" s="73" t="s">
        <v>256</v>
      </c>
      <c r="D5" s="74" t="s">
        <v>257</v>
      </c>
      <c r="E5" s="23" t="s">
        <v>258</v>
      </c>
    </row>
    <row r="6" customFormat="false" ht="60" hidden="false" customHeight="true" outlineLevel="0" collapsed="false">
      <c r="A6" s="71" t="s">
        <v>259</v>
      </c>
      <c r="B6" s="72" t="s">
        <v>260</v>
      </c>
      <c r="C6" s="73" t="s">
        <v>261</v>
      </c>
      <c r="D6" s="74" t="s">
        <v>262</v>
      </c>
      <c r="E6" s="23" t="s">
        <v>263</v>
      </c>
    </row>
    <row r="7" customFormat="false" ht="60" hidden="false" customHeight="true" outlineLevel="0" collapsed="false">
      <c r="A7" s="71" t="s">
        <v>264</v>
      </c>
      <c r="B7" s="72" t="s">
        <v>265</v>
      </c>
      <c r="C7" s="73" t="s">
        <v>266</v>
      </c>
      <c r="D7" s="74" t="s">
        <v>267</v>
      </c>
      <c r="E7" s="23" t="s">
        <v>268</v>
      </c>
    </row>
    <row r="8" customFormat="false" ht="60" hidden="false" customHeight="true" outlineLevel="0" collapsed="false">
      <c r="A8" s="71" t="s">
        <v>269</v>
      </c>
      <c r="B8" s="72" t="s">
        <v>270</v>
      </c>
      <c r="C8" s="73" t="s">
        <v>271</v>
      </c>
      <c r="D8" s="74" t="s">
        <v>272</v>
      </c>
      <c r="E8" s="23" t="s">
        <v>273</v>
      </c>
    </row>
    <row r="9" customFormat="false" ht="60" hidden="false" customHeight="true" outlineLevel="0" collapsed="false">
      <c r="A9" s="71" t="s">
        <v>274</v>
      </c>
      <c r="B9" s="72" t="s">
        <v>275</v>
      </c>
      <c r="C9" s="73" t="s">
        <v>276</v>
      </c>
      <c r="D9" s="74" t="s">
        <v>272</v>
      </c>
      <c r="E9" s="23" t="s">
        <v>277</v>
      </c>
    </row>
    <row r="11" customFormat="false" ht="15" hidden="false" customHeight="false" outlineLevel="0" collapsed="false">
      <c r="A11" s="3" t="s">
        <v>278</v>
      </c>
      <c r="B11" s="3"/>
      <c r="C11" s="3"/>
      <c r="D11" s="3"/>
      <c r="E11" s="3"/>
      <c r="F11" s="3"/>
    </row>
    <row r="12" customFormat="false" ht="23.85" hidden="false" customHeight="false" outlineLevel="0" collapsed="false">
      <c r="A12" s="18" t="s">
        <v>279</v>
      </c>
      <c r="B12" s="20" t="n">
        <v>268</v>
      </c>
    </row>
    <row r="13" customFormat="false" ht="23.85" hidden="false" customHeight="false" outlineLevel="0" collapsed="false">
      <c r="A13" s="18" t="s">
        <v>280</v>
      </c>
      <c r="B13" s="20" t="n">
        <v>840</v>
      </c>
    </row>
    <row r="14" customFormat="false" ht="15" hidden="false" customHeight="false" outlineLevel="0" collapsed="false">
      <c r="A14" s="18" t="s">
        <v>281</v>
      </c>
      <c r="B14" s="75" t="n">
        <f aca="false">B13/B12</f>
        <v>3.13432835820896</v>
      </c>
    </row>
    <row r="15" customFormat="false" ht="15" hidden="false" customHeight="false" outlineLevel="0" collapsed="false">
      <c r="A15" s="18" t="s">
        <v>282</v>
      </c>
      <c r="B15" s="26" t="n">
        <f aca="false">(B13/B12)^(1/8)-1</f>
        <v>0.153501228805912</v>
      </c>
    </row>
    <row r="17" customFormat="false" ht="23.85" hidden="false" customHeight="false" outlineLevel="0" collapsed="false">
      <c r="A17" s="18" t="s">
        <v>283</v>
      </c>
      <c r="B17" s="19" t="n">
        <v>83</v>
      </c>
    </row>
    <row r="18" customFormat="false" ht="35.05" hidden="false" customHeight="false" outlineLevel="0" collapsed="false">
      <c r="A18" s="18" t="s">
        <v>284</v>
      </c>
      <c r="B18" s="39" t="n">
        <f aca="false">B17*B14</f>
        <v>260.149253731343</v>
      </c>
    </row>
    <row r="19" customFormat="false" ht="15" hidden="false" customHeight="false" outlineLevel="0" collapsed="false">
      <c r="A19" s="18" t="s">
        <v>285</v>
      </c>
      <c r="B19" s="44" t="n">
        <v>250</v>
      </c>
    </row>
    <row r="20" customFormat="false" ht="23.85" hidden="false" customHeight="false" outlineLevel="0" collapsed="false">
      <c r="A20" s="18" t="s">
        <v>286</v>
      </c>
      <c r="B20" s="64" t="n">
        <f aca="false">B19/B18</f>
        <v>0.960986804360298</v>
      </c>
    </row>
    <row r="22" customFormat="false" ht="15" hidden="false" customHeight="false" outlineLevel="0" collapsed="false">
      <c r="A22" s="3" t="s">
        <v>287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76" t="s">
        <v>288</v>
      </c>
      <c r="B23" s="76"/>
      <c r="C23" s="76"/>
      <c r="D23" s="76"/>
      <c r="E23" s="76"/>
      <c r="F23" s="76"/>
    </row>
    <row r="24" customFormat="false" ht="21.75" hidden="false" customHeight="true" outlineLevel="0" collapsed="false">
      <c r="A24" s="7" t="s">
        <v>289</v>
      </c>
      <c r="B24" s="7"/>
      <c r="C24" s="7"/>
      <c r="D24" s="7"/>
      <c r="E24" s="7"/>
      <c r="F24" s="7"/>
    </row>
    <row r="25" customFormat="false" ht="21.75" hidden="false" customHeight="true" outlineLevel="0" collapsed="false">
      <c r="A25" s="7" t="s">
        <v>290</v>
      </c>
      <c r="B25" s="7"/>
      <c r="C25" s="7"/>
      <c r="D25" s="7"/>
      <c r="E25" s="7"/>
      <c r="F25" s="7"/>
    </row>
    <row r="26" customFormat="false" ht="21.75" hidden="false" customHeight="true" outlineLevel="0" collapsed="false">
      <c r="A26" s="7" t="s">
        <v>291</v>
      </c>
      <c r="B26" s="7"/>
      <c r="C26" s="7"/>
      <c r="D26" s="7"/>
      <c r="E26" s="7"/>
      <c r="F26" s="7"/>
    </row>
    <row r="27" customFormat="false" ht="21.75" hidden="false" customHeight="true" outlineLevel="0" collapsed="false">
      <c r="A27" s="7" t="s">
        <v>292</v>
      </c>
      <c r="B27" s="7"/>
      <c r="C27" s="7"/>
      <c r="D27" s="7"/>
      <c r="E27" s="7"/>
      <c r="F27" s="7"/>
    </row>
    <row r="30" customFormat="false" ht="15" hidden="false" customHeight="false" outlineLevel="0" collapsed="false">
      <c r="A30" s="76" t="s">
        <v>293</v>
      </c>
      <c r="B30" s="76"/>
      <c r="C30" s="76"/>
      <c r="D30" s="76"/>
      <c r="E30" s="76"/>
      <c r="F30" s="76"/>
    </row>
    <row r="31" customFormat="false" ht="21.75" hidden="false" customHeight="true" outlineLevel="0" collapsed="false">
      <c r="A31" s="7" t="s">
        <v>294</v>
      </c>
      <c r="B31" s="7"/>
      <c r="C31" s="7"/>
      <c r="D31" s="7"/>
      <c r="E31" s="7"/>
      <c r="F31" s="7"/>
    </row>
    <row r="32" customFormat="false" ht="21.75" hidden="false" customHeight="true" outlineLevel="0" collapsed="false">
      <c r="A32" s="7" t="s">
        <v>295</v>
      </c>
      <c r="B32" s="7"/>
      <c r="C32" s="7"/>
      <c r="D32" s="7"/>
      <c r="E32" s="7"/>
      <c r="F32" s="7"/>
    </row>
    <row r="33" customFormat="false" ht="21.75" hidden="false" customHeight="true" outlineLevel="0" collapsed="false">
      <c r="A33" s="7" t="s">
        <v>296</v>
      </c>
      <c r="B33" s="7"/>
      <c r="C33" s="7"/>
      <c r="D33" s="7"/>
      <c r="E33" s="7"/>
      <c r="F33" s="7"/>
    </row>
    <row r="34" customFormat="false" ht="21.75" hidden="false" customHeight="true" outlineLevel="0" collapsed="false">
      <c r="A34" s="7" t="s">
        <v>297</v>
      </c>
      <c r="B34" s="7"/>
      <c r="C34" s="7"/>
      <c r="D34" s="7"/>
      <c r="E34" s="7"/>
      <c r="F34" s="7"/>
    </row>
    <row r="35" customFormat="false" ht="21.75" hidden="false" customHeight="true" outlineLevel="0" collapsed="false">
      <c r="A35" s="7" t="s">
        <v>298</v>
      </c>
      <c r="B35" s="7"/>
      <c r="C35" s="7"/>
      <c r="D35" s="7"/>
      <c r="E35" s="7"/>
      <c r="F35" s="7"/>
    </row>
  </sheetData>
  <mergeCells count="15">
    <mergeCell ref="A1:F1"/>
    <mergeCell ref="A2:F2"/>
    <mergeCell ref="A11:F11"/>
    <mergeCell ref="A22:F22"/>
    <mergeCell ref="A23:F23"/>
    <mergeCell ref="A24:F24"/>
    <mergeCell ref="A25:F25"/>
    <mergeCell ref="A26:F26"/>
    <mergeCell ref="A27:F27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2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15" t="s">
        <v>299</v>
      </c>
      <c r="B1" s="15"/>
      <c r="C1" s="15"/>
      <c r="D1" s="15"/>
    </row>
    <row r="3" customFormat="false" ht="27.75" hidden="false" customHeight="true" outlineLevel="0" collapsed="false">
      <c r="A3" s="17" t="s">
        <v>300</v>
      </c>
      <c r="B3" s="17" t="s">
        <v>301</v>
      </c>
      <c r="C3" s="17" t="s">
        <v>302</v>
      </c>
      <c r="D3" s="17" t="s">
        <v>303</v>
      </c>
    </row>
    <row r="4" customFormat="false" ht="27.75" hidden="false" customHeight="true" outlineLevel="0" collapsed="false">
      <c r="A4" s="18" t="s">
        <v>304</v>
      </c>
      <c r="B4" s="77" t="s">
        <v>305</v>
      </c>
      <c r="C4" s="77" t="s">
        <v>306</v>
      </c>
      <c r="D4" s="23" t="s">
        <v>307</v>
      </c>
    </row>
    <row r="5" customFormat="false" ht="27.75" hidden="false" customHeight="true" outlineLevel="0" collapsed="false">
      <c r="A5" s="18" t="s">
        <v>308</v>
      </c>
      <c r="B5" s="77" t="s">
        <v>309</v>
      </c>
      <c r="C5" s="77" t="s">
        <v>310</v>
      </c>
      <c r="D5" s="23" t="s">
        <v>311</v>
      </c>
    </row>
    <row r="6" customFormat="false" ht="27.75" hidden="false" customHeight="true" outlineLevel="0" collapsed="false">
      <c r="A6" s="18" t="s">
        <v>312</v>
      </c>
      <c r="B6" s="77" t="s">
        <v>313</v>
      </c>
      <c r="C6" s="77" t="s">
        <v>314</v>
      </c>
      <c r="D6" s="23" t="s">
        <v>307</v>
      </c>
    </row>
    <row r="7" customFormat="false" ht="27.75" hidden="false" customHeight="true" outlineLevel="0" collapsed="false">
      <c r="A7" s="18" t="s">
        <v>315</v>
      </c>
      <c r="B7" s="77" t="s">
        <v>316</v>
      </c>
      <c r="C7" s="77" t="s">
        <v>317</v>
      </c>
      <c r="D7" s="23" t="s">
        <v>318</v>
      </c>
    </row>
    <row r="8" customFormat="false" ht="27.75" hidden="false" customHeight="true" outlineLevel="0" collapsed="false">
      <c r="A8" s="18" t="s">
        <v>319</v>
      </c>
      <c r="B8" s="77" t="s">
        <v>320</v>
      </c>
      <c r="C8" s="77" t="s">
        <v>321</v>
      </c>
      <c r="D8" s="23" t="s">
        <v>307</v>
      </c>
    </row>
    <row r="9" customFormat="false" ht="27.75" hidden="false" customHeight="true" outlineLevel="0" collapsed="false">
      <c r="A9" s="18" t="s">
        <v>322</v>
      </c>
      <c r="B9" s="77" t="s">
        <v>323</v>
      </c>
      <c r="C9" s="77" t="s">
        <v>317</v>
      </c>
      <c r="D9" s="23" t="s">
        <v>318</v>
      </c>
    </row>
    <row r="10" customFormat="false" ht="27.75" hidden="false" customHeight="true" outlineLevel="0" collapsed="false">
      <c r="A10" s="18" t="s">
        <v>324</v>
      </c>
      <c r="B10" s="77" t="s">
        <v>325</v>
      </c>
      <c r="C10" s="77" t="s">
        <v>326</v>
      </c>
      <c r="D10" s="23" t="s">
        <v>327</v>
      </c>
    </row>
    <row r="11" customFormat="false" ht="27.75" hidden="false" customHeight="true" outlineLevel="0" collapsed="false">
      <c r="A11" s="18" t="s">
        <v>328</v>
      </c>
      <c r="B11" s="77" t="s">
        <v>329</v>
      </c>
      <c r="C11" s="77" t="s">
        <v>330</v>
      </c>
      <c r="D11" s="23" t="s">
        <v>331</v>
      </c>
    </row>
    <row r="12" customFormat="false" ht="27.75" hidden="false" customHeight="true" outlineLevel="0" collapsed="false">
      <c r="A12" s="18" t="s">
        <v>332</v>
      </c>
      <c r="B12" s="77" t="s">
        <v>333</v>
      </c>
      <c r="C12" s="77" t="s">
        <v>334</v>
      </c>
      <c r="D12" s="23" t="s">
        <v>335</v>
      </c>
    </row>
    <row r="13" customFormat="false" ht="27.75" hidden="false" customHeight="true" outlineLevel="0" collapsed="false">
      <c r="A13" s="18" t="s">
        <v>336</v>
      </c>
      <c r="B13" s="77" t="s">
        <v>337</v>
      </c>
      <c r="C13" s="77" t="s">
        <v>338</v>
      </c>
      <c r="D13" s="23" t="s">
        <v>339</v>
      </c>
    </row>
    <row r="14" customFormat="false" ht="27.75" hidden="false" customHeight="true" outlineLevel="0" collapsed="false">
      <c r="A14" s="18" t="s">
        <v>340</v>
      </c>
      <c r="B14" s="77" t="s">
        <v>341</v>
      </c>
      <c r="C14" s="77" t="s">
        <v>342</v>
      </c>
      <c r="D14" s="23" t="s">
        <v>343</v>
      </c>
    </row>
    <row r="15" customFormat="false" ht="27.75" hidden="false" customHeight="true" outlineLevel="0" collapsed="false">
      <c r="A15" s="18" t="s">
        <v>344</v>
      </c>
      <c r="B15" s="77" t="s">
        <v>345</v>
      </c>
      <c r="C15" s="77" t="s">
        <v>346</v>
      </c>
      <c r="D15" s="23" t="s">
        <v>347</v>
      </c>
    </row>
    <row r="16" customFormat="false" ht="27.75" hidden="false" customHeight="true" outlineLevel="0" collapsed="false">
      <c r="A16" s="18" t="s">
        <v>348</v>
      </c>
      <c r="B16" s="77" t="s">
        <v>109</v>
      </c>
      <c r="C16" s="77" t="s">
        <v>346</v>
      </c>
      <c r="D16" s="23" t="s">
        <v>349</v>
      </c>
    </row>
    <row r="17" customFormat="false" ht="27.75" hidden="false" customHeight="true" outlineLevel="0" collapsed="false">
      <c r="A17" s="18" t="s">
        <v>350</v>
      </c>
      <c r="B17" s="77" t="s">
        <v>351</v>
      </c>
      <c r="C17" s="77" t="s">
        <v>352</v>
      </c>
      <c r="D17" s="23" t="s">
        <v>353</v>
      </c>
    </row>
    <row r="18" customFormat="false" ht="27.75" hidden="false" customHeight="true" outlineLevel="0" collapsed="false">
      <c r="A18" s="18" t="s">
        <v>354</v>
      </c>
      <c r="B18" s="77" t="s">
        <v>355</v>
      </c>
      <c r="C18" s="77" t="s">
        <v>356</v>
      </c>
      <c r="D18" s="23" t="s">
        <v>307</v>
      </c>
    </row>
    <row r="19" customFormat="false" ht="27.75" hidden="false" customHeight="true" outlineLevel="0" collapsed="false">
      <c r="A19" s="18" t="s">
        <v>357</v>
      </c>
      <c r="B19" s="77" t="s">
        <v>358</v>
      </c>
      <c r="C19" s="77" t="s">
        <v>359</v>
      </c>
      <c r="D19" s="23" t="s">
        <v>360</v>
      </c>
    </row>
    <row r="20" customFormat="false" ht="27.75" hidden="false" customHeight="true" outlineLevel="0" collapsed="false">
      <c r="A20" s="18" t="s">
        <v>361</v>
      </c>
      <c r="B20" s="77" t="s">
        <v>362</v>
      </c>
      <c r="C20" s="77" t="s">
        <v>363</v>
      </c>
      <c r="D20" s="23" t="s">
        <v>331</v>
      </c>
    </row>
    <row r="21" customFormat="false" ht="27.75" hidden="false" customHeight="true" outlineLevel="0" collapsed="false">
      <c r="A21" s="18" t="s">
        <v>364</v>
      </c>
      <c r="B21" s="77" t="s">
        <v>365</v>
      </c>
      <c r="C21" s="77" t="s">
        <v>366</v>
      </c>
      <c r="D21" s="23" t="s">
        <v>367</v>
      </c>
    </row>
    <row r="22" customFormat="false" ht="27.75" hidden="false" customHeight="true" outlineLevel="0" collapsed="false">
      <c r="A22" s="18" t="s">
        <v>368</v>
      </c>
      <c r="B22" s="77" t="s">
        <v>369</v>
      </c>
      <c r="C22" s="77" t="s">
        <v>370</v>
      </c>
      <c r="D22" s="23" t="s">
        <v>307</v>
      </c>
    </row>
    <row r="25" customFormat="false" ht="15" hidden="false" customHeight="false" outlineLevel="0" collapsed="false">
      <c r="A25" s="3" t="s">
        <v>371</v>
      </c>
      <c r="B25" s="3"/>
      <c r="C25" s="3"/>
      <c r="D25" s="3"/>
    </row>
    <row r="26" customFormat="false" ht="55.5" hidden="false" customHeight="true" outlineLevel="0" collapsed="false">
      <c r="A26" s="78" t="s">
        <v>372</v>
      </c>
      <c r="B26" s="79" t="s">
        <v>373</v>
      </c>
      <c r="C26" s="79"/>
      <c r="D26" s="79"/>
    </row>
    <row r="27" customFormat="false" ht="55.5" hidden="false" customHeight="true" outlineLevel="0" collapsed="false">
      <c r="A27" s="78" t="s">
        <v>374</v>
      </c>
      <c r="B27" s="79" t="s">
        <v>375</v>
      </c>
      <c r="C27" s="79"/>
      <c r="D27" s="79"/>
    </row>
    <row r="28" customFormat="false" ht="55.5" hidden="false" customHeight="true" outlineLevel="0" collapsed="false">
      <c r="A28" s="78" t="s">
        <v>376</v>
      </c>
      <c r="B28" s="79" t="s">
        <v>377</v>
      </c>
      <c r="C28" s="79"/>
      <c r="D28" s="79"/>
    </row>
    <row r="29" customFormat="false" ht="55.5" hidden="false" customHeight="true" outlineLevel="0" collapsed="false">
      <c r="A29" s="78" t="s">
        <v>378</v>
      </c>
      <c r="B29" s="79" t="s">
        <v>379</v>
      </c>
      <c r="C29" s="79"/>
      <c r="D29" s="79"/>
    </row>
    <row r="30" customFormat="false" ht="55.5" hidden="false" customHeight="true" outlineLevel="0" collapsed="false">
      <c r="A30" s="78" t="s">
        <v>380</v>
      </c>
      <c r="B30" s="79" t="s">
        <v>381</v>
      </c>
      <c r="C30" s="79"/>
      <c r="D30" s="79"/>
    </row>
    <row r="31" customFormat="false" ht="55.5" hidden="false" customHeight="true" outlineLevel="0" collapsed="false">
      <c r="A31" s="78" t="s">
        <v>382</v>
      </c>
      <c r="B31" s="79" t="s">
        <v>383</v>
      </c>
      <c r="C31" s="79"/>
      <c r="D31" s="79"/>
    </row>
    <row r="32" customFormat="false" ht="55.5" hidden="false" customHeight="true" outlineLevel="0" collapsed="false">
      <c r="A32" s="78" t="s">
        <v>384</v>
      </c>
      <c r="B32" s="79" t="s">
        <v>385</v>
      </c>
      <c r="C32" s="79"/>
      <c r="D32" s="79"/>
    </row>
  </sheetData>
  <mergeCells count="9">
    <mergeCell ref="A1:D1"/>
    <mergeCell ref="A25:D25"/>
    <mergeCell ref="B26:D26"/>
    <mergeCell ref="B27:D27"/>
    <mergeCell ref="B28:D28"/>
    <mergeCell ref="B29:D29"/>
    <mergeCell ref="B30:D30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2026-05-07T18:13:07Z</dcterms:created>
  <dc:creator>openpyxl</dc:creator>
  <dc:description/>
  <dc:language>en-US</dc:language>
  <cp:lastModifiedBy/>
  <dcterms:modified xsi:type="dcterms:W3CDTF">2026-05-07T18:13:14Z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