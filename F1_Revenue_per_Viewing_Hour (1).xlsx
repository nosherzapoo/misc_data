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Methodology" sheetId="1" state="visible" r:id="rId3"/>
    <sheet name="Inputs" sheetId="2" state="visible" r:id="rId4"/>
    <sheet name="Analysis - Global" sheetId="3" state="visible" r:id="rId5"/>
    <sheet name="Analysis - US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<sst xmlns="http://schemas.openxmlformats.org/spreadsheetml/2006/main" count="172" uniqueCount="133">
  <si>
    <t xml:space="preserve">Revenue per Viewing Hour — Formula 1 vs. Major Sports</t>
  </si>
  <si>
    <t xml:space="preserve">How efficiently each sport converts live audience attention into media-rights and total commercial revenue</t>
  </si>
  <si>
    <t xml:space="preserve">Prepared June 2026  •  Currency USD  •  Most-recent reported full season  •  v2 (U.S. panel rebuilt on total-U.S. basis)</t>
  </si>
  <si>
    <t xml:space="preserve">1.  THE METRIC</t>
  </si>
  <si>
    <t xml:space="preserve">Revenue per viewing hour = annual revenue ÷ annual live viewing hours. A LOW figure means the sport delivers</t>
  </si>
  <si>
    <t xml:space="preserve">a lot of audience attention relative to what it earns; a HIGH figure means each hour of attention is monetized richly</t>
  </si>
  <si>
    <t xml:space="preserve">(scarce, premium inventory, or revenue that comes from sources other than eyeballs).</t>
  </si>
  <si>
    <t xml:space="preserve">2.  HOW VIEWING HOURS ARE BUILT</t>
  </si>
  <si>
    <t xml:space="preserve">Live viewing hours = average live audience per event × number of events × live broadcast hours per event.</t>
  </si>
  <si>
    <t xml:space="preserve">For U.S. team leagues this is summed across BOTH national windows AND local/regional (RSN) broadcasts, plus</t>
  </si>
  <si>
    <t xml:space="preserve">in-market streaming where reported. Broadcast duration, event counts and the LOCAL average audience are editable</t>
  </si>
  <si>
    <t xml:space="preserve">assumptions (shaded yellow in the Inputs tab). Change them to flex the model.</t>
  </si>
  <si>
    <t xml:space="preserve">3.  TWO SCOPES, KEPT SEPARATE</t>
  </si>
  <si>
    <t xml:space="preserve">• GLOBAL panel — single global rights properties measured worldwide: F1, MotoGP, Premier League, Champions League.</t>
  </si>
  <si>
    <t xml:space="preserve">• U.S. panel — the U.S. 'Big Four' (NFL, NBA, MLB, NHL) plus F1's U.S. slice, measured on a TOTAL-U.S. basis:</t>
  </si>
  <si>
    <t xml:space="preserve">    total U.S. media rights (national + local) ÷ total U.S. viewing hours (national + local + streaming).</t>
  </si>
  <si>
    <t xml:space="preserve">F1 appears in both. Revenue and audience always cover the SAME territory so the ratio is meaningful.</t>
  </si>
  <si>
    <t xml:space="preserve">4.  WHAT CHANGED IN v2  (why the first U.S. cut was wrong)</t>
  </si>
  <si>
    <t xml:space="preserve">v1 divided NATIONAL-only viewing hours into the numbers — but NBA, MLB and NHL sell most games on LOCAL regional</t>
  </si>
  <si>
    <t xml:space="preserve">networks. Counting only national windows understated their viewing hours (badly for MLB/NHL, which are overwhelmingly</t>
  </si>
  <si>
    <t xml:space="preserve">local) and produced meaningless 'total revenue per hour' figures. v2 fixes this: every U.S. league is now measured on a</t>
  </si>
  <si>
    <t xml:space="preserve">whole-sport basis — local rights and local viewing are added to BOTH the numerator and the denominator.</t>
  </si>
  <si>
    <t xml:space="preserve">5.  REMAINING CAVEATS</t>
  </si>
  <si>
    <t xml:space="preserve">a) LOCAL viewing hours are ESTIMATED (local average audience × local games × duration). Local audience data is poorly</t>
  </si>
  <si>
    <t xml:space="preserve">   disclosed and RSNs are in upheaval (Diamond/Bally bankruptcy), so NBA/MLB/NHL are shown as LOW–BASE–HIGH ranges,</t>
  </si>
  <si>
    <t xml:space="preserve">   not point figures. NFL and F1 have no local broadcasts and are clean point estimates.</t>
  </si>
  <si>
    <t xml:space="preserve">b) NHL figures are U.S.-only (Canadian national/Rogers rights and audience excluded); its total revenue is gate-heavy,</t>
  </si>
  <si>
    <t xml:space="preserve">   so a high total-revenue-per-hour is expected and not a data error.</t>
  </si>
  <si>
    <t xml:space="preserve">c) Global audience figures mix linear + OTT and are promoter/Nielsen-reported with differing methods. Treat all cross-</t>
  </si>
  <si>
    <t xml:space="preserve">   sport comparisons as DIRECTIONAL. Per-sport confidence is flagged in the Inputs tab.</t>
  </si>
  <si>
    <t xml:space="preserve">6.  COLOR KEY</t>
  </si>
  <si>
    <t xml:space="preserve">Blue</t>
  </si>
  <si>
    <t xml:space="preserve">Hardcoded sourced input</t>
  </si>
  <si>
    <t xml:space="preserve">Black</t>
  </si>
  <si>
    <t xml:space="preserve">Formula / calculation</t>
  </si>
  <si>
    <t xml:space="preserve">Green</t>
  </si>
  <si>
    <t xml:space="preserve">Pulls from another worksheet</t>
  </si>
  <si>
    <t xml:space="preserve">Yellow cell</t>
  </si>
  <si>
    <t xml:space="preserve">Editable assumption (duration, event count, local audience)</t>
  </si>
  <si>
    <t xml:space="preserve">7.  PRIMARY SOURCES</t>
  </si>
  <si>
    <t xml:space="preserve">F1 / MotoGP financials</t>
  </si>
  <si>
    <t xml:space="preserve">Liberty Media Q4/FY2025 results, 26-Feb-2026. F1 media = 31.3% of F1 revenue; MotoGP media = 41.2%.</t>
  </si>
  <si>
    <t xml:space="preserve">F1 audience</t>
  </si>
  <si>
    <t xml:space="preserve">Nielsen via Broadcast/BlackBook, Mar-2026: 1.83bn cumulative; 76.1M avg/GP (2025). U.S.: 1.32M avg/race (ESPN, 2025).</t>
  </si>
  <si>
    <t xml:space="preserve">F1 U.S. rights</t>
  </si>
  <si>
    <t xml:space="preserve">Apple–F1 5-yr deal ~$140M/yr from 2026 (Sportcal/CNBC, Oct-2025); ESPN paid ~$85–90M/yr (2025).</t>
  </si>
  <si>
    <t xml:space="preserve">MotoGP audience</t>
  </si>
  <si>
    <t xml:space="preserve">Nielsen Sport 2020 via RTR Sports: ~24.2M avg/race (dated — Low confidence).</t>
  </si>
  <si>
    <t xml:space="preserve">NFL</t>
  </si>
  <si>
    <t xml:space="preserve">FOS/Nielsen 17.5M avg/game (2024); national rights ~$10B/yr (S&amp;P Kagan/Statista; ~$12.4B incl. Sunday Ticket); revenue ~$23B.</t>
  </si>
  <si>
    <t xml:space="preserve">NBA</t>
  </si>
  <si>
    <t xml:space="preserve">NBA.com/ESPN Apr-2026: 920M national hrs, 1.78M avg/game; $76B/11yr=$6.9B/yr national; local ~$1.2B (Sportico, ~10% of rev); total rev ~$11B.</t>
  </si>
  <si>
    <t xml:space="preserve">MLB</t>
  </si>
  <si>
    <t xml:space="preserve">CNBC/Sportico: national rights ~$1.7B; local RSN ~$2.2B aggregate (theberkidabrief/Sportico); MLB.TV 19.4B min=323M hrs; total rev ~$11–12B.</t>
  </si>
  <si>
    <t xml:space="preserve">NHL</t>
  </si>
  <si>
    <t xml:space="preserve">SBJ/Sportico: ~0.50M avg/national game; U.S. national rights ~$625M; U.S. local ~$0.35B (≈11% of rev, Sportico); U.S. revenue ~$5.5B (excl. Canada).</t>
  </si>
  <si>
    <t xml:space="preserve">Premier League</t>
  </si>
  <si>
    <t xml:space="preserve">arthnova/theesk/footballtransfers 2025-26: media ~£3.84B≈$4.8B/yr; 380 matches; cumulative global audience ~3.2bn.</t>
  </si>
  <si>
    <t xml:space="preserve">Champions League</t>
  </si>
  <si>
    <t xml:space="preserve">Statista/GlobalData/businesstats: media ~€3.3B≈$3.6B; total ~$4–5B; 36-team format ~189 matches; per-match global audience estimated.</t>
  </si>
  <si>
    <t xml:space="preserve">INPUTS — sourced figures &amp; editable assumptions</t>
  </si>
  <si>
    <t xml:space="preserve">Blue = sourced input.  Yellow = editable assumption.  Revenue in $ millions; audience in millions.</t>
  </si>
  <si>
    <t xml:space="preserve">Sport</t>
  </si>
  <si>
    <t xml:space="preserve">Year</t>
  </si>
  <si>
    <t xml:space="preserve">Media rights
($mm)</t>
  </si>
  <si>
    <t xml:space="preserve">Primary rev
($mm)</t>
  </si>
  <si>
    <t xml:space="preserve">Total rev
($mm)</t>
  </si>
  <si>
    <t xml:space="preserve">Avg aud/event
(mm)</t>
  </si>
  <si>
    <t xml:space="preserve">Events</t>
  </si>
  <si>
    <t xml:space="preserve">Bcast hrs
/event</t>
  </si>
  <si>
    <t xml:space="preserve">Conf</t>
  </si>
  <si>
    <t xml:space="preserve">Scope</t>
  </si>
  <si>
    <t xml:space="preserve">Source / notes</t>
  </si>
  <si>
    <t xml:space="preserve">GLOBAL  (worldwide rights &amp; audience)</t>
  </si>
  <si>
    <t xml:space="preserve">Formula 1</t>
  </si>
  <si>
    <t xml:space="preserve">2025</t>
  </si>
  <si>
    <t xml:space="preserve">Med</t>
  </si>
  <si>
    <t xml:space="preserve">Global</t>
  </si>
  <si>
    <t xml:space="preserve">Liberty FY25: total $3,873M; media 31.3%=$1,212M; primary $3,086M. Nielsen 76.1M avg/GP.</t>
  </si>
  <si>
    <t xml:space="preserve">MotoGP</t>
  </si>
  <si>
    <t xml:space="preserve">Low</t>
  </si>
  <si>
    <t xml:space="preserve">Liberty FY25: total $573M; media 41.2%=$236M. Nielsen 2020: 24.2M avg/race (dated).</t>
  </si>
  <si>
    <t xml:space="preserve">2025/26</t>
  </si>
  <si>
    <t xml:space="preserve">Media ~£3.84B≈$4.8B +central spons. Cumulative 3.2bn/380=8.4M avg/match (est.).</t>
  </si>
  <si>
    <t xml:space="preserve">2024/25</t>
  </si>
  <si>
    <t xml:space="preserve">V.Low</t>
  </si>
  <si>
    <t xml:space="preserve">Media ~€3.3B≈$3.6B; total $4–5B. ~189 matches. Per-match global aud 20M = estimate.</t>
  </si>
  <si>
    <t xml:space="preserve">Natl media
($mm)</t>
  </si>
  <si>
    <t xml:space="preserve">Local media
($mm)</t>
  </si>
  <si>
    <t xml:space="preserve">Total US rev
($mm)</t>
  </si>
  <si>
    <t xml:space="preserve">Natl avg aud
(mm)</t>
  </si>
  <si>
    <t xml:space="preserve">Natl telecasts</t>
  </si>
  <si>
    <t xml:space="preserve">Local games</t>
  </si>
  <si>
    <t xml:space="preserve">Local avg aud (mm)
LOW</t>
  </si>
  <si>
    <t xml:space="preserve">BASE</t>
  </si>
  <si>
    <t xml:space="preserve">HIGH</t>
  </si>
  <si>
    <t xml:space="preserve">Bcast hrs
/game</t>
  </si>
  <si>
    <t xml:space="preserve">Streaming hrs
(mm)</t>
  </si>
  <si>
    <t xml:space="preserve">U.S.  (total-U.S. basis: national + local + streaming)</t>
  </si>
  <si>
    <t xml:space="preserve">Formula 1 (U.S.)</t>
  </si>
  <si>
    <t xml:space="preserve">2026</t>
  </si>
  <si>
    <t xml:space="preserve">n/a</t>
  </si>
  <si>
    <t xml:space="preserve">Apple ~$140M/yr (2026-30). 1.32M avg/race U.S. No local broadcasts.</t>
  </si>
  <si>
    <t xml:space="preserve">2024</t>
  </si>
  <si>
    <t xml:space="preserve">All rights centralized/national (~$10B; up to $12.4B incl Sunday Ticket). 17.5M avg/game. No RSN. Rev ~$23B.</t>
  </si>
  <si>
    <t xml:space="preserve">National $6.9B; local ~$1.2B (≈10% of rev). 207 natl telecasts ≈920M hrs (league-published). ~1,110 local games.</t>
  </si>
  <si>
    <t xml:space="preserve">National $1.7B; local RSN ~$2.2B aggregate. ~2,300 local games. MLB.TV 19.4B min=323M hrs. Rev ~$11B.</t>
  </si>
  <si>
    <t xml:space="preserve">NHL (U.S.)</t>
  </si>
  <si>
    <t xml:space="preserve">U.S. national $625M; U.S. local ~$0.35B. ~1,200 local games. Canada excluded. U.S. rev ~$5.5B (gate-heavy).</t>
  </si>
  <si>
    <t xml:space="preserve">Local-audience LOW/BASE/HIGH columns drive the sensitivity range on the U.S. analysis tab. Edit them to test scenarios.</t>
  </si>
  <si>
    <t xml:space="preserve">GLOBAL PANEL — revenue per worldwide viewing hour</t>
  </si>
  <si>
    <t xml:space="preserve">Global media-rights / total revenue ÷ global live viewing hours. Lower $ = more attention per revenue dollar.</t>
  </si>
  <si>
    <t xml:space="preserve">Viewing hrs
(mm)</t>
  </si>
  <si>
    <t xml:space="preserve">MEDIA RIGHTS
per view-hr ($)</t>
  </si>
  <si>
    <t xml:space="preserve">PRIMARY rev
per view-hr ($)</t>
  </si>
  <si>
    <t xml:space="preserve">TOTAL rev
per view-hr ($)</t>
  </si>
  <si>
    <t xml:space="preserve">F1 'Primary revenue' = race promotion + media rights + sponsorship (Liberty's defined segment). Viewing hrs = avg aud × events × bcast hrs.</t>
  </si>
  <si>
    <t xml:space="preserve">Read-across: F1's huge global viewing hours make its MEDIA-RIGHTS per hour modest, but its diversified model lifts TOTAL revenue per hour above peers.</t>
  </si>
  <si>
    <t xml:space="preserve">U.S. PANEL — revenue per TOTAL-U.S. viewing hour</t>
  </si>
  <si>
    <t xml:space="preserve">Total U.S. media rights (national + local) ÷ total U.S. viewing hours (national + local + streaming). NBA/MLB/NHL shown as ranges (local viewing estimated).</t>
  </si>
  <si>
    <t xml:space="preserve">Total media
($mm)</t>
  </si>
  <si>
    <t xml:space="preserve">Total US view-
hrs, base (mm)</t>
  </si>
  <si>
    <t xml:space="preserve">MEDIA $/hr
BASE</t>
  </si>
  <si>
    <t xml:space="preserve">MEDIA $/hr
HIGH (low local)</t>
  </si>
  <si>
    <t xml:space="preserve">MEDIA $/hr
LOW (high local)</t>
  </si>
  <si>
    <t xml:space="preserve">TOTAL rev
$/hr (base)</t>
  </si>
  <si>
    <t xml:space="preserve">BASE uses the BASE local-audience assumption. HIGH/LOW columns flex local viewing down/up (Inputs LOW/HIGH cells) — note: less local viewing → higher $/hr.</t>
  </si>
  <si>
    <t xml:space="preserve">NFL &amp; F1 have no local broadcasts, so their three MEDIA $/hr columns are identical (clean point estimates).</t>
  </si>
  <si>
    <t xml:space="preserve">Interpretation: the NFL delivers so much attention that its rights are the CHEAPEST per hour. The NBA's new $76B deal is the most EXPENSIVE per hour.</t>
  </si>
  <si>
    <t xml:space="preserve">NHL's high TOTAL-rev/hr reflects gate-driven revenue over low U.S. viewing — expected, not an error. Canada excluded throughout.</t>
  </si>
  <si>
    <t xml:space="preserve">Charts — revenue per viewing hour</t>
  </si>
  <si>
    <t xml:space="preserve">U.S. bars use the BASE local-viewing assumption; NBA/MLB/NHL carry ranges (see Analysis - US). See README for caveats.</t>
  </si>
  <si>
    <t xml:space="preserve">U.S. = total-U.S. basis (national + local + streaming).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</si>
</sst>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.0"/>
    <numFmt numFmtId="167" formatCode="#,##0"/>
    <numFmt numFmtId="168" formatCode="0.0"/>
    <numFmt numFmtId="169" formatCode="\$#,##0;&quot;($&quot;#,##0\);\-"/>
    <numFmt numFmtId="170" formatCode="#,##0.00"/>
    <numFmt numFmtId="171" formatCode="0.000"/>
    <numFmt numFmtId="172" formatCode="\$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BF8F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375623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FCE4D6"/>
        <bgColor rgb="FFF2F5FA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— MEDIA RIGHTS per viewing hour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Global'!$B$6:$B$9</c:f>
              <c:strCache>
                <c:ptCount val="4"/>
                <c:pt idx="0">
                  <c:v>Formula 1</c:v>
                </c:pt>
                <c:pt idx="1">
                  <c:v>MotoGP</c:v>
                </c:pt>
                <c:pt idx="2">
                  <c:v>Premier League</c:v>
                </c:pt>
                <c:pt idx="3">
                  <c:v>Champions League</c:v>
                </c:pt>
              </c:strCache>
            </c:strRef>
          </c:cat>
          <c:val>
            <c:numRef>
              <c:f>'Analysis - Global'!$G$6:$G$9</c:f>
              <c:numCache>
                <c:formatCode>\$0.00</c:formatCode>
                <c:ptCount val="4"/>
                <c:pt idx="0">
                  <c:v>0.331800262812089</c:v>
                </c:pt>
                <c:pt idx="1">
                  <c:v>0.443275732531931</c:v>
                </c:pt>
                <c:pt idx="2">
                  <c:v>0.75187969924812</c:v>
                </c:pt>
                <c:pt idx="3">
                  <c:v>0.476190476190476</c:v>
                </c:pt>
              </c:numCache>
            </c:numRef>
          </c:val>
        </c:ser>
        <c:gapWidth val="150"/>
        <c:overlap val="0"/>
        <c:axId val="17088077"/>
        <c:axId val="30756640"/>
      </c:barChart>
      <c:catAx>
        <c:axId val="17088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56640"/>
        <c:crosses val="autoZero"/>
        <c:auto val="1"/>
        <c:lblAlgn val="ctr"/>
        <c:lblOffset val="100"/>
        <c:noMultiLvlLbl val="0"/>
      </c:catAx>
      <c:valAx>
        <c:axId val="307566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880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— TOTAL revenue per viewing hour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Global'!$B$6:$B$9</c:f>
              <c:strCache>
                <c:ptCount val="4"/>
                <c:pt idx="0">
                  <c:v>Formula 1</c:v>
                </c:pt>
                <c:pt idx="1">
                  <c:v>MotoGP</c:v>
                </c:pt>
                <c:pt idx="2">
                  <c:v>Premier League</c:v>
                </c:pt>
                <c:pt idx="3">
                  <c:v>Champions League</c:v>
                </c:pt>
              </c:strCache>
            </c:strRef>
          </c:cat>
          <c:val>
            <c:numRef>
              <c:f>'Analysis - Global'!$I$6:$I$9</c:f>
              <c:numCache>
                <c:formatCode>\$0.00</c:formatCode>
                <c:ptCount val="4"/>
                <c:pt idx="0">
                  <c:v>1.06028252299606</c:v>
                </c:pt>
                <c:pt idx="1">
                  <c:v>1.07625845229151</c:v>
                </c:pt>
                <c:pt idx="2">
                  <c:v>0.798872180451128</c:v>
                </c:pt>
                <c:pt idx="3">
                  <c:v>0.595238095238095</c:v>
                </c:pt>
              </c:numCache>
            </c:numRef>
          </c:val>
        </c:ser>
        <c:gapWidth val="150"/>
        <c:overlap val="0"/>
        <c:axId val="60185391"/>
        <c:axId val="68071740"/>
      </c:barChart>
      <c:catAx>
        <c:axId val="6018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71740"/>
        <c:crosses val="autoZero"/>
        <c:auto val="1"/>
        <c:lblAlgn val="ctr"/>
        <c:lblOffset val="100"/>
        <c:noMultiLvlLbl val="0"/>
      </c:catAx>
      <c:valAx>
        <c:axId val="68071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85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U.S. — MEDIA RIGHTS per viewing hour ($, 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US'!$B$6:$B$10</c:f>
              <c:strCache>
                <c:ptCount val="5"/>
                <c:pt idx="0">
                  <c:v>Formula 1 (U.S.)</c:v>
                </c:pt>
                <c:pt idx="1">
                  <c:v>NFL</c:v>
                </c:pt>
                <c:pt idx="2">
                  <c:v>NBA</c:v>
                </c:pt>
                <c:pt idx="3">
                  <c:v>MLB</c:v>
                </c:pt>
                <c:pt idx="4">
                  <c:v>NHL (U.S.)</c:v>
                </c:pt>
              </c:strCache>
            </c:strRef>
          </c:cat>
          <c:val>
            <c:numRef>
              <c:f>'Analysis - US'!$E$6:$E$10</c:f>
              <c:numCache>
                <c:formatCode>\$0.00</c:formatCode>
                <c:ptCount val="5"/>
                <c:pt idx="0">
                  <c:v>2.20959595959596</c:v>
                </c:pt>
                <c:pt idx="1">
                  <c:v>0.700280112044818</c:v>
                </c:pt>
                <c:pt idx="2">
                  <c:v>7.17274357441721</c:v>
                </c:pt>
                <c:pt idx="3">
                  <c:v>2.22348916761688</c:v>
                </c:pt>
                <c:pt idx="4">
                  <c:v>3.17073170731707</c:v>
                </c:pt>
              </c:numCache>
            </c:numRef>
          </c:val>
        </c:ser>
        <c:gapWidth val="150"/>
        <c:overlap val="0"/>
        <c:axId val="80727328"/>
        <c:axId val="62196038"/>
      </c:barChart>
      <c:catAx>
        <c:axId val="807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96038"/>
        <c:crosses val="autoZero"/>
        <c:auto val="1"/>
        <c:lblAlgn val="ctr"/>
        <c:lblOffset val="100"/>
        <c:noMultiLvlLbl val="0"/>
      </c:catAx>
      <c:valAx>
        <c:axId val="62196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27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U.S. — TOTAL revenue per viewing hour ($, 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- US'!$B$6:$B$10</c:f>
              <c:strCache>
                <c:ptCount val="5"/>
                <c:pt idx="0">
                  <c:v>Formula 1 (U.S.)</c:v>
                </c:pt>
                <c:pt idx="1">
                  <c:v>NFL</c:v>
                </c:pt>
                <c:pt idx="2">
                  <c:v>NBA</c:v>
                </c:pt>
                <c:pt idx="3">
                  <c:v>MLB</c:v>
                </c:pt>
                <c:pt idx="4">
                  <c:v>NHL (U.S.)</c:v>
                </c:pt>
              </c:strCache>
            </c:strRef>
          </c:cat>
          <c:val>
            <c:numRef>
              <c:f>'Analysis - US'!$I$6:$I$10</c:f>
              <c:numCache>
                <c:formatCode>\$0.00</c:formatCode>
                <c:ptCount val="5"/>
                <c:pt idx="1">
                  <c:v>1.61064425770308</c:v>
                </c:pt>
                <c:pt idx="2">
                  <c:v>9.74076287883819</c:v>
                </c:pt>
                <c:pt idx="3">
                  <c:v>6.27137970353478</c:v>
                </c:pt>
                <c:pt idx="4">
                  <c:v>17.8861788617886</c:v>
                </c:pt>
              </c:numCache>
            </c:numRef>
          </c:val>
        </c:ser>
        <c:gapWidth val="150"/>
        <c:overlap val="0"/>
        <c:axId val="98849244"/>
        <c:axId val="4169655"/>
      </c:barChart>
      <c:catAx>
        <c:axId val="98849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9655"/>
        <c:crosses val="autoZero"/>
        <c:auto val="1"/>
        <c:lblAlgn val="ctr"/>
        <c:lblOffset val="100"/>
        <c:noMultiLvlLbl val="0"/>
      </c:catAx>
      <c:valAx>
        <c:axId val="4169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/ viewing 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49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176040</xdr:rowOff>
    </xdr:from>
    <xdr:to>
      <xdr:col>10</xdr:col>
      <xdr:colOff>256320</xdr:colOff>
      <xdr:row>19</xdr:row>
      <xdr:rowOff>7560</xdr:rowOff>
    </xdr:to>
    <xdr:graphicFrame>
      <xdr:nvGraphicFramePr>
        <xdr:cNvPr id="0" name="Chart 1"/>
        <xdr:cNvGraphicFramePr/>
      </xdr:nvGraphicFramePr>
      <xdr:xfrm>
        <a:off x="61164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176040</xdr:rowOff>
    </xdr:from>
    <xdr:to>
      <xdr:col>10</xdr:col>
      <xdr:colOff>256320</xdr:colOff>
      <xdr:row>36</xdr:row>
      <xdr:rowOff>7560</xdr:rowOff>
    </xdr:to>
    <xdr:graphicFrame>
      <xdr:nvGraphicFramePr>
        <xdr:cNvPr id="1" name="Chart 2"/>
        <xdr:cNvGraphicFramePr/>
      </xdr:nvGraphicFramePr>
      <xdr:xfrm>
        <a:off x="61164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</xdr:row>
      <xdr:rowOff>176040</xdr:rowOff>
    </xdr:from>
    <xdr:to>
      <xdr:col>20</xdr:col>
      <xdr:colOff>255960</xdr:colOff>
      <xdr:row>19</xdr:row>
      <xdr:rowOff>7560</xdr:rowOff>
    </xdr:to>
    <xdr:graphicFrame>
      <xdr:nvGraphicFramePr>
        <xdr:cNvPr id="2" name="Chart 3"/>
        <xdr:cNvGraphicFramePr/>
      </xdr:nvGraphicFramePr>
      <xdr:xfrm>
        <a:off x="67266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20</xdr:row>
      <xdr:rowOff>176040</xdr:rowOff>
    </xdr:from>
    <xdr:to>
      <xdr:col>20</xdr:col>
      <xdr:colOff>255960</xdr:colOff>
      <xdr:row>36</xdr:row>
      <xdr:rowOff>7560</xdr:rowOff>
    </xdr:to>
    <xdr:graphicFrame>
      <xdr:nvGraphicFramePr>
        <xdr:cNvPr id="3" name="Chart 4"/>
        <xdr:cNvGraphicFramePr/>
      </xdr:nvGraphicFramePr>
      <xdr:xfrm>
        <a:off x="672660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5"/>
    </row>
    <row r="8" customFormat="false" ht="15" hidden="false" customHeight="false" outlineLevel="0" collapsed="false">
      <c r="B8" s="5" t="s">
        <v>5</v>
      </c>
      <c r="C8" s="5"/>
    </row>
    <row r="9" customFormat="false" ht="15" hidden="false" customHeight="false" outlineLevel="0" collapsed="false">
      <c r="B9" s="5" t="s">
        <v>6</v>
      </c>
      <c r="C9" s="5"/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5" t="s">
        <v>8</v>
      </c>
      <c r="C12" s="5"/>
    </row>
    <row r="13" customFormat="false" ht="15" hidden="false" customHeight="false" outlineLevel="0" collapsed="false">
      <c r="B13" s="5" t="s">
        <v>9</v>
      </c>
      <c r="C13" s="5"/>
    </row>
    <row r="14" customFormat="false" ht="15" hidden="false" customHeight="false" outlineLevel="0" collapsed="false">
      <c r="B14" s="5" t="s">
        <v>10</v>
      </c>
      <c r="C14" s="5"/>
    </row>
    <row r="15" customFormat="false" ht="15" hidden="false" customHeight="false" outlineLevel="0" collapsed="false">
      <c r="B15" s="5" t="s">
        <v>11</v>
      </c>
      <c r="C15" s="5"/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5" t="s">
        <v>13</v>
      </c>
      <c r="C18" s="5"/>
    </row>
    <row r="19" customFormat="false" ht="15" hidden="false" customHeight="false" outlineLevel="0" collapsed="false">
      <c r="B19" s="5" t="s">
        <v>14</v>
      </c>
      <c r="C19" s="5"/>
    </row>
    <row r="20" customFormat="false" ht="15" hidden="false" customHeight="false" outlineLevel="0" collapsed="false">
      <c r="B20" s="5" t="s">
        <v>15</v>
      </c>
      <c r="C20" s="5"/>
    </row>
    <row r="21" customFormat="false" ht="15" hidden="false" customHeight="false" outlineLevel="0" collapsed="false">
      <c r="B21" s="5" t="s">
        <v>16</v>
      </c>
      <c r="C21" s="5"/>
    </row>
    <row r="23" customFormat="false" ht="15" hidden="false" customHeight="false" outlineLevel="0" collapsed="false">
      <c r="B23" s="6" t="s">
        <v>17</v>
      </c>
    </row>
    <row r="24" customFormat="false" ht="15" hidden="false" customHeight="false" outlineLevel="0" collapsed="false">
      <c r="B24" s="7" t="s">
        <v>18</v>
      </c>
      <c r="C24" s="7"/>
    </row>
    <row r="25" customFormat="false" ht="15" hidden="false" customHeight="false" outlineLevel="0" collapsed="false">
      <c r="B25" s="7" t="s">
        <v>19</v>
      </c>
      <c r="C25" s="7"/>
    </row>
    <row r="26" customFormat="false" ht="15" hidden="false" customHeight="false" outlineLevel="0" collapsed="false">
      <c r="B26" s="7" t="s">
        <v>20</v>
      </c>
      <c r="C26" s="7"/>
    </row>
    <row r="27" customFormat="false" ht="15" hidden="false" customHeight="false" outlineLevel="0" collapsed="false">
      <c r="B27" s="7" t="s">
        <v>21</v>
      </c>
      <c r="C27" s="7"/>
    </row>
    <row r="29" customFormat="false" ht="15" hidden="false" customHeight="false" outlineLevel="0" collapsed="false">
      <c r="B29" s="4" t="s">
        <v>22</v>
      </c>
    </row>
    <row r="30" customFormat="false" ht="15" hidden="false" customHeight="false" outlineLevel="0" collapsed="false">
      <c r="B30" s="5" t="s">
        <v>23</v>
      </c>
      <c r="C30" s="5"/>
    </row>
    <row r="31" customFormat="false" ht="15" hidden="false" customHeight="false" outlineLevel="0" collapsed="false">
      <c r="B31" s="5" t="s">
        <v>24</v>
      </c>
      <c r="C31" s="5"/>
    </row>
    <row r="32" customFormat="false" ht="15" hidden="false" customHeight="false" outlineLevel="0" collapsed="false">
      <c r="B32" s="5" t="s">
        <v>25</v>
      </c>
      <c r="C32" s="5"/>
    </row>
    <row r="33" customFormat="false" ht="15" hidden="false" customHeight="false" outlineLevel="0" collapsed="false">
      <c r="B33" s="5" t="s">
        <v>26</v>
      </c>
      <c r="C33" s="5"/>
    </row>
    <row r="34" customFormat="false" ht="15" hidden="false" customHeight="false" outlineLevel="0" collapsed="false">
      <c r="B34" s="5" t="s">
        <v>27</v>
      </c>
      <c r="C34" s="5"/>
    </row>
    <row r="35" customFormat="false" ht="15" hidden="false" customHeight="false" outlineLevel="0" collapsed="false">
      <c r="B35" s="5" t="s">
        <v>28</v>
      </c>
      <c r="C35" s="5"/>
    </row>
    <row r="36" customFormat="false" ht="15" hidden="false" customHeight="false" outlineLevel="0" collapsed="false">
      <c r="B36" s="5" t="s">
        <v>29</v>
      </c>
      <c r="C36" s="5"/>
    </row>
    <row r="38" customFormat="false" ht="15" hidden="false" customHeight="false" outlineLevel="0" collapsed="false">
      <c r="B38" s="4" t="s">
        <v>30</v>
      </c>
    </row>
    <row r="39" customFormat="false" ht="15" hidden="false" customHeight="false" outlineLevel="0" collapsed="false">
      <c r="B39" s="8" t="s">
        <v>31</v>
      </c>
      <c r="C39" s="9" t="s">
        <v>32</v>
      </c>
    </row>
    <row r="40" customFormat="false" ht="15" hidden="false" customHeight="false" outlineLevel="0" collapsed="false">
      <c r="B40" s="10" t="s">
        <v>33</v>
      </c>
      <c r="C40" s="9" t="s">
        <v>34</v>
      </c>
    </row>
    <row r="41" customFormat="false" ht="15" hidden="false" customHeight="false" outlineLevel="0" collapsed="false">
      <c r="B41" s="11" t="s">
        <v>35</v>
      </c>
      <c r="C41" s="9" t="s">
        <v>36</v>
      </c>
    </row>
    <row r="42" customFormat="false" ht="15" hidden="false" customHeight="false" outlineLevel="0" collapsed="false">
      <c r="B42" s="12" t="s">
        <v>37</v>
      </c>
      <c r="C42" s="9" t="s">
        <v>38</v>
      </c>
    </row>
    <row r="44" customFormat="false" ht="15" hidden="false" customHeight="false" outlineLevel="0" collapsed="false">
      <c r="B44" s="4" t="s">
        <v>39</v>
      </c>
    </row>
    <row r="45" customFormat="false" ht="27.75" hidden="false" customHeight="true" outlineLevel="0" collapsed="false">
      <c r="B45" s="13" t="s">
        <v>40</v>
      </c>
      <c r="C45" s="14" t="s">
        <v>41</v>
      </c>
    </row>
    <row r="46" customFormat="false" ht="27.75" hidden="false" customHeight="true" outlineLevel="0" collapsed="false">
      <c r="B46" s="13" t="s">
        <v>42</v>
      </c>
      <c r="C46" s="14" t="s">
        <v>43</v>
      </c>
    </row>
    <row r="47" customFormat="false" ht="27.75" hidden="false" customHeight="true" outlineLevel="0" collapsed="false">
      <c r="B47" s="13" t="s">
        <v>44</v>
      </c>
      <c r="C47" s="14" t="s">
        <v>45</v>
      </c>
    </row>
    <row r="48" customFormat="false" ht="27.75" hidden="false" customHeight="true" outlineLevel="0" collapsed="false">
      <c r="B48" s="13" t="s">
        <v>46</v>
      </c>
      <c r="C48" s="14" t="s">
        <v>47</v>
      </c>
    </row>
    <row r="49" customFormat="false" ht="27.75" hidden="false" customHeight="true" outlineLevel="0" collapsed="false">
      <c r="B49" s="13" t="s">
        <v>48</v>
      </c>
      <c r="C49" s="14" t="s">
        <v>49</v>
      </c>
    </row>
    <row r="50" customFormat="false" ht="27.75" hidden="false" customHeight="true" outlineLevel="0" collapsed="false">
      <c r="B50" s="13" t="s">
        <v>50</v>
      </c>
      <c r="C50" s="14" t="s">
        <v>51</v>
      </c>
    </row>
    <row r="51" customFormat="false" ht="27.75" hidden="false" customHeight="true" outlineLevel="0" collapsed="false">
      <c r="B51" s="13" t="s">
        <v>52</v>
      </c>
      <c r="C51" s="14" t="s">
        <v>53</v>
      </c>
    </row>
    <row r="52" customFormat="false" ht="27.75" hidden="false" customHeight="true" outlineLevel="0" collapsed="false">
      <c r="B52" s="13" t="s">
        <v>54</v>
      </c>
      <c r="C52" s="14" t="s">
        <v>55</v>
      </c>
    </row>
    <row r="53" customFormat="false" ht="27.75" hidden="false" customHeight="true" outlineLevel="0" collapsed="false">
      <c r="B53" s="13" t="s">
        <v>56</v>
      </c>
      <c r="C53" s="14" t="s">
        <v>57</v>
      </c>
    </row>
    <row r="54" customFormat="false" ht="27.75" hidden="false" customHeight="true" outlineLevel="0" collapsed="false">
      <c r="B54" s="13" t="s">
        <v>58</v>
      </c>
      <c r="C54" s="14" t="s">
        <v>59</v>
      </c>
    </row>
  </sheetData>
  <mergeCells count="22">
    <mergeCell ref="B7:C7"/>
    <mergeCell ref="B8:C8"/>
    <mergeCell ref="B9:C9"/>
    <mergeCell ref="B12:C12"/>
    <mergeCell ref="B13:C13"/>
    <mergeCell ref="B14:C14"/>
    <mergeCell ref="B15:C15"/>
    <mergeCell ref="B18:C18"/>
    <mergeCell ref="B19:C19"/>
    <mergeCell ref="B20:C20"/>
    <mergeCell ref="B21:C21"/>
    <mergeCell ref="B24:C24"/>
    <mergeCell ref="B25:C25"/>
    <mergeCell ref="B26:C26"/>
    <mergeCell ref="B27:C27"/>
    <mergeCell ref="B30:C30"/>
    <mergeCell ref="B31:C31"/>
    <mergeCell ref="B32:C32"/>
    <mergeCell ref="B33:C33"/>
    <mergeCell ref="B34:C34"/>
    <mergeCell ref="B35:C35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7" min="4" style="0" width="13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5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50"/>
  </cols>
  <sheetData>
    <row r="2" customFormat="false" ht="16.15" hidden="false" customHeight="false" outlineLevel="0" collapsed="false">
      <c r="B2" s="15" t="s">
        <v>60</v>
      </c>
    </row>
    <row r="3" customFormat="false" ht="15" hidden="false" customHeight="false" outlineLevel="0" collapsed="false">
      <c r="B3" s="3" t="s">
        <v>61</v>
      </c>
    </row>
    <row r="5" customFormat="false" ht="30" hidden="false" customHeight="true" outlineLevel="0" collapsed="false">
      <c r="B5" s="16" t="s">
        <v>62</v>
      </c>
      <c r="C5" s="16" t="s">
        <v>63</v>
      </c>
      <c r="D5" s="16" t="s">
        <v>64</v>
      </c>
      <c r="E5" s="16" t="s">
        <v>65</v>
      </c>
      <c r="F5" s="16" t="s">
        <v>66</v>
      </c>
      <c r="G5" s="16" t="s">
        <v>67</v>
      </c>
      <c r="H5" s="16" t="s">
        <v>68</v>
      </c>
      <c r="I5" s="16" t="s">
        <v>69</v>
      </c>
      <c r="J5" s="16" t="s">
        <v>70</v>
      </c>
      <c r="K5" s="16" t="s">
        <v>71</v>
      </c>
      <c r="L5" s="16" t="s">
        <v>72</v>
      </c>
    </row>
    <row r="6" customFormat="false" ht="15" hidden="false" customHeight="false" outlineLevel="0" collapsed="false">
      <c r="B6" s="17" t="s">
        <v>73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customFormat="false" ht="30" hidden="false" customHeight="true" outlineLevel="0" collapsed="false">
      <c r="B7" s="19" t="s">
        <v>74</v>
      </c>
      <c r="C7" s="20" t="s">
        <v>75</v>
      </c>
      <c r="D7" s="21" t="n">
        <v>1212</v>
      </c>
      <c r="E7" s="21" t="n">
        <v>3086</v>
      </c>
      <c r="F7" s="21" t="n">
        <v>3873</v>
      </c>
      <c r="G7" s="22" t="n">
        <v>76.1</v>
      </c>
      <c r="H7" s="23" t="n">
        <v>24</v>
      </c>
      <c r="I7" s="24" t="n">
        <v>2</v>
      </c>
      <c r="J7" s="25" t="s">
        <v>76</v>
      </c>
      <c r="K7" s="26" t="s">
        <v>77</v>
      </c>
      <c r="L7" s="27" t="s">
        <v>78</v>
      </c>
    </row>
    <row r="8" customFormat="false" ht="30" hidden="false" customHeight="true" outlineLevel="0" collapsed="false">
      <c r="B8" s="28" t="s">
        <v>79</v>
      </c>
      <c r="C8" s="29" t="s">
        <v>75</v>
      </c>
      <c r="D8" s="30" t="n">
        <v>236</v>
      </c>
      <c r="E8" s="30" t="n">
        <v>502</v>
      </c>
      <c r="F8" s="30" t="n">
        <v>573</v>
      </c>
      <c r="G8" s="31" t="n">
        <v>24.2</v>
      </c>
      <c r="H8" s="32" t="n">
        <v>22</v>
      </c>
      <c r="I8" s="24" t="n">
        <v>1</v>
      </c>
      <c r="J8" s="33" t="s">
        <v>80</v>
      </c>
      <c r="K8" s="34" t="s">
        <v>77</v>
      </c>
      <c r="L8" s="35" t="s">
        <v>81</v>
      </c>
    </row>
    <row r="9" customFormat="false" ht="30" hidden="false" customHeight="true" outlineLevel="0" collapsed="false">
      <c r="B9" s="36" t="s">
        <v>56</v>
      </c>
      <c r="C9" s="37" t="s">
        <v>82</v>
      </c>
      <c r="D9" s="38" t="n">
        <v>4800</v>
      </c>
      <c r="E9" s="38" t="n">
        <v>5100</v>
      </c>
      <c r="F9" s="38" t="n">
        <v>5100</v>
      </c>
      <c r="G9" s="39" t="n">
        <v>8.4</v>
      </c>
      <c r="H9" s="40" t="n">
        <v>380</v>
      </c>
      <c r="I9" s="24" t="n">
        <v>2</v>
      </c>
      <c r="J9" s="41" t="s">
        <v>80</v>
      </c>
      <c r="K9" s="42" t="s">
        <v>77</v>
      </c>
      <c r="L9" s="43" t="s">
        <v>83</v>
      </c>
    </row>
    <row r="10" customFormat="false" ht="30" hidden="false" customHeight="true" outlineLevel="0" collapsed="false">
      <c r="B10" s="28" t="s">
        <v>58</v>
      </c>
      <c r="C10" s="29" t="s">
        <v>84</v>
      </c>
      <c r="D10" s="30" t="n">
        <v>3600</v>
      </c>
      <c r="E10" s="30" t="n">
        <v>4500</v>
      </c>
      <c r="F10" s="30" t="n">
        <v>4500</v>
      </c>
      <c r="G10" s="31" t="n">
        <v>20</v>
      </c>
      <c r="H10" s="32" t="n">
        <v>189</v>
      </c>
      <c r="I10" s="24" t="n">
        <v>2</v>
      </c>
      <c r="J10" s="33" t="s">
        <v>85</v>
      </c>
      <c r="K10" s="34" t="s">
        <v>77</v>
      </c>
      <c r="L10" s="35" t="s">
        <v>86</v>
      </c>
    </row>
    <row r="13" customFormat="false" ht="33.75" hidden="false" customHeight="true" outlineLevel="0" collapsed="false">
      <c r="B13" s="44" t="s">
        <v>62</v>
      </c>
      <c r="C13" s="44" t="s">
        <v>63</v>
      </c>
      <c r="D13" s="44" t="s">
        <v>87</v>
      </c>
      <c r="E13" s="44" t="s">
        <v>88</v>
      </c>
      <c r="F13" s="44" t="s">
        <v>89</v>
      </c>
      <c r="G13" s="44" t="s">
        <v>90</v>
      </c>
      <c r="H13" s="44" t="s">
        <v>91</v>
      </c>
      <c r="I13" s="44" t="s">
        <v>92</v>
      </c>
      <c r="J13" s="44" t="s">
        <v>93</v>
      </c>
      <c r="K13" s="44" t="s">
        <v>94</v>
      </c>
      <c r="L13" s="44" t="s">
        <v>95</v>
      </c>
      <c r="M13" s="44" t="s">
        <v>96</v>
      </c>
      <c r="N13" s="44" t="s">
        <v>97</v>
      </c>
      <c r="O13" s="44" t="s">
        <v>70</v>
      </c>
      <c r="P13" s="44" t="s">
        <v>72</v>
      </c>
    </row>
    <row r="14" customFormat="false" ht="15" hidden="false" customHeight="false" outlineLevel="0" collapsed="false">
      <c r="B14" s="17" t="s">
        <v>98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39.75" hidden="false" customHeight="true" outlineLevel="0" collapsed="false">
      <c r="B15" s="19" t="s">
        <v>99</v>
      </c>
      <c r="C15" s="20" t="s">
        <v>100</v>
      </c>
      <c r="D15" s="21" t="n">
        <v>140</v>
      </c>
      <c r="E15" s="45" t="n">
        <v>0</v>
      </c>
      <c r="F15" s="46" t="s">
        <v>101</v>
      </c>
      <c r="G15" s="47" t="n">
        <v>1.32</v>
      </c>
      <c r="H15" s="23" t="n">
        <v>24</v>
      </c>
      <c r="I15" s="23" t="n">
        <v>0</v>
      </c>
      <c r="J15" s="48" t="n">
        <v>0</v>
      </c>
      <c r="K15" s="48" t="n">
        <v>0</v>
      </c>
      <c r="L15" s="48" t="n">
        <v>0</v>
      </c>
      <c r="M15" s="24" t="n">
        <v>2</v>
      </c>
      <c r="N15" s="23" t="n">
        <v>0</v>
      </c>
      <c r="O15" s="25" t="s">
        <v>76</v>
      </c>
      <c r="P15" s="27" t="s">
        <v>102</v>
      </c>
    </row>
    <row r="16" customFormat="false" ht="39.75" hidden="false" customHeight="true" outlineLevel="0" collapsed="false">
      <c r="B16" s="28" t="s">
        <v>48</v>
      </c>
      <c r="C16" s="29" t="s">
        <v>103</v>
      </c>
      <c r="D16" s="30" t="n">
        <v>10000</v>
      </c>
      <c r="E16" s="49" t="n">
        <v>0</v>
      </c>
      <c r="F16" s="30" t="n">
        <v>23000</v>
      </c>
      <c r="G16" s="50" t="n">
        <v>17.5</v>
      </c>
      <c r="H16" s="32" t="n">
        <v>272</v>
      </c>
      <c r="I16" s="32" t="n">
        <v>0</v>
      </c>
      <c r="J16" s="48" t="n">
        <v>0</v>
      </c>
      <c r="K16" s="48" t="n">
        <v>0</v>
      </c>
      <c r="L16" s="48" t="n">
        <v>0</v>
      </c>
      <c r="M16" s="24" t="n">
        <v>3</v>
      </c>
      <c r="N16" s="32" t="n">
        <v>0</v>
      </c>
      <c r="O16" s="51" t="s">
        <v>76</v>
      </c>
      <c r="P16" s="35" t="s">
        <v>104</v>
      </c>
    </row>
    <row r="17" customFormat="false" ht="39.75" hidden="false" customHeight="true" outlineLevel="0" collapsed="false">
      <c r="B17" s="36" t="s">
        <v>50</v>
      </c>
      <c r="C17" s="37" t="s">
        <v>82</v>
      </c>
      <c r="D17" s="38" t="n">
        <v>6900</v>
      </c>
      <c r="E17" s="52" t="n">
        <v>1200</v>
      </c>
      <c r="F17" s="38" t="n">
        <v>11000</v>
      </c>
      <c r="G17" s="53" t="n">
        <v>1.78</v>
      </c>
      <c r="H17" s="40" t="n">
        <v>207</v>
      </c>
      <c r="I17" s="40" t="n">
        <v>1110</v>
      </c>
      <c r="J17" s="48" t="n">
        <v>0.045</v>
      </c>
      <c r="K17" s="48" t="n">
        <v>0.075</v>
      </c>
      <c r="L17" s="48" t="n">
        <v>0.12</v>
      </c>
      <c r="M17" s="24" t="n">
        <v>2.5</v>
      </c>
      <c r="N17" s="40" t="n">
        <v>0</v>
      </c>
      <c r="O17" s="54" t="s">
        <v>76</v>
      </c>
      <c r="P17" s="43" t="s">
        <v>105</v>
      </c>
    </row>
    <row r="18" customFormat="false" ht="39.75" hidden="false" customHeight="true" outlineLevel="0" collapsed="false">
      <c r="B18" s="28" t="s">
        <v>52</v>
      </c>
      <c r="C18" s="29" t="s">
        <v>75</v>
      </c>
      <c r="D18" s="30" t="n">
        <v>1700</v>
      </c>
      <c r="E18" s="49" t="n">
        <v>2200</v>
      </c>
      <c r="F18" s="30" t="n">
        <v>11000</v>
      </c>
      <c r="G18" s="50" t="n">
        <v>1.9</v>
      </c>
      <c r="H18" s="32" t="n">
        <v>130</v>
      </c>
      <c r="I18" s="32" t="n">
        <v>2300</v>
      </c>
      <c r="J18" s="48" t="n">
        <v>0.06</v>
      </c>
      <c r="K18" s="48" t="n">
        <v>0.1</v>
      </c>
      <c r="L18" s="48" t="n">
        <v>0.15</v>
      </c>
      <c r="M18" s="24" t="n">
        <v>3</v>
      </c>
      <c r="N18" s="32" t="n">
        <v>323</v>
      </c>
      <c r="O18" s="33" t="s">
        <v>80</v>
      </c>
      <c r="P18" s="35" t="s">
        <v>106</v>
      </c>
    </row>
    <row r="19" customFormat="false" ht="39.75" hidden="false" customHeight="true" outlineLevel="0" collapsed="false">
      <c r="B19" s="36" t="s">
        <v>107</v>
      </c>
      <c r="C19" s="37" t="s">
        <v>84</v>
      </c>
      <c r="D19" s="38" t="n">
        <v>625</v>
      </c>
      <c r="E19" s="52" t="n">
        <v>350</v>
      </c>
      <c r="F19" s="38" t="n">
        <v>5500</v>
      </c>
      <c r="G19" s="53" t="n">
        <v>0.5</v>
      </c>
      <c r="H19" s="40" t="n">
        <v>126</v>
      </c>
      <c r="I19" s="40" t="n">
        <v>1200</v>
      </c>
      <c r="J19" s="48" t="n">
        <v>0.03</v>
      </c>
      <c r="K19" s="48" t="n">
        <v>0.05</v>
      </c>
      <c r="L19" s="48" t="n">
        <v>0.09</v>
      </c>
      <c r="M19" s="24" t="n">
        <v>2.5</v>
      </c>
      <c r="N19" s="40" t="n">
        <v>0</v>
      </c>
      <c r="O19" s="41" t="s">
        <v>80</v>
      </c>
      <c r="P19" s="43" t="s">
        <v>108</v>
      </c>
    </row>
    <row r="21" customFormat="false" ht="15" hidden="false" customHeight="false" outlineLevel="0" collapsed="false">
      <c r="B21" s="55" t="s">
        <v>109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</row>
  </sheetData>
  <mergeCells count="1">
    <mergeCell ref="B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6" min="3" style="0" width="13"/>
    <col collapsed="false" customWidth="true" hidden="false" outlineLevel="0" max="9" min="7" style="0" width="16"/>
    <col collapsed="false" customWidth="true" hidden="false" outlineLevel="0" max="10" min="10" style="0" width="8"/>
  </cols>
  <sheetData>
    <row r="2" customFormat="false" ht="16.15" hidden="false" customHeight="false" outlineLevel="0" collapsed="false">
      <c r="B2" s="15" t="s">
        <v>110</v>
      </c>
    </row>
    <row r="3" customFormat="false" ht="15" hidden="false" customHeight="false" outlineLevel="0" collapsed="false">
      <c r="B3" s="3" t="s">
        <v>111</v>
      </c>
    </row>
    <row r="5" customFormat="false" ht="33.75" hidden="false" customHeight="true" outlineLevel="0" collapsed="false">
      <c r="B5" s="16" t="s">
        <v>62</v>
      </c>
      <c r="C5" s="16" t="s">
        <v>64</v>
      </c>
      <c r="D5" s="16" t="s">
        <v>65</v>
      </c>
      <c r="E5" s="16" t="s">
        <v>66</v>
      </c>
      <c r="F5" s="16" t="s">
        <v>112</v>
      </c>
      <c r="G5" s="16" t="s">
        <v>113</v>
      </c>
      <c r="H5" s="16" t="s">
        <v>114</v>
      </c>
      <c r="I5" s="16" t="s">
        <v>115</v>
      </c>
      <c r="J5" s="16" t="s">
        <v>70</v>
      </c>
    </row>
    <row r="6" customFormat="false" ht="15" hidden="false" customHeight="false" outlineLevel="0" collapsed="false">
      <c r="B6" s="56" t="s">
        <v>74</v>
      </c>
      <c r="C6" s="57" t="n">
        <f aca="false">Inputs!D7</f>
        <v>1212</v>
      </c>
      <c r="D6" s="57" t="n">
        <f aca="false">Inputs!E7</f>
        <v>3086</v>
      </c>
      <c r="E6" s="57" t="n">
        <f aca="false">Inputs!F7</f>
        <v>3873</v>
      </c>
      <c r="F6" s="58" t="n">
        <f aca="false">Inputs!G7*Inputs!H7*Inputs!I7</f>
        <v>3652.8</v>
      </c>
      <c r="G6" s="59" t="n">
        <f aca="false">C6/F6</f>
        <v>0.331800262812089</v>
      </c>
      <c r="H6" s="60" t="n">
        <f aca="false">D6/F6</f>
        <v>0.844831362242663</v>
      </c>
      <c r="I6" s="60" t="n">
        <f aca="false">E6/F6</f>
        <v>1.06028252299606</v>
      </c>
      <c r="J6" s="61" t="str">
        <f aca="false">Inputs!J7</f>
        <v>Med</v>
      </c>
    </row>
    <row r="7" customFormat="false" ht="15" hidden="false" customHeight="false" outlineLevel="0" collapsed="false">
      <c r="B7" s="62" t="s">
        <v>79</v>
      </c>
      <c r="C7" s="63" t="n">
        <f aca="false">Inputs!D8</f>
        <v>236</v>
      </c>
      <c r="D7" s="63" t="n">
        <f aca="false">Inputs!E8</f>
        <v>502</v>
      </c>
      <c r="E7" s="63" t="n">
        <f aca="false">Inputs!F8</f>
        <v>573</v>
      </c>
      <c r="F7" s="64" t="n">
        <f aca="false">Inputs!G8*Inputs!H8*Inputs!I8</f>
        <v>532.4</v>
      </c>
      <c r="G7" s="65" t="n">
        <f aca="false">C7/F7</f>
        <v>0.443275732531931</v>
      </c>
      <c r="H7" s="65" t="n">
        <f aca="false">D7/F7</f>
        <v>0.94290007513148</v>
      </c>
      <c r="I7" s="65" t="n">
        <f aca="false">E7/F7</f>
        <v>1.07625845229151</v>
      </c>
      <c r="J7" s="66" t="str">
        <f aca="false">Inputs!J8</f>
        <v>Low</v>
      </c>
    </row>
    <row r="8" customFormat="false" ht="15" hidden="false" customHeight="false" outlineLevel="0" collapsed="false">
      <c r="B8" s="67" t="s">
        <v>56</v>
      </c>
      <c r="C8" s="68" t="n">
        <f aca="false">Inputs!D9</f>
        <v>4800</v>
      </c>
      <c r="D8" s="68" t="n">
        <f aca="false">Inputs!E9</f>
        <v>5100</v>
      </c>
      <c r="E8" s="68" t="n">
        <f aca="false">Inputs!F9</f>
        <v>5100</v>
      </c>
      <c r="F8" s="69" t="n">
        <f aca="false">Inputs!G9*Inputs!H9*Inputs!I9</f>
        <v>6384</v>
      </c>
      <c r="G8" s="70" t="n">
        <f aca="false">C8/F8</f>
        <v>0.75187969924812</v>
      </c>
      <c r="H8" s="70" t="n">
        <f aca="false">D8/F8</f>
        <v>0.798872180451128</v>
      </c>
      <c r="I8" s="70" t="n">
        <f aca="false">E8/F8</f>
        <v>0.798872180451128</v>
      </c>
      <c r="J8" s="71" t="str">
        <f aca="false">Inputs!J9</f>
        <v>Low</v>
      </c>
    </row>
    <row r="9" customFormat="false" ht="15" hidden="false" customHeight="false" outlineLevel="0" collapsed="false">
      <c r="B9" s="62" t="s">
        <v>58</v>
      </c>
      <c r="C9" s="63" t="n">
        <f aca="false">Inputs!D10</f>
        <v>3600</v>
      </c>
      <c r="D9" s="63" t="n">
        <f aca="false">Inputs!E10</f>
        <v>4500</v>
      </c>
      <c r="E9" s="63" t="n">
        <f aca="false">Inputs!F10</f>
        <v>4500</v>
      </c>
      <c r="F9" s="64" t="n">
        <f aca="false">Inputs!G10*Inputs!H10*Inputs!I10</f>
        <v>7560</v>
      </c>
      <c r="G9" s="65" t="n">
        <f aca="false">C9/F9</f>
        <v>0.476190476190476</v>
      </c>
      <c r="H9" s="65" t="n">
        <f aca="false">D9/F9</f>
        <v>0.595238095238095</v>
      </c>
      <c r="I9" s="65" t="n">
        <f aca="false">E9/F9</f>
        <v>0.595238095238095</v>
      </c>
      <c r="J9" s="66" t="str">
        <f aca="false">Inputs!J10</f>
        <v>V.Low</v>
      </c>
    </row>
    <row r="11" customFormat="false" ht="15" hidden="false" customHeight="false" outlineLevel="0" collapsed="false">
      <c r="B11" s="55" t="s">
        <v>116</v>
      </c>
      <c r="C11" s="55"/>
      <c r="D11" s="55"/>
      <c r="E11" s="55"/>
      <c r="F11" s="55"/>
      <c r="G11" s="55"/>
      <c r="H11" s="55"/>
      <c r="I11" s="55"/>
      <c r="J11" s="55"/>
    </row>
    <row r="12" customFormat="false" ht="15" hidden="false" customHeight="false" outlineLevel="0" collapsed="false">
      <c r="B12" s="72" t="s">
        <v>117</v>
      </c>
      <c r="C12" s="72"/>
      <c r="D12" s="72"/>
      <c r="E12" s="72"/>
      <c r="F12" s="72"/>
      <c r="G12" s="72"/>
      <c r="H12" s="72"/>
      <c r="I12" s="72"/>
      <c r="J12" s="72"/>
    </row>
  </sheetData>
  <mergeCells count="2">
    <mergeCell ref="B11:J11"/>
    <mergeCell ref="B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8"/>
  </cols>
  <sheetData>
    <row r="2" customFormat="false" ht="16.15" hidden="false" customHeight="false" outlineLevel="0" collapsed="false">
      <c r="B2" s="15" t="s">
        <v>118</v>
      </c>
    </row>
    <row r="3" customFormat="false" ht="15" hidden="false" customHeight="false" outlineLevel="0" collapsed="false">
      <c r="B3" s="3" t="s">
        <v>119</v>
      </c>
    </row>
    <row r="5" customFormat="false" ht="37.5" hidden="false" customHeight="true" outlineLevel="0" collapsed="false">
      <c r="B5" s="44" t="s">
        <v>62</v>
      </c>
      <c r="C5" s="44" t="s">
        <v>120</v>
      </c>
      <c r="D5" s="44" t="s">
        <v>121</v>
      </c>
      <c r="E5" s="44" t="s">
        <v>122</v>
      </c>
      <c r="F5" s="44" t="s">
        <v>123</v>
      </c>
      <c r="G5" s="44" t="s">
        <v>124</v>
      </c>
      <c r="H5" s="44" t="s">
        <v>89</v>
      </c>
      <c r="I5" s="44" t="s">
        <v>125</v>
      </c>
      <c r="J5" s="44" t="s">
        <v>70</v>
      </c>
    </row>
    <row r="6" customFormat="false" ht="15" hidden="false" customHeight="false" outlineLevel="0" collapsed="false">
      <c r="B6" s="56" t="s">
        <v>99</v>
      </c>
      <c r="C6" s="73" t="n">
        <f aca="false">Inputs!D15+Inputs!E15</f>
        <v>140</v>
      </c>
      <c r="D6" s="58" t="n">
        <f aca="false">(Inputs!G15*Inputs!H15*Inputs!M15)+(Inputs!I15*Inputs!K15*Inputs!M15)+Inputs!N15</f>
        <v>63.36</v>
      </c>
      <c r="E6" s="59" t="n">
        <f aca="false">C6/D6</f>
        <v>2.20959595959596</v>
      </c>
      <c r="F6" s="60" t="n">
        <f aca="false">C6/((Inputs!G15*Inputs!H15*Inputs!M15)+(Inputs!I15*Inputs!J15*Inputs!M15)+Inputs!N15)</f>
        <v>2.20959595959596</v>
      </c>
      <c r="G6" s="60" t="n">
        <f aca="false">C6/((Inputs!G15*Inputs!H15*Inputs!M15)+(Inputs!I15*Inputs!L15*Inputs!M15)+Inputs!N15)</f>
        <v>2.20959595959596</v>
      </c>
      <c r="H6" s="57" t="str">
        <f aca="false">IF(ISNUMBER(Inputs!F15),Inputs!F15,"n/a")</f>
        <v>n/a</v>
      </c>
      <c r="I6" s="60" t="str">
        <f aca="false">IF(ISNUMBER(Inputs!F15),Inputs!F15/D6,"n/a")</f>
        <v>n/a</v>
      </c>
      <c r="J6" s="61" t="str">
        <f aca="false">Inputs!O15</f>
        <v>Med</v>
      </c>
    </row>
    <row r="7" customFormat="false" ht="15" hidden="false" customHeight="false" outlineLevel="0" collapsed="false">
      <c r="B7" s="62" t="s">
        <v>48</v>
      </c>
      <c r="C7" s="74" t="n">
        <f aca="false">Inputs!D16+Inputs!E16</f>
        <v>10000</v>
      </c>
      <c r="D7" s="64" t="n">
        <f aca="false">(Inputs!G16*Inputs!H16*Inputs!M16)+(Inputs!I16*Inputs!K16*Inputs!M16)+Inputs!N16</f>
        <v>14280</v>
      </c>
      <c r="E7" s="65" t="n">
        <f aca="false">C7/D7</f>
        <v>0.700280112044818</v>
      </c>
      <c r="F7" s="65" t="n">
        <f aca="false">C7/((Inputs!G16*Inputs!H16*Inputs!M16)+(Inputs!I16*Inputs!J16*Inputs!M16)+Inputs!N16)</f>
        <v>0.700280112044818</v>
      </c>
      <c r="G7" s="65" t="n">
        <f aca="false">C7/((Inputs!G16*Inputs!H16*Inputs!M16)+(Inputs!I16*Inputs!L16*Inputs!M16)+Inputs!N16)</f>
        <v>0.700280112044818</v>
      </c>
      <c r="H7" s="63" t="n">
        <f aca="false">IF(ISNUMBER(Inputs!F16),Inputs!F16,"n/a")</f>
        <v>23000</v>
      </c>
      <c r="I7" s="65" t="n">
        <f aca="false">IF(ISNUMBER(Inputs!F16),Inputs!F16/D7,"n/a")</f>
        <v>1.61064425770308</v>
      </c>
      <c r="J7" s="66" t="str">
        <f aca="false">Inputs!O16</f>
        <v>Med</v>
      </c>
    </row>
    <row r="8" customFormat="false" ht="15" hidden="false" customHeight="false" outlineLevel="0" collapsed="false">
      <c r="B8" s="67" t="s">
        <v>50</v>
      </c>
      <c r="C8" s="75" t="n">
        <f aca="false">Inputs!D17+Inputs!E17</f>
        <v>8100</v>
      </c>
      <c r="D8" s="69" t="n">
        <f aca="false">(Inputs!G17*Inputs!H17*Inputs!M17)+(Inputs!I17*Inputs!K17*Inputs!M17)+Inputs!N17</f>
        <v>1129.275</v>
      </c>
      <c r="E8" s="70" t="n">
        <f aca="false">C8/D8</f>
        <v>7.17274357441721</v>
      </c>
      <c r="F8" s="70" t="n">
        <f aca="false">C8/((Inputs!G17*Inputs!H17*Inputs!M17)+(Inputs!I17*Inputs!J17*Inputs!M17)+Inputs!N17)</f>
        <v>7.74360077436008</v>
      </c>
      <c r="G8" s="70" t="n">
        <f aca="false">C8/((Inputs!G17*Inputs!H17*Inputs!M17)+(Inputs!I17*Inputs!L17*Inputs!M17)+Inputs!N17)</f>
        <v>6.45855758880517</v>
      </c>
      <c r="H8" s="68" t="n">
        <f aca="false">IF(ISNUMBER(Inputs!F17),Inputs!F17,"n/a")</f>
        <v>11000</v>
      </c>
      <c r="I8" s="70" t="n">
        <f aca="false">IF(ISNUMBER(Inputs!F17),Inputs!F17/D8,"n/a")</f>
        <v>9.74076287883819</v>
      </c>
      <c r="J8" s="71" t="str">
        <f aca="false">Inputs!O17</f>
        <v>Med</v>
      </c>
    </row>
    <row r="9" customFormat="false" ht="15" hidden="false" customHeight="false" outlineLevel="0" collapsed="false">
      <c r="B9" s="62" t="s">
        <v>52</v>
      </c>
      <c r="C9" s="74" t="n">
        <f aca="false">Inputs!D18+Inputs!E18</f>
        <v>3900</v>
      </c>
      <c r="D9" s="64" t="n">
        <f aca="false">(Inputs!G18*Inputs!H18*Inputs!M18)+(Inputs!I18*Inputs!K18*Inputs!M18)+Inputs!N18</f>
        <v>1754</v>
      </c>
      <c r="E9" s="65" t="n">
        <f aca="false">C9/D9</f>
        <v>2.22348916761688</v>
      </c>
      <c r="F9" s="65" t="n">
        <f aca="false">C9/((Inputs!G18*Inputs!H18*Inputs!M18)+(Inputs!I18*Inputs!J18*Inputs!M18)+Inputs!N18)</f>
        <v>2.63870094722598</v>
      </c>
      <c r="G9" s="65" t="n">
        <f aca="false">C9/((Inputs!G18*Inputs!H18*Inputs!M18)+(Inputs!I18*Inputs!L18*Inputs!M18)+Inputs!N18)</f>
        <v>1.85802763220581</v>
      </c>
      <c r="H9" s="63" t="n">
        <f aca="false">IF(ISNUMBER(Inputs!F18),Inputs!F18,"n/a")</f>
        <v>11000</v>
      </c>
      <c r="I9" s="65" t="n">
        <f aca="false">IF(ISNUMBER(Inputs!F18),Inputs!F18/D9,"n/a")</f>
        <v>6.27137970353478</v>
      </c>
      <c r="J9" s="66" t="str">
        <f aca="false">Inputs!O18</f>
        <v>Low</v>
      </c>
    </row>
    <row r="10" customFormat="false" ht="15" hidden="false" customHeight="false" outlineLevel="0" collapsed="false">
      <c r="B10" s="67" t="s">
        <v>107</v>
      </c>
      <c r="C10" s="75" t="n">
        <f aca="false">Inputs!D19+Inputs!E19</f>
        <v>975</v>
      </c>
      <c r="D10" s="69" t="n">
        <f aca="false">(Inputs!G19*Inputs!H19*Inputs!M19)+(Inputs!I19*Inputs!K19*Inputs!M19)+Inputs!N19</f>
        <v>307.5</v>
      </c>
      <c r="E10" s="70" t="n">
        <f aca="false">C10/D10</f>
        <v>3.17073170731707</v>
      </c>
      <c r="F10" s="70" t="n">
        <f aca="false">C10/((Inputs!G19*Inputs!H19*Inputs!M19)+(Inputs!I19*Inputs!J19*Inputs!M19)+Inputs!N19)</f>
        <v>3.93939393939394</v>
      </c>
      <c r="G10" s="70" t="n">
        <f aca="false">C10/((Inputs!G19*Inputs!H19*Inputs!M19)+(Inputs!I19*Inputs!L19*Inputs!M19)+Inputs!N19)</f>
        <v>2.28070175438597</v>
      </c>
      <c r="H10" s="68" t="n">
        <f aca="false">IF(ISNUMBER(Inputs!F19),Inputs!F19,"n/a")</f>
        <v>5500</v>
      </c>
      <c r="I10" s="70" t="n">
        <f aca="false">IF(ISNUMBER(Inputs!F19),Inputs!F19/D10,"n/a")</f>
        <v>17.8861788617886</v>
      </c>
      <c r="J10" s="71" t="str">
        <f aca="false">Inputs!O19</f>
        <v>Low</v>
      </c>
    </row>
    <row r="12" customFormat="false" ht="24" hidden="false" customHeight="true" outlineLevel="0" collapsed="false">
      <c r="B12" s="55" t="s">
        <v>126</v>
      </c>
      <c r="C12" s="55"/>
      <c r="D12" s="55"/>
      <c r="E12" s="55"/>
      <c r="F12" s="55"/>
      <c r="G12" s="55"/>
      <c r="H12" s="55"/>
      <c r="I12" s="55"/>
    </row>
    <row r="13" customFormat="false" ht="24" hidden="false" customHeight="true" outlineLevel="0" collapsed="false">
      <c r="B13" s="55" t="s">
        <v>127</v>
      </c>
      <c r="C13" s="55"/>
      <c r="D13" s="55"/>
      <c r="E13" s="55"/>
      <c r="F13" s="55"/>
      <c r="G13" s="55"/>
      <c r="H13" s="55"/>
      <c r="I13" s="55"/>
    </row>
    <row r="14" customFormat="false" ht="24" hidden="false" customHeight="true" outlineLevel="0" collapsed="false">
      <c r="B14" s="72" t="s">
        <v>128</v>
      </c>
      <c r="C14" s="72"/>
      <c r="D14" s="72"/>
      <c r="E14" s="72"/>
      <c r="F14" s="72"/>
      <c r="G14" s="72"/>
      <c r="H14" s="72"/>
      <c r="I14" s="72"/>
    </row>
    <row r="15" customFormat="false" ht="24" hidden="false" customHeight="true" outlineLevel="0" collapsed="false">
      <c r="B15" s="76" t="s">
        <v>129</v>
      </c>
      <c r="C15" s="76"/>
      <c r="D15" s="76"/>
      <c r="E15" s="76"/>
      <c r="F15" s="76"/>
      <c r="G15" s="76"/>
      <c r="H15" s="76"/>
      <c r="I15" s="76"/>
    </row>
  </sheetData>
  <mergeCells count="4">
    <mergeCell ref="B12:I12"/>
    <mergeCell ref="B13:I13"/>
    <mergeCell ref="B14:I14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6.15" hidden="false" customHeight="false" outlineLevel="0" collapsed="false">
      <c r="B2" s="15" t="s">
        <v>130</v>
      </c>
    </row>
    <row r="3" customFormat="false" ht="15" hidden="false" customHeight="false" outlineLevel="0" collapsed="false">
      <c r="B3" s="3" t="s">
        <v>131</v>
      </c>
    </row>
    <row r="40" customFormat="false" ht="15" hidden="false" customHeight="false" outlineLevel="0" collapsed="false">
      <c r="L40" s="7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2026-06-08T01:49:41Z</dcterms:created>
  <dc:creator>openpyxl</dc:creator>
  <dc:description/>
  <dc:language>en-US</dc:language>
  <cp:lastModifiedBy/>
  <dcterms:modified xsi:type="dcterms:W3CDTF">2026-06-08T01:49:45Z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