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State-level data" sheetId="2" state="visible" r:id="rId4"/>
    <sheet name="Analysis" sheetId="3" state="visible" r:id="rId5"/>
    <sheet name="Methodology"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<sst xmlns="http://schemas.openxmlformats.org/spreadsheetml/2006/main" count="219" uniqueCount="155">
  <si>
    <t xml:space="preserve">Kalshi search interest share by state — legal vs non-legal OSB</t>
  </si>
  <si>
    <t xml:space="preserve">Google Trends, 12-month average ending 22 April 2026</t>
  </si>
  <si>
    <t xml:space="preserve">Source:</t>
  </si>
  <si>
    <t xml:space="preserve">https://trends.google.com/trends/explore?date=today%2012-m&amp;geo=US&amp;q=Kalshi,DraftKings,FanDuel&amp;hl=en-US</t>
  </si>
  <si>
    <t xml:space="preserve">Data pulled:</t>
  </si>
  <si>
    <t xml:space="preserve">22 April 2026</t>
  </si>
  <si>
    <t xml:space="preserve">Regions:</t>
  </si>
  <si>
    <t xml:space="preserve">50 states + District of Columbia</t>
  </si>
  <si>
    <t xml:space="preserve">How to read the numbers</t>
  </si>
  <si>
    <t xml:space="preserve">Google Trends normalises search interest so that each state's row sums to 100%. The value for Kalshi in a given state represents Kalshi's share of search interest among the three compared terms (Kalshi, DraftKings, FanDuel) within that state. These are RELATIVE shares, not absolute search volumes — they are directly comparable across states because the normalisation cancels out state population differences.</t>
  </si>
  <si>
    <t xml:space="preserve">Headline findings</t>
  </si>
  <si>
    <t xml:space="preserve">Metric</t>
  </si>
  <si>
    <t xml:space="preserve">Legal OSB states</t>
  </si>
  <si>
    <t xml:space="preserve">Non-legal OSB states</t>
  </si>
  <si>
    <t xml:space="preserve">Gap</t>
  </si>
  <si>
    <t xml:space="preserve">Ratio</t>
  </si>
  <si>
    <t xml:space="preserve">Average Kalshi share</t>
  </si>
  <si>
    <t xml:space="preserve">Average DraftKings share</t>
  </si>
  <si>
    <t xml:space="preserve">Average FanDuel share</t>
  </si>
  <si>
    <t xml:space="preserve">Average DK + FD combined share</t>
  </si>
  <si>
    <t xml:space="preserve">Number of states in sample</t>
  </si>
  <si>
    <t xml:space="preserve">Key takeaway</t>
  </si>
  <si>
    <t xml:space="preserve">Kalshi's average share of search interest in non-legal OSB states is approximately 1.9 times higher than in legal OSB states (36.0% vs 19.0%). The 17-point gap is statistically significant at p &lt; 0.001 (Mann-Whitney U test). The seven states with the highest Kalshi search share are all non-legal OSB states; the five with the lowest Kalshi share are all legal OSB states. This pattern directly supports the thesis that prediction markets capture disproportionate mindshare in states without regulated online sports betting.</t>
  </si>
  <si>
    <t xml:space="preserve">Workbook contents</t>
  </si>
  <si>
    <t xml:space="preserve">#</t>
  </si>
  <si>
    <t xml:space="preserve">Sheet</t>
  </si>
  <si>
    <t xml:space="preserve">Contents</t>
  </si>
  <si>
    <t xml:space="preserve">Sheet 1</t>
  </si>
  <si>
    <t xml:space="preserve">Summary</t>
  </si>
  <si>
    <t xml:space="preserve">Headline findings and how to read the data</t>
  </si>
  <si>
    <t xml:space="preserve">Sheet 2</t>
  </si>
  <si>
    <t xml:space="preserve">State-level data</t>
  </si>
  <si>
    <t xml:space="preserve">All 51 regions with Kalshi / DK / FD shares and OSB status</t>
  </si>
  <si>
    <t xml:space="preserve">Sheet 3</t>
  </si>
  <si>
    <t xml:space="preserve">Analysis</t>
  </si>
  <si>
    <t xml:space="preserve">Distribution stats, top/bottom rankings, statistical test</t>
  </si>
  <si>
    <t xml:space="preserve">Sheet 4</t>
  </si>
  <si>
    <t xml:space="preserve">Methodology</t>
  </si>
  <si>
    <t xml:space="preserve">Data source, definitions, caveats, what the data can and cannot show</t>
  </si>
  <si>
    <t xml:space="preserve">Colour key:</t>
  </si>
  <si>
    <t xml:space="preserve">  Blue text</t>
  </si>
  <si>
    <t xml:space="preserve">Hardcoded input from Google Trends</t>
  </si>
  <si>
    <t xml:space="preserve">  Black text</t>
  </si>
  <si>
    <t xml:space="preserve">Calculated formula</t>
  </si>
  <si>
    <t xml:space="preserve">  Blue underlined</t>
  </si>
  <si>
    <t xml:space="preserve">Clickable hyperlink</t>
  </si>
  <si>
    <t xml:space="preserve">Google Trends state-level data</t>
  </si>
  <si>
    <t xml:space="preserve">Each row sums to 100% — representing share of search interest among Kalshi, DraftKings, FanDuel in that state</t>
  </si>
  <si>
    <t xml:space="preserve">State / Region</t>
  </si>
  <si>
    <t xml:space="preserve">Kalshi %</t>
  </si>
  <si>
    <t xml:space="preserve">DraftKings %</t>
  </si>
  <si>
    <t xml:space="preserve">FanDuel %</t>
  </si>
  <si>
    <t xml:space="preserve">DK + FD %</t>
  </si>
  <si>
    <t xml:space="preserve">OSB status</t>
  </si>
  <si>
    <t xml:space="preserve">Row total (check)</t>
  </si>
  <si>
    <t xml:space="preserve">Hawaii</t>
  </si>
  <si>
    <t xml:space="preserve">NON-LEGAL</t>
  </si>
  <si>
    <t xml:space="preserve">Idaho</t>
  </si>
  <si>
    <t xml:space="preserve">Washington</t>
  </si>
  <si>
    <t xml:space="preserve">Montana</t>
  </si>
  <si>
    <t xml:space="preserve">Utah</t>
  </si>
  <si>
    <t xml:space="preserve">California</t>
  </si>
  <si>
    <t xml:space="preserve">Alaska</t>
  </si>
  <si>
    <t xml:space="preserve">District of Columbia</t>
  </si>
  <si>
    <t xml:space="preserve">LEGAL</t>
  </si>
  <si>
    <t xml:space="preserve">Texas</t>
  </si>
  <si>
    <t xml:space="preserve">New Mexico</t>
  </si>
  <si>
    <t xml:space="preserve">Nevada</t>
  </si>
  <si>
    <t xml:space="preserve">Florida</t>
  </si>
  <si>
    <t xml:space="preserve">Alabama</t>
  </si>
  <si>
    <t xml:space="preserve">Georgia</t>
  </si>
  <si>
    <t xml:space="preserve">Wyoming</t>
  </si>
  <si>
    <t xml:space="preserve">North Dakota</t>
  </si>
  <si>
    <t xml:space="preserve">Nebraska</t>
  </si>
  <si>
    <t xml:space="preserve">New York</t>
  </si>
  <si>
    <t xml:space="preserve">Oregon</t>
  </si>
  <si>
    <t xml:space="preserve">South Carolina</t>
  </si>
  <si>
    <t xml:space="preserve">Rhode Island</t>
  </si>
  <si>
    <t xml:space="preserve">South Dakota</t>
  </si>
  <si>
    <t xml:space="preserve">Kansas</t>
  </si>
  <si>
    <t xml:space="preserve">Mississippi</t>
  </si>
  <si>
    <t xml:space="preserve">Virginia</t>
  </si>
  <si>
    <t xml:space="preserve">Delaware</t>
  </si>
  <si>
    <t xml:space="preserve">Colorado</t>
  </si>
  <si>
    <t xml:space="preserve">Oklahoma</t>
  </si>
  <si>
    <t xml:space="preserve">Massachusetts</t>
  </si>
  <si>
    <t xml:space="preserve">Illinois</t>
  </si>
  <si>
    <t xml:space="preserve">Vermont</t>
  </si>
  <si>
    <t xml:space="preserve">Maine</t>
  </si>
  <si>
    <t xml:space="preserve">Minnesota</t>
  </si>
  <si>
    <t xml:space="preserve">Iowa</t>
  </si>
  <si>
    <t xml:space="preserve">Maryland</t>
  </si>
  <si>
    <t xml:space="preserve">Arizona</t>
  </si>
  <si>
    <t xml:space="preserve">Wisconsin</t>
  </si>
  <si>
    <t xml:space="preserve">Arkansas</t>
  </si>
  <si>
    <t xml:space="preserve">New Jersey</t>
  </si>
  <si>
    <t xml:space="preserve">New Hampshire</t>
  </si>
  <si>
    <t xml:space="preserve">Connecticut</t>
  </si>
  <si>
    <t xml:space="preserve">Tennessee</t>
  </si>
  <si>
    <t xml:space="preserve">North Carolina</t>
  </si>
  <si>
    <t xml:space="preserve">Indiana</t>
  </si>
  <si>
    <t xml:space="preserve">Ohio</t>
  </si>
  <si>
    <t xml:space="preserve">Pennsylvania</t>
  </si>
  <si>
    <t xml:space="preserve">Kentucky</t>
  </si>
  <si>
    <t xml:space="preserve">Louisiana</t>
  </si>
  <si>
    <t xml:space="preserve">Michigan</t>
  </si>
  <si>
    <t xml:space="preserve">Missouri</t>
  </si>
  <si>
    <t xml:space="preserve">West Virginia</t>
  </si>
  <si>
    <t xml:space="preserve">Rows are sorted by Kalshi share, descending.</t>
  </si>
  <si>
    <t xml:space="preserve">State-level analysis</t>
  </si>
  <si>
    <t xml:space="preserve">All formulas reference the State-level data sheet</t>
  </si>
  <si>
    <t xml:space="preserve">Mean shares by state category</t>
  </si>
  <si>
    <t xml:space="preserve">Legal OSB</t>
  </si>
  <si>
    <t xml:space="preserve">Non-legal OSB</t>
  </si>
  <si>
    <t xml:space="preserve">Average DK + FD combined</t>
  </si>
  <si>
    <t xml:space="preserve">Number of states</t>
  </si>
  <si>
    <t xml:space="preserve">Distribution of Kalshi share</t>
  </si>
  <si>
    <t xml:space="preserve">Statistic</t>
  </si>
  <si>
    <t xml:space="preserve">Minimum</t>
  </si>
  <si>
    <t xml:space="preserve">25th percentile (Q1)</t>
  </si>
  <si>
    <t xml:space="preserve">Median</t>
  </si>
  <si>
    <t xml:space="preserve">75th percentile (Q3)</t>
  </si>
  <si>
    <t xml:space="preserve">Maximum</t>
  </si>
  <si>
    <t xml:space="preserve">Top 7 states — highest Kalshi search share</t>
  </si>
  <si>
    <t xml:space="preserve">Rank</t>
  </si>
  <si>
    <t xml:space="preserve">State</t>
  </si>
  <si>
    <t xml:space="preserve">All 7 of the highest-Kalshi-share states are non-legal OSB.</t>
  </si>
  <si>
    <t xml:space="preserve">Bottom 5 states — lowest Kalshi search share</t>
  </si>
  <si>
    <t xml:space="preserve">All 5 of the lowest-Kalshi-share states are legal OSB.</t>
  </si>
  <si>
    <t xml:space="preserve">Statistical test</t>
  </si>
  <si>
    <t xml:space="preserve">Test:</t>
  </si>
  <si>
    <t xml:space="preserve">Mann-Whitney U (one-sided, non-parametric)</t>
  </si>
  <si>
    <t xml:space="preserve">Hypothesis:</t>
  </si>
  <si>
    <t xml:space="preserve">Kalshi share is higher in non-legal OSB states than in legal OSB states</t>
  </si>
  <si>
    <t xml:space="preserve">U statistic:</t>
  </si>
  <si>
    <t xml:space="preserve">p-value:</t>
  </si>
  <si>
    <t xml:space="preserve">&lt; 0.001</t>
  </si>
  <si>
    <t xml:space="preserve">Interpretation:</t>
  </si>
  <si>
    <t xml:space="preserve">Result is extremely statistically significant. The higher Kalshi share in non-legal states is not explainable by chance.</t>
  </si>
  <si>
    <t xml:space="preserve">Methodology and caveats</t>
  </si>
  <si>
    <t xml:space="preserve">Data source</t>
  </si>
  <si>
    <t xml:space="preserve">Google Trends geographic breakdown (geoMap export) for the search terms 'Kalshi', 'DraftKings', and 'FanDuel'. Data retrieved 22 April 2026, covering the 12-month period ending 22 April 2026. Source URL: https://trends.google.com/trends/explore?date=today%2012-m&amp;geo=US&amp;q=Kalshi,DraftKings,FanDuel&amp;hl=en-US</t>
  </si>
  <si>
    <t xml:space="preserve">What the numbers represent</t>
  </si>
  <si>
    <t xml:space="preserve">Google Trends normalises search interest so that each state's row sums to 100%. A state's Kalshi value is Kalshi's share of search interest relative to the other two compared terms in that state. This is a SHARE metric, not an absolute search volume. Cross-state comparisons of shares are valid because the normalisation cancels out state population differences.</t>
  </si>
  <si>
    <t xml:space="preserve">OSB legal status classification</t>
  </si>
  <si>
    <t xml:space="preserve">A state is classified LEGAL if it has statewide mobile online sports betting available to retail consumers (as of April 2026). States with only tribal, retail, or on-premise-limited sports betting are classified NON-LEGAL because they offer no practical regulated mobile alternative to Kalshi. Classification follows CBS Sports (April 2026), Legal Sports Report (January 2026), and Bookmakers Review (January 2026). Borderline cases classified as NON-LEGAL: Florida (Seminole-only tribal app with limited access), Washington (tribal-only), Wisconsin (law signed April 2026 but not yet live), Mississippi (retail-only), Montana (retail/kiosk-only), Nebraska (retail-only), New Mexico (tribal-only), North Dakota (tribal-only), South Dakota (retail-only).</t>
  </si>
  <si>
    <t xml:space="preserve">Mann-Whitney U test comparing Kalshi shares in non-legal vs legal OSB states. One-sided alternative hypothesis: Kalshi share is higher in non-legal states. Non-parametric test chosen because the distributions are not normal and sample sizes differ between groups. Result: U = 545.5, p &lt; 0.001.</t>
  </si>
  <si>
    <t xml:space="preserve">What the data can show</t>
  </si>
  <si>
    <t xml:space="preserve">• Consumer search mindshare — how interested people are in learning about these products
• Relative interest across the three competing platforms within each state
• Geographic concentration patterns that can be statistically tested
• A reproducible, free, publicly-verifiable dataset</t>
  </si>
  <si>
    <t xml:space="preserve">What the data cannot show</t>
  </si>
  <si>
    <t xml:space="preserve">• Deposit volume, handle, or revenue
• Actual user counts or accounts in each state
• Per-user economics
• Conversion from search to signup to deposit
• Absolute search volumes (Google Trends returns normalised shares only)</t>
  </si>
  <si>
    <t xml:space="preserve">Reproducibility</t>
  </si>
  <si>
    <t xml:space="preserve">Any user can reproduce this dataset by visiting the Source URL above, scrolling to the 'Interest by subregion' panel, and clicking the download icon to export the geoMap CSV. Values drift month to month as search behaviour changes — refresh the dataset quarterly for ongoing monitoring.</t>
  </si>
  <si>
    <t xml:space="preserve">Limitations</t>
  </si>
  <si>
    <t xml:space="preserve">• 'Kalshi' and 'FanDuel' are unambiguous terms, but 'DraftKings' searches may include DFS (fantasy) traffic that doesn't compete directly with Kalshi's sports event contracts. This likely overstates DraftKings' relative share slightly in some states with legal DFS but no OSB.
• Google Trends samples search data — results have a small amount of random variation on re-pulls. Directional signals are robust; individual state values should be treated as approximate.
• 12-month average smooths over seasonal spikes (Super Bowl, March Madness). For a live-snapshot view use the 3-month or 90-day filter instead.</t>
  </si>
</sst>
</file>

<file path=xl/styles.xml><?xml version="1.0" encoding="utf-8"?>
<styleSheet xmlns="http://schemas.openxmlformats.org/spreadsheetml/2006/main">
  <numFmts count="6">
    <numFmt numFmtId="164" formatCode="General"/>
    <numFmt numFmtId="165" formatCode="0.0\%"/>
    <numFmt numFmtId="166" formatCode="\+0.0&quot; pp&quot;;\-0.0&quot; pp&quot;"/>
    <numFmt numFmtId="167" formatCode="0.00\x"/>
    <numFmt numFmtId="168" formatCode="General"/>
    <numFmt numFmtId="169" formatCode="0\%"/>
  </numFmts>
  <fonts count="15">
    <font>
      <sz val="11"/>
      <color theme="1"/>
      <name val="Calibri"/>
      <family val="2"/>
      <charset val="1"/>
    </font>
    <font>
      <sz val="10"/>
      <name val="Arial"/>
      <family val="0"/>
    </font>
    <font>
      <sz val="10"/>
      <name val="Arial"/>
      <family val="0"/>
    </font>
    <font>
      <sz val="10"/>
      <name val="Arial"/>
      <family val="0"/>
    </font>
    <font>
      <b val="true"/>
      <sz val="16"/>
      <color rgb="FF1F4E79"/>
      <name val="Arial"/>
      <family val="0"/>
      <charset val="1"/>
    </font>
    <font>
      <i val="true"/>
      <sz val="11"/>
      <color rgb="FF595959"/>
      <name val="Arial"/>
      <family val="0"/>
      <charset val="1"/>
    </font>
    <font>
      <b val="true"/>
      <sz val="10"/>
      <name val="Arial"/>
      <family val="0"/>
      <charset val="1"/>
    </font>
    <font>
      <u val="single"/>
      <sz val="10"/>
      <color rgb="FF0563C1"/>
      <name val="Arial"/>
      <family val="0"/>
      <charset val="1"/>
    </font>
    <font>
      <sz val="10"/>
      <name val="Arial"/>
      <family val="0"/>
      <charset val="1"/>
    </font>
    <font>
      <b val="true"/>
      <sz val="12"/>
      <color rgb="FF1F4E79"/>
      <name val="Arial"/>
      <family val="0"/>
      <charset val="1"/>
    </font>
    <font>
      <b val="true"/>
      <sz val="10"/>
      <color rgb="FFFFFFFF"/>
      <name val="Arial"/>
      <family val="0"/>
      <charset val="1"/>
    </font>
    <font>
      <sz val="10"/>
      <color rgb="FF000000"/>
      <name val="Arial"/>
      <family val="0"/>
      <charset val="1"/>
    </font>
    <font>
      <sz val="10"/>
      <color rgb="FF0000FF"/>
      <name val="Arial"/>
      <family val="0"/>
      <charset val="1"/>
    </font>
    <font>
      <i val="true"/>
      <sz val="9"/>
      <color rgb="FF595959"/>
      <name val="Arial"/>
      <family val="0"/>
      <charset val="1"/>
    </font>
    <font>
      <b val="true"/>
      <sz val="11"/>
      <color rgb="FF1F4E79"/>
      <name val="Arial"/>
      <family val="0"/>
      <charset val="1"/>
    </font>
  </fonts>
  <fills count="7">
    <fill>
      <patternFill patternType="none"/>
    </fill>
    <fill>
      <patternFill patternType="gray125"/>
    </fill>
    <fill>
      <patternFill patternType="solid">
        <fgColor rgb="FF2E75B6"/>
        <bgColor rgb="FF0563C1"/>
      </patternFill>
    </fill>
    <fill>
      <patternFill patternType="solid">
        <fgColor rgb="FFF2F2F2"/>
        <bgColor rgb="FFF1EFE8"/>
      </patternFill>
    </fill>
    <fill>
      <patternFill patternType="solid">
        <fgColor rgb="FFFFF2CC"/>
        <bgColor rgb="FFFAECE7"/>
      </patternFill>
    </fill>
    <fill>
      <patternFill patternType="solid">
        <fgColor rgb="FFFAECE7"/>
        <bgColor rgb="FFF1EFE8"/>
      </patternFill>
    </fill>
    <fill>
      <patternFill patternType="solid">
        <fgColor rgb="FFF1EFE8"/>
        <bgColor rgb="FFF2F2F2"/>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style="thin">
        <color rgb="FFBFBFBF"/>
      </right>
      <top style="thin">
        <color rgb="FFBFBFBF"/>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left" vertical="top" textRotation="0" wrapText="tru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left" vertical="center" textRotation="0" wrapText="true" indent="0" shrinkToFit="false"/>
      <protection locked="true" hidden="false"/>
    </xf>
    <xf numFmtId="165" fontId="11" fillId="0" borderId="1" xfId="0" applyFont="true" applyBorder="true" applyAlignment="true" applyProtection="false">
      <alignment horizontal="right" vertical="center" textRotation="0" wrapText="false" indent="0" shrinkToFit="false"/>
      <protection locked="true" hidden="false"/>
    </xf>
    <xf numFmtId="166" fontId="11" fillId="0" borderId="1" xfId="0" applyFont="true" applyBorder="true" applyAlignment="true" applyProtection="false">
      <alignment horizontal="right" vertical="center" textRotation="0" wrapText="false" indent="0" shrinkToFit="false"/>
      <protection locked="true" hidden="false"/>
    </xf>
    <xf numFmtId="167" fontId="11" fillId="0" borderId="1" xfId="0" applyFont="true" applyBorder="true" applyAlignment="true" applyProtection="false">
      <alignment horizontal="right" vertical="center" textRotation="0" wrapText="false" indent="0" shrinkToFit="false"/>
      <protection locked="true" hidden="false"/>
    </xf>
    <xf numFmtId="164" fontId="6" fillId="3" borderId="1" xfId="0" applyFont="true" applyBorder="true" applyAlignment="true" applyProtection="false">
      <alignment horizontal="left" vertical="center" textRotation="0" wrapText="true" indent="0" shrinkToFit="false"/>
      <protection locked="true" hidden="false"/>
    </xf>
    <xf numFmtId="165" fontId="11" fillId="3" borderId="1" xfId="0" applyFont="true" applyBorder="true" applyAlignment="true" applyProtection="false">
      <alignment horizontal="right" vertical="center" textRotation="0" wrapText="false" indent="0" shrinkToFit="false"/>
      <protection locked="true" hidden="false"/>
    </xf>
    <xf numFmtId="166" fontId="11" fillId="3" borderId="1" xfId="0" applyFont="true" applyBorder="true" applyAlignment="true" applyProtection="false">
      <alignment horizontal="right" vertical="center" textRotation="0" wrapText="false" indent="0" shrinkToFit="false"/>
      <protection locked="true" hidden="false"/>
    </xf>
    <xf numFmtId="167" fontId="11" fillId="3" borderId="1" xfId="0" applyFont="true" applyBorder="true" applyAlignment="true" applyProtection="false">
      <alignment horizontal="right" vertical="center" textRotation="0" wrapText="false" indent="0" shrinkToFit="false"/>
      <protection locked="true" hidden="false"/>
    </xf>
    <xf numFmtId="168" fontId="11" fillId="0" borderId="1" xfId="0" applyFont="true" applyBorder="true" applyAlignment="true" applyProtection="false">
      <alignment horizontal="right" vertical="center" textRotation="0" wrapText="false" indent="0" shrinkToFit="false"/>
      <protection locked="true" hidden="false"/>
    </xf>
    <xf numFmtId="164" fontId="0" fillId="0" borderId="1" xfId="0" applyFont="false" applyBorder="true" applyAlignment="true" applyProtection="false">
      <alignment horizontal="right" vertical="center" textRotation="0" wrapText="false" indent="0" shrinkToFit="false"/>
      <protection locked="true" hidden="false"/>
    </xf>
    <xf numFmtId="164" fontId="8" fillId="4" borderId="2"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left" vertical="center" textRotation="0" wrapText="true" indent="0" shrinkToFit="false"/>
      <protection locked="true" hidden="false"/>
    </xf>
    <xf numFmtId="164" fontId="8" fillId="3" borderId="1" xfId="0" applyFont="true" applyBorder="true" applyAlignment="true" applyProtection="false">
      <alignment horizontal="left" vertical="center"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9" fontId="12" fillId="0" borderId="1" xfId="0" applyFont="true" applyBorder="true" applyAlignment="true" applyProtection="false">
      <alignment horizontal="right" vertical="center" textRotation="0" wrapText="false" indent="0" shrinkToFit="false"/>
      <protection locked="true" hidden="false"/>
    </xf>
    <xf numFmtId="169" fontId="11" fillId="0" borderId="1" xfId="0" applyFont="true" applyBorder="true" applyAlignment="true" applyProtection="false">
      <alignment horizontal="right" vertical="center" textRotation="0" wrapText="false" indent="0" shrinkToFit="false"/>
      <protection locked="true" hidden="false"/>
    </xf>
    <xf numFmtId="164" fontId="6" fillId="5" borderId="1" xfId="0" applyFont="true" applyBorder="true" applyAlignment="true" applyProtection="false">
      <alignment horizontal="center" vertical="center" textRotation="0" wrapText="true" indent="0" shrinkToFit="false"/>
      <protection locked="true" hidden="false"/>
    </xf>
    <xf numFmtId="164" fontId="6" fillId="6"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9" fontId="11" fillId="3" borderId="1" xfId="0" applyFont="true" applyBorder="true" applyAlignment="true" applyProtection="false">
      <alignment horizontal="right" vertical="center" textRotation="0" wrapText="fals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9" fontId="11" fillId="0"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8" fillId="4"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F1EFE8"/>
      <rgbColor rgb="FFCCFFCC"/>
      <rgbColor rgb="FFFAECE7"/>
      <rgbColor rgb="FF99CCFF"/>
      <rgbColor rgb="FFFF99CC"/>
      <rgbColor rgb="FFCC99FF"/>
      <rgbColor rgb="FFFFCC99"/>
      <rgbColor rgb="FF2E75B6"/>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trends.google.com/trends/explore?date=today%2012-m&amp;geo=US&amp;q=Kalshi,DraftKings,FanDuel&amp;hl=en-US"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4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8"/>
    <col collapsed="false" customWidth="true" hidden="false" outlineLevel="0" max="6" min="3" style="0" width="18"/>
  </cols>
  <sheetData>
    <row r="2" customFormat="false" ht="19.7" hidden="false" customHeight="false" outlineLevel="0" collapsed="false">
      <c r="B2" s="1" t="s">
        <v>0</v>
      </c>
    </row>
    <row r="3" customFormat="false" ht="15" hidden="false" customHeight="false" outlineLevel="0" collapsed="false">
      <c r="B3" s="2" t="s">
        <v>1</v>
      </c>
    </row>
    <row r="5" customFormat="false" ht="15" hidden="false" customHeight="false" outlineLevel="0" collapsed="false">
      <c r="B5" s="3" t="s">
        <v>2</v>
      </c>
      <c r="C5" s="4" t="s">
        <v>3</v>
      </c>
      <c r="D5" s="4"/>
      <c r="E5" s="4"/>
      <c r="F5" s="4"/>
    </row>
    <row r="6" customFormat="false" ht="15" hidden="false" customHeight="false" outlineLevel="0" collapsed="false">
      <c r="B6" s="3" t="s">
        <v>4</v>
      </c>
      <c r="C6" s="5" t="s">
        <v>5</v>
      </c>
    </row>
    <row r="7" customFormat="false" ht="15" hidden="false" customHeight="false" outlineLevel="0" collapsed="false">
      <c r="B7" s="3" t="s">
        <v>6</v>
      </c>
      <c r="C7" s="5" t="s">
        <v>7</v>
      </c>
    </row>
    <row r="9" customFormat="false" ht="15" hidden="false" customHeight="false" outlineLevel="0" collapsed="false">
      <c r="B9" s="6" t="s">
        <v>8</v>
      </c>
    </row>
    <row r="10" customFormat="false" ht="15" hidden="false" customHeight="true" outlineLevel="0" collapsed="false">
      <c r="B10" s="7" t="s">
        <v>9</v>
      </c>
      <c r="C10" s="7"/>
      <c r="D10" s="7"/>
      <c r="E10" s="7"/>
      <c r="F10" s="7"/>
    </row>
    <row r="11" customFormat="false" ht="15" hidden="false" customHeight="false" outlineLevel="0" collapsed="false">
      <c r="B11" s="7"/>
      <c r="C11" s="7"/>
      <c r="D11" s="7"/>
      <c r="E11" s="7"/>
      <c r="F11" s="7"/>
    </row>
    <row r="12" customFormat="false" ht="15" hidden="false" customHeight="false" outlineLevel="0" collapsed="false">
      <c r="B12" s="7"/>
      <c r="C12" s="7"/>
      <c r="D12" s="7"/>
      <c r="E12" s="7"/>
      <c r="F12" s="7"/>
    </row>
    <row r="13" customFormat="false" ht="15" hidden="false" customHeight="false" outlineLevel="0" collapsed="false">
      <c r="B13" s="7"/>
      <c r="C13" s="7"/>
      <c r="D13" s="7"/>
      <c r="E13" s="7"/>
      <c r="F13" s="7"/>
    </row>
    <row r="15" customFormat="false" ht="15" hidden="false" customHeight="false" outlineLevel="0" collapsed="false">
      <c r="B15" s="6" t="s">
        <v>10</v>
      </c>
    </row>
    <row r="17" customFormat="false" ht="23.85" hidden="false" customHeight="false" outlineLevel="0" collapsed="false">
      <c r="B17" s="8" t="s">
        <v>11</v>
      </c>
      <c r="C17" s="8" t="s">
        <v>12</v>
      </c>
      <c r="D17" s="8" t="s">
        <v>13</v>
      </c>
      <c r="E17" s="8" t="s">
        <v>14</v>
      </c>
      <c r="F17" s="8" t="s">
        <v>15</v>
      </c>
    </row>
    <row r="18" customFormat="false" ht="15" hidden="false" customHeight="false" outlineLevel="0" collapsed="false">
      <c r="B18" s="9" t="s">
        <v>16</v>
      </c>
      <c r="C18" s="10" t="n">
        <f aca="false">AVERAGEIF('State-level data'!$G$5:$G$55,"LEGAL",'State-level data'!$C$5:$C$55)</f>
        <v>19.0322580645161</v>
      </c>
      <c r="D18" s="10" t="n">
        <f aca="false">AVERAGEIF('State-level data'!$G$5:$G$55,"NON-LEGAL",'State-level data'!$C$5:$C$55)</f>
        <v>36.05</v>
      </c>
      <c r="E18" s="11" t="n">
        <f aca="false">D18-C18</f>
        <v>17.0177419354839</v>
      </c>
      <c r="F18" s="12" t="n">
        <f aca="false">D18/C18</f>
        <v>1.89415254237288</v>
      </c>
    </row>
    <row r="19" customFormat="false" ht="15" hidden="false" customHeight="false" outlineLevel="0" collapsed="false">
      <c r="B19" s="13" t="s">
        <v>17</v>
      </c>
      <c r="C19" s="14" t="n">
        <f aca="false">AVERAGEIF('State-level data'!$G$5:$G$55,"LEGAL",'State-level data'!$D$5:$D$55)</f>
        <v>39.6451612903226</v>
      </c>
      <c r="D19" s="14" t="n">
        <f aca="false">AVERAGEIF('State-level data'!$G$5:$G$55,"NON-LEGAL",'State-level data'!$D$5:$D$55)</f>
        <v>30.45</v>
      </c>
      <c r="E19" s="15" t="n">
        <f aca="false">D19-C19</f>
        <v>-9.19516129032258</v>
      </c>
      <c r="F19" s="16" t="n">
        <f aca="false">D19/C19</f>
        <v>0.76806346623271</v>
      </c>
    </row>
    <row r="20" customFormat="false" ht="15" hidden="false" customHeight="false" outlineLevel="0" collapsed="false">
      <c r="B20" s="9" t="s">
        <v>18</v>
      </c>
      <c r="C20" s="10" t="n">
        <f aca="false">AVERAGEIF('State-level data'!$G$5:$G$55,"LEGAL",'State-level data'!$E$5:$E$55)</f>
        <v>41.3225806451613</v>
      </c>
      <c r="D20" s="10" t="n">
        <f aca="false">AVERAGEIF('State-level data'!$G$5:$G$55,"NON-LEGAL",'State-level data'!$E$5:$E$55)</f>
        <v>33.5</v>
      </c>
      <c r="E20" s="11" t="n">
        <f aca="false">D20-C20</f>
        <v>-7.82258064516129</v>
      </c>
      <c r="F20" s="12" t="n">
        <f aca="false">D20/C20</f>
        <v>0.810694769711163</v>
      </c>
    </row>
    <row r="21" customFormat="false" ht="15" hidden="false" customHeight="false" outlineLevel="0" collapsed="false">
      <c r="B21" s="13" t="s">
        <v>19</v>
      </c>
      <c r="C21" s="14" t="n">
        <f aca="false">AVERAGEIF('State-level data'!$G$5:$G$55,"LEGAL",'State-level data'!$F$5:$F$55)</f>
        <v>80.9677419354839</v>
      </c>
      <c r="D21" s="14" t="n">
        <f aca="false">AVERAGEIF('State-level data'!$G$5:$G$55,"NON-LEGAL",'State-level data'!$F$5:$F$55)</f>
        <v>63.95</v>
      </c>
      <c r="E21" s="15" t="n">
        <f aca="false">D21-C21</f>
        <v>-17.0177419354839</v>
      </c>
      <c r="F21" s="16" t="n">
        <f aca="false">D21/C21</f>
        <v>0.789820717131474</v>
      </c>
    </row>
    <row r="22" customFormat="false" ht="15" hidden="false" customHeight="false" outlineLevel="0" collapsed="false">
      <c r="B22" s="9" t="s">
        <v>20</v>
      </c>
      <c r="C22" s="17" t="n">
        <f aca="false">COUNTIF('State-level data'!$G$5:$G$55,"LEGAL")</f>
        <v>31</v>
      </c>
      <c r="D22" s="17" t="n">
        <f aca="false">COUNTIF('State-level data'!$G$5:$G$55,"NON-LEGAL")</f>
        <v>20</v>
      </c>
      <c r="E22" s="18"/>
      <c r="F22" s="18"/>
    </row>
    <row r="25" customFormat="false" ht="15" hidden="false" customHeight="false" outlineLevel="0" collapsed="false">
      <c r="B25" s="6" t="s">
        <v>21</v>
      </c>
    </row>
    <row r="26" customFormat="false" ht="15" hidden="false" customHeight="true" outlineLevel="0" collapsed="false">
      <c r="B26" s="19" t="s">
        <v>22</v>
      </c>
      <c r="C26" s="19"/>
      <c r="D26" s="19"/>
      <c r="E26" s="19"/>
      <c r="F26" s="19"/>
    </row>
    <row r="27" customFormat="false" ht="15" hidden="false" customHeight="false" outlineLevel="0" collapsed="false">
      <c r="B27" s="19"/>
      <c r="C27" s="19"/>
      <c r="D27" s="19"/>
      <c r="E27" s="19"/>
      <c r="F27" s="19"/>
    </row>
    <row r="28" customFormat="false" ht="15" hidden="false" customHeight="false" outlineLevel="0" collapsed="false">
      <c r="B28" s="19"/>
      <c r="C28" s="19"/>
      <c r="D28" s="19"/>
      <c r="E28" s="19"/>
      <c r="F28" s="19"/>
    </row>
    <row r="29" customFormat="false" ht="15" hidden="false" customHeight="false" outlineLevel="0" collapsed="false">
      <c r="B29" s="19"/>
      <c r="C29" s="19"/>
      <c r="D29" s="19"/>
      <c r="E29" s="19"/>
      <c r="F29" s="19"/>
    </row>
    <row r="30" customFormat="false" ht="15" hidden="false" customHeight="false" outlineLevel="0" collapsed="false">
      <c r="B30" s="19"/>
      <c r="C30" s="19"/>
      <c r="D30" s="19"/>
      <c r="E30" s="19"/>
      <c r="F30" s="19"/>
    </row>
    <row r="32" customFormat="false" ht="15" hidden="false" customHeight="false" outlineLevel="0" collapsed="false">
      <c r="B32" s="6" t="s">
        <v>23</v>
      </c>
    </row>
    <row r="34" customFormat="false" ht="15" hidden="false" customHeight="true" outlineLevel="0" collapsed="false">
      <c r="B34" s="8" t="s">
        <v>24</v>
      </c>
      <c r="C34" s="8" t="s">
        <v>25</v>
      </c>
      <c r="D34" s="8" t="s">
        <v>26</v>
      </c>
      <c r="E34" s="8"/>
      <c r="F34" s="8"/>
    </row>
    <row r="35" customFormat="false" ht="15" hidden="false" customHeight="true" outlineLevel="0" collapsed="false">
      <c r="B35" s="20" t="s">
        <v>27</v>
      </c>
      <c r="C35" s="20" t="s">
        <v>28</v>
      </c>
      <c r="D35" s="20" t="s">
        <v>29</v>
      </c>
      <c r="E35" s="20"/>
      <c r="F35" s="20"/>
    </row>
    <row r="36" customFormat="false" ht="15" hidden="false" customHeight="true" outlineLevel="0" collapsed="false">
      <c r="B36" s="21" t="s">
        <v>30</v>
      </c>
      <c r="C36" s="21" t="s">
        <v>31</v>
      </c>
      <c r="D36" s="21" t="s">
        <v>32</v>
      </c>
      <c r="E36" s="21"/>
      <c r="F36" s="21"/>
    </row>
    <row r="37" customFormat="false" ht="15" hidden="false" customHeight="true" outlineLevel="0" collapsed="false">
      <c r="B37" s="20" t="s">
        <v>33</v>
      </c>
      <c r="C37" s="20" t="s">
        <v>34</v>
      </c>
      <c r="D37" s="20" t="s">
        <v>35</v>
      </c>
      <c r="E37" s="20"/>
      <c r="F37" s="20"/>
    </row>
    <row r="38" customFormat="false" ht="23.85" hidden="false" customHeight="true" outlineLevel="0" collapsed="false">
      <c r="B38" s="21" t="s">
        <v>36</v>
      </c>
      <c r="C38" s="21" t="s">
        <v>37</v>
      </c>
      <c r="D38" s="21" t="s">
        <v>38</v>
      </c>
      <c r="E38" s="21"/>
      <c r="F38" s="21"/>
    </row>
    <row r="41" customFormat="false" ht="15" hidden="false" customHeight="false" outlineLevel="0" collapsed="false">
      <c r="B41" s="3" t="s">
        <v>39</v>
      </c>
    </row>
    <row r="42" customFormat="false" ht="15" hidden="false" customHeight="false" outlineLevel="0" collapsed="false">
      <c r="B42" s="22" t="s">
        <v>40</v>
      </c>
      <c r="C42" s="5" t="s">
        <v>41</v>
      </c>
    </row>
    <row r="43" customFormat="false" ht="15" hidden="false" customHeight="false" outlineLevel="0" collapsed="false">
      <c r="B43" s="23" t="s">
        <v>42</v>
      </c>
      <c r="C43" s="5" t="s">
        <v>43</v>
      </c>
    </row>
    <row r="44" customFormat="false" ht="15" hidden="false" customHeight="false" outlineLevel="0" collapsed="false">
      <c r="B44" s="24" t="s">
        <v>44</v>
      </c>
      <c r="C44" s="5" t="s">
        <v>45</v>
      </c>
    </row>
  </sheetData>
  <mergeCells count="8">
    <mergeCell ref="C5:F5"/>
    <mergeCell ref="B10:F13"/>
    <mergeCell ref="B26:F30"/>
    <mergeCell ref="D34:F34"/>
    <mergeCell ref="D35:F35"/>
    <mergeCell ref="D36:F36"/>
    <mergeCell ref="D37:F37"/>
    <mergeCell ref="D38:F38"/>
  </mergeCells>
  <hyperlinks>
    <hyperlink ref="C5" r:id="rId1" display="https://trends.google.com/trends/explore?date=today%2012-m&amp;geo=US&amp;q=Kalshi,DraftKings,FanDuel&amp;hl=en-U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3" min="3" style="0" width="12"/>
    <col collapsed="false" customWidth="true" hidden="false" outlineLevel="0" max="4" min="4" style="0" width="14"/>
    <col collapsed="false" customWidth="true" hidden="false" outlineLevel="0" max="5" min="5" style="0" width="12"/>
    <col collapsed="false" customWidth="true" hidden="false" outlineLevel="0" max="6" min="6" style="0" width="14"/>
    <col collapsed="false" customWidth="true" hidden="false" outlineLevel="0" max="8" min="7" style="0" width="16"/>
  </cols>
  <sheetData>
    <row r="2" customFormat="false" ht="19.7" hidden="false" customHeight="false" outlineLevel="0" collapsed="false">
      <c r="B2" s="1" t="s">
        <v>46</v>
      </c>
    </row>
    <row r="3" customFormat="false" ht="15" hidden="false" customHeight="false" outlineLevel="0" collapsed="false">
      <c r="B3" s="2" t="s">
        <v>47</v>
      </c>
    </row>
    <row r="4" customFormat="false" ht="15" hidden="false" customHeight="false" outlineLevel="0" collapsed="false">
      <c r="B4" s="8" t="s">
        <v>48</v>
      </c>
      <c r="C4" s="8" t="s">
        <v>49</v>
      </c>
      <c r="D4" s="8" t="s">
        <v>50</v>
      </c>
      <c r="E4" s="8" t="s">
        <v>51</v>
      </c>
      <c r="F4" s="8" t="s">
        <v>52</v>
      </c>
      <c r="G4" s="8" t="s">
        <v>53</v>
      </c>
      <c r="H4" s="8" t="s">
        <v>54</v>
      </c>
    </row>
    <row r="5" customFormat="false" ht="15" hidden="false" customHeight="false" outlineLevel="0" collapsed="false">
      <c r="B5" s="20" t="s">
        <v>55</v>
      </c>
      <c r="C5" s="25" t="n">
        <v>63</v>
      </c>
      <c r="D5" s="25" t="n">
        <v>21</v>
      </c>
      <c r="E5" s="25" t="n">
        <v>16</v>
      </c>
      <c r="F5" s="26" t="n">
        <f aca="false">D5+E5</f>
        <v>37</v>
      </c>
      <c r="G5" s="27" t="s">
        <v>56</v>
      </c>
      <c r="H5" s="26" t="n">
        <f aca="false">C5+D5+E5</f>
        <v>100</v>
      </c>
    </row>
    <row r="6" customFormat="false" ht="15" hidden="false" customHeight="false" outlineLevel="0" collapsed="false">
      <c r="B6" s="20" t="s">
        <v>57</v>
      </c>
      <c r="C6" s="25" t="n">
        <v>61</v>
      </c>
      <c r="D6" s="25" t="n">
        <v>21</v>
      </c>
      <c r="E6" s="25" t="n">
        <v>18</v>
      </c>
      <c r="F6" s="26" t="n">
        <f aca="false">D6+E6</f>
        <v>39</v>
      </c>
      <c r="G6" s="27" t="s">
        <v>56</v>
      </c>
      <c r="H6" s="26" t="n">
        <f aca="false">C6+D6+E6</f>
        <v>100</v>
      </c>
    </row>
    <row r="7" customFormat="false" ht="15" hidden="false" customHeight="false" outlineLevel="0" collapsed="false">
      <c r="B7" s="20" t="s">
        <v>58</v>
      </c>
      <c r="C7" s="25" t="n">
        <v>56</v>
      </c>
      <c r="D7" s="25" t="n">
        <v>27</v>
      </c>
      <c r="E7" s="25" t="n">
        <v>17</v>
      </c>
      <c r="F7" s="26" t="n">
        <f aca="false">D7+E7</f>
        <v>44</v>
      </c>
      <c r="G7" s="27" t="s">
        <v>56</v>
      </c>
      <c r="H7" s="26" t="n">
        <f aca="false">C7+D7+E7</f>
        <v>100</v>
      </c>
    </row>
    <row r="8" customFormat="false" ht="15" hidden="false" customHeight="false" outlineLevel="0" collapsed="false">
      <c r="B8" s="20" t="s">
        <v>59</v>
      </c>
      <c r="C8" s="25" t="n">
        <v>54</v>
      </c>
      <c r="D8" s="25" t="n">
        <v>26</v>
      </c>
      <c r="E8" s="25" t="n">
        <v>20</v>
      </c>
      <c r="F8" s="26" t="n">
        <f aca="false">D8+E8</f>
        <v>46</v>
      </c>
      <c r="G8" s="27" t="s">
        <v>56</v>
      </c>
      <c r="H8" s="26" t="n">
        <f aca="false">C8+D8+E8</f>
        <v>100</v>
      </c>
    </row>
    <row r="9" customFormat="false" ht="15" hidden="false" customHeight="false" outlineLevel="0" collapsed="false">
      <c r="B9" s="20" t="s">
        <v>60</v>
      </c>
      <c r="C9" s="25" t="n">
        <v>50</v>
      </c>
      <c r="D9" s="25" t="n">
        <v>27</v>
      </c>
      <c r="E9" s="25" t="n">
        <v>23</v>
      </c>
      <c r="F9" s="26" t="n">
        <f aca="false">D9+E9</f>
        <v>50</v>
      </c>
      <c r="G9" s="27" t="s">
        <v>56</v>
      </c>
      <c r="H9" s="26" t="n">
        <f aca="false">C9+D9+E9</f>
        <v>100</v>
      </c>
    </row>
    <row r="10" customFormat="false" ht="15" hidden="false" customHeight="false" outlineLevel="0" collapsed="false">
      <c r="B10" s="20" t="s">
        <v>61</v>
      </c>
      <c r="C10" s="25" t="n">
        <v>44</v>
      </c>
      <c r="D10" s="25" t="n">
        <v>30</v>
      </c>
      <c r="E10" s="25" t="n">
        <v>26</v>
      </c>
      <c r="F10" s="26" t="n">
        <f aca="false">D10+E10</f>
        <v>56</v>
      </c>
      <c r="G10" s="27" t="s">
        <v>56</v>
      </c>
      <c r="H10" s="26" t="n">
        <f aca="false">C10+D10+E10</f>
        <v>100</v>
      </c>
    </row>
    <row r="11" customFormat="false" ht="15" hidden="false" customHeight="false" outlineLevel="0" collapsed="false">
      <c r="B11" s="20" t="s">
        <v>62</v>
      </c>
      <c r="C11" s="25" t="n">
        <v>43</v>
      </c>
      <c r="D11" s="25" t="n">
        <v>34</v>
      </c>
      <c r="E11" s="25" t="n">
        <v>23</v>
      </c>
      <c r="F11" s="26" t="n">
        <f aca="false">D11+E11</f>
        <v>57</v>
      </c>
      <c r="G11" s="27" t="s">
        <v>56</v>
      </c>
      <c r="H11" s="26" t="n">
        <f aca="false">C11+D11+E11</f>
        <v>100</v>
      </c>
    </row>
    <row r="12" customFormat="false" ht="15" hidden="false" customHeight="false" outlineLevel="0" collapsed="false">
      <c r="B12" s="20" t="s">
        <v>63</v>
      </c>
      <c r="C12" s="25" t="n">
        <v>37</v>
      </c>
      <c r="D12" s="25" t="n">
        <v>26</v>
      </c>
      <c r="E12" s="25" t="n">
        <v>37</v>
      </c>
      <c r="F12" s="26" t="n">
        <f aca="false">D12+E12</f>
        <v>63</v>
      </c>
      <c r="G12" s="28" t="s">
        <v>64</v>
      </c>
      <c r="H12" s="26" t="n">
        <f aca="false">C12+D12+E12</f>
        <v>100</v>
      </c>
    </row>
    <row r="13" customFormat="false" ht="15" hidden="false" customHeight="false" outlineLevel="0" collapsed="false">
      <c r="B13" s="20" t="s">
        <v>65</v>
      </c>
      <c r="C13" s="25" t="n">
        <v>36</v>
      </c>
      <c r="D13" s="25" t="n">
        <v>35</v>
      </c>
      <c r="E13" s="25" t="n">
        <v>29</v>
      </c>
      <c r="F13" s="26" t="n">
        <f aca="false">D13+E13</f>
        <v>64</v>
      </c>
      <c r="G13" s="27" t="s">
        <v>56</v>
      </c>
      <c r="H13" s="26" t="n">
        <f aca="false">C13+D13+E13</f>
        <v>100</v>
      </c>
    </row>
    <row r="14" customFormat="false" ht="15" hidden="false" customHeight="false" outlineLevel="0" collapsed="false">
      <c r="B14" s="20" t="s">
        <v>66</v>
      </c>
      <c r="C14" s="25" t="n">
        <v>35</v>
      </c>
      <c r="D14" s="25" t="n">
        <v>36</v>
      </c>
      <c r="E14" s="25" t="n">
        <v>29</v>
      </c>
      <c r="F14" s="26" t="n">
        <f aca="false">D14+E14</f>
        <v>65</v>
      </c>
      <c r="G14" s="27" t="s">
        <v>56</v>
      </c>
      <c r="H14" s="26" t="n">
        <f aca="false">C14+D14+E14</f>
        <v>100</v>
      </c>
    </row>
    <row r="15" customFormat="false" ht="15" hidden="false" customHeight="false" outlineLevel="0" collapsed="false">
      <c r="B15" s="20" t="s">
        <v>67</v>
      </c>
      <c r="C15" s="25" t="n">
        <v>33</v>
      </c>
      <c r="D15" s="25" t="n">
        <v>41</v>
      </c>
      <c r="E15" s="25" t="n">
        <v>26</v>
      </c>
      <c r="F15" s="26" t="n">
        <f aca="false">D15+E15</f>
        <v>67</v>
      </c>
      <c r="G15" s="28" t="s">
        <v>64</v>
      </c>
      <c r="H15" s="26" t="n">
        <f aca="false">C15+D15+E15</f>
        <v>100</v>
      </c>
    </row>
    <row r="16" customFormat="false" ht="15" hidden="false" customHeight="false" outlineLevel="0" collapsed="false">
      <c r="B16" s="20" t="s">
        <v>68</v>
      </c>
      <c r="C16" s="25" t="n">
        <v>33</v>
      </c>
      <c r="D16" s="25" t="n">
        <v>32</v>
      </c>
      <c r="E16" s="25" t="n">
        <v>35</v>
      </c>
      <c r="F16" s="26" t="n">
        <f aca="false">D16+E16</f>
        <v>67</v>
      </c>
      <c r="G16" s="27" t="s">
        <v>56</v>
      </c>
      <c r="H16" s="26" t="n">
        <f aca="false">C16+D16+E16</f>
        <v>100</v>
      </c>
    </row>
    <row r="17" customFormat="false" ht="15" hidden="false" customHeight="false" outlineLevel="0" collapsed="false">
      <c r="B17" s="20" t="s">
        <v>69</v>
      </c>
      <c r="C17" s="25" t="n">
        <v>30</v>
      </c>
      <c r="D17" s="25" t="n">
        <v>31</v>
      </c>
      <c r="E17" s="25" t="n">
        <v>39</v>
      </c>
      <c r="F17" s="26" t="n">
        <f aca="false">D17+E17</f>
        <v>70</v>
      </c>
      <c r="G17" s="27" t="s">
        <v>56</v>
      </c>
      <c r="H17" s="26" t="n">
        <f aca="false">C17+D17+E17</f>
        <v>100</v>
      </c>
    </row>
    <row r="18" customFormat="false" ht="15" hidden="false" customHeight="false" outlineLevel="0" collapsed="false">
      <c r="B18" s="20" t="s">
        <v>70</v>
      </c>
      <c r="C18" s="25" t="n">
        <v>28</v>
      </c>
      <c r="D18" s="25" t="n">
        <v>29</v>
      </c>
      <c r="E18" s="25" t="n">
        <v>43</v>
      </c>
      <c r="F18" s="26" t="n">
        <f aca="false">D18+E18</f>
        <v>72</v>
      </c>
      <c r="G18" s="27" t="s">
        <v>56</v>
      </c>
      <c r="H18" s="26" t="n">
        <f aca="false">C18+D18+E18</f>
        <v>100</v>
      </c>
    </row>
    <row r="19" customFormat="false" ht="15" hidden="false" customHeight="false" outlineLevel="0" collapsed="false">
      <c r="B19" s="20" t="s">
        <v>71</v>
      </c>
      <c r="C19" s="25" t="n">
        <v>28</v>
      </c>
      <c r="D19" s="25" t="n">
        <v>41</v>
      </c>
      <c r="E19" s="25" t="n">
        <v>31</v>
      </c>
      <c r="F19" s="26" t="n">
        <f aca="false">D19+E19</f>
        <v>72</v>
      </c>
      <c r="G19" s="28" t="s">
        <v>64</v>
      </c>
      <c r="H19" s="26" t="n">
        <f aca="false">C19+D19+E19</f>
        <v>100</v>
      </c>
    </row>
    <row r="20" customFormat="false" ht="15" hidden="false" customHeight="false" outlineLevel="0" collapsed="false">
      <c r="B20" s="20" t="s">
        <v>72</v>
      </c>
      <c r="C20" s="25" t="n">
        <v>27</v>
      </c>
      <c r="D20" s="25" t="n">
        <v>32</v>
      </c>
      <c r="E20" s="25" t="n">
        <v>41</v>
      </c>
      <c r="F20" s="26" t="n">
        <f aca="false">D20+E20</f>
        <v>73</v>
      </c>
      <c r="G20" s="27" t="s">
        <v>56</v>
      </c>
      <c r="H20" s="26" t="n">
        <f aca="false">C20+D20+E20</f>
        <v>100</v>
      </c>
    </row>
    <row r="21" customFormat="false" ht="15" hidden="false" customHeight="false" outlineLevel="0" collapsed="false">
      <c r="B21" s="20" t="s">
        <v>73</v>
      </c>
      <c r="C21" s="25" t="n">
        <v>27</v>
      </c>
      <c r="D21" s="25" t="n">
        <v>40</v>
      </c>
      <c r="E21" s="25" t="n">
        <v>33</v>
      </c>
      <c r="F21" s="26" t="n">
        <f aca="false">D21+E21</f>
        <v>73</v>
      </c>
      <c r="G21" s="27" t="s">
        <v>56</v>
      </c>
      <c r="H21" s="26" t="n">
        <f aca="false">C21+D21+E21</f>
        <v>100</v>
      </c>
    </row>
    <row r="22" customFormat="false" ht="15" hidden="false" customHeight="false" outlineLevel="0" collapsed="false">
      <c r="B22" s="20" t="s">
        <v>74</v>
      </c>
      <c r="C22" s="25" t="n">
        <v>27</v>
      </c>
      <c r="D22" s="25" t="n">
        <v>33</v>
      </c>
      <c r="E22" s="25" t="n">
        <v>40</v>
      </c>
      <c r="F22" s="26" t="n">
        <f aca="false">D22+E22</f>
        <v>73</v>
      </c>
      <c r="G22" s="28" t="s">
        <v>64</v>
      </c>
      <c r="H22" s="26" t="n">
        <f aca="false">C22+D22+E22</f>
        <v>100</v>
      </c>
    </row>
    <row r="23" customFormat="false" ht="15" hidden="false" customHeight="false" outlineLevel="0" collapsed="false">
      <c r="B23" s="20" t="s">
        <v>75</v>
      </c>
      <c r="C23" s="25" t="n">
        <v>27</v>
      </c>
      <c r="D23" s="25" t="n">
        <v>51</v>
      </c>
      <c r="E23" s="25" t="n">
        <v>22</v>
      </c>
      <c r="F23" s="26" t="n">
        <f aca="false">D23+E23</f>
        <v>73</v>
      </c>
      <c r="G23" s="28" t="s">
        <v>64</v>
      </c>
      <c r="H23" s="26" t="n">
        <f aca="false">C23+D23+E23</f>
        <v>100</v>
      </c>
    </row>
    <row r="24" customFormat="false" ht="15" hidden="false" customHeight="false" outlineLevel="0" collapsed="false">
      <c r="B24" s="20" t="s">
        <v>76</v>
      </c>
      <c r="C24" s="25" t="n">
        <v>27</v>
      </c>
      <c r="D24" s="25" t="n">
        <v>36</v>
      </c>
      <c r="E24" s="25" t="n">
        <v>37</v>
      </c>
      <c r="F24" s="26" t="n">
        <f aca="false">D24+E24</f>
        <v>73</v>
      </c>
      <c r="G24" s="27" t="s">
        <v>56</v>
      </c>
      <c r="H24" s="26" t="n">
        <f aca="false">C24+D24+E24</f>
        <v>100</v>
      </c>
    </row>
    <row r="25" customFormat="false" ht="15" hidden="false" customHeight="false" outlineLevel="0" collapsed="false">
      <c r="B25" s="20" t="s">
        <v>77</v>
      </c>
      <c r="C25" s="25" t="n">
        <v>26</v>
      </c>
      <c r="D25" s="25" t="n">
        <v>45</v>
      </c>
      <c r="E25" s="25" t="n">
        <v>29</v>
      </c>
      <c r="F25" s="26" t="n">
        <f aca="false">D25+E25</f>
        <v>74</v>
      </c>
      <c r="G25" s="28" t="s">
        <v>64</v>
      </c>
      <c r="H25" s="26" t="n">
        <f aca="false">C25+D25+E25</f>
        <v>100</v>
      </c>
    </row>
    <row r="26" customFormat="false" ht="15" hidden="false" customHeight="false" outlineLevel="0" collapsed="false">
      <c r="B26" s="20" t="s">
        <v>78</v>
      </c>
      <c r="C26" s="25" t="n">
        <v>25</v>
      </c>
      <c r="D26" s="25" t="n">
        <v>38</v>
      </c>
      <c r="E26" s="25" t="n">
        <v>37</v>
      </c>
      <c r="F26" s="26" t="n">
        <f aca="false">D26+E26</f>
        <v>75</v>
      </c>
      <c r="G26" s="27" t="s">
        <v>56</v>
      </c>
      <c r="H26" s="26" t="n">
        <f aca="false">C26+D26+E26</f>
        <v>100</v>
      </c>
    </row>
    <row r="27" customFormat="false" ht="15" hidden="false" customHeight="false" outlineLevel="0" collapsed="false">
      <c r="B27" s="20" t="s">
        <v>79</v>
      </c>
      <c r="C27" s="25" t="n">
        <v>25</v>
      </c>
      <c r="D27" s="25" t="n">
        <v>30</v>
      </c>
      <c r="E27" s="25" t="n">
        <v>45</v>
      </c>
      <c r="F27" s="26" t="n">
        <f aca="false">D27+E27</f>
        <v>75</v>
      </c>
      <c r="G27" s="28" t="s">
        <v>64</v>
      </c>
      <c r="H27" s="26" t="n">
        <f aca="false">C27+D27+E27</f>
        <v>100</v>
      </c>
    </row>
    <row r="28" customFormat="false" ht="15" hidden="false" customHeight="false" outlineLevel="0" collapsed="false">
      <c r="B28" s="20" t="s">
        <v>80</v>
      </c>
      <c r="C28" s="25" t="n">
        <v>24</v>
      </c>
      <c r="D28" s="25" t="n">
        <v>37</v>
      </c>
      <c r="E28" s="25" t="n">
        <v>39</v>
      </c>
      <c r="F28" s="26" t="n">
        <f aca="false">D28+E28</f>
        <v>76</v>
      </c>
      <c r="G28" s="27" t="s">
        <v>56</v>
      </c>
      <c r="H28" s="26" t="n">
        <f aca="false">C28+D28+E28</f>
        <v>100</v>
      </c>
    </row>
    <row r="29" customFormat="false" ht="15" hidden="false" customHeight="false" outlineLevel="0" collapsed="false">
      <c r="B29" s="20" t="s">
        <v>81</v>
      </c>
      <c r="C29" s="25" t="n">
        <v>23</v>
      </c>
      <c r="D29" s="25" t="n">
        <v>32</v>
      </c>
      <c r="E29" s="25" t="n">
        <v>45</v>
      </c>
      <c r="F29" s="26" t="n">
        <f aca="false">D29+E29</f>
        <v>77</v>
      </c>
      <c r="G29" s="28" t="s">
        <v>64</v>
      </c>
      <c r="H29" s="26" t="n">
        <f aca="false">C29+D29+E29</f>
        <v>100</v>
      </c>
    </row>
    <row r="30" customFormat="false" ht="15" hidden="false" customHeight="false" outlineLevel="0" collapsed="false">
      <c r="B30" s="20" t="s">
        <v>82</v>
      </c>
      <c r="C30" s="25" t="n">
        <v>22</v>
      </c>
      <c r="D30" s="25" t="n">
        <v>34</v>
      </c>
      <c r="E30" s="25" t="n">
        <v>44</v>
      </c>
      <c r="F30" s="26" t="n">
        <f aca="false">D30+E30</f>
        <v>78</v>
      </c>
      <c r="G30" s="28" t="s">
        <v>64</v>
      </c>
      <c r="H30" s="26" t="n">
        <f aca="false">C30+D30+E30</f>
        <v>100</v>
      </c>
    </row>
    <row r="31" customFormat="false" ht="15" hidden="false" customHeight="false" outlineLevel="0" collapsed="false">
      <c r="B31" s="20" t="s">
        <v>83</v>
      </c>
      <c r="C31" s="25" t="n">
        <v>22</v>
      </c>
      <c r="D31" s="25" t="n">
        <v>41</v>
      </c>
      <c r="E31" s="25" t="n">
        <v>37</v>
      </c>
      <c r="F31" s="26" t="n">
        <f aca="false">D31+E31</f>
        <v>78</v>
      </c>
      <c r="G31" s="28" t="s">
        <v>64</v>
      </c>
      <c r="H31" s="26" t="n">
        <f aca="false">C31+D31+E31</f>
        <v>100</v>
      </c>
    </row>
    <row r="32" customFormat="false" ht="15" hidden="false" customHeight="false" outlineLevel="0" collapsed="false">
      <c r="B32" s="20" t="s">
        <v>84</v>
      </c>
      <c r="C32" s="25" t="n">
        <v>21</v>
      </c>
      <c r="D32" s="25" t="n">
        <v>24</v>
      </c>
      <c r="E32" s="25" t="n">
        <v>55</v>
      </c>
      <c r="F32" s="26" t="n">
        <f aca="false">D32+E32</f>
        <v>79</v>
      </c>
      <c r="G32" s="27" t="s">
        <v>56</v>
      </c>
      <c r="H32" s="26" t="n">
        <f aca="false">C32+D32+E32</f>
        <v>100</v>
      </c>
    </row>
    <row r="33" customFormat="false" ht="15" hidden="false" customHeight="false" outlineLevel="0" collapsed="false">
      <c r="B33" s="20" t="s">
        <v>85</v>
      </c>
      <c r="C33" s="25" t="n">
        <v>21</v>
      </c>
      <c r="D33" s="25" t="n">
        <v>51</v>
      </c>
      <c r="E33" s="25" t="n">
        <v>28</v>
      </c>
      <c r="F33" s="26" t="n">
        <f aca="false">D33+E33</f>
        <v>79</v>
      </c>
      <c r="G33" s="28" t="s">
        <v>64</v>
      </c>
      <c r="H33" s="26" t="n">
        <f aca="false">C33+D33+E33</f>
        <v>100</v>
      </c>
    </row>
    <row r="34" customFormat="false" ht="15" hidden="false" customHeight="false" outlineLevel="0" collapsed="false">
      <c r="B34" s="20" t="s">
        <v>86</v>
      </c>
      <c r="C34" s="25" t="n">
        <v>20</v>
      </c>
      <c r="D34" s="25" t="n">
        <v>38</v>
      </c>
      <c r="E34" s="25" t="n">
        <v>42</v>
      </c>
      <c r="F34" s="26" t="n">
        <f aca="false">D34+E34</f>
        <v>80</v>
      </c>
      <c r="G34" s="28" t="s">
        <v>64</v>
      </c>
      <c r="H34" s="26" t="n">
        <f aca="false">C34+D34+E34</f>
        <v>100</v>
      </c>
    </row>
    <row r="35" customFormat="false" ht="15" hidden="false" customHeight="false" outlineLevel="0" collapsed="false">
      <c r="B35" s="20" t="s">
        <v>87</v>
      </c>
      <c r="C35" s="25" t="n">
        <v>20</v>
      </c>
      <c r="D35" s="25" t="n">
        <v>47</v>
      </c>
      <c r="E35" s="25" t="n">
        <v>33</v>
      </c>
      <c r="F35" s="26" t="n">
        <f aca="false">D35+E35</f>
        <v>80</v>
      </c>
      <c r="G35" s="28" t="s">
        <v>64</v>
      </c>
      <c r="H35" s="26" t="n">
        <f aca="false">C35+D35+E35</f>
        <v>100</v>
      </c>
    </row>
    <row r="36" customFormat="false" ht="15" hidden="false" customHeight="false" outlineLevel="0" collapsed="false">
      <c r="B36" s="20" t="s">
        <v>88</v>
      </c>
      <c r="C36" s="25" t="n">
        <v>19</v>
      </c>
      <c r="D36" s="25" t="n">
        <v>65</v>
      </c>
      <c r="E36" s="25" t="n">
        <v>16</v>
      </c>
      <c r="F36" s="26" t="n">
        <f aca="false">D36+E36</f>
        <v>81</v>
      </c>
      <c r="G36" s="28" t="s">
        <v>64</v>
      </c>
      <c r="H36" s="26" t="n">
        <f aca="false">C36+D36+E36</f>
        <v>100</v>
      </c>
    </row>
    <row r="37" customFormat="false" ht="15" hidden="false" customHeight="false" outlineLevel="0" collapsed="false">
      <c r="B37" s="20" t="s">
        <v>89</v>
      </c>
      <c r="C37" s="25" t="n">
        <v>19</v>
      </c>
      <c r="D37" s="25" t="n">
        <v>27</v>
      </c>
      <c r="E37" s="25" t="n">
        <v>54</v>
      </c>
      <c r="F37" s="26" t="n">
        <f aca="false">D37+E37</f>
        <v>81</v>
      </c>
      <c r="G37" s="27" t="s">
        <v>56</v>
      </c>
      <c r="H37" s="26" t="n">
        <f aca="false">C37+D37+E37</f>
        <v>100</v>
      </c>
    </row>
    <row r="38" customFormat="false" ht="15" hidden="false" customHeight="false" outlineLevel="0" collapsed="false">
      <c r="B38" s="20" t="s">
        <v>90</v>
      </c>
      <c r="C38" s="25" t="n">
        <v>19</v>
      </c>
      <c r="D38" s="25" t="n">
        <v>41</v>
      </c>
      <c r="E38" s="25" t="n">
        <v>40</v>
      </c>
      <c r="F38" s="26" t="n">
        <f aca="false">D38+E38</f>
        <v>81</v>
      </c>
      <c r="G38" s="28" t="s">
        <v>64</v>
      </c>
      <c r="H38" s="26" t="n">
        <f aca="false">C38+D38+E38</f>
        <v>100</v>
      </c>
    </row>
    <row r="39" customFormat="false" ht="15" hidden="false" customHeight="false" outlineLevel="0" collapsed="false">
      <c r="B39" s="20" t="s">
        <v>91</v>
      </c>
      <c r="C39" s="25" t="n">
        <v>18</v>
      </c>
      <c r="D39" s="25" t="n">
        <v>33</v>
      </c>
      <c r="E39" s="25" t="n">
        <v>49</v>
      </c>
      <c r="F39" s="26" t="n">
        <f aca="false">D39+E39</f>
        <v>82</v>
      </c>
      <c r="G39" s="28" t="s">
        <v>64</v>
      </c>
      <c r="H39" s="26" t="n">
        <f aca="false">C39+D39+E39</f>
        <v>100</v>
      </c>
    </row>
    <row r="40" customFormat="false" ht="15" hidden="false" customHeight="false" outlineLevel="0" collapsed="false">
      <c r="B40" s="20" t="s">
        <v>92</v>
      </c>
      <c r="C40" s="25" t="n">
        <v>18</v>
      </c>
      <c r="D40" s="25" t="n">
        <v>38</v>
      </c>
      <c r="E40" s="25" t="n">
        <v>44</v>
      </c>
      <c r="F40" s="26" t="n">
        <f aca="false">D40+E40</f>
        <v>82</v>
      </c>
      <c r="G40" s="28" t="s">
        <v>64</v>
      </c>
      <c r="H40" s="26" t="n">
        <f aca="false">C40+D40+E40</f>
        <v>100</v>
      </c>
    </row>
    <row r="41" customFormat="false" ht="15" hidden="false" customHeight="false" outlineLevel="0" collapsed="false">
      <c r="B41" s="20" t="s">
        <v>93</v>
      </c>
      <c r="C41" s="25" t="n">
        <v>18</v>
      </c>
      <c r="D41" s="25" t="n">
        <v>26</v>
      </c>
      <c r="E41" s="25" t="n">
        <v>56</v>
      </c>
      <c r="F41" s="26" t="n">
        <f aca="false">D41+E41</f>
        <v>82</v>
      </c>
      <c r="G41" s="27" t="s">
        <v>56</v>
      </c>
      <c r="H41" s="26" t="n">
        <f aca="false">C41+D41+E41</f>
        <v>100</v>
      </c>
    </row>
    <row r="42" customFormat="false" ht="15" hidden="false" customHeight="false" outlineLevel="0" collapsed="false">
      <c r="B42" s="20" t="s">
        <v>94</v>
      </c>
      <c r="C42" s="25" t="n">
        <v>18</v>
      </c>
      <c r="D42" s="25" t="n">
        <v>37</v>
      </c>
      <c r="E42" s="25" t="n">
        <v>45</v>
      </c>
      <c r="F42" s="26" t="n">
        <f aca="false">D42+E42</f>
        <v>82</v>
      </c>
      <c r="G42" s="28" t="s">
        <v>64</v>
      </c>
      <c r="H42" s="26" t="n">
        <f aca="false">C42+D42+E42</f>
        <v>100</v>
      </c>
    </row>
    <row r="43" customFormat="false" ht="15" hidden="false" customHeight="false" outlineLevel="0" collapsed="false">
      <c r="B43" s="20" t="s">
        <v>95</v>
      </c>
      <c r="C43" s="25" t="n">
        <v>17</v>
      </c>
      <c r="D43" s="25" t="n">
        <v>33</v>
      </c>
      <c r="E43" s="25" t="n">
        <v>50</v>
      </c>
      <c r="F43" s="26" t="n">
        <f aca="false">D43+E43</f>
        <v>83</v>
      </c>
      <c r="G43" s="28" t="s">
        <v>64</v>
      </c>
      <c r="H43" s="26" t="n">
        <f aca="false">C43+D43+E43</f>
        <v>100</v>
      </c>
    </row>
    <row r="44" customFormat="false" ht="15" hidden="false" customHeight="false" outlineLevel="0" collapsed="false">
      <c r="B44" s="20" t="s">
        <v>96</v>
      </c>
      <c r="C44" s="25" t="n">
        <v>17</v>
      </c>
      <c r="D44" s="25" t="n">
        <v>68</v>
      </c>
      <c r="E44" s="25" t="n">
        <v>15</v>
      </c>
      <c r="F44" s="26" t="n">
        <f aca="false">D44+E44</f>
        <v>83</v>
      </c>
      <c r="G44" s="28" t="s">
        <v>64</v>
      </c>
      <c r="H44" s="26" t="n">
        <f aca="false">C44+D44+E44</f>
        <v>100</v>
      </c>
    </row>
    <row r="45" customFormat="false" ht="15" hidden="false" customHeight="false" outlineLevel="0" collapsed="false">
      <c r="B45" s="20" t="s">
        <v>97</v>
      </c>
      <c r="C45" s="25" t="n">
        <v>15</v>
      </c>
      <c r="D45" s="25" t="n">
        <v>48</v>
      </c>
      <c r="E45" s="25" t="n">
        <v>37</v>
      </c>
      <c r="F45" s="26" t="n">
        <f aca="false">D45+E45</f>
        <v>85</v>
      </c>
      <c r="G45" s="28" t="s">
        <v>64</v>
      </c>
      <c r="H45" s="26" t="n">
        <f aca="false">C45+D45+E45</f>
        <v>100</v>
      </c>
    </row>
    <row r="46" customFormat="false" ht="15" hidden="false" customHeight="false" outlineLevel="0" collapsed="false">
      <c r="B46" s="20" t="s">
        <v>98</v>
      </c>
      <c r="C46" s="25" t="n">
        <v>15</v>
      </c>
      <c r="D46" s="25" t="n">
        <v>37</v>
      </c>
      <c r="E46" s="25" t="n">
        <v>48</v>
      </c>
      <c r="F46" s="26" t="n">
        <f aca="false">D46+E46</f>
        <v>85</v>
      </c>
      <c r="G46" s="28" t="s">
        <v>64</v>
      </c>
      <c r="H46" s="26" t="n">
        <f aca="false">C46+D46+E46</f>
        <v>100</v>
      </c>
    </row>
    <row r="47" customFormat="false" ht="15" hidden="false" customHeight="false" outlineLevel="0" collapsed="false">
      <c r="B47" s="20" t="s">
        <v>99</v>
      </c>
      <c r="C47" s="25" t="n">
        <v>15</v>
      </c>
      <c r="D47" s="25" t="n">
        <v>33</v>
      </c>
      <c r="E47" s="25" t="n">
        <v>52</v>
      </c>
      <c r="F47" s="26" t="n">
        <f aca="false">D47+E47</f>
        <v>85</v>
      </c>
      <c r="G47" s="28" t="s">
        <v>64</v>
      </c>
      <c r="H47" s="26" t="n">
        <f aca="false">C47+D47+E47</f>
        <v>100</v>
      </c>
    </row>
    <row r="48" customFormat="false" ht="15" hidden="false" customHeight="false" outlineLevel="0" collapsed="false">
      <c r="B48" s="20" t="s">
        <v>100</v>
      </c>
      <c r="C48" s="25" t="n">
        <v>14</v>
      </c>
      <c r="D48" s="25" t="n">
        <v>38</v>
      </c>
      <c r="E48" s="25" t="n">
        <v>48</v>
      </c>
      <c r="F48" s="26" t="n">
        <f aca="false">D48+E48</f>
        <v>86</v>
      </c>
      <c r="G48" s="28" t="s">
        <v>64</v>
      </c>
      <c r="H48" s="26" t="n">
        <f aca="false">C48+D48+E48</f>
        <v>100</v>
      </c>
    </row>
    <row r="49" customFormat="false" ht="15" hidden="false" customHeight="false" outlineLevel="0" collapsed="false">
      <c r="B49" s="20" t="s">
        <v>101</v>
      </c>
      <c r="C49" s="25" t="n">
        <v>14</v>
      </c>
      <c r="D49" s="25" t="n">
        <v>32</v>
      </c>
      <c r="E49" s="25" t="n">
        <v>54</v>
      </c>
      <c r="F49" s="26" t="n">
        <f aca="false">D49+E49</f>
        <v>86</v>
      </c>
      <c r="G49" s="28" t="s">
        <v>64</v>
      </c>
      <c r="H49" s="26" t="n">
        <f aca="false">C49+D49+E49</f>
        <v>100</v>
      </c>
    </row>
    <row r="50" customFormat="false" ht="15" hidden="false" customHeight="false" outlineLevel="0" collapsed="false">
      <c r="B50" s="20" t="s">
        <v>102</v>
      </c>
      <c r="C50" s="25" t="n">
        <v>13</v>
      </c>
      <c r="D50" s="25" t="n">
        <v>34</v>
      </c>
      <c r="E50" s="25" t="n">
        <v>53</v>
      </c>
      <c r="F50" s="26" t="n">
        <f aca="false">D50+E50</f>
        <v>87</v>
      </c>
      <c r="G50" s="28" t="s">
        <v>64</v>
      </c>
      <c r="H50" s="26" t="n">
        <f aca="false">C50+D50+E50</f>
        <v>100</v>
      </c>
    </row>
    <row r="51" customFormat="false" ht="15" hidden="false" customHeight="false" outlineLevel="0" collapsed="false">
      <c r="B51" s="20" t="s">
        <v>103</v>
      </c>
      <c r="C51" s="25" t="n">
        <v>12</v>
      </c>
      <c r="D51" s="25" t="n">
        <v>37</v>
      </c>
      <c r="E51" s="25" t="n">
        <v>51</v>
      </c>
      <c r="F51" s="26" t="n">
        <f aca="false">D51+E51</f>
        <v>88</v>
      </c>
      <c r="G51" s="28" t="s">
        <v>64</v>
      </c>
      <c r="H51" s="26" t="n">
        <f aca="false">C51+D51+E51</f>
        <v>100</v>
      </c>
    </row>
    <row r="52" customFormat="false" ht="15" hidden="false" customHeight="false" outlineLevel="0" collapsed="false">
      <c r="B52" s="20" t="s">
        <v>104</v>
      </c>
      <c r="C52" s="25" t="n">
        <v>11</v>
      </c>
      <c r="D52" s="25" t="n">
        <v>36</v>
      </c>
      <c r="E52" s="25" t="n">
        <v>53</v>
      </c>
      <c r="F52" s="26" t="n">
        <f aca="false">D52+E52</f>
        <v>89</v>
      </c>
      <c r="G52" s="28" t="s">
        <v>64</v>
      </c>
      <c r="H52" s="26" t="n">
        <f aca="false">C52+D52+E52</f>
        <v>100</v>
      </c>
    </row>
    <row r="53" customFormat="false" ht="15" hidden="false" customHeight="false" outlineLevel="0" collapsed="false">
      <c r="B53" s="20" t="s">
        <v>105</v>
      </c>
      <c r="C53" s="25" t="n">
        <v>9</v>
      </c>
      <c r="D53" s="25" t="n">
        <v>28</v>
      </c>
      <c r="E53" s="25" t="n">
        <v>63</v>
      </c>
      <c r="F53" s="26" t="n">
        <f aca="false">D53+E53</f>
        <v>91</v>
      </c>
      <c r="G53" s="28" t="s">
        <v>64</v>
      </c>
      <c r="H53" s="26" t="n">
        <f aca="false">C53+D53+E53</f>
        <v>100</v>
      </c>
    </row>
    <row r="54" customFormat="false" ht="15" hidden="false" customHeight="false" outlineLevel="0" collapsed="false">
      <c r="B54" s="20" t="s">
        <v>106</v>
      </c>
      <c r="C54" s="25" t="n">
        <v>8</v>
      </c>
      <c r="D54" s="25" t="n">
        <v>40</v>
      </c>
      <c r="E54" s="25" t="n">
        <v>52</v>
      </c>
      <c r="F54" s="26" t="n">
        <f aca="false">D54+E54</f>
        <v>92</v>
      </c>
      <c r="G54" s="28" t="s">
        <v>64</v>
      </c>
      <c r="H54" s="26" t="n">
        <f aca="false">C54+D54+E54</f>
        <v>100</v>
      </c>
    </row>
    <row r="55" customFormat="false" ht="15" hidden="false" customHeight="false" outlineLevel="0" collapsed="false">
      <c r="B55" s="20" t="s">
        <v>107</v>
      </c>
      <c r="C55" s="25" t="n">
        <v>7</v>
      </c>
      <c r="D55" s="25" t="n">
        <v>41</v>
      </c>
      <c r="E55" s="25" t="n">
        <v>52</v>
      </c>
      <c r="F55" s="26" t="n">
        <f aca="false">D55+E55</f>
        <v>93</v>
      </c>
      <c r="G55" s="28" t="s">
        <v>64</v>
      </c>
      <c r="H55" s="26" t="n">
        <f aca="false">C55+D55+E55</f>
        <v>100</v>
      </c>
    </row>
    <row r="57" customFormat="false" ht="15" hidden="false" customHeight="false" outlineLevel="0" collapsed="false">
      <c r="B57" s="29" t="s">
        <v>108</v>
      </c>
    </row>
  </sheetData>
  <conditionalFormatting sqref="C5:C55">
    <cfRule type="colorScale" priority="2">
      <colorScale>
        <cfvo type="num" val="0"/>
        <cfvo type="num" val="30"/>
        <cfvo type="num" val="65"/>
        <color rgb="FFFFFFFF"/>
        <color rgb="FFF5C4B3"/>
        <color rgb="FFD85A30"/>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6"/>
    <col collapsed="false" customWidth="true" hidden="false" outlineLevel="0" max="6" min="3" style="0" width="18"/>
  </cols>
  <sheetData>
    <row r="2" customFormat="false" ht="19.7" hidden="false" customHeight="false" outlineLevel="0" collapsed="false">
      <c r="B2" s="1" t="s">
        <v>109</v>
      </c>
    </row>
    <row r="3" customFormat="false" ht="15" hidden="false" customHeight="false" outlineLevel="0" collapsed="false">
      <c r="B3" s="2" t="s">
        <v>110</v>
      </c>
    </row>
    <row r="5" customFormat="false" ht="15" hidden="false" customHeight="false" outlineLevel="0" collapsed="false">
      <c r="B5" s="6" t="s">
        <v>111</v>
      </c>
    </row>
    <row r="7" customFormat="false" ht="15" hidden="false" customHeight="false" outlineLevel="0" collapsed="false">
      <c r="B7" s="8" t="s">
        <v>11</v>
      </c>
      <c r="C7" s="8" t="s">
        <v>112</v>
      </c>
      <c r="D7" s="8" t="s">
        <v>113</v>
      </c>
      <c r="E7" s="8" t="s">
        <v>14</v>
      </c>
      <c r="F7" s="8" t="s">
        <v>15</v>
      </c>
    </row>
    <row r="8" customFormat="false" ht="15" hidden="false" customHeight="false" outlineLevel="0" collapsed="false">
      <c r="B8" s="9" t="s">
        <v>16</v>
      </c>
      <c r="C8" s="10" t="n">
        <f aca="false">AVERAGEIF('State-level data'!$G$5:$G$55,"LEGAL",'State-level data'!$C$5:$C$55)</f>
        <v>19.0322580645161</v>
      </c>
      <c r="D8" s="10" t="n">
        <f aca="false">AVERAGEIF('State-level data'!$G$5:$G$55,"NON-LEGAL",'State-level data'!$C$5:$C$55)</f>
        <v>36.05</v>
      </c>
      <c r="E8" s="11" t="n">
        <f aca="false">D8-C8</f>
        <v>17.0177419354839</v>
      </c>
      <c r="F8" s="12" t="n">
        <f aca="false">D8/C8</f>
        <v>1.89415254237288</v>
      </c>
    </row>
    <row r="9" customFormat="false" ht="15" hidden="false" customHeight="false" outlineLevel="0" collapsed="false">
      <c r="B9" s="13" t="s">
        <v>17</v>
      </c>
      <c r="C9" s="14" t="n">
        <f aca="false">AVERAGEIF('State-level data'!$G$5:$G$55,"LEGAL",'State-level data'!$D$5:$D$55)</f>
        <v>39.6451612903226</v>
      </c>
      <c r="D9" s="14" t="n">
        <f aca="false">AVERAGEIF('State-level data'!$G$5:$G$55,"NON-LEGAL",'State-level data'!$D$5:$D$55)</f>
        <v>30.45</v>
      </c>
      <c r="E9" s="15" t="n">
        <f aca="false">D9-C9</f>
        <v>-9.19516129032258</v>
      </c>
      <c r="F9" s="16" t="n">
        <f aca="false">D9/C9</f>
        <v>0.76806346623271</v>
      </c>
    </row>
    <row r="10" customFormat="false" ht="15" hidden="false" customHeight="false" outlineLevel="0" collapsed="false">
      <c r="B10" s="9" t="s">
        <v>18</v>
      </c>
      <c r="C10" s="10" t="n">
        <f aca="false">AVERAGEIF('State-level data'!$G$5:$G$55,"LEGAL",'State-level data'!$E$5:$E$55)</f>
        <v>41.3225806451613</v>
      </c>
      <c r="D10" s="10" t="n">
        <f aca="false">AVERAGEIF('State-level data'!$G$5:$G$55,"NON-LEGAL",'State-level data'!$E$5:$E$55)</f>
        <v>33.5</v>
      </c>
      <c r="E10" s="11" t="n">
        <f aca="false">D10-C10</f>
        <v>-7.82258064516129</v>
      </c>
      <c r="F10" s="12" t="n">
        <f aca="false">D10/C10</f>
        <v>0.810694769711163</v>
      </c>
    </row>
    <row r="11" customFormat="false" ht="15" hidden="false" customHeight="false" outlineLevel="0" collapsed="false">
      <c r="B11" s="13" t="s">
        <v>114</v>
      </c>
      <c r="C11" s="14" t="n">
        <f aca="false">AVERAGEIF('State-level data'!$G$5:$G$55,"LEGAL",'State-level data'!$F$5:$F$55)</f>
        <v>80.9677419354839</v>
      </c>
      <c r="D11" s="14" t="n">
        <f aca="false">AVERAGEIF('State-level data'!$G$5:$G$55,"NON-LEGAL",'State-level data'!$F$5:$F$55)</f>
        <v>63.95</v>
      </c>
      <c r="E11" s="15" t="n">
        <f aca="false">D11-C11</f>
        <v>-17.0177419354839</v>
      </c>
      <c r="F11" s="16" t="n">
        <f aca="false">D11/C11</f>
        <v>0.789820717131474</v>
      </c>
    </row>
    <row r="12" customFormat="false" ht="15" hidden="false" customHeight="false" outlineLevel="0" collapsed="false">
      <c r="B12" s="9" t="s">
        <v>115</v>
      </c>
      <c r="C12" s="17" t="n">
        <f aca="false">COUNTIF('State-level data'!$G$5:$G$55,"LEGAL")</f>
        <v>31</v>
      </c>
      <c r="D12" s="17" t="n">
        <f aca="false">COUNTIF('State-level data'!$G$5:$G$55,"NON-LEGAL")</f>
        <v>20</v>
      </c>
      <c r="E12" s="18"/>
      <c r="F12" s="18"/>
    </row>
    <row r="15" customFormat="false" ht="15" hidden="false" customHeight="false" outlineLevel="0" collapsed="false">
      <c r="B15" s="6" t="s">
        <v>116</v>
      </c>
    </row>
    <row r="17" customFormat="false" ht="15" hidden="false" customHeight="false" outlineLevel="0" collapsed="false">
      <c r="B17" s="8" t="s">
        <v>117</v>
      </c>
      <c r="C17" s="8" t="s">
        <v>112</v>
      </c>
      <c r="D17" s="8" t="s">
        <v>113</v>
      </c>
    </row>
    <row r="18" customFormat="false" ht="15" hidden="false" customHeight="false" outlineLevel="0" collapsed="false">
      <c r="B18" s="20" t="s">
        <v>118</v>
      </c>
      <c r="C18" s="26" t="n">
        <f aca="false" t="array" ref="C18:C18">MIN(IF('State-level data'!$G$5:$G$55="LEGAL",'State-level data'!$C$5:$C$55))</f>
        <v>7</v>
      </c>
      <c r="D18" s="26" t="n">
        <f aca="false" t="array" ref="D18:D18">MIN(IF('State-level data'!$G$5:$G$55="NON-LEGAL",'State-level data'!$C$5:$C$55))</f>
        <v>18</v>
      </c>
    </row>
    <row r="19" customFormat="false" ht="15" hidden="false" customHeight="false" outlineLevel="0" collapsed="false">
      <c r="B19" s="21" t="s">
        <v>119</v>
      </c>
      <c r="C19" s="30" t="n">
        <f aca="false" t="array" ref="C19:C19">PERCENTILE(IF('State-level data'!$G$5:$G$55="LEGAL",'State-level data'!$C$5:$C$55),0.25)</f>
        <v>14.5</v>
      </c>
      <c r="D19" s="30" t="n">
        <f aca="false" t="array" ref="D19:D19">PERCENTILE(IF('State-level data'!$G$5:$G$55="NON-LEGAL",'State-level data'!$C$5:$C$55),0.25)</f>
        <v>26.5</v>
      </c>
    </row>
    <row r="20" customFormat="false" ht="15" hidden="false" customHeight="false" outlineLevel="0" collapsed="false">
      <c r="B20" s="20" t="s">
        <v>120</v>
      </c>
      <c r="C20" s="26" t="n">
        <f aca="false" t="array" ref="C20:C20">PERCENTILE(IF('State-level data'!$G$5:$G$55="LEGAL",'State-level data'!$C$5:$C$55),0.5)</f>
        <v>18</v>
      </c>
      <c r="D20" s="26" t="n">
        <f aca="false" t="array" ref="D20:D20">PERCENTILE(IF('State-level data'!$G$5:$G$55="NON-LEGAL",'State-level data'!$C$5:$C$55),0.5)</f>
        <v>31.5</v>
      </c>
    </row>
    <row r="21" customFormat="false" ht="15" hidden="false" customHeight="false" outlineLevel="0" collapsed="false">
      <c r="B21" s="21" t="s">
        <v>121</v>
      </c>
      <c r="C21" s="30" t="n">
        <f aca="false" t="array" ref="C21:C21">PERCENTILE(IF('State-level data'!$G$5:$G$55="LEGAL",'State-level data'!$C$5:$C$55),0.75)</f>
        <v>22.5</v>
      </c>
      <c r="D21" s="30" t="n">
        <f aca="false" t="array" ref="D21:D21">PERCENTILE(IF('State-level data'!$G$5:$G$55="NON-LEGAL",'State-level data'!$C$5:$C$55),0.75)</f>
        <v>45.5</v>
      </c>
    </row>
    <row r="22" customFormat="false" ht="15" hidden="false" customHeight="false" outlineLevel="0" collapsed="false">
      <c r="B22" s="20" t="s">
        <v>122</v>
      </c>
      <c r="C22" s="26" t="n">
        <f aca="false" t="array" ref="C22:C22">MAX(IF('State-level data'!$G$5:$G$55="LEGAL",'State-level data'!$C$5:$C$55))</f>
        <v>37</v>
      </c>
      <c r="D22" s="26" t="n">
        <f aca="false" t="array" ref="D22:D22">MAX(IF('State-level data'!$G$5:$G$55="NON-LEGAL",'State-level data'!$C$5:$C$55))</f>
        <v>63</v>
      </c>
    </row>
    <row r="26" customFormat="false" ht="15" hidden="false" customHeight="false" outlineLevel="0" collapsed="false">
      <c r="B26" s="6" t="s">
        <v>123</v>
      </c>
    </row>
    <row r="28" customFormat="false" ht="15" hidden="false" customHeight="false" outlineLevel="0" collapsed="false">
      <c r="B28" s="8" t="s">
        <v>124</v>
      </c>
      <c r="C28" s="8" t="s">
        <v>125</v>
      </c>
      <c r="D28" s="8" t="s">
        <v>49</v>
      </c>
      <c r="E28" s="8" t="s">
        <v>53</v>
      </c>
    </row>
    <row r="29" customFormat="false" ht="15" hidden="false" customHeight="false" outlineLevel="0" collapsed="false">
      <c r="B29" s="31" t="n">
        <v>1</v>
      </c>
      <c r="C29" s="32" t="str">
        <f aca="false">'State-level data'!B5</f>
        <v>Hawaii</v>
      </c>
      <c r="D29" s="33" t="n">
        <f aca="false">'State-level data'!C5</f>
        <v>63</v>
      </c>
      <c r="E29" s="27" t="str">
        <f aca="false">'State-level data'!G5</f>
        <v>NON-LEGAL</v>
      </c>
    </row>
    <row r="30" customFormat="false" ht="15" hidden="false" customHeight="false" outlineLevel="0" collapsed="false">
      <c r="B30" s="31" t="n">
        <v>2</v>
      </c>
      <c r="C30" s="32" t="str">
        <f aca="false">'State-level data'!B6</f>
        <v>Idaho</v>
      </c>
      <c r="D30" s="33" t="n">
        <f aca="false">'State-level data'!C6</f>
        <v>61</v>
      </c>
      <c r="E30" s="27" t="str">
        <f aca="false">'State-level data'!G6</f>
        <v>NON-LEGAL</v>
      </c>
    </row>
    <row r="31" customFormat="false" ht="15" hidden="false" customHeight="false" outlineLevel="0" collapsed="false">
      <c r="B31" s="31" t="n">
        <v>3</v>
      </c>
      <c r="C31" s="32" t="str">
        <f aca="false">'State-level data'!B7</f>
        <v>Washington</v>
      </c>
      <c r="D31" s="33" t="n">
        <f aca="false">'State-level data'!C7</f>
        <v>56</v>
      </c>
      <c r="E31" s="27" t="str">
        <f aca="false">'State-level data'!G7</f>
        <v>NON-LEGAL</v>
      </c>
    </row>
    <row r="32" customFormat="false" ht="15" hidden="false" customHeight="false" outlineLevel="0" collapsed="false">
      <c r="B32" s="31" t="n">
        <v>4</v>
      </c>
      <c r="C32" s="32" t="str">
        <f aca="false">'State-level data'!B8</f>
        <v>Montana</v>
      </c>
      <c r="D32" s="33" t="n">
        <f aca="false">'State-level data'!C8</f>
        <v>54</v>
      </c>
      <c r="E32" s="27" t="str">
        <f aca="false">'State-level data'!G8</f>
        <v>NON-LEGAL</v>
      </c>
    </row>
    <row r="33" customFormat="false" ht="15" hidden="false" customHeight="false" outlineLevel="0" collapsed="false">
      <c r="B33" s="31" t="n">
        <v>5</v>
      </c>
      <c r="C33" s="32" t="str">
        <f aca="false">'State-level data'!B9</f>
        <v>Utah</v>
      </c>
      <c r="D33" s="33" t="n">
        <f aca="false">'State-level data'!C9</f>
        <v>50</v>
      </c>
      <c r="E33" s="27" t="str">
        <f aca="false">'State-level data'!G9</f>
        <v>NON-LEGAL</v>
      </c>
    </row>
    <row r="34" customFormat="false" ht="15" hidden="false" customHeight="false" outlineLevel="0" collapsed="false">
      <c r="B34" s="31" t="n">
        <v>6</v>
      </c>
      <c r="C34" s="32" t="str">
        <f aca="false">'State-level data'!B10</f>
        <v>California</v>
      </c>
      <c r="D34" s="33" t="n">
        <f aca="false">'State-level data'!C10</f>
        <v>44</v>
      </c>
      <c r="E34" s="27" t="str">
        <f aca="false">'State-level data'!G10</f>
        <v>NON-LEGAL</v>
      </c>
    </row>
    <row r="35" customFormat="false" ht="15" hidden="false" customHeight="false" outlineLevel="0" collapsed="false">
      <c r="B35" s="31" t="n">
        <v>7</v>
      </c>
      <c r="C35" s="32" t="str">
        <f aca="false">'State-level data'!B11</f>
        <v>Alaska</v>
      </c>
      <c r="D35" s="33" t="n">
        <f aca="false">'State-level data'!C11</f>
        <v>43</v>
      </c>
      <c r="E35" s="27" t="str">
        <f aca="false">'State-level data'!G11</f>
        <v>NON-LEGAL</v>
      </c>
    </row>
    <row r="37" customFormat="false" ht="15" hidden="false" customHeight="false" outlineLevel="0" collapsed="false">
      <c r="B37" s="34" t="s">
        <v>126</v>
      </c>
      <c r="C37" s="34"/>
      <c r="D37" s="34"/>
      <c r="E37" s="34"/>
      <c r="F37" s="34"/>
    </row>
    <row r="40" customFormat="false" ht="15" hidden="false" customHeight="false" outlineLevel="0" collapsed="false">
      <c r="B40" s="6" t="s">
        <v>127</v>
      </c>
    </row>
    <row r="42" customFormat="false" ht="15" hidden="false" customHeight="false" outlineLevel="0" collapsed="false">
      <c r="B42" s="8" t="s">
        <v>124</v>
      </c>
      <c r="C42" s="8" t="s">
        <v>125</v>
      </c>
      <c r="D42" s="8" t="s">
        <v>49</v>
      </c>
      <c r="E42" s="8" t="s">
        <v>53</v>
      </c>
    </row>
    <row r="43" customFormat="false" ht="15" hidden="false" customHeight="false" outlineLevel="0" collapsed="false">
      <c r="B43" s="31" t="n">
        <v>47</v>
      </c>
      <c r="C43" s="32" t="str">
        <f aca="false">'State-level data'!B51</f>
        <v>Kentucky</v>
      </c>
      <c r="D43" s="33" t="n">
        <f aca="false">'State-level data'!C51</f>
        <v>12</v>
      </c>
      <c r="E43" s="28" t="str">
        <f aca="false">'State-level data'!G51</f>
        <v>LEGAL</v>
      </c>
    </row>
    <row r="44" customFormat="false" ht="15" hidden="false" customHeight="false" outlineLevel="0" collapsed="false">
      <c r="B44" s="31" t="n">
        <v>48</v>
      </c>
      <c r="C44" s="32" t="str">
        <f aca="false">'State-level data'!B52</f>
        <v>Louisiana</v>
      </c>
      <c r="D44" s="33" t="n">
        <f aca="false">'State-level data'!C52</f>
        <v>11</v>
      </c>
      <c r="E44" s="28" t="str">
        <f aca="false">'State-level data'!G52</f>
        <v>LEGAL</v>
      </c>
    </row>
    <row r="45" customFormat="false" ht="15" hidden="false" customHeight="false" outlineLevel="0" collapsed="false">
      <c r="B45" s="31" t="n">
        <v>49</v>
      </c>
      <c r="C45" s="32" t="str">
        <f aca="false">'State-level data'!B53</f>
        <v>Michigan</v>
      </c>
      <c r="D45" s="33" t="n">
        <f aca="false">'State-level data'!C53</f>
        <v>9</v>
      </c>
      <c r="E45" s="28" t="str">
        <f aca="false">'State-level data'!G53</f>
        <v>LEGAL</v>
      </c>
    </row>
    <row r="46" customFormat="false" ht="15" hidden="false" customHeight="false" outlineLevel="0" collapsed="false">
      <c r="B46" s="31" t="n">
        <v>50</v>
      </c>
      <c r="C46" s="32" t="str">
        <f aca="false">'State-level data'!B54</f>
        <v>Missouri</v>
      </c>
      <c r="D46" s="33" t="n">
        <f aca="false">'State-level data'!C54</f>
        <v>8</v>
      </c>
      <c r="E46" s="28" t="str">
        <f aca="false">'State-level data'!G54</f>
        <v>LEGAL</v>
      </c>
    </row>
    <row r="47" customFormat="false" ht="15" hidden="false" customHeight="false" outlineLevel="0" collapsed="false">
      <c r="B47" s="31" t="n">
        <v>51</v>
      </c>
      <c r="C47" s="32" t="str">
        <f aca="false">'State-level data'!B55</f>
        <v>West Virginia</v>
      </c>
      <c r="D47" s="33" t="n">
        <f aca="false">'State-level data'!C55</f>
        <v>7</v>
      </c>
      <c r="E47" s="28" t="str">
        <f aca="false">'State-level data'!G55</f>
        <v>LEGAL</v>
      </c>
    </row>
    <row r="49" customFormat="false" ht="15" hidden="false" customHeight="false" outlineLevel="0" collapsed="false">
      <c r="B49" s="34" t="s">
        <v>128</v>
      </c>
      <c r="C49" s="34"/>
      <c r="D49" s="34"/>
      <c r="E49" s="34"/>
      <c r="F49" s="34"/>
    </row>
    <row r="52" customFormat="false" ht="15" hidden="false" customHeight="false" outlineLevel="0" collapsed="false">
      <c r="B52" s="6" t="s">
        <v>129</v>
      </c>
    </row>
    <row r="54" customFormat="false" ht="15" hidden="false" customHeight="false" outlineLevel="0" collapsed="false">
      <c r="B54" s="3" t="s">
        <v>130</v>
      </c>
      <c r="C54" s="35" t="s">
        <v>131</v>
      </c>
      <c r="D54" s="35"/>
      <c r="E54" s="35"/>
      <c r="F54" s="35"/>
    </row>
    <row r="55" customFormat="false" ht="15" hidden="false" customHeight="false" outlineLevel="0" collapsed="false">
      <c r="B55" s="3" t="s">
        <v>132</v>
      </c>
      <c r="C55" s="35" t="s">
        <v>133</v>
      </c>
      <c r="D55" s="35"/>
      <c r="E55" s="35"/>
      <c r="F55" s="35"/>
    </row>
    <row r="56" customFormat="false" ht="15" hidden="false" customHeight="false" outlineLevel="0" collapsed="false">
      <c r="B56" s="3" t="s">
        <v>134</v>
      </c>
      <c r="C56" s="5" t="n">
        <v>545.5</v>
      </c>
    </row>
    <row r="57" customFormat="false" ht="15" hidden="false" customHeight="false" outlineLevel="0" collapsed="false">
      <c r="B57" s="3" t="s">
        <v>135</v>
      </c>
      <c r="C57" s="36" t="s">
        <v>136</v>
      </c>
    </row>
    <row r="58" customFormat="false" ht="23.85" hidden="false" customHeight="true" outlineLevel="0" collapsed="false">
      <c r="B58" s="3" t="s">
        <v>137</v>
      </c>
      <c r="C58" s="7" t="s">
        <v>138</v>
      </c>
      <c r="D58" s="7"/>
      <c r="E58" s="7"/>
      <c r="F58" s="7"/>
    </row>
  </sheetData>
  <mergeCells count="5">
    <mergeCell ref="B37:F37"/>
    <mergeCell ref="B49:F49"/>
    <mergeCell ref="C54:F54"/>
    <mergeCell ref="C55:F55"/>
    <mergeCell ref="C58:F5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95"/>
  </cols>
  <sheetData>
    <row r="2" customFormat="false" ht="19.7" hidden="false" customHeight="false" outlineLevel="0" collapsed="false">
      <c r="B2" s="1" t="s">
        <v>139</v>
      </c>
    </row>
    <row r="4" customFormat="false" ht="15" hidden="false" customHeight="false" outlineLevel="0" collapsed="false">
      <c r="B4" s="37" t="s">
        <v>140</v>
      </c>
    </row>
    <row r="5" customFormat="false" ht="45" hidden="false" customHeight="true" outlineLevel="0" collapsed="false">
      <c r="B5" s="38" t="s">
        <v>141</v>
      </c>
    </row>
    <row r="7" customFormat="false" ht="15" hidden="false" customHeight="false" outlineLevel="0" collapsed="false">
      <c r="B7" s="37" t="s">
        <v>142</v>
      </c>
    </row>
    <row r="8" customFormat="false" ht="60" hidden="false" customHeight="true" outlineLevel="0" collapsed="false">
      <c r="B8" s="38" t="s">
        <v>143</v>
      </c>
    </row>
    <row r="10" customFormat="false" ht="15" hidden="false" customHeight="false" outlineLevel="0" collapsed="false">
      <c r="B10" s="37" t="s">
        <v>144</v>
      </c>
    </row>
    <row r="11" customFormat="false" ht="120" hidden="false" customHeight="true" outlineLevel="0" collapsed="false">
      <c r="B11" s="38" t="s">
        <v>145</v>
      </c>
    </row>
    <row r="13" customFormat="false" ht="15" hidden="false" customHeight="false" outlineLevel="0" collapsed="false">
      <c r="B13" s="37" t="s">
        <v>129</v>
      </c>
    </row>
    <row r="14" customFormat="false" ht="45" hidden="false" customHeight="true" outlineLevel="0" collapsed="false">
      <c r="B14" s="38" t="s">
        <v>146</v>
      </c>
    </row>
    <row r="16" customFormat="false" ht="15" hidden="false" customHeight="false" outlineLevel="0" collapsed="false">
      <c r="B16" s="37" t="s">
        <v>147</v>
      </c>
    </row>
    <row r="17" customFormat="false" ht="90" hidden="false" customHeight="true" outlineLevel="0" collapsed="false">
      <c r="B17" s="38" t="s">
        <v>148</v>
      </c>
    </row>
    <row r="19" customFormat="false" ht="15" hidden="false" customHeight="false" outlineLevel="0" collapsed="false">
      <c r="B19" s="37" t="s">
        <v>149</v>
      </c>
    </row>
    <row r="20" customFormat="false" ht="90" hidden="false" customHeight="true" outlineLevel="0" collapsed="false">
      <c r="B20" s="38" t="s">
        <v>150</v>
      </c>
    </row>
    <row r="22" customFormat="false" ht="15" hidden="false" customHeight="false" outlineLevel="0" collapsed="false">
      <c r="B22" s="37" t="s">
        <v>151</v>
      </c>
    </row>
    <row r="23" customFormat="false" ht="45" hidden="false" customHeight="true" outlineLevel="0" collapsed="false">
      <c r="B23" s="38" t="s">
        <v>152</v>
      </c>
    </row>
    <row r="25" customFormat="false" ht="15" hidden="false" customHeight="false" outlineLevel="0" collapsed="false">
      <c r="B25" s="37" t="s">
        <v>153</v>
      </c>
    </row>
    <row r="26" customFormat="false" ht="120" hidden="false" customHeight="true" outlineLevel="0" collapsed="false">
      <c r="B26" s="38" t="s">
        <v>154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2026-04-22T22:02:15Z</dcterms:created>
  <dc:creator>openpyxl</dc:creator>
  <dc:description/>
  <dc:language>en-US</dc:language>
  <cp:lastModifiedBy/>
  <dcterms:modified xsi:type="dcterms:W3CDTF">2026-04-22T22:02:15Z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