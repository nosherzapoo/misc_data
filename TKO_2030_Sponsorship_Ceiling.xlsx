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dia Right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<sst xmlns="http://schemas.openxmlformats.org/spreadsheetml/2006/main" count="113" uniqueCount="101">
  <si>
    <t xml:space="preserve">TKO 2030 Sponsorship Ceiling Analysis</t>
  </si>
  <si>
    <t xml:space="preserve">UFC + WWE only. Three scenarios for 2030 sponsorship revenue based on conversion of media rights to sponsorship.</t>
  </si>
  <si>
    <t xml:space="preserve">Scenario</t>
  </si>
  <si>
    <t xml:space="preserve">2030 Media Rights ($mm)</t>
  </si>
  <si>
    <t xml:space="preserve">2030 Sponsorship ($mm)</t>
  </si>
  <si>
    <t xml:space="preserve">Implied Conversion Rate</t>
  </si>
  <si>
    <t xml:space="preserve">Upside vs Mgmt ($mm)</t>
  </si>
  <si>
    <t xml:space="preserve">Upside vs Mgmt (%)</t>
  </si>
  <si>
    <t xml:space="preserve">Source / Logic</t>
  </si>
  <si>
    <t xml:space="preserve">Management Guidance</t>
  </si>
  <si>
    <t xml:space="preserve">TKO FY2025 Annual Report: 2030 brand partnerships target raised from $1.0B to $1.2B (used as UFC+WWE proxy per user direction)</t>
  </si>
  <si>
    <t xml:space="preserve">Buyside Consensus</t>
  </si>
  <si>
    <t xml:space="preserve">Per user input: ~$1.45B</t>
  </si>
  <si>
    <t xml:space="preserve">100% Conversion (Theoretical Ceiling)</t>
  </si>
  <si>
    <t xml:space="preserve">Theoretical 1:1 ratio of sponsorship to media rights</t>
  </si>
  <si>
    <t xml:space="preserve">Key Takeaways</t>
  </si>
  <si>
    <t xml:space="preserve">1. Theoretical ceiling implies meaningful upside vs. both management guidance and buyside consensus if TKO can drive sponsorship-to-media-rights conversion to 1:1.</t>
  </si>
  <si>
    <t xml:space="preserve">2. Management guidance and consensus both imply conversion rates well below the 100% benchmark, suggesting room for upward revisions if execution outperforms.</t>
  </si>
  <si>
    <t xml:space="preserve">3. The 100% benchmark is informed by mature motorsports ecosystems where total commercial value (series + teams + race title sponsors) approximates or exceeds annual media rights value.</t>
  </si>
  <si>
    <t xml:space="preserve">4. Sensitivity: 2030 media rights base assumes UFC US back-end loaded contract value, WWE US deals renewed at modest step-up, and international growth in line with management commentary.</t>
  </si>
  <si>
    <t xml:space="preserve">2030 Media Rights Build: UFC + WWE</t>
  </si>
  <si>
    <t xml:space="preserve">All values $mm. Estimates based on disclosed deal terms; back-end loading assumed for UFC US per Paramount deal disclosure.</t>
  </si>
  <si>
    <t xml:space="preserve">Property</t>
  </si>
  <si>
    <t xml:space="preserve">Counterparty</t>
  </si>
  <si>
    <t xml:space="preserve">Term</t>
  </si>
  <si>
    <t xml:space="preserve">Total Deal Value ($mm)</t>
  </si>
  <si>
    <t xml:space="preserve">AAV ($mm)</t>
  </si>
  <si>
    <t xml:space="preserve">2030 Estimate ($mm)</t>
  </si>
  <si>
    <t xml:space="preserve">Status</t>
  </si>
  <si>
    <t xml:space="preserve">Source</t>
  </si>
  <si>
    <t xml:space="preserve">UFC</t>
  </si>
  <si>
    <t xml:space="preserve">UFC US (all events)</t>
  </si>
  <si>
    <t xml:space="preserve">Paramount / CBS</t>
  </si>
  <si>
    <t xml:space="preserve">7yr (2026 to 2032)</t>
  </si>
  <si>
    <t xml:space="preserve">Signed</t>
  </si>
  <si>
    <t xml:space="preserve">Paramount/TKO press release Aug 11, 2025: 7yr / $7.7B AAV $1.1B; back-end loaded. URL: tkogrp.com/news</t>
  </si>
  <si>
    <t xml:space="preserve">UFC International (rest of world)</t>
  </si>
  <si>
    <t xml:space="preserve">Various (DAZN, ESPN+ LatAm, etc.)</t>
  </si>
  <si>
    <t xml:space="preserve">Multi-deal</t>
  </si>
  <si>
    <t xml:space="preserve">Mix renewed / pending</t>
  </si>
  <si>
    <t xml:space="preserve">Estimate. UFC 2024 total media rights $879M; US ESPN was approx $550M, implying intl roughly $300M+. Source: TKO 10-K FY2024.</t>
  </si>
  <si>
    <t xml:space="preserve">WWE</t>
  </si>
  <si>
    <t xml:space="preserve">WWE Raw + intl content (Netflix global)</t>
  </si>
  <si>
    <t xml:space="preserve">Netflix</t>
  </si>
  <si>
    <t xml:space="preserve">10yr (2025 to 2034)</t>
  </si>
  <si>
    <t xml:space="preserve">TKO FY2025 Annual Report: 10yr $5.2B global Netflix deal. URL: SEC EDGAR TKO ARS FY2025</t>
  </si>
  <si>
    <t xml:space="preserve">WWE PLEs (US)</t>
  </si>
  <si>
    <t xml:space="preserve">ESPN</t>
  </si>
  <si>
    <t xml:space="preserve">5yr (2026 to 2030)</t>
  </si>
  <si>
    <t xml:space="preserve">TKO FY2025 Annual Report: 5yr $1.625B ESPN PLE deal. URL: SEC EDGAR TKO ARS FY2025</t>
  </si>
  <si>
    <t xml:space="preserve">WWE SmackDown (US)</t>
  </si>
  <si>
    <t xml:space="preserve">USA Network / Versant</t>
  </si>
  <si>
    <t xml:space="preserve">5yr (2024 to 2029); 2030 = renewal</t>
  </si>
  <si>
    <t xml:space="preserve">Renewal needed for 2030</t>
  </si>
  <si>
    <t xml:space="preserve">Variety Jan 24 2024: 5yr $1.4B USA/NBCU. 2030 reflects assumed mid-single-digit renewal step-up.</t>
  </si>
  <si>
    <t xml:space="preserve">WWE NXT (US)</t>
  </si>
  <si>
    <t xml:space="preserve">The CW</t>
  </si>
  <si>
    <t xml:space="preserve">TheWrap Jan 31, 2024: ~$25M/yr CW deal. 2030 reflects modest step-up.</t>
  </si>
  <si>
    <t xml:space="preserve">TOTAL UFC + WWE 2030 MEDIA RIGHTS</t>
  </si>
  <si>
    <t xml:space="preserve">Methodology Notes</t>
  </si>
  <si>
    <t xml:space="preserve">Back-end loading: Per TKO and Paramount disclosures, UFC US deal payments are weighted toward back end. AAV is $1.1B; 2030 (Year 5 of 7) estimated at $1.2B reflecting back-end load.</t>
  </si>
  <si>
    <t xml:space="preserve">WWE US deals expiring 2029: SmackDown and NXT both require renewal for 2030. Estimates assume modest step-ups consistent with prevailing sports rights inflation.</t>
  </si>
  <si>
    <t xml:space="preserve">UFC International: Disclosed in aggregate within UFC media rights ($879M FY2024). 2030 estimate reflects modest growth from current run-rate plus contributions from new deals struck in 2025-2026 cycle.</t>
  </si>
  <si>
    <t xml:space="preserve">Excludes: PBR, IMG, On Location, Zuffa Boxing, Lucha Libre AAA per scoping requirement (UFC + WWE only).</t>
  </si>
  <si>
    <t xml:space="preserve">Source Documentation</t>
  </si>
  <si>
    <t xml:space="preserve">Item</t>
  </si>
  <si>
    <t xml:space="preserve">Date</t>
  </si>
  <si>
    <t xml:space="preserve">URL / Reference</t>
  </si>
  <si>
    <t xml:space="preserve">$1.2B 2030 brand partnerships target (raised from $1.0B)</t>
  </si>
  <si>
    <t xml:space="preserve">TKO Group Holdings Annual Report FY2025 (Form ARS)</t>
  </si>
  <si>
    <t xml:space="preserve">Filed 2026</t>
  </si>
  <si>
    <t xml:space="preserve">https://www.sec.gov/Archives/edgar/data/0001973266/000119312526173856/d908037dars.pdf</t>
  </si>
  <si>
    <t xml:space="preserve">UFC US Paramount deal: 7yr $7.7B, AAV $1.1B, back-end loaded</t>
  </si>
  <si>
    <t xml:space="preserve">TKO press release / Paramount and TKO joint announcement</t>
  </si>
  <si>
    <t xml:space="preserve">Aug 11, 2025</t>
  </si>
  <si>
    <t xml:space="preserve">https://tkogrp.com/news/paramount-and-tko-announce-historic-ufc-media-rights-deal</t>
  </si>
  <si>
    <t xml:space="preserve">UFC US Paramount deal terms</t>
  </si>
  <si>
    <t xml:space="preserve">CNBC reporting on Paramount UFC deal</t>
  </si>
  <si>
    <t xml:space="preserve">https://www.cnbc.com/2025/08/11/paramount-buys-ufc-rights-skydance-merger.html</t>
  </si>
  <si>
    <t xml:space="preserve">WWE Raw Netflix deal: 10yr $5.2B global</t>
  </si>
  <si>
    <t xml:space="preserve">TKO Annual Report FY2025; original deal $5B announced Jan 2024</t>
  </si>
  <si>
    <t xml:space="preserve">Filed 2026 / Jan 23, 2024</t>
  </si>
  <si>
    <t xml:space="preserve">WWE PLEs ESPN deal: 5yr $1.625B</t>
  </si>
  <si>
    <t xml:space="preserve">TKO Annual Report FY2025</t>
  </si>
  <si>
    <t xml:space="preserve">WWE SmackDown USA deal: 5yr $1.4B</t>
  </si>
  <si>
    <t xml:space="preserve">Variety reporting</t>
  </si>
  <si>
    <t xml:space="preserve">Jan 24, 2024</t>
  </si>
  <si>
    <t xml:space="preserve">https://variety.com/2024/tv/news/netflix-wwe-monday-night-raw-deal-january-2025-1235882820/</t>
  </si>
  <si>
    <t xml:space="preserve">WWE NXT CW deal: ~$25M/yr</t>
  </si>
  <si>
    <t xml:space="preserve">TheWrap reporting</t>
  </si>
  <si>
    <t xml:space="preserve">Jan 31, 2024</t>
  </si>
  <si>
    <t xml:space="preserve">https://www.thewrap.com/netflix-wwe-impact-sports-rights-analysis/</t>
  </si>
  <si>
    <t xml:space="preserve">UFC FY2024 segment results: $879M media rights, $251M sponsorship</t>
  </si>
  <si>
    <t xml:space="preserve">TKO Group Holdings 10-K FY2024</t>
  </si>
  <si>
    <t xml:space="preserve">Feb 2025</t>
  </si>
  <si>
    <t xml:space="preserve">https://www.sec.gov/Archives/edgar/data/1973266/000095017025027778/tko-20241231.htm</t>
  </si>
  <si>
    <t xml:space="preserve">$450M+ 2025 partnerships revenue across UFC + WWE</t>
  </si>
  <si>
    <t xml:space="preserve">Buyside consensus 2030 sponsorship ~$1.45B</t>
  </si>
  <si>
    <t xml:space="preserve">User input</t>
  </si>
  <si>
    <t xml:space="preserve">May 2026</t>
  </si>
  <si>
    <t xml:space="preserve">Per discussion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</si>
</sst>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TKO 2030 Sponsorship Ceiling: UFC + WWE Only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2030 Sponsorship ($mm)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Management Guidance</c:v>
                </c:pt>
                <c:pt idx="1">
                  <c:v>Buyside Consensus</c:v>
                </c:pt>
                <c:pt idx="2">
                  <c:v>100% Conversion (Theoretical Ceiling)</c:v>
                </c:pt>
              </c:strCache>
            </c:strRef>
          </c:cat>
          <c:val>
            <c:numRef>
              <c:f>Summary!$C$5:$C$7</c:f>
              <c:numCache>
                <c:formatCode>\$#,##0;"($"#,##0\);\-</c:formatCode>
                <c:ptCount val="3"/>
                <c:pt idx="0">
                  <c:v>1200</c:v>
                </c:pt>
                <c:pt idx="1">
                  <c:v>1450</c:v>
                </c:pt>
                <c:pt idx="2">
                  <c:v>2745</c:v>
                </c:pt>
              </c:numCache>
            </c:numRef>
          </c:val>
        </c:ser>
        <c:gapWidth val="150"/>
        <c:overlap val="0"/>
        <c:axId val="86444401"/>
        <c:axId val="11014803"/>
      </c:barChart>
      <c:catAx>
        <c:axId val="86444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14803"/>
        <c:crosses val="autoZero"/>
        <c:auto val="1"/>
        <c:lblAlgn val="ctr"/>
        <c:lblOffset val="100"/>
        <c:noMultiLvlLbl val="0"/>
      </c:catAx>
      <c:valAx>
        <c:axId val="11014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2030 Sponsorship Revenue ($mm)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44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730080</xdr:colOff>
      <xdr:row>35</xdr:row>
      <xdr:rowOff>149760</xdr:rowOff>
    </xdr:to>
    <xdr:graphicFrame>
      <xdr:nvGraphicFramePr>
        <xdr:cNvPr id="0" name="Chart 1"/>
        <xdr:cNvGraphicFramePr/>
      </xdr:nvGraphicFramePr>
      <xdr:xfrm>
        <a:off x="0" y="39816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6" min="4" style="0" width="20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6" hidden="false" customHeight="true" outlineLevel="0" collapsed="false">
      <c r="A5" s="4" t="s">
        <v>9</v>
      </c>
      <c r="B5" s="5" t="n">
        <f aca="false">'Media Rights'!H21</f>
        <v>2745</v>
      </c>
      <c r="C5" s="6" t="n">
        <v>1200</v>
      </c>
      <c r="D5" s="7" t="n">
        <f aca="false">C5/B5</f>
        <v>0.437158469945355</v>
      </c>
      <c r="E5" s="8" t="n">
        <f aca="false">C5-$C$5</f>
        <v>0</v>
      </c>
      <c r="F5" s="7" t="n">
        <f aca="false">IFERROR(E5/$C$5,0)</f>
        <v>0</v>
      </c>
      <c r="G5" s="9" t="s">
        <v>10</v>
      </c>
    </row>
    <row r="6" customFormat="false" ht="36" hidden="false" customHeight="true" outlineLevel="0" collapsed="false">
      <c r="A6" s="4" t="s">
        <v>11</v>
      </c>
      <c r="B6" s="5" t="n">
        <f aca="false">'Media Rights'!H21</f>
        <v>2745</v>
      </c>
      <c r="C6" s="6" t="n">
        <v>1450</v>
      </c>
      <c r="D6" s="7" t="n">
        <f aca="false">C6/B6</f>
        <v>0.528233151183971</v>
      </c>
      <c r="E6" s="8" t="n">
        <f aca="false">C6-$C$5</f>
        <v>250</v>
      </c>
      <c r="F6" s="7" t="n">
        <f aca="false">IFERROR(E6/$C$5,0)</f>
        <v>0.208333333333333</v>
      </c>
      <c r="G6" s="9" t="s">
        <v>12</v>
      </c>
    </row>
    <row r="7" customFormat="false" ht="36" hidden="false" customHeight="true" outlineLevel="0" collapsed="false">
      <c r="A7" s="4" t="s">
        <v>13</v>
      </c>
      <c r="B7" s="5" t="n">
        <f aca="false">'Media Rights'!H21</f>
        <v>2745</v>
      </c>
      <c r="C7" s="8" t="n">
        <f aca="false">B7*D7</f>
        <v>2745</v>
      </c>
      <c r="D7" s="10" t="n">
        <v>1</v>
      </c>
      <c r="E7" s="8" t="n">
        <f aca="false">C7-$C$5</f>
        <v>1545</v>
      </c>
      <c r="F7" s="7" t="n">
        <f aca="false">IFERROR(E7/$C$5,0)</f>
        <v>1.2875</v>
      </c>
      <c r="G7" s="9" t="s">
        <v>14</v>
      </c>
    </row>
    <row r="9" customFormat="false" ht="15" hidden="false" customHeight="false" outlineLevel="0" collapsed="false">
      <c r="A9" s="11" t="s">
        <v>15</v>
      </c>
    </row>
    <row r="10" customFormat="false" ht="15" hidden="false" customHeight="true" outlineLevel="0" collapsed="false">
      <c r="A10" s="12" t="s">
        <v>16</v>
      </c>
      <c r="B10" s="12"/>
      <c r="C10" s="12"/>
      <c r="D10" s="12"/>
      <c r="E10" s="12"/>
      <c r="F10" s="12"/>
      <c r="G10" s="12"/>
    </row>
    <row r="11" customFormat="false" ht="15" hidden="false" customHeight="true" outlineLevel="0" collapsed="false">
      <c r="A11" s="12" t="s">
        <v>17</v>
      </c>
      <c r="B11" s="12"/>
      <c r="C11" s="12"/>
      <c r="D11" s="12"/>
      <c r="E11" s="12"/>
      <c r="F11" s="12"/>
      <c r="G11" s="12"/>
    </row>
    <row r="12" customFormat="false" ht="15" hidden="false" customHeight="true" outlineLevel="0" collapsed="false">
      <c r="A12" s="12" t="s">
        <v>18</v>
      </c>
      <c r="B12" s="12"/>
      <c r="C12" s="12"/>
      <c r="D12" s="12"/>
      <c r="E12" s="12"/>
      <c r="F12" s="12"/>
      <c r="G12" s="12"/>
    </row>
    <row r="13" customFormat="false" ht="15" hidden="false" customHeight="true" outlineLevel="0" collapsed="false">
      <c r="A13" s="12" t="s">
        <v>19</v>
      </c>
      <c r="B13" s="12"/>
      <c r="C13" s="12"/>
      <c r="D13" s="12"/>
      <c r="E13" s="12"/>
      <c r="F13" s="12"/>
      <c r="G13" s="12"/>
    </row>
  </sheetData>
  <mergeCells count="6">
    <mergeCell ref="A1:G1"/>
    <mergeCell ref="A2:G2"/>
    <mergeCell ref="A10:G10"/>
    <mergeCell ref="A11:G11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60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3" t="s">
        <v>21</v>
      </c>
      <c r="B2" s="13"/>
      <c r="C2" s="13"/>
      <c r="D2" s="13"/>
      <c r="E2" s="13"/>
      <c r="F2" s="13"/>
      <c r="G2" s="13"/>
      <c r="H2" s="13"/>
    </row>
    <row r="4" customFormat="false" ht="30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customFormat="false" ht="15" hidden="false" customHeight="false" outlineLevel="0" collapsed="false">
      <c r="A5" s="14" t="s">
        <v>30</v>
      </c>
      <c r="B5" s="14"/>
      <c r="C5" s="14"/>
      <c r="D5" s="14"/>
      <c r="E5" s="14"/>
      <c r="F5" s="14"/>
      <c r="G5" s="14"/>
      <c r="H5" s="14"/>
    </row>
    <row r="6" customFormat="false" ht="30" hidden="false" customHeight="true" outlineLevel="0" collapsed="false">
      <c r="A6" s="15" t="s">
        <v>31</v>
      </c>
      <c r="B6" s="15" t="s">
        <v>32</v>
      </c>
      <c r="C6" s="15" t="s">
        <v>33</v>
      </c>
      <c r="D6" s="16" t="n">
        <v>7700</v>
      </c>
      <c r="E6" s="8" t="n">
        <f aca="false">D6/7</f>
        <v>1100</v>
      </c>
      <c r="F6" s="16" t="n">
        <v>1200</v>
      </c>
      <c r="G6" s="15" t="s">
        <v>34</v>
      </c>
      <c r="H6" s="9" t="s">
        <v>35</v>
      </c>
    </row>
    <row r="7" customFormat="false" ht="30" hidden="false" customHeight="true" outlineLevel="0" collapsed="false">
      <c r="A7" s="15" t="s">
        <v>36</v>
      </c>
      <c r="B7" s="15" t="s">
        <v>37</v>
      </c>
      <c r="C7" s="15" t="s">
        <v>38</v>
      </c>
      <c r="D7" s="17"/>
      <c r="E7" s="17"/>
      <c r="F7" s="16" t="n">
        <v>350</v>
      </c>
      <c r="G7" s="15" t="s">
        <v>39</v>
      </c>
      <c r="H7" s="9" t="s">
        <v>40</v>
      </c>
    </row>
    <row r="8" customFormat="false" ht="30" hidden="false" customHeight="true" outlineLevel="0" collapsed="false">
      <c r="A8" s="15"/>
      <c r="B8" s="15"/>
      <c r="C8" s="15"/>
      <c r="D8" s="17"/>
      <c r="E8" s="17"/>
      <c r="F8" s="17"/>
      <c r="G8" s="15"/>
      <c r="H8" s="15"/>
    </row>
    <row r="9" customFormat="false" ht="30" hidden="false" customHeight="true" outlineLevel="0" collapsed="false">
      <c r="A9" s="18" t="s">
        <v>41</v>
      </c>
      <c r="B9" s="18"/>
      <c r="C9" s="18"/>
      <c r="D9" s="18"/>
      <c r="E9" s="18"/>
      <c r="F9" s="18"/>
      <c r="G9" s="18"/>
      <c r="H9" s="18"/>
    </row>
    <row r="10" customFormat="false" ht="30" hidden="false" customHeight="true" outlineLevel="0" collapsed="false">
      <c r="A10" s="15" t="s">
        <v>42</v>
      </c>
      <c r="B10" s="15" t="s">
        <v>43</v>
      </c>
      <c r="C10" s="15" t="s">
        <v>44</v>
      </c>
      <c r="D10" s="16" t="n">
        <v>5200</v>
      </c>
      <c r="E10" s="8" t="n">
        <f aca="false">D10/10</f>
        <v>520</v>
      </c>
      <c r="F10" s="8" t="n">
        <f aca="false">E10</f>
        <v>520</v>
      </c>
      <c r="G10" s="15" t="s">
        <v>34</v>
      </c>
      <c r="H10" s="9" t="s">
        <v>45</v>
      </c>
    </row>
    <row r="11" customFormat="false" ht="30" hidden="false" customHeight="true" outlineLevel="0" collapsed="false">
      <c r="A11" s="15" t="s">
        <v>46</v>
      </c>
      <c r="B11" s="15" t="s">
        <v>47</v>
      </c>
      <c r="C11" s="15" t="s">
        <v>48</v>
      </c>
      <c r="D11" s="16" t="n">
        <v>1625</v>
      </c>
      <c r="E11" s="8" t="n">
        <f aca="false">D11/5</f>
        <v>325</v>
      </c>
      <c r="F11" s="8" t="n">
        <f aca="false">E11</f>
        <v>325</v>
      </c>
      <c r="G11" s="15" t="s">
        <v>34</v>
      </c>
      <c r="H11" s="9" t="s">
        <v>49</v>
      </c>
    </row>
    <row r="12" customFormat="false" ht="30" hidden="false" customHeight="true" outlineLevel="0" collapsed="false">
      <c r="A12" s="15" t="s">
        <v>50</v>
      </c>
      <c r="B12" s="15" t="s">
        <v>51</v>
      </c>
      <c r="C12" s="15" t="s">
        <v>52</v>
      </c>
      <c r="D12" s="16" t="n">
        <v>1400</v>
      </c>
      <c r="E12" s="8" t="n">
        <f aca="false">D12/5</f>
        <v>280</v>
      </c>
      <c r="F12" s="16" t="n">
        <v>320</v>
      </c>
      <c r="G12" s="15" t="s">
        <v>53</v>
      </c>
      <c r="H12" s="9" t="s">
        <v>54</v>
      </c>
    </row>
    <row r="13" customFormat="false" ht="30" hidden="false" customHeight="true" outlineLevel="0" collapsed="false">
      <c r="A13" s="15" t="s">
        <v>55</v>
      </c>
      <c r="B13" s="15" t="s">
        <v>56</v>
      </c>
      <c r="C13" s="15" t="s">
        <v>52</v>
      </c>
      <c r="D13" s="16" t="n">
        <v>125</v>
      </c>
      <c r="E13" s="8" t="n">
        <f aca="false">D13/5</f>
        <v>25</v>
      </c>
      <c r="F13" s="16" t="n">
        <v>30</v>
      </c>
      <c r="G13" s="15" t="s">
        <v>53</v>
      </c>
      <c r="H13" s="9" t="s">
        <v>57</v>
      </c>
    </row>
    <row r="21" customFormat="false" ht="21.75" hidden="false" customHeight="true" outlineLevel="0" collapsed="false">
      <c r="A21" s="19" t="s">
        <v>58</v>
      </c>
      <c r="B21" s="20"/>
      <c r="C21" s="20"/>
      <c r="D21" s="20"/>
      <c r="E21" s="20"/>
      <c r="F21" s="21" t="n">
        <f aca="false">SUM(F6:F7)+SUM(F10:F13)</f>
        <v>2745</v>
      </c>
      <c r="G21" s="20"/>
      <c r="H21" s="21" t="n">
        <f aca="false">F21</f>
        <v>2745</v>
      </c>
    </row>
    <row r="23" customFormat="false" ht="15" hidden="false" customHeight="false" outlineLevel="0" collapsed="false">
      <c r="A23" s="11" t="s">
        <v>59</v>
      </c>
    </row>
    <row r="24" customFormat="false" ht="15" hidden="false" customHeight="true" outlineLevel="0" collapsed="false">
      <c r="A24" s="12" t="s">
        <v>60</v>
      </c>
      <c r="B24" s="12"/>
      <c r="C24" s="12"/>
      <c r="D24" s="12"/>
      <c r="E24" s="12"/>
      <c r="F24" s="12"/>
      <c r="G24" s="12"/>
      <c r="H24" s="12"/>
    </row>
    <row r="25" customFormat="false" ht="15" hidden="false" customHeight="true" outlineLevel="0" collapsed="false">
      <c r="A25" s="12" t="s">
        <v>61</v>
      </c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 t="s">
        <v>62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true" outlineLevel="0" collapsed="false">
      <c r="A27" s="12" t="s">
        <v>63</v>
      </c>
      <c r="B27" s="12"/>
      <c r="C27" s="12"/>
      <c r="D27" s="12"/>
      <c r="E27" s="12"/>
      <c r="F27" s="12"/>
      <c r="G27" s="12"/>
      <c r="H27" s="12"/>
    </row>
  </sheetData>
  <mergeCells count="8">
    <mergeCell ref="A1:H1"/>
    <mergeCell ref="A2:H2"/>
    <mergeCell ref="A5:H5"/>
    <mergeCell ref="A9:H9"/>
    <mergeCell ref="A24:H24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" t="s">
        <v>64</v>
      </c>
      <c r="B1" s="1"/>
      <c r="C1" s="1"/>
      <c r="D1" s="1"/>
    </row>
    <row r="3" customFormat="false" ht="15" hidden="false" customHeight="false" outlineLevel="0" collapsed="false">
      <c r="A3" s="3" t="s">
        <v>65</v>
      </c>
      <c r="B3" s="3" t="s">
        <v>29</v>
      </c>
      <c r="C3" s="3" t="s">
        <v>66</v>
      </c>
      <c r="D3" s="3" t="s">
        <v>67</v>
      </c>
    </row>
    <row r="4" customFormat="false" ht="30" hidden="false" customHeight="true" outlineLevel="0" collapsed="false">
      <c r="A4" s="22" t="s">
        <v>68</v>
      </c>
      <c r="B4" s="22" t="s">
        <v>69</v>
      </c>
      <c r="C4" s="22" t="s">
        <v>70</v>
      </c>
      <c r="D4" s="22" t="s">
        <v>71</v>
      </c>
    </row>
    <row r="5" customFormat="false" ht="30" hidden="false" customHeight="true" outlineLevel="0" collapsed="false">
      <c r="A5" s="22" t="s">
        <v>72</v>
      </c>
      <c r="B5" s="22" t="s">
        <v>73</v>
      </c>
      <c r="C5" s="22" t="s">
        <v>74</v>
      </c>
      <c r="D5" s="22" t="s">
        <v>75</v>
      </c>
    </row>
    <row r="6" customFormat="false" ht="30" hidden="false" customHeight="true" outlineLevel="0" collapsed="false">
      <c r="A6" s="22" t="s">
        <v>76</v>
      </c>
      <c r="B6" s="22" t="s">
        <v>77</v>
      </c>
      <c r="C6" s="22" t="s">
        <v>74</v>
      </c>
      <c r="D6" s="22" t="s">
        <v>78</v>
      </c>
    </row>
    <row r="7" customFormat="false" ht="30" hidden="false" customHeight="true" outlineLevel="0" collapsed="false">
      <c r="A7" s="22" t="s">
        <v>79</v>
      </c>
      <c r="B7" s="22" t="s">
        <v>80</v>
      </c>
      <c r="C7" s="22" t="s">
        <v>81</v>
      </c>
      <c r="D7" s="22" t="s">
        <v>71</v>
      </c>
    </row>
    <row r="8" customFormat="false" ht="30" hidden="false" customHeight="true" outlineLevel="0" collapsed="false">
      <c r="A8" s="22" t="s">
        <v>82</v>
      </c>
      <c r="B8" s="22" t="s">
        <v>83</v>
      </c>
      <c r="C8" s="22" t="s">
        <v>70</v>
      </c>
      <c r="D8" s="22" t="s">
        <v>71</v>
      </c>
    </row>
    <row r="9" customFormat="false" ht="30" hidden="false" customHeight="true" outlineLevel="0" collapsed="false">
      <c r="A9" s="22" t="s">
        <v>84</v>
      </c>
      <c r="B9" s="22" t="s">
        <v>85</v>
      </c>
      <c r="C9" s="22" t="s">
        <v>86</v>
      </c>
      <c r="D9" s="22" t="s">
        <v>87</v>
      </c>
    </row>
    <row r="10" customFormat="false" ht="30" hidden="false" customHeight="true" outlineLevel="0" collapsed="false">
      <c r="A10" s="22" t="s">
        <v>88</v>
      </c>
      <c r="B10" s="22" t="s">
        <v>89</v>
      </c>
      <c r="C10" s="22" t="s">
        <v>90</v>
      </c>
      <c r="D10" s="22" t="s">
        <v>91</v>
      </c>
    </row>
    <row r="11" customFormat="false" ht="30" hidden="false" customHeight="true" outlineLevel="0" collapsed="false">
      <c r="A11" s="22" t="s">
        <v>92</v>
      </c>
      <c r="B11" s="22" t="s">
        <v>93</v>
      </c>
      <c r="C11" s="22" t="s">
        <v>94</v>
      </c>
      <c r="D11" s="22" t="s">
        <v>95</v>
      </c>
    </row>
    <row r="12" customFormat="false" ht="30" hidden="false" customHeight="true" outlineLevel="0" collapsed="false">
      <c r="A12" s="22" t="s">
        <v>96</v>
      </c>
      <c r="B12" s="22" t="s">
        <v>83</v>
      </c>
      <c r="C12" s="22" t="s">
        <v>70</v>
      </c>
      <c r="D12" s="22" t="s">
        <v>71</v>
      </c>
    </row>
    <row r="13" customFormat="false" ht="30" hidden="false" customHeight="true" outlineLevel="0" collapsed="false">
      <c r="A13" s="22" t="s">
        <v>97</v>
      </c>
      <c r="B13" s="22" t="s">
        <v>98</v>
      </c>
      <c r="C13" s="22" t="s">
        <v>99</v>
      </c>
      <c r="D13" s="22" t="s">
        <v>100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2026-05-05T17:19:59Z</dcterms:created>
  <dc:creator>openpyxl</dc:creator>
  <dc:description/>
  <dc:language>en-US</dc:language>
  <cp:lastModifiedBy/>
  <dcterms:modified xsi:type="dcterms:W3CDTF">2026-05-05T17:20:10Z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