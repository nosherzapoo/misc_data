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IBDA Framework" sheetId="1" state="visible" r:id="rId3"/>
    <sheet name="Sensitivity - 2 Way" sheetId="2" state="visible" r:id="rId4"/>
    <sheet name="Scenario Buil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<sst xmlns="http://schemas.openxmlformats.org/spreadsheetml/2006/main" count="122" uniqueCount="101">
  <si>
    <t xml:space="preserve">WMG Adjusted OIBDA Margin Decomposition</t>
  </si>
  <si>
    <t xml:space="preserve">Adj OIBDA Margin = 1 - Adj COGS% - Adj Cash SGA%.  All data from SEC 10-K / 10-Q filings.</t>
  </si>
  <si>
    <t xml:space="preserve">FY2024A</t>
  </si>
  <si>
    <t xml:space="preserve">FY2025A</t>
  </si>
  <si>
    <t xml:space="preserve">FQ1 FY26A
(annualized)</t>
  </si>
  <si>
    <t xml:space="preserve">FY2026E</t>
  </si>
  <si>
    <t xml:space="preserve">FY2027E</t>
  </si>
  <si>
    <t xml:space="preserve">FY2028E</t>
  </si>
  <si>
    <t xml:space="preserve">REVENUE</t>
  </si>
  <si>
    <t xml:space="preserve">Total Revenue ($M)</t>
  </si>
  <si>
    <t xml:space="preserve">  YoY Growth</t>
  </si>
  <si>
    <t xml:space="preserve">ADJUSTED COST OF REVENUE</t>
  </si>
  <si>
    <t xml:space="preserve">Reported COGS ($M)</t>
  </si>
  <si>
    <t xml:space="preserve">  COGS as % of Revenue</t>
  </si>
  <si>
    <t xml:space="preserve">COGS Drivers (what moves COGS %)</t>
  </si>
  <si>
    <t xml:space="preserve">  Artist royalties (est ~70% of COGS)</t>
  </si>
  <si>
    <t xml:space="preserve">  Manufacturing/dist/physical (est ~8%)</t>
  </si>
  <si>
    <t xml:space="preserve">  Other COGS (A&amp;R amort, etc ~22%)</t>
  </si>
  <si>
    <t xml:space="preserve">  KEY: As streaming mix ↑, physical costs ↓</t>
  </si>
  <si>
    <t xml:space="preserve">  → every 1pp streaming mix shift ≈ 30-50bps COGS improvement</t>
  </si>
  <si>
    <t xml:space="preserve">ADJUSTED CASH SG&amp;A (ex-dep, ex-SBC, ex-transformation)</t>
  </si>
  <si>
    <t xml:space="preserve">Reported SGA ($M) (incl dep)</t>
  </si>
  <si>
    <t xml:space="preserve">  Less: Depreciation in SGA</t>
  </si>
  <si>
    <t xml:space="preserve">  Less: SBC in SGA</t>
  </si>
  <si>
    <t xml:space="preserve">  Less: Transformation / exec transition</t>
  </si>
  <si>
    <t xml:space="preserve">Adjusted Cash SGA ($M)</t>
  </si>
  <si>
    <t xml:space="preserve">  Adj Cash SGA as % of Revenue</t>
  </si>
  <si>
    <t xml:space="preserve">SGA Drivers (what moves Adj SGA %)</t>
  </si>
  <si>
    <t xml:space="preserve">  Restructuring savings: 150-200bps guided FY26</t>
  </si>
  <si>
    <t xml:space="preserve">  SGA leverage on revenue growth (~30-50bps/yr)</t>
  </si>
  <si>
    <t xml:space="preserve">  AI tools reducing headcount / improving efficiency</t>
  </si>
  <si>
    <t xml:space="preserve">  FQ1 FY26 already showing sharp drop: 21.2% vs 24.3% FY25</t>
  </si>
  <si>
    <t xml:space="preserve">ADJUSTED OIBDA MARGIN = 1 - COGS% - ADJ CASH SGA%</t>
  </si>
  <si>
    <t xml:space="preserve">Adj OIBDA Margin (actual)</t>
  </si>
  <si>
    <t xml:space="preserve">Adj OIBDA ($M, actual)</t>
  </si>
  <si>
    <t xml:space="preserve">Cross-check: FY25 = 1 - 54.2% - 24.3% = 21.5% ✓</t>
  </si>
  <si>
    <t xml:space="preserve">Cross-check: FQ1 FY26 = 1 - 53.6% - 21.2% = 25.2% ✓</t>
  </si>
  <si>
    <t xml:space="preserve">What Does It Take? — 2-Way OIBDA Margin Sensitivity</t>
  </si>
  <si>
    <t xml:space="preserve">Adj OIBDA Margin = 1 - COGS% - Adj Cash SGA%.  Green ≥ 30%.  Yellow = 25-30%.  Red &lt; 25%.  FY25 actual = 21.5% (COGS 54.2%, SGA 24.3%).</t>
  </si>
  <si>
    <t xml:space="preserve">COGS % →
Adj SGA % ↓</t>
  </si>
  <si>
    <t xml:space="preserve">FY2025 Actual: COGS 54.0%, SGA 24.5% → 21.5% margin (underlined in red above)</t>
  </si>
  <si>
    <t xml:space="preserve">FQ1 FY26 Run-Rate: COGS 53.5%, SGA 21.5% → 25.0% margin (underlined in green above)</t>
  </si>
  <si>
    <t xml:space="preserve">HOW TO READ THIS TABLE:</t>
  </si>
  <si>
    <t xml:space="preserve">To hit 30% OIBDA margin, WMG needs COGS% + Adj SGA% ≤ 70.0%. Every green cell above represents a combination that achieves this.</t>
  </si>
  <si>
    <t xml:space="preserve">FROM FY25 (21.5%): Need ~850bps of combined improvement. That requires BOTH COGS to fall (streaming mix shift) AND SGA to fall (restructuring + leverage).</t>
  </si>
  <si>
    <t xml:space="preserve">FROM FQ1 FY26 (25.2%): Need ~480bps more. FQ1 already captured ~330bps from restructuring. Remaining ~480bps is the hard part.</t>
  </si>
  <si>
    <t xml:space="preserve">MOST LIKELY PATH TO 30%: COGS falls from 54% to ~51-52% (streaming mix from 52% to ~58-60% of revenue) AND SGA falls from 24% to ~19-20% (continued restructuring + SGA leverage on growth).</t>
  </si>
  <si>
    <t xml:space="preserve">BOTTOM LINE: 30% requires ~300bps COGS improvement AND ~450bps SGA improvement simultaneously. Achievable over 3-5 years but requires sustained execution on both fronts.</t>
  </si>
  <si>
    <t xml:space="preserve">Three Scenarios: Path to Target Margin by FY2028E</t>
  </si>
  <si>
    <t xml:space="preserve">Each scenario builds from FY25 actual (21.5%) to FY28E target. Blue = adjustable input.</t>
  </si>
  <si>
    <t xml:space="preserve">FY2025A
(Actual)</t>
  </si>
  <si>
    <t xml:space="preserve">Notes</t>
  </si>
  <si>
    <t xml:space="preserve">SCENARIO 1: BASE CASE (Conservative)</t>
  </si>
  <si>
    <t xml:space="preserve">Revenue ($M)</t>
  </si>
  <si>
    <t xml:space="preserve">7.5% / 7% / 6.5% growth</t>
  </si>
  <si>
    <t xml:space="preserve">  Revenue Growth</t>
  </si>
  <si>
    <t xml:space="preserve">COGS as % of Revenue</t>
  </si>
  <si>
    <t xml:space="preserve">~50bps/yr from mix shift</t>
  </si>
  <si>
    <t xml:space="preserve">Adj Cash SGA as % of Revenue</t>
  </si>
  <si>
    <t xml:space="preserve">Restructuring + modest leverage</t>
  </si>
  <si>
    <t xml:space="preserve">Adj OIBDA Margin</t>
  </si>
  <si>
    <t xml:space="preserve">Formula: 1 - COGS% - SGA%</t>
  </si>
  <si>
    <t xml:space="preserve">Adj OIBDA ($M)</t>
  </si>
  <si>
    <t xml:space="preserve">Formula: Revenue x Margin</t>
  </si>
  <si>
    <t xml:space="preserve">Margin Δ vs FY25 (bps)</t>
  </si>
  <si>
    <t xml:space="preserve">SCENARIO 2: BULL CASE (Our Preferred View)</t>
  </si>
  <si>
    <t xml:space="preserve">9% / 9% / 8% growth</t>
  </si>
  <si>
    <t xml:space="preserve">Release slate + DSP pricing</t>
  </si>
  <si>
    <t xml:space="preserve">~70bps/yr; faster streaming mix</t>
  </si>
  <si>
    <t xml:space="preserve">Full restructuring + AI efficiency</t>
  </si>
  <si>
    <t xml:space="preserve">SCENARIO 3: MAX CASE (What Gets You to 30%+)</t>
  </si>
  <si>
    <t xml:space="preserve">11% / 11% / 10% growth</t>
  </si>
  <si>
    <t xml:space="preserve">Aggressive: slate + AI + pricing</t>
  </si>
  <si>
    <t xml:space="preserve">~100bps/yr; streaming to 60%+ mix</t>
  </si>
  <si>
    <t xml:space="preserve">Max restructuring + AI + leverage</t>
  </si>
  <si>
    <t xml:space="preserve">SCENARIO SUMMARY: FY2028E IMPLIED OIBDA MARGINS</t>
  </si>
  <si>
    <t xml:space="preserve">Scenario</t>
  </si>
  <si>
    <t xml:space="preserve">COGS%</t>
  </si>
  <si>
    <t xml:space="preserve">SGA%</t>
  </si>
  <si>
    <t xml:space="preserve">Implied Margin</t>
  </si>
  <si>
    <t xml:space="preserve">Δ vs FY25 (bps)</t>
  </si>
  <si>
    <t xml:space="preserve">Key Assumptions</t>
  </si>
  <si>
    <t xml:space="preserve">Base Case</t>
  </si>
  <si>
    <t xml:space="preserve">Revenue: $8.2B, COGS 52.7%, SGA 21.8%</t>
  </si>
  <si>
    <t xml:space="preserve">Bull Case (Our View)</t>
  </si>
  <si>
    <t xml:space="preserve">Revenue: $8.6B, COGS 51.7%, SGA 19.8%</t>
  </si>
  <si>
    <t xml:space="preserve">Max Case</t>
  </si>
  <si>
    <t xml:space="preserve">Revenue: $9.1B, COGS 50.8%, SGA 18.8%</t>
  </si>
  <si>
    <t xml:space="preserve">Target: Low 30s</t>
  </si>
  <si>
    <t xml:space="preserve">≤ ~51%</t>
  </si>
  <si>
    <t xml:space="preserve">≤ ~19%</t>
  </si>
  <si>
    <t xml:space="preserve">≥ 30.0%</t>
  </si>
  <si>
    <t xml:space="preserve">≥ +850</t>
  </si>
  <si>
    <t xml:space="preserve">Requires COGS + SGA ≤ 70.0%</t>
  </si>
  <si>
    <t xml:space="preserve">THE ANSWER: WHAT IT TAKES TO GET TO LOW 30s</t>
  </si>
  <si>
    <t xml:space="preserve">1. COGS must fall from 54.2% → ~50-51%. This requires streaming to grow from ~52% to ~58-60% of total revenue. At current trajectory (streaming +9-11% CC, physical -5% CC), this takes 3-4 years.</t>
  </si>
  <si>
    <t xml:space="preserve">2. Adj Cash SGA must fall from 24.3% → ~18-19%. FQ1 FY26 already at 21.2% — the restructuring is working. Need another ~200-300bps from operating leverage on 8-10% revenue growth, plus AI-driven efficiency gains.</t>
  </si>
  <si>
    <t xml:space="preserve">3. Revenue growth must sustain 8-10%+ to generate the denominator expansion needed for SGA leverage. The release slate + DSP pricing supports this near-term. Catalog acquisitions (Bain JV) help medium-term.</t>
  </si>
  <si>
    <t xml:space="preserve">4. AI licensing (Suno, Udio, KLAY) is the wildcard. If these generate $50-100M+ of near-100% margin revenue by FY28, that alone bridges 50-100bps of the gap.</t>
  </si>
  <si>
    <t xml:space="preserve">5. THE RISK: Artist services is the fastest-growing line (~22% FY25) but is margin-dilutive. If it grows faster than streaming, it pushes COGS% UP, not down. Watch the mix.</t>
  </si>
  <si>
    <t xml:space="preserve">6. TIMELINE: Base case gets to ~25.5% by FY28. Bull gets to ~28.5%. Only the max case — requiring flawless execution on EVERY lever simultaneously — reaches 30%+. Our view: high-20s is the realistic 3-year target; low-30s is a 5-year aspiration.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</si>
</sst>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+0;\-0;0"/>
    <numFmt numFmtId="168" formatCode="\+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9"/>
      <color rgb="FF0061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u val="singl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u val="single"/>
      <sz val="11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DAEEF3"/>
        <bgColor rgb="FFD6DCE4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AEE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9</v>
      </c>
      <c r="B6" s="6" t="n">
        <v>6426</v>
      </c>
      <c r="C6" s="6" t="n">
        <v>6707</v>
      </c>
      <c r="D6" s="6" t="n">
        <v>7360</v>
      </c>
      <c r="E6" s="7"/>
      <c r="F6" s="7"/>
      <c r="G6" s="7"/>
    </row>
    <row r="7" customFormat="false" ht="15" hidden="false" customHeight="false" outlineLevel="0" collapsed="false">
      <c r="A7" s="8" t="s">
        <v>10</v>
      </c>
      <c r="B7" s="9"/>
      <c r="C7" s="10" t="n">
        <v>0.044</v>
      </c>
      <c r="D7" s="10" t="n">
        <v>0.104</v>
      </c>
      <c r="E7" s="11"/>
      <c r="F7" s="11"/>
      <c r="G7" s="11"/>
    </row>
    <row r="9" customFormat="false" ht="15" hidden="false" customHeight="false" outlineLevel="0" collapsed="false">
      <c r="A9" s="4" t="s">
        <v>11</v>
      </c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5" t="s">
        <v>12</v>
      </c>
      <c r="B10" s="6" t="n">
        <v>3355</v>
      </c>
      <c r="C10" s="6" t="n">
        <v>3632</v>
      </c>
      <c r="D10" s="6" t="n">
        <v>3948</v>
      </c>
      <c r="E10" s="7"/>
      <c r="F10" s="7"/>
      <c r="G10" s="7"/>
    </row>
    <row r="11" customFormat="false" ht="15" hidden="false" customHeight="false" outlineLevel="0" collapsed="false">
      <c r="A11" s="5" t="s">
        <v>13</v>
      </c>
      <c r="B11" s="10" t="n">
        <v>0.522097727980081</v>
      </c>
      <c r="C11" s="10" t="n">
        <v>0.541523781124199</v>
      </c>
      <c r="D11" s="10" t="n">
        <v>0.536413043478261</v>
      </c>
      <c r="E11" s="12"/>
      <c r="F11" s="12"/>
      <c r="G11" s="12"/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5" t="s">
        <v>14</v>
      </c>
    </row>
    <row r="14" customFormat="false" ht="15" hidden="false" customHeight="false" outlineLevel="0" collapsed="false">
      <c r="A14" s="13" t="s">
        <v>15</v>
      </c>
      <c r="B14" s="9"/>
      <c r="C14" s="14" t="n">
        <v>2542</v>
      </c>
    </row>
    <row r="15" customFormat="false" ht="15" hidden="false" customHeight="false" outlineLevel="0" collapsed="false">
      <c r="A15" s="13" t="s">
        <v>16</v>
      </c>
      <c r="B15" s="9"/>
      <c r="C15" s="14" t="n">
        <v>291</v>
      </c>
    </row>
    <row r="16" customFormat="false" ht="15" hidden="false" customHeight="false" outlineLevel="0" collapsed="false">
      <c r="A16" s="13" t="s">
        <v>17</v>
      </c>
      <c r="B16" s="9"/>
      <c r="C16" s="14" t="n">
        <v>799</v>
      </c>
    </row>
    <row r="17" customFormat="false" ht="15" hidden="false" customHeight="false" outlineLevel="0" collapsed="false">
      <c r="A17" s="13" t="s">
        <v>18</v>
      </c>
    </row>
    <row r="18" customFormat="false" ht="15" hidden="false" customHeight="false" outlineLevel="0" collapsed="false">
      <c r="A18" s="15" t="s">
        <v>19</v>
      </c>
    </row>
    <row r="20" customFormat="false" ht="15" hidden="false" customHeight="false" outlineLevel="0" collapsed="false">
      <c r="A20" s="4" t="s">
        <v>20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8" t="s">
        <v>21</v>
      </c>
      <c r="B21" s="6" t="n">
        <v>1879</v>
      </c>
      <c r="C21" s="6" t="n">
        <v>1889</v>
      </c>
      <c r="D21" s="6" t="n">
        <v>1832</v>
      </c>
    </row>
    <row r="22" customFormat="false" ht="15" hidden="false" customHeight="false" outlineLevel="0" collapsed="false">
      <c r="A22" s="8" t="s">
        <v>22</v>
      </c>
      <c r="B22" s="6" t="n">
        <v>-107</v>
      </c>
      <c r="C22" s="6" t="n">
        <v>-118</v>
      </c>
      <c r="D22" s="6" t="n">
        <v>-124</v>
      </c>
    </row>
    <row r="23" customFormat="false" ht="15" hidden="false" customHeight="false" outlineLevel="0" collapsed="false">
      <c r="A23" s="8" t="s">
        <v>23</v>
      </c>
      <c r="B23" s="6" t="n">
        <v>-58</v>
      </c>
      <c r="C23" s="6" t="n">
        <v>-76</v>
      </c>
      <c r="D23" s="6" t="n">
        <v>-76</v>
      </c>
    </row>
    <row r="24" customFormat="false" ht="15" hidden="false" customHeight="false" outlineLevel="0" collapsed="false">
      <c r="A24" s="8" t="s">
        <v>24</v>
      </c>
      <c r="B24" s="6" t="n">
        <v>-75</v>
      </c>
      <c r="C24" s="6" t="n">
        <v>-63</v>
      </c>
      <c r="D24" s="6" t="n">
        <v>-72</v>
      </c>
    </row>
    <row r="25" customFormat="false" ht="15" hidden="false" customHeight="false" outlineLevel="0" collapsed="false">
      <c r="A25" s="5" t="s">
        <v>25</v>
      </c>
      <c r="B25" s="6" t="n">
        <v>1639</v>
      </c>
      <c r="C25" s="6" t="n">
        <v>1632</v>
      </c>
      <c r="D25" s="6" t="n">
        <v>1560</v>
      </c>
      <c r="E25" s="7"/>
      <c r="F25" s="7"/>
      <c r="G25" s="7"/>
    </row>
    <row r="26" customFormat="false" ht="15" hidden="false" customHeight="false" outlineLevel="0" collapsed="false">
      <c r="A26" s="5" t="s">
        <v>26</v>
      </c>
      <c r="B26" s="10" t="n">
        <v>0.25505757858699</v>
      </c>
      <c r="C26" s="10" t="n">
        <v>0.24332786640823</v>
      </c>
      <c r="D26" s="10" t="n">
        <v>0.21195652173913</v>
      </c>
      <c r="E26" s="12"/>
      <c r="F26" s="12"/>
      <c r="G26" s="12"/>
    </row>
    <row r="27" customFormat="false" ht="15" hidden="false" customHeight="false" outlineLevel="0" collapsed="false">
      <c r="A27" s="8"/>
    </row>
    <row r="28" customFormat="false" ht="15" hidden="false" customHeight="false" outlineLevel="0" collapsed="false">
      <c r="A28" s="5" t="s">
        <v>27</v>
      </c>
    </row>
    <row r="29" customFormat="false" ht="15" hidden="false" customHeight="false" outlineLevel="0" collapsed="false">
      <c r="A29" s="13" t="s">
        <v>28</v>
      </c>
    </row>
    <row r="30" customFormat="false" ht="15" hidden="false" customHeight="false" outlineLevel="0" collapsed="false">
      <c r="A30" s="13" t="s">
        <v>29</v>
      </c>
    </row>
    <row r="31" customFormat="false" ht="15" hidden="false" customHeight="false" outlineLevel="0" collapsed="false">
      <c r="A31" s="13" t="s">
        <v>30</v>
      </c>
    </row>
    <row r="32" customFormat="false" ht="15" hidden="false" customHeight="false" outlineLevel="0" collapsed="false">
      <c r="A32" s="15" t="s">
        <v>31</v>
      </c>
    </row>
    <row r="34" customFormat="false" ht="15" hidden="false" customHeight="false" outlineLevel="0" collapsed="false">
      <c r="A34" s="4" t="s">
        <v>32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5" t="s">
        <v>33</v>
      </c>
      <c r="B35" s="16" t="n">
        <v>0.222844693432929</v>
      </c>
      <c r="C35" s="16" t="n">
        <v>0.215148352467571</v>
      </c>
      <c r="D35" s="16" t="n">
        <v>0.251630434782609</v>
      </c>
      <c r="E35" s="17" t="n">
        <f aca="false">1-E11-E26</f>
        <v>1</v>
      </c>
      <c r="F35" s="17" t="n">
        <f aca="false">1-F11-F26</f>
        <v>1</v>
      </c>
      <c r="G35" s="17" t="n">
        <f aca="false">1-G11-G26</f>
        <v>1</v>
      </c>
    </row>
    <row r="36" customFormat="false" ht="15" hidden="false" customHeight="false" outlineLevel="0" collapsed="false">
      <c r="A36" s="5" t="s">
        <v>34</v>
      </c>
      <c r="B36" s="18" t="n">
        <v>1432</v>
      </c>
      <c r="C36" s="18" t="n">
        <v>1443</v>
      </c>
      <c r="D36" s="18" t="n">
        <v>1852</v>
      </c>
      <c r="E36" s="19" t="n">
        <f aca="false">E6*E35</f>
        <v>0</v>
      </c>
      <c r="F36" s="19" t="n">
        <f aca="false">F6*F35</f>
        <v>0</v>
      </c>
      <c r="G36" s="19" t="n">
        <f aca="false">G6*G35</f>
        <v>0</v>
      </c>
    </row>
    <row r="37" customFormat="false" ht="15" hidden="false" customHeight="false" outlineLevel="0" collapsed="false">
      <c r="A37" s="8"/>
    </row>
    <row r="38" customFormat="false" ht="15" hidden="false" customHeight="false" outlineLevel="0" collapsed="false">
      <c r="A38" s="20" t="s">
        <v>35</v>
      </c>
    </row>
    <row r="39" customFormat="false" ht="15" hidden="false" customHeight="false" outlineLevel="0" collapsed="false">
      <c r="A39" s="20" t="s">
        <v>36</v>
      </c>
    </row>
  </sheetData>
  <mergeCells count="6">
    <mergeCell ref="A1:G1"/>
    <mergeCell ref="A2:G2"/>
    <mergeCell ref="A5:G5"/>
    <mergeCell ref="A9:G9"/>
    <mergeCell ref="A20:G20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12" min="3" style="0" width="9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true" outlineLevel="0" collapsed="false">
      <c r="A4" s="21" t="s">
        <v>39</v>
      </c>
      <c r="B4" s="21"/>
      <c r="C4" s="22" t="n">
        <v>0.54</v>
      </c>
      <c r="D4" s="22" t="n">
        <v>0.535</v>
      </c>
      <c r="E4" s="22" t="n">
        <v>0.53</v>
      </c>
      <c r="F4" s="22" t="n">
        <v>0.525</v>
      </c>
      <c r="G4" s="22" t="n">
        <v>0.52</v>
      </c>
      <c r="H4" s="22" t="n">
        <v>0.515</v>
      </c>
      <c r="I4" s="22" t="n">
        <v>0.51</v>
      </c>
      <c r="J4" s="22" t="n">
        <v>0.505</v>
      </c>
      <c r="K4" s="22" t="n">
        <v>0.5</v>
      </c>
      <c r="L4" s="22" t="n">
        <v>0.495</v>
      </c>
    </row>
    <row r="5" customFormat="false" ht="15" hidden="false" customHeight="false" outlineLevel="0" collapsed="false">
      <c r="A5" s="23" t="n">
        <v>0.245</v>
      </c>
      <c r="B5" s="23"/>
      <c r="C5" s="24" t="n">
        <v>0.215</v>
      </c>
      <c r="D5" s="25" t="n">
        <v>0.22</v>
      </c>
      <c r="E5" s="25" t="n">
        <v>0.225</v>
      </c>
      <c r="F5" s="25" t="n">
        <v>0.23</v>
      </c>
      <c r="G5" s="25" t="n">
        <v>0.235</v>
      </c>
      <c r="H5" s="25" t="n">
        <v>0.24</v>
      </c>
      <c r="I5" s="25" t="n">
        <v>0.245</v>
      </c>
      <c r="J5" s="26" t="n">
        <v>0.25</v>
      </c>
      <c r="K5" s="26" t="n">
        <v>0.255</v>
      </c>
      <c r="L5" s="26" t="n">
        <v>0.26</v>
      </c>
    </row>
    <row r="6" customFormat="false" ht="15" hidden="false" customHeight="false" outlineLevel="0" collapsed="false">
      <c r="A6" s="27" t="n">
        <v>0.24</v>
      </c>
      <c r="B6" s="27"/>
      <c r="C6" s="25" t="n">
        <v>0.22</v>
      </c>
      <c r="D6" s="25" t="n">
        <v>0.225</v>
      </c>
      <c r="E6" s="25" t="n">
        <v>0.23</v>
      </c>
      <c r="F6" s="25" t="n">
        <v>0.235</v>
      </c>
      <c r="G6" s="25" t="n">
        <v>0.24</v>
      </c>
      <c r="H6" s="25" t="n">
        <v>0.245</v>
      </c>
      <c r="I6" s="26" t="n">
        <v>0.25</v>
      </c>
      <c r="J6" s="26" t="n">
        <v>0.255</v>
      </c>
      <c r="K6" s="26" t="n">
        <v>0.26</v>
      </c>
      <c r="L6" s="26" t="n">
        <v>0.265</v>
      </c>
    </row>
    <row r="7" customFormat="false" ht="15" hidden="false" customHeight="false" outlineLevel="0" collapsed="false">
      <c r="A7" s="27" t="n">
        <v>0.235</v>
      </c>
      <c r="B7" s="27"/>
      <c r="C7" s="25" t="n">
        <v>0.225</v>
      </c>
      <c r="D7" s="25" t="n">
        <v>0.23</v>
      </c>
      <c r="E7" s="25" t="n">
        <v>0.235</v>
      </c>
      <c r="F7" s="25" t="n">
        <v>0.24</v>
      </c>
      <c r="G7" s="25" t="n">
        <v>0.245</v>
      </c>
      <c r="H7" s="26" t="n">
        <v>0.25</v>
      </c>
      <c r="I7" s="26" t="n">
        <v>0.255</v>
      </c>
      <c r="J7" s="26" t="n">
        <v>0.26</v>
      </c>
      <c r="K7" s="26" t="n">
        <v>0.265</v>
      </c>
      <c r="L7" s="26" t="n">
        <v>0.27</v>
      </c>
    </row>
    <row r="8" customFormat="false" ht="15" hidden="false" customHeight="false" outlineLevel="0" collapsed="false">
      <c r="A8" s="27" t="n">
        <v>0.23</v>
      </c>
      <c r="B8" s="27"/>
      <c r="C8" s="25" t="n">
        <v>0.23</v>
      </c>
      <c r="D8" s="25" t="n">
        <v>0.235</v>
      </c>
      <c r="E8" s="25" t="n">
        <v>0.24</v>
      </c>
      <c r="F8" s="25" t="n">
        <v>0.245</v>
      </c>
      <c r="G8" s="25" t="n">
        <v>0.25</v>
      </c>
      <c r="H8" s="26" t="n">
        <v>0.255</v>
      </c>
      <c r="I8" s="26" t="n">
        <v>0.26</v>
      </c>
      <c r="J8" s="26" t="n">
        <v>0.265</v>
      </c>
      <c r="K8" s="26" t="n">
        <v>0.27</v>
      </c>
      <c r="L8" s="26" t="n">
        <v>0.275</v>
      </c>
    </row>
    <row r="9" customFormat="false" ht="15" hidden="false" customHeight="false" outlineLevel="0" collapsed="false">
      <c r="A9" s="27" t="n">
        <v>0.225</v>
      </c>
      <c r="B9" s="27"/>
      <c r="C9" s="25" t="n">
        <v>0.235</v>
      </c>
      <c r="D9" s="25" t="n">
        <v>0.24</v>
      </c>
      <c r="E9" s="25" t="n">
        <v>0.245</v>
      </c>
      <c r="F9" s="25" t="n">
        <v>0.25</v>
      </c>
      <c r="G9" s="26" t="n">
        <v>0.255</v>
      </c>
      <c r="H9" s="26" t="n">
        <v>0.26</v>
      </c>
      <c r="I9" s="26" t="n">
        <v>0.265</v>
      </c>
      <c r="J9" s="26" t="n">
        <v>0.27</v>
      </c>
      <c r="K9" s="26" t="n">
        <v>0.275</v>
      </c>
      <c r="L9" s="26" t="n">
        <v>0.28</v>
      </c>
    </row>
    <row r="10" customFormat="false" ht="15" hidden="false" customHeight="false" outlineLevel="0" collapsed="false">
      <c r="A10" s="27" t="n">
        <v>0.22</v>
      </c>
      <c r="B10" s="27"/>
      <c r="C10" s="25" t="n">
        <v>0.24</v>
      </c>
      <c r="D10" s="25" t="n">
        <v>0.245</v>
      </c>
      <c r="E10" s="25" t="n">
        <v>0.25</v>
      </c>
      <c r="F10" s="26" t="n">
        <v>0.255</v>
      </c>
      <c r="G10" s="26" t="n">
        <v>0.26</v>
      </c>
      <c r="H10" s="26" t="n">
        <v>0.265</v>
      </c>
      <c r="I10" s="26" t="n">
        <v>0.27</v>
      </c>
      <c r="J10" s="26" t="n">
        <v>0.275</v>
      </c>
      <c r="K10" s="26" t="n">
        <v>0.28</v>
      </c>
      <c r="L10" s="26" t="n">
        <v>0.285</v>
      </c>
    </row>
    <row r="11" customFormat="false" ht="15" hidden="false" customHeight="false" outlineLevel="0" collapsed="false">
      <c r="A11" s="27" t="n">
        <v>0.215</v>
      </c>
      <c r="B11" s="27"/>
      <c r="C11" s="25" t="n">
        <v>0.245</v>
      </c>
      <c r="D11" s="28" t="n">
        <v>0.25</v>
      </c>
      <c r="E11" s="26" t="n">
        <v>0.255</v>
      </c>
      <c r="F11" s="26" t="n">
        <v>0.26</v>
      </c>
      <c r="G11" s="26" t="n">
        <v>0.265</v>
      </c>
      <c r="H11" s="26" t="n">
        <v>0.27</v>
      </c>
      <c r="I11" s="26" t="n">
        <v>0.275</v>
      </c>
      <c r="J11" s="26" t="n">
        <v>0.28</v>
      </c>
      <c r="K11" s="26" t="n">
        <v>0.285</v>
      </c>
      <c r="L11" s="26" t="n">
        <v>0.29</v>
      </c>
    </row>
    <row r="12" customFormat="false" ht="15" hidden="false" customHeight="false" outlineLevel="0" collapsed="false">
      <c r="A12" s="27" t="n">
        <v>0.21</v>
      </c>
      <c r="B12" s="27"/>
      <c r="C12" s="25" t="n">
        <v>0.25</v>
      </c>
      <c r="D12" s="26" t="n">
        <v>0.255</v>
      </c>
      <c r="E12" s="26" t="n">
        <v>0.26</v>
      </c>
      <c r="F12" s="26" t="n">
        <v>0.265</v>
      </c>
      <c r="G12" s="26" t="n">
        <v>0.27</v>
      </c>
      <c r="H12" s="26" t="n">
        <v>0.275</v>
      </c>
      <c r="I12" s="26" t="n">
        <v>0.28</v>
      </c>
      <c r="J12" s="26" t="n">
        <v>0.285</v>
      </c>
      <c r="K12" s="26" t="n">
        <v>0.29</v>
      </c>
      <c r="L12" s="26" t="n">
        <v>0.295</v>
      </c>
    </row>
    <row r="13" customFormat="false" ht="15" hidden="false" customHeight="false" outlineLevel="0" collapsed="false">
      <c r="A13" s="27" t="n">
        <v>0.205</v>
      </c>
      <c r="B13" s="27"/>
      <c r="C13" s="26" t="n">
        <v>0.255</v>
      </c>
      <c r="D13" s="26" t="n">
        <v>0.26</v>
      </c>
      <c r="E13" s="26" t="n">
        <v>0.265</v>
      </c>
      <c r="F13" s="26" t="n">
        <v>0.27</v>
      </c>
      <c r="G13" s="26" t="n">
        <v>0.275</v>
      </c>
      <c r="H13" s="26" t="n">
        <v>0.28</v>
      </c>
      <c r="I13" s="26" t="n">
        <v>0.285</v>
      </c>
      <c r="J13" s="26" t="n">
        <v>0.29</v>
      </c>
      <c r="K13" s="26" t="n">
        <v>0.295</v>
      </c>
      <c r="L13" s="29" t="n">
        <v>0.3</v>
      </c>
    </row>
    <row r="14" customFormat="false" ht="15" hidden="false" customHeight="false" outlineLevel="0" collapsed="false">
      <c r="A14" s="27" t="n">
        <v>0.2</v>
      </c>
      <c r="B14" s="27"/>
      <c r="C14" s="26" t="n">
        <v>0.26</v>
      </c>
      <c r="D14" s="26" t="n">
        <v>0.265</v>
      </c>
      <c r="E14" s="26" t="n">
        <v>0.27</v>
      </c>
      <c r="F14" s="26" t="n">
        <v>0.275</v>
      </c>
      <c r="G14" s="26" t="n">
        <v>0.28</v>
      </c>
      <c r="H14" s="26" t="n">
        <v>0.285</v>
      </c>
      <c r="I14" s="26" t="n">
        <v>0.29</v>
      </c>
      <c r="J14" s="26" t="n">
        <v>0.295</v>
      </c>
      <c r="K14" s="29" t="n">
        <v>0.3</v>
      </c>
      <c r="L14" s="29" t="n">
        <v>0.305</v>
      </c>
    </row>
    <row r="15" customFormat="false" ht="15" hidden="false" customHeight="false" outlineLevel="0" collapsed="false">
      <c r="A15" s="27" t="n">
        <v>0.195</v>
      </c>
      <c r="B15" s="27"/>
      <c r="C15" s="26" t="n">
        <v>0.265</v>
      </c>
      <c r="D15" s="26" t="n">
        <v>0.27</v>
      </c>
      <c r="E15" s="26" t="n">
        <v>0.275</v>
      </c>
      <c r="F15" s="26" t="n">
        <v>0.28</v>
      </c>
      <c r="G15" s="26" t="n">
        <v>0.285</v>
      </c>
      <c r="H15" s="26" t="n">
        <v>0.29</v>
      </c>
      <c r="I15" s="26" t="n">
        <v>0.295</v>
      </c>
      <c r="J15" s="29" t="n">
        <v>0.3</v>
      </c>
      <c r="K15" s="29" t="n">
        <v>0.305</v>
      </c>
      <c r="L15" s="29" t="n">
        <v>0.31</v>
      </c>
    </row>
    <row r="16" customFormat="false" ht="15" hidden="false" customHeight="false" outlineLevel="0" collapsed="false">
      <c r="A16" s="27" t="n">
        <v>0.19</v>
      </c>
      <c r="B16" s="27"/>
      <c r="C16" s="26" t="n">
        <v>0.27</v>
      </c>
      <c r="D16" s="26" t="n">
        <v>0.275</v>
      </c>
      <c r="E16" s="26" t="n">
        <v>0.28</v>
      </c>
      <c r="F16" s="26" t="n">
        <v>0.285</v>
      </c>
      <c r="G16" s="26" t="n">
        <v>0.29</v>
      </c>
      <c r="H16" s="26" t="n">
        <v>0.295</v>
      </c>
      <c r="I16" s="29" t="n">
        <v>0.3</v>
      </c>
      <c r="J16" s="29" t="n">
        <v>0.305</v>
      </c>
      <c r="K16" s="29" t="n">
        <v>0.31</v>
      </c>
      <c r="L16" s="29" t="n">
        <v>0.315</v>
      </c>
    </row>
    <row r="17" customFormat="false" ht="15" hidden="false" customHeight="false" outlineLevel="0" collapsed="false">
      <c r="A17" s="27" t="n">
        <v>0.185</v>
      </c>
      <c r="B17" s="27"/>
      <c r="C17" s="26" t="n">
        <v>0.275</v>
      </c>
      <c r="D17" s="26" t="n">
        <v>0.28</v>
      </c>
      <c r="E17" s="26" t="n">
        <v>0.285</v>
      </c>
      <c r="F17" s="26" t="n">
        <v>0.29</v>
      </c>
      <c r="G17" s="26" t="n">
        <v>0.295</v>
      </c>
      <c r="H17" s="29" t="n">
        <v>0.3</v>
      </c>
      <c r="I17" s="29" t="n">
        <v>0.305</v>
      </c>
      <c r="J17" s="29" t="n">
        <v>0.31</v>
      </c>
      <c r="K17" s="29" t="n">
        <v>0.315</v>
      </c>
      <c r="L17" s="29" t="n">
        <v>0.32</v>
      </c>
    </row>
    <row r="18" customFormat="false" ht="15" hidden="false" customHeight="false" outlineLevel="0" collapsed="false">
      <c r="A18" s="27" t="n">
        <v>0.18</v>
      </c>
      <c r="B18" s="27"/>
      <c r="C18" s="26" t="n">
        <v>0.28</v>
      </c>
      <c r="D18" s="26" t="n">
        <v>0.285</v>
      </c>
      <c r="E18" s="26" t="n">
        <v>0.29</v>
      </c>
      <c r="F18" s="26" t="n">
        <v>0.295</v>
      </c>
      <c r="G18" s="29" t="n">
        <v>0.3</v>
      </c>
      <c r="H18" s="29" t="n">
        <v>0.305</v>
      </c>
      <c r="I18" s="29" t="n">
        <v>0.31</v>
      </c>
      <c r="J18" s="29" t="n">
        <v>0.315</v>
      </c>
      <c r="K18" s="29" t="n">
        <v>0.32</v>
      </c>
      <c r="L18" s="29" t="n">
        <v>0.325</v>
      </c>
    </row>
    <row r="19" customFormat="false" ht="15" hidden="false" customHeight="false" outlineLevel="0" collapsed="false">
      <c r="A19" s="27" t="n">
        <v>0.175</v>
      </c>
      <c r="B19" s="27"/>
      <c r="C19" s="26" t="n">
        <v>0.285</v>
      </c>
      <c r="D19" s="26" t="n">
        <v>0.29</v>
      </c>
      <c r="E19" s="26" t="n">
        <v>0.295</v>
      </c>
      <c r="F19" s="29" t="n">
        <v>0.3</v>
      </c>
      <c r="G19" s="29" t="n">
        <v>0.305</v>
      </c>
      <c r="H19" s="29" t="n">
        <v>0.31</v>
      </c>
      <c r="I19" s="29" t="n">
        <v>0.315</v>
      </c>
      <c r="J19" s="29" t="n">
        <v>0.32</v>
      </c>
      <c r="K19" s="29" t="n">
        <v>0.325</v>
      </c>
      <c r="L19" s="29" t="n">
        <v>0.33</v>
      </c>
    </row>
    <row r="20" customFormat="false" ht="15" hidden="false" customHeight="false" outlineLevel="0" collapsed="false">
      <c r="A20" s="27" t="n">
        <v>0.17</v>
      </c>
      <c r="B20" s="27"/>
      <c r="C20" s="26" t="n">
        <v>0.29</v>
      </c>
      <c r="D20" s="26" t="n">
        <v>0.295</v>
      </c>
      <c r="E20" s="26" t="n">
        <v>0.3</v>
      </c>
      <c r="F20" s="29" t="n">
        <v>0.305</v>
      </c>
      <c r="G20" s="29" t="n">
        <v>0.31</v>
      </c>
      <c r="H20" s="29" t="n">
        <v>0.315</v>
      </c>
      <c r="I20" s="29" t="n">
        <v>0.32</v>
      </c>
      <c r="J20" s="29" t="n">
        <v>0.325</v>
      </c>
      <c r="K20" s="29" t="n">
        <v>0.33</v>
      </c>
      <c r="L20" s="29" t="n">
        <v>0.335</v>
      </c>
    </row>
    <row r="22" customFormat="false" ht="15" hidden="false" customHeight="false" outlineLevel="0" collapsed="false">
      <c r="A22" s="30" t="s">
        <v>40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customFormat="false" ht="15" hidden="false" customHeight="false" outlineLevel="0" collapsed="false">
      <c r="A23" s="31" t="s">
        <v>41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5" customFormat="false" ht="15" hidden="false" customHeight="false" outlineLevel="0" collapsed="false">
      <c r="A25" s="32" t="s">
        <v>42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customFormat="false" ht="27.75" hidden="false" customHeight="true" outlineLevel="0" collapsed="false">
      <c r="A26" s="33" t="s">
        <v>43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customFormat="false" ht="27.75" hidden="false" customHeight="true" outlineLevel="0" collapsed="false">
      <c r="A27" s="33" t="s">
        <v>44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customFormat="false" ht="27.75" hidden="false" customHeight="true" outlineLevel="0" collapsed="false">
      <c r="A28" s="33" t="s">
        <v>45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customFormat="false" ht="27.75" hidden="false" customHeight="true" outlineLevel="0" collapsed="false">
      <c r="A29" s="33" t="s">
        <v>46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customFormat="false" ht="27.75" hidden="false" customHeight="true" outlineLevel="0" collapsed="false">
      <c r="A30" s="33" t="s">
        <v>47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</sheetData>
  <mergeCells count="27">
    <mergeCell ref="A1:L1"/>
    <mergeCell ref="A2:L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2:L22"/>
    <mergeCell ref="A23:L23"/>
    <mergeCell ref="A25:L25"/>
    <mergeCell ref="A26:L26"/>
    <mergeCell ref="A27:L27"/>
    <mergeCell ref="A28:L28"/>
    <mergeCell ref="A29:L29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4" t="s">
        <v>49</v>
      </c>
    </row>
    <row r="4" customFormat="false" ht="23.85" hidden="false" customHeight="false" outlineLevel="0" collapsed="false">
      <c r="A4" s="21"/>
      <c r="B4" s="21" t="s">
        <v>50</v>
      </c>
      <c r="C4" s="21" t="s">
        <v>5</v>
      </c>
      <c r="D4" s="21" t="s">
        <v>6</v>
      </c>
      <c r="E4" s="21" t="s">
        <v>7</v>
      </c>
      <c r="F4" s="21" t="s">
        <v>51</v>
      </c>
    </row>
    <row r="5" customFormat="false" ht="15" hidden="false" customHeight="false" outlineLevel="0" collapsed="false">
      <c r="A5" s="4" t="s">
        <v>52</v>
      </c>
      <c r="B5" s="4"/>
      <c r="C5" s="4"/>
      <c r="D5" s="4"/>
      <c r="E5" s="4"/>
      <c r="F5" s="4"/>
    </row>
    <row r="6" customFormat="false" ht="19.4" hidden="false" customHeight="false" outlineLevel="0" collapsed="false">
      <c r="A6" s="35" t="s">
        <v>53</v>
      </c>
      <c r="B6" s="36" t="n">
        <v>6707</v>
      </c>
      <c r="C6" s="37" t="n">
        <v>7210</v>
      </c>
      <c r="D6" s="37" t="n">
        <v>7716</v>
      </c>
      <c r="E6" s="37" t="n">
        <v>8230</v>
      </c>
      <c r="F6" s="38" t="s">
        <v>54</v>
      </c>
    </row>
    <row r="7" customFormat="false" ht="15" hidden="false" customHeight="false" outlineLevel="0" collapsed="false">
      <c r="A7" s="35" t="s">
        <v>55</v>
      </c>
      <c r="B7" s="39" t="n">
        <v>0.044</v>
      </c>
      <c r="C7" s="40" t="n">
        <v>0.075</v>
      </c>
      <c r="D7" s="40" t="n">
        <v>0.07</v>
      </c>
      <c r="E7" s="40" t="n">
        <v>0.065</v>
      </c>
      <c r="F7" s="38"/>
    </row>
    <row r="8" customFormat="false" ht="19.4" hidden="false" customHeight="false" outlineLevel="0" collapsed="false">
      <c r="A8" s="35" t="s">
        <v>56</v>
      </c>
      <c r="B8" s="39" t="n">
        <v>0.542</v>
      </c>
      <c r="C8" s="40" t="n">
        <v>0.537</v>
      </c>
      <c r="D8" s="40" t="n">
        <v>0.532</v>
      </c>
      <c r="E8" s="40" t="n">
        <v>0.527</v>
      </c>
      <c r="F8" s="38" t="s">
        <v>57</v>
      </c>
    </row>
    <row r="9" customFormat="false" ht="19.4" hidden="false" customHeight="false" outlineLevel="0" collapsed="false">
      <c r="A9" s="35" t="s">
        <v>58</v>
      </c>
      <c r="B9" s="39" t="n">
        <v>0.243</v>
      </c>
      <c r="C9" s="40" t="n">
        <v>0.228</v>
      </c>
      <c r="D9" s="40" t="n">
        <v>0.222</v>
      </c>
      <c r="E9" s="40" t="n">
        <v>0.218</v>
      </c>
      <c r="F9" s="38" t="s">
        <v>59</v>
      </c>
    </row>
    <row r="10" customFormat="false" ht="19.4" hidden="false" customHeight="false" outlineLevel="0" collapsed="false">
      <c r="A10" s="41" t="s">
        <v>60</v>
      </c>
      <c r="B10" s="39" t="n">
        <v>0.215</v>
      </c>
      <c r="C10" s="42" t="n">
        <f aca="false">1-C8-C9</f>
        <v>0.235</v>
      </c>
      <c r="D10" s="42" t="n">
        <f aca="false">1-D8-D9</f>
        <v>0.246</v>
      </c>
      <c r="E10" s="42" t="n">
        <f aca="false">1-E8-E9</f>
        <v>0.255</v>
      </c>
      <c r="F10" s="38" t="s">
        <v>61</v>
      </c>
    </row>
    <row r="11" customFormat="false" ht="19.4" hidden="false" customHeight="false" outlineLevel="0" collapsed="false">
      <c r="A11" s="41" t="s">
        <v>62</v>
      </c>
      <c r="B11" s="36" t="n">
        <v>1443</v>
      </c>
      <c r="C11" s="43" t="n">
        <f aca="false">C6*C10</f>
        <v>1694.35</v>
      </c>
      <c r="D11" s="43" t="n">
        <f aca="false">D6*D10</f>
        <v>1898.136</v>
      </c>
      <c r="E11" s="43" t="n">
        <f aca="false">E6*E10</f>
        <v>2098.65</v>
      </c>
      <c r="F11" s="38" t="s">
        <v>63</v>
      </c>
    </row>
    <row r="12" customFormat="false" ht="15" hidden="false" customHeight="false" outlineLevel="0" collapsed="false">
      <c r="A12" s="44" t="s">
        <v>64</v>
      </c>
      <c r="B12" s="44"/>
      <c r="C12" s="45" t="n">
        <f aca="false">(C10-B10)*10000</f>
        <v>200</v>
      </c>
      <c r="D12" s="45" t="n">
        <f aca="false">(D10-B10)*10000</f>
        <v>310</v>
      </c>
      <c r="E12" s="45" t="n">
        <f aca="false">(E10-B10)*10000</f>
        <v>400</v>
      </c>
      <c r="F12" s="38"/>
    </row>
    <row r="14" customFormat="false" ht="15" hidden="false" customHeight="false" outlineLevel="0" collapsed="false">
      <c r="A14" s="4" t="s">
        <v>65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35" t="s">
        <v>53</v>
      </c>
      <c r="B15" s="36" t="n">
        <v>6707</v>
      </c>
      <c r="C15" s="37" t="n">
        <v>7310</v>
      </c>
      <c r="D15" s="37" t="n">
        <v>7968</v>
      </c>
      <c r="E15" s="37" t="n">
        <v>8605</v>
      </c>
      <c r="F15" s="38" t="s">
        <v>66</v>
      </c>
    </row>
    <row r="16" customFormat="false" ht="19.4" hidden="false" customHeight="false" outlineLevel="0" collapsed="false">
      <c r="A16" s="35" t="s">
        <v>55</v>
      </c>
      <c r="B16" s="39" t="n">
        <v>0.044</v>
      </c>
      <c r="C16" s="40" t="n">
        <v>0.09</v>
      </c>
      <c r="D16" s="40" t="n">
        <v>0.09</v>
      </c>
      <c r="E16" s="40" t="n">
        <v>0.08</v>
      </c>
      <c r="F16" s="38" t="s">
        <v>67</v>
      </c>
    </row>
    <row r="17" customFormat="false" ht="19.4" hidden="false" customHeight="false" outlineLevel="0" collapsed="false">
      <c r="A17" s="35" t="s">
        <v>56</v>
      </c>
      <c r="B17" s="39" t="n">
        <v>0.542</v>
      </c>
      <c r="C17" s="40" t="n">
        <v>0.535</v>
      </c>
      <c r="D17" s="40" t="n">
        <v>0.525</v>
      </c>
      <c r="E17" s="40" t="n">
        <v>0.517</v>
      </c>
      <c r="F17" s="38" t="s">
        <v>68</v>
      </c>
    </row>
    <row r="18" customFormat="false" ht="19.4" hidden="false" customHeight="false" outlineLevel="0" collapsed="false">
      <c r="A18" s="35" t="s">
        <v>58</v>
      </c>
      <c r="B18" s="39" t="n">
        <v>0.243</v>
      </c>
      <c r="C18" s="40" t="n">
        <v>0.22</v>
      </c>
      <c r="D18" s="40" t="n">
        <v>0.208</v>
      </c>
      <c r="E18" s="40" t="n">
        <v>0.198</v>
      </c>
      <c r="F18" s="38" t="s">
        <v>69</v>
      </c>
    </row>
    <row r="19" customFormat="false" ht="19.4" hidden="false" customHeight="false" outlineLevel="0" collapsed="false">
      <c r="A19" s="41" t="s">
        <v>60</v>
      </c>
      <c r="B19" s="39" t="n">
        <v>0.215</v>
      </c>
      <c r="C19" s="42" t="n">
        <f aca="false">1-C17-C18</f>
        <v>0.245</v>
      </c>
      <c r="D19" s="42" t="n">
        <f aca="false">1-D17-D18</f>
        <v>0.267</v>
      </c>
      <c r="E19" s="42" t="n">
        <f aca="false">1-E17-E18</f>
        <v>0.285</v>
      </c>
      <c r="F19" s="38" t="s">
        <v>61</v>
      </c>
    </row>
    <row r="20" customFormat="false" ht="19.4" hidden="false" customHeight="false" outlineLevel="0" collapsed="false">
      <c r="A20" s="41" t="s">
        <v>62</v>
      </c>
      <c r="B20" s="36" t="n">
        <v>1443</v>
      </c>
      <c r="C20" s="43" t="n">
        <f aca="false">C15*C19</f>
        <v>1790.95</v>
      </c>
      <c r="D20" s="43" t="n">
        <f aca="false">D15*D19</f>
        <v>2127.456</v>
      </c>
      <c r="E20" s="43" t="n">
        <f aca="false">E15*E19</f>
        <v>2452.425</v>
      </c>
      <c r="F20" s="38" t="s">
        <v>63</v>
      </c>
    </row>
    <row r="21" customFormat="false" ht="15" hidden="false" customHeight="false" outlineLevel="0" collapsed="false">
      <c r="A21" s="44" t="s">
        <v>64</v>
      </c>
      <c r="B21" s="44"/>
      <c r="C21" s="45" t="n">
        <f aca="false">(C19-B19)*10000</f>
        <v>300</v>
      </c>
      <c r="D21" s="45" t="n">
        <f aca="false">(D19-B19)*10000</f>
        <v>520</v>
      </c>
      <c r="E21" s="45" t="n">
        <f aca="false">(E19-B19)*10000</f>
        <v>700</v>
      </c>
      <c r="F21" s="38"/>
    </row>
    <row r="23" customFormat="false" ht="15" hidden="false" customHeight="false" outlineLevel="0" collapsed="false">
      <c r="A23" s="4" t="s">
        <v>70</v>
      </c>
      <c r="B23" s="4"/>
      <c r="C23" s="4"/>
      <c r="D23" s="4"/>
      <c r="E23" s="4"/>
      <c r="F23" s="4"/>
    </row>
    <row r="24" customFormat="false" ht="19.4" hidden="false" customHeight="false" outlineLevel="0" collapsed="false">
      <c r="A24" s="35" t="s">
        <v>53</v>
      </c>
      <c r="B24" s="36" t="n">
        <v>6707</v>
      </c>
      <c r="C24" s="37" t="n">
        <v>7445</v>
      </c>
      <c r="D24" s="37" t="n">
        <v>8264</v>
      </c>
      <c r="E24" s="37" t="n">
        <v>9090</v>
      </c>
      <c r="F24" s="38" t="s">
        <v>71</v>
      </c>
    </row>
    <row r="25" customFormat="false" ht="19.4" hidden="false" customHeight="false" outlineLevel="0" collapsed="false">
      <c r="A25" s="35" t="s">
        <v>55</v>
      </c>
      <c r="B25" s="39" t="n">
        <v>0.044</v>
      </c>
      <c r="C25" s="40" t="n">
        <v>0.11</v>
      </c>
      <c r="D25" s="40" t="n">
        <v>0.11</v>
      </c>
      <c r="E25" s="40" t="n">
        <v>0.1</v>
      </c>
      <c r="F25" s="38" t="s">
        <v>72</v>
      </c>
    </row>
    <row r="26" customFormat="false" ht="19.4" hidden="false" customHeight="false" outlineLevel="0" collapsed="false">
      <c r="A26" s="35" t="s">
        <v>56</v>
      </c>
      <c r="B26" s="39" t="n">
        <v>0.542</v>
      </c>
      <c r="C26" s="40" t="n">
        <v>0.53</v>
      </c>
      <c r="D26" s="40" t="n">
        <v>0.518</v>
      </c>
      <c r="E26" s="40" t="n">
        <v>0.508</v>
      </c>
      <c r="F26" s="38" t="s">
        <v>73</v>
      </c>
    </row>
    <row r="27" customFormat="false" ht="19.4" hidden="false" customHeight="false" outlineLevel="0" collapsed="false">
      <c r="A27" s="35" t="s">
        <v>58</v>
      </c>
      <c r="B27" s="39" t="n">
        <v>0.243</v>
      </c>
      <c r="C27" s="40" t="n">
        <v>0.215</v>
      </c>
      <c r="D27" s="40" t="n">
        <v>0.2</v>
      </c>
      <c r="E27" s="40" t="n">
        <v>0.188</v>
      </c>
      <c r="F27" s="38" t="s">
        <v>74</v>
      </c>
    </row>
    <row r="28" customFormat="false" ht="19.4" hidden="false" customHeight="false" outlineLevel="0" collapsed="false">
      <c r="A28" s="41" t="s">
        <v>60</v>
      </c>
      <c r="B28" s="39" t="n">
        <v>0.215</v>
      </c>
      <c r="C28" s="42" t="n">
        <f aca="false">1-C26-C27</f>
        <v>0.255</v>
      </c>
      <c r="D28" s="42" t="n">
        <f aca="false">1-D26-D27</f>
        <v>0.282</v>
      </c>
      <c r="E28" s="42" t="n">
        <f aca="false">1-E26-E27</f>
        <v>0.304</v>
      </c>
      <c r="F28" s="38" t="s">
        <v>61</v>
      </c>
    </row>
    <row r="29" customFormat="false" ht="19.4" hidden="false" customHeight="false" outlineLevel="0" collapsed="false">
      <c r="A29" s="41" t="s">
        <v>62</v>
      </c>
      <c r="B29" s="36" t="n">
        <v>1443</v>
      </c>
      <c r="C29" s="43" t="n">
        <f aca="false">C24*C28</f>
        <v>1898.475</v>
      </c>
      <c r="D29" s="43" t="n">
        <f aca="false">D24*D28</f>
        <v>2330.448</v>
      </c>
      <c r="E29" s="43" t="n">
        <f aca="false">E24*E28</f>
        <v>2763.36</v>
      </c>
      <c r="F29" s="38" t="s">
        <v>63</v>
      </c>
    </row>
    <row r="30" customFormat="false" ht="15" hidden="false" customHeight="false" outlineLevel="0" collapsed="false">
      <c r="A30" s="44" t="s">
        <v>64</v>
      </c>
      <c r="B30" s="44"/>
      <c r="C30" s="45" t="n">
        <f aca="false">(C28-B28)*10000</f>
        <v>400</v>
      </c>
      <c r="D30" s="45" t="n">
        <f aca="false">(D28-B28)*10000</f>
        <v>670</v>
      </c>
      <c r="E30" s="45" t="n">
        <f aca="false">(E28-B28)*10000</f>
        <v>890</v>
      </c>
      <c r="F30" s="38"/>
    </row>
    <row r="33" customFormat="false" ht="15" hidden="false" customHeight="false" outlineLevel="0" collapsed="false">
      <c r="A33" s="4" t="s">
        <v>75</v>
      </c>
      <c r="B33" s="4"/>
      <c r="C33" s="4"/>
      <c r="D33" s="4"/>
      <c r="E33" s="4"/>
      <c r="F33" s="4"/>
    </row>
    <row r="34" customFormat="false" ht="15" hidden="false" customHeight="false" outlineLevel="0" collapsed="false">
      <c r="A34" s="46" t="s">
        <v>76</v>
      </c>
      <c r="B34" s="46" t="s">
        <v>77</v>
      </c>
      <c r="C34" s="46" t="s">
        <v>78</v>
      </c>
      <c r="D34" s="46" t="s">
        <v>79</v>
      </c>
      <c r="E34" s="46" t="s">
        <v>80</v>
      </c>
      <c r="F34" s="46" t="s">
        <v>81</v>
      </c>
    </row>
    <row r="35" customFormat="false" ht="28.35" hidden="false" customHeight="false" outlineLevel="0" collapsed="false">
      <c r="A35" s="41" t="s">
        <v>82</v>
      </c>
      <c r="B35" s="39" t="n">
        <v>0.527</v>
      </c>
      <c r="C35" s="39" t="n">
        <v>0.218</v>
      </c>
      <c r="D35" s="47" t="n">
        <v>0.255</v>
      </c>
      <c r="E35" s="48" t="n">
        <v>400</v>
      </c>
      <c r="F35" s="38" t="s">
        <v>83</v>
      </c>
    </row>
    <row r="36" customFormat="false" ht="28.35" hidden="false" customHeight="false" outlineLevel="0" collapsed="false">
      <c r="A36" s="41" t="s">
        <v>84</v>
      </c>
      <c r="B36" s="39" t="n">
        <v>0.517</v>
      </c>
      <c r="C36" s="39" t="n">
        <v>0.198</v>
      </c>
      <c r="D36" s="47" t="n">
        <v>0.285</v>
      </c>
      <c r="E36" s="48" t="n">
        <v>700</v>
      </c>
      <c r="F36" s="38" t="s">
        <v>85</v>
      </c>
    </row>
    <row r="37" customFormat="false" ht="28.35" hidden="false" customHeight="false" outlineLevel="0" collapsed="false">
      <c r="A37" s="41" t="s">
        <v>86</v>
      </c>
      <c r="B37" s="39" t="n">
        <v>0.508</v>
      </c>
      <c r="C37" s="39" t="n">
        <v>0.188</v>
      </c>
      <c r="D37" s="49" t="n">
        <v>0.304</v>
      </c>
      <c r="E37" s="48" t="n">
        <v>890</v>
      </c>
      <c r="F37" s="38" t="s">
        <v>87</v>
      </c>
    </row>
    <row r="38" customFormat="false" ht="19.4" hidden="false" customHeight="false" outlineLevel="0" collapsed="false">
      <c r="A38" s="41" t="s">
        <v>88</v>
      </c>
      <c r="B38" s="41" t="s">
        <v>89</v>
      </c>
      <c r="C38" s="41" t="s">
        <v>90</v>
      </c>
      <c r="D38" s="50" t="s">
        <v>91</v>
      </c>
      <c r="E38" s="51" t="s">
        <v>92</v>
      </c>
      <c r="F38" s="38" t="s">
        <v>93</v>
      </c>
    </row>
    <row r="41" customFormat="false" ht="15" hidden="false" customHeight="false" outlineLevel="0" collapsed="false">
      <c r="A41" s="52" t="s">
        <v>94</v>
      </c>
      <c r="B41" s="52"/>
      <c r="C41" s="52"/>
      <c r="D41" s="52"/>
      <c r="E41" s="52"/>
      <c r="F41" s="52"/>
    </row>
    <row r="42" customFormat="false" ht="33.75" hidden="false" customHeight="true" outlineLevel="0" collapsed="false">
      <c r="A42" s="53" t="s">
        <v>95</v>
      </c>
      <c r="B42" s="53"/>
      <c r="C42" s="53"/>
      <c r="D42" s="53"/>
      <c r="E42" s="53"/>
      <c r="F42" s="53"/>
    </row>
    <row r="43" customFormat="false" ht="33.75" hidden="false" customHeight="true" outlineLevel="0" collapsed="false">
      <c r="A43" s="53" t="s">
        <v>96</v>
      </c>
      <c r="B43" s="53"/>
      <c r="C43" s="53"/>
      <c r="D43" s="53"/>
      <c r="E43" s="53"/>
      <c r="F43" s="53"/>
    </row>
    <row r="44" customFormat="false" ht="33.75" hidden="false" customHeight="true" outlineLevel="0" collapsed="false">
      <c r="A44" s="53" t="s">
        <v>97</v>
      </c>
      <c r="B44" s="53"/>
      <c r="C44" s="53"/>
      <c r="D44" s="53"/>
      <c r="E44" s="53"/>
      <c r="F44" s="53"/>
    </row>
    <row r="45" customFormat="false" ht="33.75" hidden="false" customHeight="true" outlineLevel="0" collapsed="false">
      <c r="A45" s="53" t="s">
        <v>98</v>
      </c>
      <c r="B45" s="53"/>
      <c r="C45" s="53"/>
      <c r="D45" s="53"/>
      <c r="E45" s="53"/>
      <c r="F45" s="53"/>
    </row>
    <row r="46" customFormat="false" ht="33.75" hidden="false" customHeight="true" outlineLevel="0" collapsed="false">
      <c r="A46" s="53" t="s">
        <v>99</v>
      </c>
      <c r="B46" s="53"/>
      <c r="C46" s="53"/>
      <c r="D46" s="53"/>
      <c r="E46" s="53"/>
      <c r="F46" s="53"/>
    </row>
    <row r="47" customFormat="false" ht="33.75" hidden="false" customHeight="true" outlineLevel="0" collapsed="false">
      <c r="A47" s="53" t="s">
        <v>100</v>
      </c>
      <c r="B47" s="53"/>
      <c r="C47" s="53"/>
      <c r="D47" s="53"/>
      <c r="E47" s="53"/>
      <c r="F47" s="53"/>
    </row>
  </sheetData>
  <mergeCells count="12">
    <mergeCell ref="A1:F1"/>
    <mergeCell ref="A5:F5"/>
    <mergeCell ref="A14:F14"/>
    <mergeCell ref="A23:F23"/>
    <mergeCell ref="A33:F33"/>
    <mergeCell ref="A41:F41"/>
    <mergeCell ref="A42:F42"/>
    <mergeCell ref="A43:F43"/>
    <mergeCell ref="A44:F44"/>
    <mergeCell ref="A45:F45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2026-04-07T15:23:22Z</dcterms:created>
  <dc:creator>openpyxl</dc:creator>
  <dc:description/>
  <dc:language>en-US</dc:language>
  <cp:lastModifiedBy/>
  <dcterms:modified xsi:type="dcterms:W3CDTF">2026-04-07T15:23:22Z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