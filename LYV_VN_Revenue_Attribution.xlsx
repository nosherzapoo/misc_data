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N Revenue Attribution" sheetId="1" state="visible" r:id="rId3"/>
  </sheets>
  <definedNames>
    <definedName function="false" hidden="false" localSheetId="0" name="_xlnm.Print_Area" vbProcedure="false">'VN Revenue Attribution'!$A$1:$H$82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<sst xmlns="http://schemas.openxmlformats.org/spreadsheetml/2006/main" count="81" uniqueCount="74">
  <si>
    <t xml:space="preserve">Live Nation Entertainment (LYV)</t>
  </si>
  <si>
    <t xml:space="preserve">Venue Nation Revenue Attribution Within the Concerts Segment</t>
  </si>
  <si>
    <t xml:space="preserve">FY2025 Estimates  |  Bernstein Analysis</t>
  </si>
  <si>
    <t xml:space="preserve">All figures in $MM unless otherwise noted</t>
  </si>
  <si>
    <t xml:space="preserve">SECTION 1: REPORTED INPUTS</t>
  </si>
  <si>
    <t xml:space="preserve">Value</t>
  </si>
  <si>
    <t xml:space="preserve">Source</t>
  </si>
  <si>
    <t xml:space="preserve">Total Concerts Segment Revenue ($MM)</t>
  </si>
  <si>
    <t xml:space="preserve">Source: FY25 Earnings Release (Feb 2026)</t>
  </si>
  <si>
    <t xml:space="preserve">Total Fan Attendance (MM)</t>
  </si>
  <si>
    <t xml:space="preserve">Venue Nation Fan Attendance (MM)</t>
  </si>
  <si>
    <t xml:space="preserve">Source: Q2 FY25 Earnings Release; FY25 Earnings Release</t>
  </si>
  <si>
    <t xml:space="preserve">Third-Party Venue Fan Attendance (MM)</t>
  </si>
  <si>
    <t xml:space="preserve">Venue Nation Fans as % of Total</t>
  </si>
  <si>
    <t xml:space="preserve">Venue Nation Venue Operating Revenue ($MM)</t>
  </si>
  <si>
    <t xml:space="preserve">Source: Jordan Zachary, Nov 5, 2025 Investor Day ("$2B+ in total venue revenue")</t>
  </si>
  <si>
    <t xml:space="preserve">  of which: Food &amp; Beverage ($MM)</t>
  </si>
  <si>
    <t xml:space="preserve">Source: Jordan Zachary, Nov 5, 2025 Investor Day ("$1B from food and beverage")</t>
  </si>
  <si>
    <t xml:space="preserve">SECTION 2: KEY ASSUMPTIONS</t>
  </si>
  <si>
    <t xml:space="preserve">Low</t>
  </si>
  <si>
    <t xml:space="preserve">Mid</t>
  </si>
  <si>
    <t xml:space="preserve">High</t>
  </si>
  <si>
    <t xml:space="preserve">Rationale</t>
  </si>
  <si>
    <t xml:space="preserve">Blended avg. ticket price — all fans ($)</t>
  </si>
  <si>
    <t xml:space="preserve">Derived: ($20.9B - $2B ancillary) / 159M fans ≈ $119 at midpoint</t>
  </si>
  <si>
    <t xml:space="preserve">VN avg. ticket price vs. blended (%)</t>
  </si>
  <si>
    <t xml:space="preserve">VN skews to amphis/theaters/clubs (lower ticket) vs. stadiums (third-party, higher ticket)</t>
  </si>
  <si>
    <t xml:space="preserve">Implied VN avg. ticket price ($)</t>
  </si>
  <si>
    <t xml:space="preserve">Venue ancillary revenue ($MM)</t>
  </si>
  <si>
    <t xml:space="preserve">Mgmt said "$2B+" — low uses floor, mid/high assume $200-500M above disclosed figure</t>
  </si>
  <si>
    <t xml:space="preserve">SECTION 3: CONCERTS SEGMENT REVENUE DECOMPOSITION</t>
  </si>
  <si>
    <t xml:space="preserve">VENUE NATION CONTRIBUTION</t>
  </si>
  <si>
    <t xml:space="preserve">  (a) VN Ticket / Promotion Revenue ($MM)</t>
  </si>
  <si>
    <t xml:space="preserve">implied vn avg. ticket price × 65M VN fans</t>
  </si>
  <si>
    <t xml:space="preserve">  (b) VN Venue Operating Revenue ($MM)</t>
  </si>
  <si>
    <t xml:space="preserve">f&amp;b + premium/vip + parking + rental income (investor day)</t>
  </si>
  <si>
    <t xml:space="preserve">  Total Venue Nation in Concerts ($MM)</t>
  </si>
  <si>
    <t xml:space="preserve">THIRD-PARTY VENUE CONTRIBUTION</t>
  </si>
  <si>
    <t xml:space="preserve">  (c) Third-Party Ticket / Promotion Revenue ($MM)</t>
  </si>
  <si>
    <t xml:space="preserve">total concerts revenue less venue nation total (residual)</t>
  </si>
  <si>
    <t xml:space="preserve">  Implied 3P avg. ticket price ($) [check]</t>
  </si>
  <si>
    <t xml:space="preserve">Sanity check: should be &gt; VN ticket price (stadium mix drives higher avg.)</t>
  </si>
  <si>
    <t xml:space="preserve">KEY OUTPUT</t>
  </si>
  <si>
    <t xml:space="preserve">Venue Nation as % of Concerts Revenue</t>
  </si>
  <si>
    <t xml:space="preserve">Third-Party Venues as % of Concerts Revenue</t>
  </si>
  <si>
    <t xml:space="preserve">Venue Nation Revenue ($MM)</t>
  </si>
  <si>
    <t xml:space="preserve">Third-Party Venue Revenue ($MM)</t>
  </si>
  <si>
    <t xml:space="preserve">Memo: VN Ancillary as % of Total VN Revenue</t>
  </si>
  <si>
    <t xml:space="preserve">Memo: VN Ancillary as % of Total Concerts Revenue</t>
  </si>
  <si>
    <t xml:space="preserve">NOTES &amp; METHODOLOGY</t>
  </si>
  <si>
    <t xml:space="preserve">1. Concerts segment revenue includes: (a) ticket face value / promotion revenue from all shows (operated + third-party), and (b) venue operating</t>
  </si>
  <si>
    <t xml:space="preserve">   revenue (F&amp;B, premium seating, parking, rental income) which accrues ONLY from LN-operated venues. Per FY24 10-K: "As a venue operator, we generate</t>
  </si>
  <si>
    <t xml:space="preserve">   revenue primarily from the sale of concessions, parking, premium seating, rental income and ticket rebates." (SEC Filing: lyv-20241231.htm)</t>
  </si>
  <si>
    <t xml:space="preserve">2. The $2B+ venue operating revenue figure was disclosed by Jordan Zachary (Co-President, U.S. Concerts) at the Nov 5, 2025 Investor Day. He noted</t>
  </si>
  <si>
    <t xml:space="preserve">   LN venues generate "$2 billion in revenue annually, including $1 billion from food and beverage sales." This figure excludes ticket face value.</t>
  </si>
  <si>
    <t xml:space="preserve">3. VN fan attendance of 65M sourced from FY25 earnings ("Venue Nation hosted 65 million fans in FY25") and guided to 70M+ for FY26.</t>
  </si>
  <si>
    <t xml:space="preserve">   Total attendance of 159M from FY25 earnings release.</t>
  </si>
  <si>
    <t xml:space="preserve">4. VN venues skew to amphitheaters, theaters, clubs, and select arenas — venue types with lower blended ticket prices than stadiums. FY25 was a</t>
  </si>
  <si>
    <t xml:space="preserve">   significant stadium year (fan count up double-digits at stadiums), and LN generally does not own/operate stadiums (per Berchtold: "we just don't</t>
  </si>
  <si>
    <t xml:space="preserve">   get to count the beer money and the parking money, as we do with our own venues"). This supports using a VN ticket price at a 5-15% discount to blended.</t>
  </si>
  <si>
    <t xml:space="preserve">5. The implied third-party average ticket price should be HIGHER than VN given stadium mix. This serves as a sanity check — if the implied 3P price</t>
  </si>
  <si>
    <t xml:space="preserve">   is below the VN price, the assumptions need revisiting.</t>
  </si>
  <si>
    <t xml:space="preserve">6. Key takeaway: Under reasonable mid-case assumptions, Venue Nation contributes ~46% of Concerts segment revenue — supporting the claim that</t>
  </si>
  <si>
    <t xml:space="preserve">   less than half of Concerts revenue is attributable to Venue Nation operations. The VN venue-specific ancillary revenue ($2B+) represents only</t>
  </si>
  <si>
    <t xml:space="preserve">   ~10% of the $20.9B Concerts segment, with the remainder being ticket/promotion revenue split across VN and third-party shows.</t>
  </si>
  <si>
    <t xml:space="preserve">7. IMPORTANT: Venue Nation also generates meaningful economics in Ticketing (TM service fees on VN tickets) and Sponsorship (venue naming rights,</t>
  </si>
  <si>
    <t xml:space="preserve">   onsite brand activations) that are NOT captured in this Concerts-only analysis. Total cross-segment VN economics are substantially larger.</t>
  </si>
  <si>
    <t xml:space="preserve">SOURCES</t>
  </si>
  <si>
    <t xml:space="preserve">FY25 Earnings Release: https://newsroom.livenation.com/news/live-nation-entertainment-full-year-and-fourth-quarter-2025-results/</t>
  </si>
  <si>
    <t xml:space="preserve">FY24 10-K (Segment descriptions): https://www.sec.gov/Archives/edgar/data/0001335258/000133525825000028/lyv-20241231.htm</t>
  </si>
  <si>
    <t xml:space="preserve">Nov 5, 2025 Investor Day (Zachary remarks): https://seekingalpha.com/article/4838570-live-nation-entertainment-inc-lyv-analyst-investor-day-transcript</t>
  </si>
  <si>
    <t xml:space="preserve">FY24 Earnings Call (Berchtold "beer money" comment): https://www.billboard.com/pro/live-nation-earnings-full-year-2024-revenue-record-23-billion/</t>
  </si>
  <si>
    <t xml:space="preserve">Q2 FY25 Earnings Release: https://newsroom.livenation.com/news/live-nation-entertainment-reports-second-quarter-2025-results/</t>
  </si>
  <si>
    <t xml:space="preserve">Q1 FY25 Earnings Release (get-in prices): https://www.sec.gov/Archives/edgar/data/0001335258/000133525825000053/lyv-2025q1xex991er.htm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</si>
</sst>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\$#,##0"/>
    <numFmt numFmtId="168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8"/>
      <color rgb="FF888888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i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CE6F1"/>
        <bgColor rgb="FFD6DCE4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CE6F1"/>
      </patternFill>
    </fill>
    <fill>
      <patternFill patternType="solid">
        <fgColor rgb="FFD6DCE4"/>
        <bgColor rgb="FFDCE6F1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2CC"/>
      <rgbColor rgb="FFDCE6F1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B1:H8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5"/>
    <col collapsed="false" customWidth="true" hidden="false" outlineLevel="0" max="7" min="3" style="1" width="16"/>
    <col collapsed="false" customWidth="true" hidden="false" outlineLevel="0" max="8" min="8" style="1" width="55"/>
  </cols>
  <sheetData>
    <row r="1" customFormat="false" ht="15.75" hidden="false" customHeight="true" outlineLevel="0" collapsed="false">
      <c r="B1" s="2" t="s">
        <v>0</v>
      </c>
    </row>
    <row r="2" customFormat="false" ht="15" hidden="false" customHeight="true" outlineLevel="0" collapsed="false">
      <c r="B2" s="3" t="s">
        <v>1</v>
      </c>
    </row>
    <row r="3" customFormat="false" ht="15" hidden="false" customHeight="true" outlineLevel="0" collapsed="false">
      <c r="B3" s="4" t="s">
        <v>2</v>
      </c>
    </row>
    <row r="4" customFormat="false" ht="15" hidden="false" customHeight="true" outlineLevel="0" collapsed="false">
      <c r="B4" s="5" t="s">
        <v>3</v>
      </c>
    </row>
    <row r="6" customFormat="false" ht="15" hidden="false" customHeight="true" outlineLevel="0" collapsed="false">
      <c r="B6" s="6" t="s">
        <v>4</v>
      </c>
      <c r="C6" s="7"/>
      <c r="D6" s="7"/>
      <c r="E6" s="7"/>
      <c r="F6" s="7"/>
      <c r="G6" s="7"/>
    </row>
    <row r="8" customFormat="false" ht="15" hidden="false" customHeight="true" outlineLevel="0" collapsed="false">
      <c r="C8" s="8" t="s">
        <v>5</v>
      </c>
      <c r="H8" s="8" t="s">
        <v>6</v>
      </c>
    </row>
    <row r="9" customFormat="false" ht="15" hidden="false" customHeight="true" outlineLevel="0" collapsed="false">
      <c r="B9" s="9" t="s">
        <v>7</v>
      </c>
      <c r="C9" s="10" t="n">
        <v>20900</v>
      </c>
      <c r="H9" s="11" t="s">
        <v>8</v>
      </c>
    </row>
    <row r="10" customFormat="false" ht="15" hidden="false" customHeight="true" outlineLevel="0" collapsed="false">
      <c r="B10" s="9" t="s">
        <v>9</v>
      </c>
      <c r="C10" s="10" t="n">
        <v>159</v>
      </c>
      <c r="H10" s="11" t="s">
        <v>8</v>
      </c>
    </row>
    <row r="11" customFormat="false" ht="15" hidden="false" customHeight="true" outlineLevel="0" collapsed="false">
      <c r="B11" s="9" t="s">
        <v>10</v>
      </c>
      <c r="C11" s="10" t="n">
        <v>65</v>
      </c>
      <c r="H11" s="11" t="s">
        <v>11</v>
      </c>
    </row>
    <row r="12" customFormat="false" ht="15" hidden="false" customHeight="true" outlineLevel="0" collapsed="false">
      <c r="B12" s="12" t="s">
        <v>12</v>
      </c>
      <c r="C12" s="13" t="n">
        <f aca="false">C10-C11</f>
        <v>94</v>
      </c>
    </row>
    <row r="14" customFormat="false" ht="15" hidden="false" customHeight="true" outlineLevel="0" collapsed="false">
      <c r="B14" s="12" t="s">
        <v>13</v>
      </c>
      <c r="C14" s="14" t="n">
        <f aca="false">C11/C10</f>
        <v>0.408805031446541</v>
      </c>
    </row>
    <row r="16" customFormat="false" ht="15" hidden="false" customHeight="true" outlineLevel="0" collapsed="false">
      <c r="B16" s="9" t="s">
        <v>14</v>
      </c>
      <c r="C16" s="15" t="n">
        <v>2000</v>
      </c>
      <c r="H16" s="11" t="s">
        <v>15</v>
      </c>
    </row>
    <row r="17" customFormat="false" ht="15" hidden="false" customHeight="true" outlineLevel="0" collapsed="false">
      <c r="B17" s="9" t="s">
        <v>16</v>
      </c>
      <c r="C17" s="10" t="n">
        <v>1000</v>
      </c>
      <c r="H17" s="11" t="s">
        <v>17</v>
      </c>
    </row>
    <row r="19" customFormat="false" ht="15" hidden="false" customHeight="true" outlineLevel="0" collapsed="false">
      <c r="B19" s="6" t="s">
        <v>18</v>
      </c>
      <c r="C19" s="7"/>
      <c r="D19" s="7"/>
      <c r="E19" s="7"/>
      <c r="F19" s="7"/>
      <c r="G19" s="7"/>
    </row>
    <row r="21" customFormat="false" ht="15" hidden="false" customHeight="true" outlineLevel="0" collapsed="false">
      <c r="C21" s="16" t="s">
        <v>19</v>
      </c>
      <c r="D21" s="16" t="s">
        <v>20</v>
      </c>
      <c r="E21" s="16" t="s">
        <v>21</v>
      </c>
      <c r="H21" s="8" t="s">
        <v>22</v>
      </c>
    </row>
    <row r="22" customFormat="false" ht="15" hidden="false" customHeight="true" outlineLevel="0" collapsed="false">
      <c r="B22" s="12" t="s">
        <v>23</v>
      </c>
      <c r="C22" s="17" t="n">
        <v>105</v>
      </c>
      <c r="D22" s="17" t="n">
        <v>119</v>
      </c>
      <c r="E22" s="17" t="n">
        <v>135</v>
      </c>
      <c r="H22" s="11" t="s">
        <v>24</v>
      </c>
    </row>
    <row r="23" customFormat="false" ht="15" hidden="false" customHeight="true" outlineLevel="0" collapsed="false">
      <c r="B23" s="12" t="s">
        <v>25</v>
      </c>
      <c r="C23" s="18" t="n">
        <v>-0.15</v>
      </c>
      <c r="D23" s="18" t="n">
        <v>-0.1</v>
      </c>
      <c r="E23" s="18" t="n">
        <v>-0.05</v>
      </c>
      <c r="H23" s="11" t="s">
        <v>26</v>
      </c>
    </row>
    <row r="24" customFormat="false" ht="15" hidden="false" customHeight="true" outlineLevel="0" collapsed="false">
      <c r="B24" s="12" t="s">
        <v>27</v>
      </c>
      <c r="C24" s="19" t="n">
        <f aca="false">C22*(1+C23)</f>
        <v>89.25</v>
      </c>
      <c r="D24" s="19" t="n">
        <f aca="false">D22*(1+D23)</f>
        <v>107.1</v>
      </c>
      <c r="E24" s="19" t="n">
        <f aca="false">E22*(1+E23)</f>
        <v>128.25</v>
      </c>
    </row>
    <row r="25" customFormat="false" ht="15" hidden="false" customHeight="true" outlineLevel="0" collapsed="false">
      <c r="B25" s="12" t="s">
        <v>28</v>
      </c>
      <c r="C25" s="20" t="n">
        <v>2000</v>
      </c>
      <c r="D25" s="20" t="n">
        <v>2200</v>
      </c>
      <c r="E25" s="20" t="n">
        <v>2500</v>
      </c>
      <c r="H25" s="11" t="s">
        <v>29</v>
      </c>
    </row>
    <row r="27" customFormat="false" ht="15" hidden="false" customHeight="true" outlineLevel="0" collapsed="false">
      <c r="B27" s="21" t="s">
        <v>30</v>
      </c>
      <c r="C27" s="22"/>
      <c r="D27" s="22"/>
      <c r="E27" s="22"/>
      <c r="F27" s="22"/>
      <c r="G27" s="22"/>
    </row>
    <row r="29" customFormat="false" ht="15" hidden="false" customHeight="true" outlineLevel="0" collapsed="false">
      <c r="C29" s="16" t="s">
        <v>19</v>
      </c>
      <c r="D29" s="16" t="s">
        <v>20</v>
      </c>
      <c r="E29" s="16" t="s">
        <v>21</v>
      </c>
    </row>
    <row r="30" customFormat="false" ht="15" hidden="false" customHeight="true" outlineLevel="0" collapsed="false">
      <c r="B30" s="23" t="s">
        <v>31</v>
      </c>
      <c r="C30" s="24"/>
      <c r="D30" s="24"/>
      <c r="E30" s="24"/>
    </row>
    <row r="31" customFormat="false" ht="15" hidden="false" customHeight="true" outlineLevel="0" collapsed="false">
      <c r="B31" s="12" t="s">
        <v>32</v>
      </c>
      <c r="C31" s="25" t="n">
        <f aca="false">C24*C11</f>
        <v>5801.25</v>
      </c>
      <c r="D31" s="25" t="n">
        <f aca="false">D24*C11</f>
        <v>6961.5</v>
      </c>
      <c r="E31" s="25" t="n">
        <f aca="false">E24*C11</f>
        <v>8336.25</v>
      </c>
      <c r="H31" s="11" t="s">
        <v>33</v>
      </c>
    </row>
    <row r="32" customFormat="false" ht="15" hidden="false" customHeight="true" outlineLevel="0" collapsed="false">
      <c r="B32" s="12" t="s">
        <v>34</v>
      </c>
      <c r="C32" s="25" t="n">
        <f aca="false">C25</f>
        <v>2000</v>
      </c>
      <c r="D32" s="25" t="n">
        <f aca="false">D25</f>
        <v>2200</v>
      </c>
      <c r="E32" s="25" t="n">
        <f aca="false">E25</f>
        <v>2500</v>
      </c>
      <c r="H32" s="11" t="s">
        <v>35</v>
      </c>
    </row>
    <row r="33" customFormat="false" ht="15" hidden="false" customHeight="true" outlineLevel="0" collapsed="false">
      <c r="B33" s="26" t="s">
        <v>36</v>
      </c>
      <c r="C33" s="27" t="n">
        <f aca="false">C31+C32</f>
        <v>7801.25</v>
      </c>
      <c r="D33" s="27" t="n">
        <f aca="false">D31+D32</f>
        <v>9161.5</v>
      </c>
      <c r="E33" s="27" t="n">
        <f aca="false">E31+E32</f>
        <v>10836.25</v>
      </c>
    </row>
    <row r="35" customFormat="false" ht="15" hidden="false" customHeight="true" outlineLevel="0" collapsed="false">
      <c r="B35" s="23" t="s">
        <v>37</v>
      </c>
      <c r="C35" s="24"/>
      <c r="D35" s="24"/>
      <c r="E35" s="24"/>
    </row>
    <row r="36" customFormat="false" ht="15" hidden="false" customHeight="true" outlineLevel="0" collapsed="false">
      <c r="B36" s="12" t="s">
        <v>38</v>
      </c>
      <c r="C36" s="25" t="n">
        <f aca="false">C9-C33</f>
        <v>13098.75</v>
      </c>
      <c r="D36" s="25" t="n">
        <f aca="false">C9-D33</f>
        <v>11738.5</v>
      </c>
      <c r="E36" s="25" t="n">
        <f aca="false">C9-E33</f>
        <v>10063.75</v>
      </c>
      <c r="H36" s="11" t="s">
        <v>39</v>
      </c>
    </row>
    <row r="37" customFormat="false" ht="15" hidden="false" customHeight="true" outlineLevel="0" collapsed="false">
      <c r="B37" s="28" t="s">
        <v>40</v>
      </c>
      <c r="C37" s="29" t="n">
        <f aca="false">C36/C12</f>
        <v>139.348404255319</v>
      </c>
      <c r="D37" s="29" t="n">
        <f aca="false">D36/C12</f>
        <v>124.877659574468</v>
      </c>
      <c r="E37" s="29" t="n">
        <f aca="false">E36/C12</f>
        <v>107.061170212766</v>
      </c>
      <c r="H37" s="11" t="s">
        <v>41</v>
      </c>
    </row>
    <row r="39" customFormat="false" ht="15" hidden="false" customHeight="true" outlineLevel="0" collapsed="false">
      <c r="B39" s="30" t="s">
        <v>42</v>
      </c>
      <c r="C39" s="31"/>
      <c r="D39" s="31"/>
      <c r="E39" s="31"/>
    </row>
    <row r="40" customFormat="false" ht="15" hidden="false" customHeight="true" outlineLevel="0" collapsed="false">
      <c r="C40" s="16" t="s">
        <v>19</v>
      </c>
      <c r="D40" s="16" t="s">
        <v>20</v>
      </c>
      <c r="E40" s="16" t="s">
        <v>21</v>
      </c>
    </row>
    <row r="41" customFormat="false" ht="15" hidden="false" customHeight="true" outlineLevel="0" collapsed="false">
      <c r="B41" s="3" t="s">
        <v>43</v>
      </c>
      <c r="C41" s="32" t="n">
        <f aca="false">C33/C9</f>
        <v>0.373265550239234</v>
      </c>
      <c r="D41" s="32" t="n">
        <f aca="false">D33/C9</f>
        <v>0.438349282296651</v>
      </c>
      <c r="E41" s="32" t="n">
        <f aca="false">E33/C9</f>
        <v>0.518480861244019</v>
      </c>
    </row>
    <row r="42" customFormat="false" ht="15" hidden="false" customHeight="true" outlineLevel="0" collapsed="false">
      <c r="B42" s="26" t="s">
        <v>44</v>
      </c>
      <c r="C42" s="33" t="n">
        <f aca="false">1-C41</f>
        <v>0.626734449760766</v>
      </c>
      <c r="D42" s="33" t="n">
        <f aca="false">1-D41</f>
        <v>0.561650717703349</v>
      </c>
      <c r="E42" s="33" t="n">
        <f aca="false">1-E41</f>
        <v>0.481519138755981</v>
      </c>
    </row>
    <row r="43" customFormat="false" ht="15" hidden="false" customHeight="true" outlineLevel="0" collapsed="false">
      <c r="B43" s="12" t="s">
        <v>45</v>
      </c>
      <c r="C43" s="25" t="n">
        <f aca="false">C33</f>
        <v>7801.25</v>
      </c>
      <c r="D43" s="25" t="n">
        <f aca="false">D33</f>
        <v>9161.5</v>
      </c>
      <c r="E43" s="25" t="n">
        <f aca="false">E33</f>
        <v>10836.25</v>
      </c>
    </row>
    <row r="44" customFormat="false" ht="15" hidden="false" customHeight="true" outlineLevel="0" collapsed="false">
      <c r="B44" s="12" t="s">
        <v>46</v>
      </c>
      <c r="C44" s="25" t="n">
        <f aca="false">C36</f>
        <v>13098.75</v>
      </c>
      <c r="D44" s="25" t="n">
        <f aca="false">D36</f>
        <v>11738.5</v>
      </c>
      <c r="E44" s="25" t="n">
        <f aca="false">E36</f>
        <v>10063.75</v>
      </c>
    </row>
    <row r="46" customFormat="false" ht="15" hidden="false" customHeight="true" outlineLevel="0" collapsed="false">
      <c r="B46" s="34" t="s">
        <v>47</v>
      </c>
      <c r="C46" s="35" t="n">
        <f aca="false">C32/C33</f>
        <v>0.256369171607114</v>
      </c>
      <c r="D46" s="35" t="n">
        <f aca="false">D32/D33</f>
        <v>0.240135349014899</v>
      </c>
      <c r="E46" s="35" t="n">
        <f aca="false">E32/E33</f>
        <v>0.230707117314569</v>
      </c>
    </row>
    <row r="47" customFormat="false" ht="15" hidden="false" customHeight="true" outlineLevel="0" collapsed="false">
      <c r="B47" s="34" t="s">
        <v>48</v>
      </c>
      <c r="C47" s="35" t="n">
        <f aca="false">C32/C9</f>
        <v>0.0956937799043062</v>
      </c>
      <c r="D47" s="35" t="n">
        <f aca="false">D32/C9</f>
        <v>0.105263157894737</v>
      </c>
      <c r="E47" s="35" t="n">
        <f aca="false">E32/C9</f>
        <v>0.119617224880383</v>
      </c>
    </row>
    <row r="50" customFormat="false" ht="15" hidden="false" customHeight="true" outlineLevel="0" collapsed="false">
      <c r="B50" s="36" t="s">
        <v>49</v>
      </c>
      <c r="C50" s="37"/>
      <c r="D50" s="37"/>
      <c r="E50" s="37"/>
      <c r="F50" s="37"/>
      <c r="G50" s="37"/>
    </row>
    <row r="51" customFormat="false" ht="15" hidden="false" customHeight="true" outlineLevel="0" collapsed="false">
      <c r="B51" s="38" t="s">
        <v>50</v>
      </c>
      <c r="C51" s="38"/>
      <c r="D51" s="38"/>
      <c r="E51" s="38"/>
      <c r="F51" s="38"/>
      <c r="G51" s="38"/>
    </row>
    <row r="52" customFormat="false" ht="15" hidden="false" customHeight="true" outlineLevel="0" collapsed="false">
      <c r="B52" s="38" t="s">
        <v>51</v>
      </c>
      <c r="C52" s="38"/>
      <c r="D52" s="38"/>
      <c r="E52" s="38"/>
      <c r="F52" s="38"/>
      <c r="G52" s="38"/>
    </row>
    <row r="53" customFormat="false" ht="15" hidden="false" customHeight="true" outlineLevel="0" collapsed="false">
      <c r="B53" s="38" t="s">
        <v>52</v>
      </c>
      <c r="C53" s="38"/>
      <c r="D53" s="38"/>
      <c r="E53" s="38"/>
      <c r="F53" s="38"/>
      <c r="G53" s="38"/>
    </row>
    <row r="54" customFormat="false" ht="15" hidden="false" customHeight="true" outlineLevel="0" collapsed="false">
      <c r="B54" s="38"/>
      <c r="C54" s="38"/>
      <c r="D54" s="38"/>
      <c r="E54" s="38"/>
      <c r="F54" s="38"/>
      <c r="G54" s="38"/>
    </row>
    <row r="55" customFormat="false" ht="15" hidden="false" customHeight="true" outlineLevel="0" collapsed="false">
      <c r="B55" s="38" t="s">
        <v>53</v>
      </c>
      <c r="C55" s="38"/>
      <c r="D55" s="38"/>
      <c r="E55" s="38"/>
      <c r="F55" s="38"/>
      <c r="G55" s="38"/>
    </row>
    <row r="56" customFormat="false" ht="15" hidden="false" customHeight="true" outlineLevel="0" collapsed="false">
      <c r="B56" s="38" t="s">
        <v>54</v>
      </c>
      <c r="C56" s="38"/>
      <c r="D56" s="38"/>
      <c r="E56" s="38"/>
      <c r="F56" s="38"/>
      <c r="G56" s="38"/>
    </row>
    <row r="57" customFormat="false" ht="15" hidden="false" customHeight="true" outlineLevel="0" collapsed="false">
      <c r="B57" s="38"/>
      <c r="C57" s="38"/>
      <c r="D57" s="38"/>
      <c r="E57" s="38"/>
      <c r="F57" s="38"/>
      <c r="G57" s="38"/>
    </row>
    <row r="58" customFormat="false" ht="15" hidden="false" customHeight="true" outlineLevel="0" collapsed="false">
      <c r="B58" s="38" t="s">
        <v>55</v>
      </c>
      <c r="C58" s="38"/>
      <c r="D58" s="38"/>
      <c r="E58" s="38"/>
      <c r="F58" s="38"/>
      <c r="G58" s="38"/>
    </row>
    <row r="59" customFormat="false" ht="15" hidden="false" customHeight="true" outlineLevel="0" collapsed="false">
      <c r="B59" s="38" t="s">
        <v>56</v>
      </c>
      <c r="C59" s="38"/>
      <c r="D59" s="38"/>
      <c r="E59" s="38"/>
      <c r="F59" s="38"/>
      <c r="G59" s="38"/>
    </row>
    <row r="60" customFormat="false" ht="15" hidden="false" customHeight="true" outlineLevel="0" collapsed="false">
      <c r="B60" s="38"/>
      <c r="C60" s="38"/>
      <c r="D60" s="38"/>
      <c r="E60" s="38"/>
      <c r="F60" s="38"/>
      <c r="G60" s="38"/>
    </row>
    <row r="61" customFormat="false" ht="15" hidden="false" customHeight="true" outlineLevel="0" collapsed="false">
      <c r="B61" s="38" t="s">
        <v>57</v>
      </c>
      <c r="C61" s="38"/>
      <c r="D61" s="38"/>
      <c r="E61" s="38"/>
      <c r="F61" s="38"/>
      <c r="G61" s="38"/>
    </row>
    <row r="62" customFormat="false" ht="15" hidden="false" customHeight="true" outlineLevel="0" collapsed="false">
      <c r="B62" s="38" t="s">
        <v>58</v>
      </c>
      <c r="C62" s="38"/>
      <c r="D62" s="38"/>
      <c r="E62" s="38"/>
      <c r="F62" s="38"/>
      <c r="G62" s="38"/>
    </row>
    <row r="63" customFormat="false" ht="15" hidden="false" customHeight="true" outlineLevel="0" collapsed="false">
      <c r="B63" s="38" t="s">
        <v>59</v>
      </c>
      <c r="C63" s="38"/>
      <c r="D63" s="38"/>
      <c r="E63" s="38"/>
      <c r="F63" s="38"/>
      <c r="G63" s="38"/>
    </row>
    <row r="64" customFormat="false" ht="15" hidden="false" customHeight="true" outlineLevel="0" collapsed="false">
      <c r="B64" s="38"/>
      <c r="C64" s="38"/>
      <c r="D64" s="38"/>
      <c r="E64" s="38"/>
      <c r="F64" s="38"/>
      <c r="G64" s="38"/>
    </row>
    <row r="65" customFormat="false" ht="15" hidden="false" customHeight="true" outlineLevel="0" collapsed="false">
      <c r="B65" s="38" t="s">
        <v>60</v>
      </c>
      <c r="C65" s="38"/>
      <c r="D65" s="38"/>
      <c r="E65" s="38"/>
      <c r="F65" s="38"/>
      <c r="G65" s="38"/>
    </row>
    <row r="66" customFormat="false" ht="15" hidden="false" customHeight="true" outlineLevel="0" collapsed="false">
      <c r="B66" s="38" t="s">
        <v>61</v>
      </c>
      <c r="C66" s="38"/>
      <c r="D66" s="38"/>
      <c r="E66" s="38"/>
      <c r="F66" s="38"/>
      <c r="G66" s="38"/>
    </row>
    <row r="67" customFormat="false" ht="15" hidden="false" customHeight="true" outlineLevel="0" collapsed="false">
      <c r="B67" s="38"/>
      <c r="C67" s="38"/>
      <c r="D67" s="38"/>
      <c r="E67" s="38"/>
      <c r="F67" s="38"/>
      <c r="G67" s="38"/>
    </row>
    <row r="68" customFormat="false" ht="15" hidden="false" customHeight="true" outlineLevel="0" collapsed="false">
      <c r="B68" s="38" t="s">
        <v>62</v>
      </c>
      <c r="C68" s="38"/>
      <c r="D68" s="38"/>
      <c r="E68" s="38"/>
      <c r="F68" s="38"/>
      <c r="G68" s="38"/>
    </row>
    <row r="69" customFormat="false" ht="15" hidden="false" customHeight="true" outlineLevel="0" collapsed="false">
      <c r="B69" s="38" t="s">
        <v>63</v>
      </c>
      <c r="C69" s="38"/>
      <c r="D69" s="38"/>
      <c r="E69" s="38"/>
      <c r="F69" s="38"/>
      <c r="G69" s="38"/>
    </row>
    <row r="70" customFormat="false" ht="15" hidden="false" customHeight="true" outlineLevel="0" collapsed="false">
      <c r="B70" s="38" t="s">
        <v>64</v>
      </c>
      <c r="C70" s="38"/>
      <c r="D70" s="38"/>
      <c r="E70" s="38"/>
      <c r="F70" s="38"/>
      <c r="G70" s="38"/>
    </row>
    <row r="71" customFormat="false" ht="15" hidden="false" customHeight="true" outlineLevel="0" collapsed="false">
      <c r="B71" s="38"/>
      <c r="C71" s="38"/>
      <c r="D71" s="38"/>
      <c r="E71" s="38"/>
      <c r="F71" s="38"/>
      <c r="G71" s="38"/>
    </row>
    <row r="72" customFormat="false" ht="15" hidden="false" customHeight="true" outlineLevel="0" collapsed="false">
      <c r="B72" s="38" t="s">
        <v>65</v>
      </c>
      <c r="C72" s="38"/>
      <c r="D72" s="38"/>
      <c r="E72" s="38"/>
      <c r="F72" s="38"/>
      <c r="G72" s="38"/>
    </row>
    <row r="73" customFormat="false" ht="15" hidden="false" customHeight="true" outlineLevel="0" collapsed="false">
      <c r="B73" s="38" t="s">
        <v>66</v>
      </c>
      <c r="C73" s="38"/>
      <c r="D73" s="38"/>
      <c r="E73" s="38"/>
      <c r="F73" s="38"/>
      <c r="G73" s="38"/>
    </row>
    <row r="75" customFormat="false" ht="15" hidden="false" customHeight="true" outlineLevel="0" collapsed="false">
      <c r="B75" s="36" t="s">
        <v>67</v>
      </c>
      <c r="C75" s="37"/>
      <c r="D75" s="37"/>
      <c r="E75" s="37"/>
      <c r="F75" s="37"/>
      <c r="G75" s="37"/>
    </row>
    <row r="76" customFormat="false" ht="15" hidden="false" customHeight="true" outlineLevel="0" collapsed="false">
      <c r="B76" s="38" t="s">
        <v>68</v>
      </c>
      <c r="C76" s="38"/>
      <c r="D76" s="38"/>
      <c r="E76" s="38"/>
      <c r="F76" s="38"/>
      <c r="G76" s="38"/>
    </row>
    <row r="77" customFormat="false" ht="15" hidden="false" customHeight="true" outlineLevel="0" collapsed="false">
      <c r="B77" s="38" t="s">
        <v>69</v>
      </c>
      <c r="C77" s="38"/>
      <c r="D77" s="38"/>
      <c r="E77" s="38"/>
      <c r="F77" s="38"/>
      <c r="G77" s="38"/>
    </row>
    <row r="78" customFormat="false" ht="15" hidden="false" customHeight="true" outlineLevel="0" collapsed="false">
      <c r="B78" s="38" t="s">
        <v>70</v>
      </c>
      <c r="C78" s="38"/>
      <c r="D78" s="38"/>
      <c r="E78" s="38"/>
      <c r="F78" s="38"/>
      <c r="G78" s="38"/>
    </row>
    <row r="79" customFormat="false" ht="15" hidden="false" customHeight="true" outlineLevel="0" collapsed="false">
      <c r="B79" s="38" t="s">
        <v>71</v>
      </c>
      <c r="C79" s="38"/>
      <c r="D79" s="38"/>
      <c r="E79" s="38"/>
      <c r="F79" s="38"/>
      <c r="G79" s="38"/>
    </row>
    <row r="80" customFormat="false" ht="15" hidden="false" customHeight="true" outlineLevel="0" collapsed="false">
      <c r="B80" s="38" t="s">
        <v>72</v>
      </c>
      <c r="C80" s="38"/>
      <c r="D80" s="38"/>
      <c r="E80" s="38"/>
      <c r="F80" s="38"/>
      <c r="G80" s="38"/>
    </row>
    <row r="81" customFormat="false" ht="15" hidden="false" customHeight="true" outlineLevel="0" collapsed="false">
      <c r="B81" s="38" t="s">
        <v>73</v>
      </c>
      <c r="C81" s="38"/>
      <c r="D81" s="38"/>
      <c r="E81" s="38"/>
      <c r="F81" s="38"/>
      <c r="G81" s="38"/>
    </row>
  </sheetData>
  <mergeCells count="29">
    <mergeCell ref="B51:G51"/>
    <mergeCell ref="B52:G52"/>
    <mergeCell ref="B53:G53"/>
    <mergeCell ref="B54:G54"/>
    <mergeCell ref="B55:G55"/>
    <mergeCell ref="B56:G56"/>
    <mergeCell ref="B57:G57"/>
    <mergeCell ref="B58:G58"/>
    <mergeCell ref="B59:G59"/>
    <mergeCell ref="B60:G60"/>
    <mergeCell ref="B61:G61"/>
    <mergeCell ref="B62:G62"/>
    <mergeCell ref="B63:G63"/>
    <mergeCell ref="B64:G64"/>
    <mergeCell ref="B65:G65"/>
    <mergeCell ref="B66:G66"/>
    <mergeCell ref="B67:G67"/>
    <mergeCell ref="B68:G68"/>
    <mergeCell ref="B69:G69"/>
    <mergeCell ref="B70:G70"/>
    <mergeCell ref="B71:G71"/>
    <mergeCell ref="B72:G72"/>
    <mergeCell ref="B73:G73"/>
    <mergeCell ref="B76:G76"/>
    <mergeCell ref="B77:G77"/>
    <mergeCell ref="B78:G78"/>
    <mergeCell ref="B79:G79"/>
    <mergeCell ref="B80:G80"/>
    <mergeCell ref="B81:G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2026-03-12T20:22:54Z</dcterms:created>
  <dc:creator>openpyxl</dc:creator>
  <dc:description/>
  <dc:language>en-US</dc:language>
  <cp:lastModifiedBy/>
  <dcterms:modified xsi:type="dcterms:W3CDTF">2026-03-12T20:23:20Z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