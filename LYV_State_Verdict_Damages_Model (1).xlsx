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act" sheetId="1" state="visible" r:id="rId3"/>
    <sheet name="Sensitivi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<sst xmlns="http://schemas.openxmlformats.org/spreadsheetml/2006/main" count="68" uniqueCount="64">
  <si>
    <t xml:space="preserve">LYV — State AG Verdict: Damages &amp; AOI Impact</t>
  </si>
  <si>
    <t xml:space="preserve">Updated per LYV statement, 4/15/26 — Case 1:24-cv-03973 (S.D.N.Y.)</t>
  </si>
  <si>
    <t xml:space="preserve">ASSUMPTIONS  (blue = input)</t>
  </si>
  <si>
    <t xml:space="preserve">VOLUME — per LYV statement</t>
  </si>
  <si>
    <t xml:space="preserve">Verdict-covered venues (count)</t>
  </si>
  <si>
    <t xml:space="preserve">LYV statement: 257 venues, ~20% of total tickets</t>
  </si>
  <si>
    <t xml:space="preserve">Verdict-covered tickets per year (M)</t>
  </si>
  <si>
    <t xml:space="preserve">Back-solved from LYV's &lt;$150M / $1.72 / 5yr; excludes brokers</t>
  </si>
  <si>
    <t xml:space="preserve">DAMAGES PARAMETERS</t>
  </si>
  <si>
    <t xml:space="preserve">Per-ticket overcharge ($)</t>
  </si>
  <si>
    <t xml:space="preserve">Jury verdict 4/15/26</t>
  </si>
  <si>
    <t xml:space="preserve">Lookback period (years)</t>
  </si>
  <si>
    <t xml:space="preserve">Per LYV statement: 'past five years'</t>
  </si>
  <si>
    <t xml:space="preserve">Treble multiplier</t>
  </si>
  <si>
    <t xml:space="preserve">Clayton Act § 4 / § 4C parens patriae</t>
  </si>
  <si>
    <t xml:space="preserve">Prejudgment interest + plaintiff fees</t>
  </si>
  <si>
    <t xml:space="preserve">Estimate; varies by judge &amp; state law</t>
  </si>
  <si>
    <t xml:space="preserve">Existing accrual (offset)</t>
  </si>
  <si>
    <t xml:space="preserve">LYV statement: $280M accrued in connection with DOJ settlement</t>
  </si>
  <si>
    <t xml:space="preserve">AOI</t>
  </si>
  <si>
    <t xml:space="preserve">FY26E consolidated AOI ($M)</t>
  </si>
  <si>
    <t xml:space="preserve">Consensus ~$2.5–2.6B</t>
  </si>
  <si>
    <t xml:space="preserve">DOJ behavioral remedy AOI drag ($M)</t>
  </si>
  <si>
    <t xml:space="preserve">Bernstein est., midpoint of $50–60M</t>
  </si>
  <si>
    <t xml:space="preserve">Incremental state remedy AOI drag ($M)</t>
  </si>
  <si>
    <t xml:space="preserve">LYV: 'outcome not materially different than DOJ settlement'</t>
  </si>
  <si>
    <t xml:space="preserve">Venue Nation incremental AOI at maturity ($M)</t>
  </si>
  <si>
    <t xml:space="preserve">Per Investor Day; Bernstein VN model</t>
  </si>
  <si>
    <t xml:space="preserve">DAMAGES BUILD  (per LYV statement)</t>
  </si>
  <si>
    <t xml:space="preserve">Verdict-covered tickets/year (M)</t>
  </si>
  <si>
    <t xml:space="preserve">× Per-ticket overcharge</t>
  </si>
  <si>
    <t xml:space="preserve">  Annual overcharge ($M)</t>
  </si>
  <si>
    <t xml:space="preserve">× Lookback years</t>
  </si>
  <si>
    <t xml:space="preserve">  Single damages ($M)</t>
  </si>
  <si>
    <t xml:space="preserve">× Treble multiplier</t>
  </si>
  <si>
    <t xml:space="preserve">  Trebled damages ($M)</t>
  </si>
  <si>
    <t xml:space="preserve">× (1 + interest &amp; fees)</t>
  </si>
  <si>
    <t xml:space="preserve">  Gross all-in damages ($M)</t>
  </si>
  <si>
    <t xml:space="preserve">Less: existing accrual ($M)</t>
  </si>
  <si>
    <t xml:space="preserve">  NET INCREMENTAL CHARGE ($M)</t>
  </si>
  <si>
    <t xml:space="preserve">← incremental cash exposure beyond existing accrual</t>
  </si>
  <si>
    <t xml:space="preserve">  NET INCREMENTAL CHARGE ($B)</t>
  </si>
  <si>
    <t xml:space="preserve">AOI IMPACT</t>
  </si>
  <si>
    <t xml:space="preserve">Combined annual AOI drag ($M)</t>
  </si>
  <si>
    <t xml:space="preserve">  As % of FY26E AOI</t>
  </si>
  <si>
    <t xml:space="preserve">VN coverage of combined AOI drag</t>
  </si>
  <si>
    <t xml:space="preserve">OPTIONALITY — pending motions could reduce/vacate liability</t>
  </si>
  <si>
    <t xml:space="preserve">• Rule 50 motion (judgment as a matter of law): Court previously called LYV's arguments 'serious issues'</t>
  </si>
  <si>
    <t xml:space="preserve">• Motion to strike damages testimony: Court flagged 'significant concerns' with damages expert's analysis</t>
  </si>
  <si>
    <t xml:space="preserve">• Either motion if granted could materially reduce or eliminate the damages exposure modeled above</t>
  </si>
  <si>
    <t xml:space="preserve">• Appeal preserved on all unfavorable rulings</t>
  </si>
  <si>
    <t xml:space="preserve">• LYV explicit guidance: 'ultimate outcome of the States' case will not be materially different than what is envisioned by the DOJ settlement'</t>
  </si>
  <si>
    <t xml:space="preserve">Damages Sensitivity Tables ($M)</t>
  </si>
  <si>
    <t xml:space="preserve">All tables hold non-flexed inputs at base case (Impact tab). LYV base = ~17M tickets/year.</t>
  </si>
  <si>
    <t xml:space="preserve">Table 1: GROSS all-in damages — Tickets/yr × Lookback Years</t>
  </si>
  <si>
    <t xml:space="preserve">$/ticket = Impact!B9; treble = Impact!B11; +interest/fees = Impact!B12</t>
  </si>
  <si>
    <t xml:space="preserve">Tickets (M) ↓  /  Years →</t>
  </si>
  <si>
    <t xml:space="preserve">Table 2: GROSS all-in damages — Tickets/yr × Treble Multiplier</t>
  </si>
  <si>
    <t xml:space="preserve">$/ticket = Impact!B9; lookback = Impact!B10; +interest/fees = Impact!B12</t>
  </si>
  <si>
    <t xml:space="preserve">Tickets (M) ↓  /  Multiplier →</t>
  </si>
  <si>
    <t xml:space="preserve">Table 3: NET INCREMENTAL CHARGE — Gross damages less $280M existing accrual</t>
  </si>
  <si>
    <t xml:space="preserve">Gross = Tickets × $/ticket × Years × Treble × (1+fees); Net = Gross − Impact!B13</t>
  </si>
  <si>
    <t xml:space="preserve">Bear case stress test: even at 35M tickets and 7-year lookback (vs LYV's 17M / 5yr), trebled all-in is ~$1.4B.</t>
  </si>
  <si>
    <t xml:space="preserve">Net of $280M accrual: ~$1.1B. Implies stock has overshot if today's $2.5B selloff is purely about damages.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</si>
</sst>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#,##0.0;\(#,##0.0\);\-"/>
    <numFmt numFmtId="167" formatCode="\$#,##0.00;&quot;($&quot;#,##0.00\);\-"/>
    <numFmt numFmtId="168" formatCode="0.0\x"/>
    <numFmt numFmtId="169" formatCode="0.0%;\(0.0%\);\-"/>
    <numFmt numFmtId="170" formatCode="\$#,##0\M;&quot;($&quot;#,##0&quot;M)&quot;;\-"/>
    <numFmt numFmtId="171" formatCode="\$#,##0.00\B;&quot;($&quot;#,##0.00&quot;B)&quot;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2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5"/>
      <c r="C5" s="5"/>
      <c r="D5" s="5"/>
      <c r="E5" s="5"/>
    </row>
    <row r="6" customFormat="false" ht="15" hidden="false" customHeight="false" outlineLevel="0" collapsed="false">
      <c r="A6" s="6" t="s">
        <v>4</v>
      </c>
      <c r="B6" s="7" t="n">
        <v>257</v>
      </c>
      <c r="C6" s="2" t="s">
        <v>5</v>
      </c>
      <c r="D6" s="2"/>
      <c r="E6" s="2"/>
    </row>
    <row r="7" customFormat="false" ht="15" hidden="false" customHeight="false" outlineLevel="0" collapsed="false">
      <c r="A7" s="6" t="s">
        <v>6</v>
      </c>
      <c r="B7" s="8" t="n">
        <v>17.4</v>
      </c>
      <c r="C7" s="2" t="s">
        <v>7</v>
      </c>
      <c r="D7" s="2"/>
      <c r="E7" s="2"/>
    </row>
    <row r="8" customFormat="false" ht="15" hidden="false" customHeight="false" outlineLevel="0" collapsed="false">
      <c r="A8" s="4" t="s">
        <v>8</v>
      </c>
      <c r="B8" s="5"/>
      <c r="C8" s="5"/>
      <c r="D8" s="5"/>
      <c r="E8" s="5"/>
    </row>
    <row r="9" customFormat="false" ht="15" hidden="false" customHeight="false" outlineLevel="0" collapsed="false">
      <c r="A9" s="6" t="s">
        <v>9</v>
      </c>
      <c r="B9" s="9" t="n">
        <v>1.72</v>
      </c>
      <c r="C9" s="2" t="s">
        <v>10</v>
      </c>
      <c r="D9" s="2"/>
      <c r="E9" s="2"/>
    </row>
    <row r="10" customFormat="false" ht="15" hidden="false" customHeight="false" outlineLevel="0" collapsed="false">
      <c r="A10" s="6" t="s">
        <v>11</v>
      </c>
      <c r="B10" s="7" t="n">
        <v>5</v>
      </c>
      <c r="C10" s="2" t="s">
        <v>12</v>
      </c>
      <c r="D10" s="2"/>
      <c r="E10" s="2"/>
    </row>
    <row r="11" customFormat="false" ht="15" hidden="false" customHeight="false" outlineLevel="0" collapsed="false">
      <c r="A11" s="6" t="s">
        <v>13</v>
      </c>
      <c r="B11" s="10" t="n">
        <v>3</v>
      </c>
      <c r="C11" s="2" t="s">
        <v>14</v>
      </c>
      <c r="D11" s="2"/>
      <c r="E11" s="2"/>
    </row>
    <row r="12" customFormat="false" ht="15" hidden="false" customHeight="false" outlineLevel="0" collapsed="false">
      <c r="A12" s="6" t="s">
        <v>15</v>
      </c>
      <c r="B12" s="11" t="n">
        <v>0.08</v>
      </c>
      <c r="C12" s="2" t="s">
        <v>16</v>
      </c>
      <c r="D12" s="2"/>
      <c r="E12" s="2"/>
    </row>
    <row r="13" customFormat="false" ht="15" hidden="false" customHeight="false" outlineLevel="0" collapsed="false">
      <c r="A13" s="6" t="s">
        <v>17</v>
      </c>
      <c r="B13" s="12" t="n">
        <v>280</v>
      </c>
      <c r="C13" s="2" t="s">
        <v>18</v>
      </c>
      <c r="D13" s="2"/>
      <c r="E13" s="2"/>
    </row>
    <row r="14" customFormat="false" ht="15" hidden="false" customHeight="false" outlineLevel="0" collapsed="false">
      <c r="A14" s="4" t="s">
        <v>19</v>
      </c>
      <c r="B14" s="5"/>
      <c r="C14" s="5"/>
      <c r="D14" s="5"/>
      <c r="E14" s="5"/>
    </row>
    <row r="15" customFormat="false" ht="15" hidden="false" customHeight="false" outlineLevel="0" collapsed="false">
      <c r="A15" s="6" t="s">
        <v>20</v>
      </c>
      <c r="B15" s="12" t="n">
        <v>2570</v>
      </c>
      <c r="C15" s="2" t="s">
        <v>21</v>
      </c>
      <c r="D15" s="2"/>
      <c r="E15" s="2"/>
    </row>
    <row r="16" customFormat="false" ht="15" hidden="false" customHeight="false" outlineLevel="0" collapsed="false">
      <c r="A16" s="6" t="s">
        <v>22</v>
      </c>
      <c r="B16" s="12" t="n">
        <v>55</v>
      </c>
      <c r="C16" s="2" t="s">
        <v>23</v>
      </c>
      <c r="D16" s="2"/>
      <c r="E16" s="2"/>
    </row>
    <row r="17" customFormat="false" ht="15" hidden="false" customHeight="false" outlineLevel="0" collapsed="false">
      <c r="A17" s="6" t="s">
        <v>24</v>
      </c>
      <c r="B17" s="12" t="n">
        <v>0</v>
      </c>
      <c r="C17" s="2" t="s">
        <v>25</v>
      </c>
      <c r="D17" s="2"/>
      <c r="E17" s="2"/>
    </row>
    <row r="18" customFormat="false" ht="15" hidden="false" customHeight="false" outlineLevel="0" collapsed="false">
      <c r="A18" s="6" t="s">
        <v>26</v>
      </c>
      <c r="B18" s="12" t="n">
        <v>600</v>
      </c>
      <c r="C18" s="2" t="s">
        <v>27</v>
      </c>
      <c r="D18" s="2"/>
      <c r="E18" s="2"/>
    </row>
    <row r="20" customFormat="false" ht="15" hidden="false" customHeight="false" outlineLevel="0" collapsed="false">
      <c r="A20" s="3" t="s">
        <v>28</v>
      </c>
      <c r="B20" s="3"/>
      <c r="C20" s="3"/>
      <c r="D20" s="3"/>
      <c r="E20" s="3"/>
    </row>
    <row r="21" customFormat="false" ht="15" hidden="false" customHeight="false" outlineLevel="0" collapsed="false">
      <c r="A21" s="6" t="s">
        <v>29</v>
      </c>
      <c r="B21" s="13" t="n">
        <f aca="false">B7</f>
        <v>17.4</v>
      </c>
    </row>
    <row r="22" customFormat="false" ht="15" hidden="false" customHeight="false" outlineLevel="0" collapsed="false">
      <c r="A22" s="6" t="s">
        <v>30</v>
      </c>
      <c r="B22" s="14" t="n">
        <f aca="false">B9</f>
        <v>1.72</v>
      </c>
    </row>
    <row r="23" customFormat="false" ht="15" hidden="false" customHeight="false" outlineLevel="0" collapsed="false">
      <c r="A23" s="15" t="s">
        <v>31</v>
      </c>
      <c r="B23" s="16" t="n">
        <f aca="false">B21*B22</f>
        <v>29.928</v>
      </c>
    </row>
    <row r="24" customFormat="false" ht="15" hidden="false" customHeight="false" outlineLevel="0" collapsed="false">
      <c r="A24" s="6" t="s">
        <v>32</v>
      </c>
      <c r="B24" s="17" t="n">
        <f aca="false">B10</f>
        <v>5</v>
      </c>
    </row>
    <row r="25" customFormat="false" ht="15" hidden="false" customHeight="false" outlineLevel="0" collapsed="false">
      <c r="A25" s="15" t="s">
        <v>33</v>
      </c>
      <c r="B25" s="16" t="n">
        <f aca="false">B23*B24</f>
        <v>149.64</v>
      </c>
    </row>
    <row r="26" customFormat="false" ht="15" hidden="false" customHeight="false" outlineLevel="0" collapsed="false">
      <c r="A26" s="6" t="s">
        <v>34</v>
      </c>
      <c r="B26" s="18" t="n">
        <f aca="false">B11</f>
        <v>3</v>
      </c>
    </row>
    <row r="27" customFormat="false" ht="15" hidden="false" customHeight="false" outlineLevel="0" collapsed="false">
      <c r="A27" s="15" t="s">
        <v>35</v>
      </c>
      <c r="B27" s="16" t="n">
        <f aca="false">B25*B26</f>
        <v>448.92</v>
      </c>
    </row>
    <row r="28" customFormat="false" ht="15" hidden="false" customHeight="false" outlineLevel="0" collapsed="false">
      <c r="A28" s="6" t="s">
        <v>36</v>
      </c>
      <c r="B28" s="14" t="n">
        <f aca="false">1+B12</f>
        <v>1.08</v>
      </c>
    </row>
    <row r="29" customFormat="false" ht="15" hidden="false" customHeight="false" outlineLevel="0" collapsed="false">
      <c r="A29" s="15" t="s">
        <v>37</v>
      </c>
      <c r="B29" s="16" t="n">
        <f aca="false">B27*B28</f>
        <v>484.8336</v>
      </c>
    </row>
    <row r="30" customFormat="false" ht="15" hidden="false" customHeight="false" outlineLevel="0" collapsed="false">
      <c r="A30" s="6" t="s">
        <v>38</v>
      </c>
      <c r="B30" s="19" t="n">
        <f aca="false">-B13</f>
        <v>-280</v>
      </c>
    </row>
    <row r="31" customFormat="false" ht="15" hidden="false" customHeight="false" outlineLevel="0" collapsed="false">
      <c r="A31" s="15" t="s">
        <v>39</v>
      </c>
      <c r="B31" s="20" t="n">
        <f aca="false">B29+B30</f>
        <v>204.8336</v>
      </c>
      <c r="C31" s="2" t="s">
        <v>40</v>
      </c>
      <c r="D31" s="2"/>
      <c r="E31" s="2"/>
    </row>
    <row r="32" customFormat="false" ht="15" hidden="false" customHeight="false" outlineLevel="0" collapsed="false">
      <c r="A32" s="15" t="s">
        <v>41</v>
      </c>
      <c r="B32" s="21" t="n">
        <f aca="false">B31/1000</f>
        <v>0.2048336</v>
      </c>
    </row>
    <row r="34" customFormat="false" ht="15" hidden="false" customHeight="false" outlineLevel="0" collapsed="false">
      <c r="A34" s="3" t="s">
        <v>42</v>
      </c>
      <c r="B34" s="3"/>
      <c r="C34" s="3"/>
      <c r="D34" s="3"/>
      <c r="E34" s="3"/>
    </row>
    <row r="35" customFormat="false" ht="15" hidden="false" customHeight="false" outlineLevel="0" collapsed="false">
      <c r="A35" s="6" t="s">
        <v>22</v>
      </c>
      <c r="B35" s="19" t="n">
        <f aca="false">B16</f>
        <v>55</v>
      </c>
    </row>
    <row r="36" customFormat="false" ht="15" hidden="false" customHeight="false" outlineLevel="0" collapsed="false">
      <c r="A36" s="6" t="s">
        <v>24</v>
      </c>
      <c r="B36" s="19" t="n">
        <f aca="false">B17</f>
        <v>0</v>
      </c>
    </row>
    <row r="37" customFormat="false" ht="15" hidden="false" customHeight="false" outlineLevel="0" collapsed="false">
      <c r="A37" s="15" t="s">
        <v>43</v>
      </c>
      <c r="B37" s="16" t="n">
        <f aca="false">B35+B36</f>
        <v>55</v>
      </c>
    </row>
    <row r="38" customFormat="false" ht="15" hidden="false" customHeight="false" outlineLevel="0" collapsed="false">
      <c r="A38" s="15" t="s">
        <v>44</v>
      </c>
      <c r="B38" s="22" t="n">
        <f aca="false">B37/B15</f>
        <v>0.0214007782101167</v>
      </c>
    </row>
    <row r="39" customFormat="false" ht="15" hidden="false" customHeight="false" outlineLevel="0" collapsed="false">
      <c r="A39" s="6" t="s">
        <v>26</v>
      </c>
      <c r="B39" s="19" t="n">
        <f aca="false">B18</f>
        <v>600</v>
      </c>
    </row>
    <row r="40" customFormat="false" ht="15" hidden="false" customHeight="false" outlineLevel="0" collapsed="false">
      <c r="A40" s="15" t="s">
        <v>45</v>
      </c>
      <c r="B40" s="23" t="n">
        <f aca="false">B39/B37</f>
        <v>10.9090909090909</v>
      </c>
    </row>
    <row r="42" customFormat="false" ht="15" hidden="false" customHeight="false" outlineLevel="0" collapsed="false">
      <c r="A42" s="3" t="s">
        <v>46</v>
      </c>
      <c r="B42" s="3"/>
      <c r="C42" s="3"/>
      <c r="D42" s="3"/>
      <c r="E42" s="3"/>
    </row>
    <row r="43" customFormat="false" ht="15" hidden="false" customHeight="false" outlineLevel="0" collapsed="false">
      <c r="A43" s="24" t="s">
        <v>47</v>
      </c>
      <c r="B43" s="24"/>
      <c r="C43" s="24"/>
      <c r="D43" s="24"/>
      <c r="E43" s="24"/>
    </row>
    <row r="44" customFormat="false" ht="15" hidden="false" customHeight="false" outlineLevel="0" collapsed="false">
      <c r="A44" s="24" t="s">
        <v>48</v>
      </c>
      <c r="B44" s="24"/>
      <c r="C44" s="24"/>
      <c r="D44" s="24"/>
      <c r="E44" s="24"/>
    </row>
    <row r="45" customFormat="false" ht="15" hidden="false" customHeight="false" outlineLevel="0" collapsed="false">
      <c r="A45" s="24" t="s">
        <v>49</v>
      </c>
      <c r="B45" s="24"/>
      <c r="C45" s="24"/>
      <c r="D45" s="24"/>
      <c r="E45" s="24"/>
    </row>
    <row r="46" customFormat="false" ht="15" hidden="false" customHeight="false" outlineLevel="0" collapsed="false">
      <c r="A46" s="24" t="s">
        <v>50</v>
      </c>
      <c r="B46" s="24"/>
      <c r="C46" s="24"/>
      <c r="D46" s="24"/>
      <c r="E46" s="24"/>
    </row>
    <row r="47" customFormat="false" ht="15" hidden="false" customHeight="false" outlineLevel="0" collapsed="false">
      <c r="A47" s="24" t="s">
        <v>51</v>
      </c>
      <c r="B47" s="24"/>
      <c r="C47" s="24"/>
      <c r="D47" s="24"/>
      <c r="E47" s="24"/>
    </row>
  </sheetData>
  <mergeCells count="23">
    <mergeCell ref="A1:E1"/>
    <mergeCell ref="A2:E2"/>
    <mergeCell ref="A4:E4"/>
    <mergeCell ref="C6:E6"/>
    <mergeCell ref="C7:E7"/>
    <mergeCell ref="C9:E9"/>
    <mergeCell ref="C10:E10"/>
    <mergeCell ref="C11:E11"/>
    <mergeCell ref="C12:E12"/>
    <mergeCell ref="C13:E13"/>
    <mergeCell ref="C15:E15"/>
    <mergeCell ref="C16:E16"/>
    <mergeCell ref="C17:E17"/>
    <mergeCell ref="C18:E18"/>
    <mergeCell ref="A20:E20"/>
    <mergeCell ref="C31:E31"/>
    <mergeCell ref="A34:E34"/>
    <mergeCell ref="A42:E42"/>
    <mergeCell ref="A43:E43"/>
    <mergeCell ref="A44:E44"/>
    <mergeCell ref="A45:E45"/>
    <mergeCell ref="A46:E46"/>
    <mergeCell ref="A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52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25" t="s">
        <v>54</v>
      </c>
      <c r="B4" s="25"/>
      <c r="C4" s="25"/>
      <c r="D4" s="25"/>
      <c r="E4" s="25"/>
      <c r="F4" s="25"/>
      <c r="G4" s="25"/>
      <c r="H4" s="25"/>
    </row>
    <row r="5" customFormat="false" ht="15" hidden="false" customHeight="false" outlineLevel="0" collapsed="false">
      <c r="A5" s="2" t="s">
        <v>55</v>
      </c>
      <c r="B5" s="2"/>
      <c r="C5" s="2"/>
      <c r="D5" s="2"/>
      <c r="E5" s="2"/>
      <c r="F5" s="2"/>
      <c r="G5" s="2"/>
      <c r="H5" s="2"/>
    </row>
    <row r="7" customFormat="false" ht="15" hidden="false" customHeight="false" outlineLevel="0" collapsed="false">
      <c r="A7" s="26" t="s">
        <v>56</v>
      </c>
      <c r="B7" s="26" t="n">
        <v>3</v>
      </c>
      <c r="C7" s="26" t="n">
        <v>4</v>
      </c>
      <c r="D7" s="26" t="n">
        <v>5</v>
      </c>
      <c r="E7" s="26" t="n">
        <v>6</v>
      </c>
      <c r="F7" s="26" t="n">
        <v>7</v>
      </c>
    </row>
    <row r="8" customFormat="false" ht="15" hidden="false" customHeight="false" outlineLevel="0" collapsed="false">
      <c r="A8" s="27" t="n">
        <v>10</v>
      </c>
      <c r="B8" s="19" t="n">
        <f aca="false">$A8*Impact!$B$9*3*Impact!$B$11*(1+Impact!$B$12)</f>
        <v>167.184</v>
      </c>
      <c r="C8" s="19" t="n">
        <f aca="false">$A8*Impact!$B$9*4*Impact!$B$11*(1+Impact!$B$12)</f>
        <v>222.912</v>
      </c>
      <c r="D8" s="19" t="n">
        <f aca="false">$A8*Impact!$B$9*5*Impact!$B$11*(1+Impact!$B$12)</f>
        <v>278.64</v>
      </c>
      <c r="E8" s="19" t="n">
        <f aca="false">$A8*Impact!$B$9*6*Impact!$B$11*(1+Impact!$B$12)</f>
        <v>334.368</v>
      </c>
      <c r="F8" s="19" t="n">
        <f aca="false">$A8*Impact!$B$9*7*Impact!$B$11*(1+Impact!$B$12)</f>
        <v>390.096</v>
      </c>
    </row>
    <row r="9" customFormat="false" ht="15" hidden="false" customHeight="false" outlineLevel="0" collapsed="false">
      <c r="A9" s="27" t="n">
        <v>15</v>
      </c>
      <c r="B9" s="19" t="n">
        <f aca="false">$A9*Impact!$B$9*3*Impact!$B$11*(1+Impact!$B$12)</f>
        <v>250.776</v>
      </c>
      <c r="C9" s="19" t="n">
        <f aca="false">$A9*Impact!$B$9*4*Impact!$B$11*(1+Impact!$B$12)</f>
        <v>334.368</v>
      </c>
      <c r="D9" s="19" t="n">
        <f aca="false">$A9*Impact!$B$9*5*Impact!$B$11*(1+Impact!$B$12)</f>
        <v>417.96</v>
      </c>
      <c r="E9" s="19" t="n">
        <f aca="false">$A9*Impact!$B$9*6*Impact!$B$11*(1+Impact!$B$12)</f>
        <v>501.552</v>
      </c>
      <c r="F9" s="19" t="n">
        <f aca="false">$A9*Impact!$B$9*7*Impact!$B$11*(1+Impact!$B$12)</f>
        <v>585.144</v>
      </c>
    </row>
    <row r="10" customFormat="false" ht="15" hidden="false" customHeight="false" outlineLevel="0" collapsed="false">
      <c r="A10" s="27" t="n">
        <v>17.4</v>
      </c>
      <c r="B10" s="19" t="n">
        <f aca="false">$A10*Impact!$B$9*3*Impact!$B$11*(1+Impact!$B$12)</f>
        <v>290.90016</v>
      </c>
      <c r="C10" s="19" t="n">
        <f aca="false">$A10*Impact!$B$9*4*Impact!$B$11*(1+Impact!$B$12)</f>
        <v>387.86688</v>
      </c>
      <c r="D10" s="16" t="n">
        <f aca="false">$A10*Impact!$B$9*5*Impact!$B$11*(1+Impact!$B$12)</f>
        <v>484.8336</v>
      </c>
      <c r="E10" s="19" t="n">
        <f aca="false">$A10*Impact!$B$9*6*Impact!$B$11*(1+Impact!$B$12)</f>
        <v>581.80032</v>
      </c>
      <c r="F10" s="19" t="n">
        <f aca="false">$A10*Impact!$B$9*7*Impact!$B$11*(1+Impact!$B$12)</f>
        <v>678.76704</v>
      </c>
    </row>
    <row r="11" customFormat="false" ht="15" hidden="false" customHeight="false" outlineLevel="0" collapsed="false">
      <c r="A11" s="27" t="n">
        <v>20</v>
      </c>
      <c r="B11" s="19" t="n">
        <f aca="false">$A11*Impact!$B$9*3*Impact!$B$11*(1+Impact!$B$12)</f>
        <v>334.368</v>
      </c>
      <c r="C11" s="19" t="n">
        <f aca="false">$A11*Impact!$B$9*4*Impact!$B$11*(1+Impact!$B$12)</f>
        <v>445.824</v>
      </c>
      <c r="D11" s="19" t="n">
        <f aca="false">$A11*Impact!$B$9*5*Impact!$B$11*(1+Impact!$B$12)</f>
        <v>557.28</v>
      </c>
      <c r="E11" s="19" t="n">
        <f aca="false">$A11*Impact!$B$9*6*Impact!$B$11*(1+Impact!$B$12)</f>
        <v>668.736</v>
      </c>
      <c r="F11" s="19" t="n">
        <f aca="false">$A11*Impact!$B$9*7*Impact!$B$11*(1+Impact!$B$12)</f>
        <v>780.192</v>
      </c>
    </row>
    <row r="12" customFormat="false" ht="15" hidden="false" customHeight="false" outlineLevel="0" collapsed="false">
      <c r="A12" s="27" t="n">
        <v>25</v>
      </c>
      <c r="B12" s="19" t="n">
        <f aca="false">$A12*Impact!$B$9*3*Impact!$B$11*(1+Impact!$B$12)</f>
        <v>417.96</v>
      </c>
      <c r="C12" s="19" t="n">
        <f aca="false">$A12*Impact!$B$9*4*Impact!$B$11*(1+Impact!$B$12)</f>
        <v>557.28</v>
      </c>
      <c r="D12" s="19" t="n">
        <f aca="false">$A12*Impact!$B$9*5*Impact!$B$11*(1+Impact!$B$12)</f>
        <v>696.6</v>
      </c>
      <c r="E12" s="19" t="n">
        <f aca="false">$A12*Impact!$B$9*6*Impact!$B$11*(1+Impact!$B$12)</f>
        <v>835.92</v>
      </c>
      <c r="F12" s="19" t="n">
        <f aca="false">$A12*Impact!$B$9*7*Impact!$B$11*(1+Impact!$B$12)</f>
        <v>975.24</v>
      </c>
    </row>
    <row r="13" customFormat="false" ht="15" hidden="false" customHeight="false" outlineLevel="0" collapsed="false">
      <c r="A13" s="27" t="n">
        <v>35</v>
      </c>
      <c r="B13" s="19" t="n">
        <f aca="false">$A13*Impact!$B$9*3*Impact!$B$11*(1+Impact!$B$12)</f>
        <v>585.144</v>
      </c>
      <c r="C13" s="19" t="n">
        <f aca="false">$A13*Impact!$B$9*4*Impact!$B$11*(1+Impact!$B$12)</f>
        <v>780.192</v>
      </c>
      <c r="D13" s="19" t="n">
        <f aca="false">$A13*Impact!$B$9*5*Impact!$B$11*(1+Impact!$B$12)</f>
        <v>975.24</v>
      </c>
      <c r="E13" s="19" t="n">
        <f aca="false">$A13*Impact!$B$9*6*Impact!$B$11*(1+Impact!$B$12)</f>
        <v>1170.288</v>
      </c>
      <c r="F13" s="19" t="n">
        <f aca="false">$A13*Impact!$B$9*7*Impact!$B$11*(1+Impact!$B$12)</f>
        <v>1365.336</v>
      </c>
    </row>
    <row r="16" customFormat="false" ht="15" hidden="false" customHeight="false" outlineLevel="0" collapsed="false">
      <c r="A16" s="25" t="s">
        <v>57</v>
      </c>
      <c r="B16" s="25"/>
      <c r="C16" s="25"/>
      <c r="D16" s="25"/>
      <c r="E16" s="25"/>
      <c r="F16" s="25"/>
      <c r="G16" s="25"/>
      <c r="H16" s="25"/>
    </row>
    <row r="17" customFormat="false" ht="15" hidden="false" customHeight="false" outlineLevel="0" collapsed="false">
      <c r="A17" s="2" t="s">
        <v>58</v>
      </c>
      <c r="B17" s="2"/>
      <c r="C17" s="2"/>
      <c r="D17" s="2"/>
      <c r="E17" s="2"/>
      <c r="F17" s="2"/>
      <c r="G17" s="2"/>
      <c r="H17" s="2"/>
    </row>
    <row r="19" customFormat="false" ht="15" hidden="false" customHeight="false" outlineLevel="0" collapsed="false">
      <c r="A19" s="26" t="s">
        <v>59</v>
      </c>
      <c r="B19" s="28" t="n">
        <v>1</v>
      </c>
      <c r="C19" s="28" t="n">
        <v>1.5</v>
      </c>
      <c r="D19" s="28" t="n">
        <v>2</v>
      </c>
      <c r="E19" s="28" t="n">
        <v>2.5</v>
      </c>
      <c r="F19" s="28" t="n">
        <v>3</v>
      </c>
    </row>
    <row r="20" customFormat="false" ht="15" hidden="false" customHeight="false" outlineLevel="0" collapsed="false">
      <c r="A20" s="27" t="n">
        <v>10</v>
      </c>
      <c r="B20" s="19" t="n">
        <f aca="false">$A20*Impact!$B$9*Impact!$B$10*1*(1+Impact!$B$12)</f>
        <v>92.88</v>
      </c>
      <c r="C20" s="19" t="n">
        <f aca="false">$A20*Impact!$B$9*Impact!$B$10*1.5*(1+Impact!$B$12)</f>
        <v>139.32</v>
      </c>
      <c r="D20" s="19" t="n">
        <f aca="false">$A20*Impact!$B$9*Impact!$B$10*2*(1+Impact!$B$12)</f>
        <v>185.76</v>
      </c>
      <c r="E20" s="19" t="n">
        <f aca="false">$A20*Impact!$B$9*Impact!$B$10*2.5*(1+Impact!$B$12)</f>
        <v>232.2</v>
      </c>
      <c r="F20" s="19" t="n">
        <f aca="false">$A20*Impact!$B$9*Impact!$B$10*3*(1+Impact!$B$12)</f>
        <v>278.64</v>
      </c>
    </row>
    <row r="21" customFormat="false" ht="15" hidden="false" customHeight="false" outlineLevel="0" collapsed="false">
      <c r="A21" s="27" t="n">
        <v>15</v>
      </c>
      <c r="B21" s="19" t="n">
        <f aca="false">$A21*Impact!$B$9*Impact!$B$10*1*(1+Impact!$B$12)</f>
        <v>139.32</v>
      </c>
      <c r="C21" s="19" t="n">
        <f aca="false">$A21*Impact!$B$9*Impact!$B$10*1.5*(1+Impact!$B$12)</f>
        <v>208.98</v>
      </c>
      <c r="D21" s="19" t="n">
        <f aca="false">$A21*Impact!$B$9*Impact!$B$10*2*(1+Impact!$B$12)</f>
        <v>278.64</v>
      </c>
      <c r="E21" s="19" t="n">
        <f aca="false">$A21*Impact!$B$9*Impact!$B$10*2.5*(1+Impact!$B$12)</f>
        <v>348.3</v>
      </c>
      <c r="F21" s="19" t="n">
        <f aca="false">$A21*Impact!$B$9*Impact!$B$10*3*(1+Impact!$B$12)</f>
        <v>417.96</v>
      </c>
    </row>
    <row r="22" customFormat="false" ht="15" hidden="false" customHeight="false" outlineLevel="0" collapsed="false">
      <c r="A22" s="27" t="n">
        <v>17.4</v>
      </c>
      <c r="B22" s="19" t="n">
        <f aca="false">$A22*Impact!$B$9*Impact!$B$10*1*(1+Impact!$B$12)</f>
        <v>161.6112</v>
      </c>
      <c r="C22" s="19" t="n">
        <f aca="false">$A22*Impact!$B$9*Impact!$B$10*1.5*(1+Impact!$B$12)</f>
        <v>242.4168</v>
      </c>
      <c r="D22" s="19" t="n">
        <f aca="false">$A22*Impact!$B$9*Impact!$B$10*2*(1+Impact!$B$12)</f>
        <v>323.2224</v>
      </c>
      <c r="E22" s="19" t="n">
        <f aca="false">$A22*Impact!$B$9*Impact!$B$10*2.5*(1+Impact!$B$12)</f>
        <v>404.028</v>
      </c>
      <c r="F22" s="16" t="n">
        <f aca="false">$A22*Impact!$B$9*Impact!$B$10*3*(1+Impact!$B$12)</f>
        <v>484.8336</v>
      </c>
    </row>
    <row r="23" customFormat="false" ht="15" hidden="false" customHeight="false" outlineLevel="0" collapsed="false">
      <c r="A23" s="27" t="n">
        <v>20</v>
      </c>
      <c r="B23" s="19" t="n">
        <f aca="false">$A23*Impact!$B$9*Impact!$B$10*1*(1+Impact!$B$12)</f>
        <v>185.76</v>
      </c>
      <c r="C23" s="19" t="n">
        <f aca="false">$A23*Impact!$B$9*Impact!$B$10*1.5*(1+Impact!$B$12)</f>
        <v>278.64</v>
      </c>
      <c r="D23" s="19" t="n">
        <f aca="false">$A23*Impact!$B$9*Impact!$B$10*2*(1+Impact!$B$12)</f>
        <v>371.52</v>
      </c>
      <c r="E23" s="19" t="n">
        <f aca="false">$A23*Impact!$B$9*Impact!$B$10*2.5*(1+Impact!$B$12)</f>
        <v>464.4</v>
      </c>
      <c r="F23" s="19" t="n">
        <f aca="false">$A23*Impact!$B$9*Impact!$B$10*3*(1+Impact!$B$12)</f>
        <v>557.28</v>
      </c>
    </row>
    <row r="24" customFormat="false" ht="15" hidden="false" customHeight="false" outlineLevel="0" collapsed="false">
      <c r="A24" s="27" t="n">
        <v>25</v>
      </c>
      <c r="B24" s="19" t="n">
        <f aca="false">$A24*Impact!$B$9*Impact!$B$10*1*(1+Impact!$B$12)</f>
        <v>232.2</v>
      </c>
      <c r="C24" s="19" t="n">
        <f aca="false">$A24*Impact!$B$9*Impact!$B$10*1.5*(1+Impact!$B$12)</f>
        <v>348.3</v>
      </c>
      <c r="D24" s="19" t="n">
        <f aca="false">$A24*Impact!$B$9*Impact!$B$10*2*(1+Impact!$B$12)</f>
        <v>464.4</v>
      </c>
      <c r="E24" s="19" t="n">
        <f aca="false">$A24*Impact!$B$9*Impact!$B$10*2.5*(1+Impact!$B$12)</f>
        <v>580.5</v>
      </c>
      <c r="F24" s="19" t="n">
        <f aca="false">$A24*Impact!$B$9*Impact!$B$10*3*(1+Impact!$B$12)</f>
        <v>696.6</v>
      </c>
    </row>
    <row r="25" customFormat="false" ht="15" hidden="false" customHeight="false" outlineLevel="0" collapsed="false">
      <c r="A25" s="27" t="n">
        <v>35</v>
      </c>
      <c r="B25" s="19" t="n">
        <f aca="false">$A25*Impact!$B$9*Impact!$B$10*1*(1+Impact!$B$12)</f>
        <v>325.08</v>
      </c>
      <c r="C25" s="19" t="n">
        <f aca="false">$A25*Impact!$B$9*Impact!$B$10*1.5*(1+Impact!$B$12)</f>
        <v>487.62</v>
      </c>
      <c r="D25" s="19" t="n">
        <f aca="false">$A25*Impact!$B$9*Impact!$B$10*2*(1+Impact!$B$12)</f>
        <v>650.16</v>
      </c>
      <c r="E25" s="19" t="n">
        <f aca="false">$A25*Impact!$B$9*Impact!$B$10*2.5*(1+Impact!$B$12)</f>
        <v>812.7</v>
      </c>
      <c r="F25" s="19" t="n">
        <f aca="false">$A25*Impact!$B$9*Impact!$B$10*3*(1+Impact!$B$12)</f>
        <v>975.24</v>
      </c>
    </row>
    <row r="28" customFormat="false" ht="15" hidden="false" customHeight="false" outlineLevel="0" collapsed="false">
      <c r="A28" s="25" t="s">
        <v>60</v>
      </c>
      <c r="B28" s="25"/>
      <c r="C28" s="25"/>
      <c r="D28" s="25"/>
      <c r="E28" s="25"/>
      <c r="F28" s="25"/>
      <c r="G28" s="25"/>
      <c r="H28" s="25"/>
    </row>
    <row r="29" customFormat="false" ht="15" hidden="false" customHeight="false" outlineLevel="0" collapsed="false">
      <c r="A29" s="2" t="s">
        <v>61</v>
      </c>
      <c r="B29" s="2"/>
      <c r="C29" s="2"/>
      <c r="D29" s="2"/>
      <c r="E29" s="2"/>
      <c r="F29" s="2"/>
      <c r="G29" s="2"/>
      <c r="H29" s="2"/>
    </row>
    <row r="31" customFormat="false" ht="15" hidden="false" customHeight="false" outlineLevel="0" collapsed="false">
      <c r="A31" s="26" t="s">
        <v>56</v>
      </c>
      <c r="B31" s="26" t="n">
        <v>3</v>
      </c>
      <c r="C31" s="26" t="n">
        <v>4</v>
      </c>
      <c r="D31" s="26" t="n">
        <v>5</v>
      </c>
      <c r="E31" s="26" t="n">
        <v>6</v>
      </c>
      <c r="F31" s="26" t="n">
        <v>7</v>
      </c>
    </row>
    <row r="32" customFormat="false" ht="15" hidden="false" customHeight="false" outlineLevel="0" collapsed="false">
      <c r="A32" s="27" t="n">
        <v>10</v>
      </c>
      <c r="B32" s="19" t="n">
        <f aca="false">MAX(0,$A32*Impact!$B$9*3*Impact!$B$11*(1+Impact!$B$12)-Impact!$B$13)</f>
        <v>0</v>
      </c>
      <c r="C32" s="19" t="n">
        <f aca="false">MAX(0,$A32*Impact!$B$9*4*Impact!$B$11*(1+Impact!$B$12)-Impact!$B$13)</f>
        <v>0</v>
      </c>
      <c r="D32" s="19" t="n">
        <f aca="false">MAX(0,$A32*Impact!$B$9*5*Impact!$B$11*(1+Impact!$B$12)-Impact!$B$13)</f>
        <v>0</v>
      </c>
      <c r="E32" s="19" t="n">
        <f aca="false">MAX(0,$A32*Impact!$B$9*6*Impact!$B$11*(1+Impact!$B$12)-Impact!$B$13)</f>
        <v>54.368</v>
      </c>
      <c r="F32" s="19" t="n">
        <f aca="false">MAX(0,$A32*Impact!$B$9*7*Impact!$B$11*(1+Impact!$B$12)-Impact!$B$13)</f>
        <v>110.096</v>
      </c>
    </row>
    <row r="33" customFormat="false" ht="15" hidden="false" customHeight="false" outlineLevel="0" collapsed="false">
      <c r="A33" s="27" t="n">
        <v>15</v>
      </c>
      <c r="B33" s="19" t="n">
        <f aca="false">MAX(0,$A33*Impact!$B$9*3*Impact!$B$11*(1+Impact!$B$12)-Impact!$B$13)</f>
        <v>0</v>
      </c>
      <c r="C33" s="19" t="n">
        <f aca="false">MAX(0,$A33*Impact!$B$9*4*Impact!$B$11*(1+Impact!$B$12)-Impact!$B$13)</f>
        <v>54.3680000000001</v>
      </c>
      <c r="D33" s="19" t="n">
        <f aca="false">MAX(0,$A33*Impact!$B$9*5*Impact!$B$11*(1+Impact!$B$12)-Impact!$B$13)</f>
        <v>137.96</v>
      </c>
      <c r="E33" s="19" t="n">
        <f aca="false">MAX(0,$A33*Impact!$B$9*6*Impact!$B$11*(1+Impact!$B$12)-Impact!$B$13)</f>
        <v>221.552</v>
      </c>
      <c r="F33" s="19" t="n">
        <f aca="false">MAX(0,$A33*Impact!$B$9*7*Impact!$B$11*(1+Impact!$B$12)-Impact!$B$13)</f>
        <v>305.144</v>
      </c>
    </row>
    <row r="34" customFormat="false" ht="15" hidden="false" customHeight="false" outlineLevel="0" collapsed="false">
      <c r="A34" s="27" t="n">
        <v>17.4</v>
      </c>
      <c r="B34" s="19" t="n">
        <f aca="false">MAX(0,$A34*Impact!$B$9*3*Impact!$B$11*(1+Impact!$B$12)-Impact!$B$13)</f>
        <v>10.90016</v>
      </c>
      <c r="C34" s="19" t="n">
        <f aca="false">MAX(0,$A34*Impact!$B$9*4*Impact!$B$11*(1+Impact!$B$12)-Impact!$B$13)</f>
        <v>107.86688</v>
      </c>
      <c r="D34" s="16" t="n">
        <f aca="false">MAX(0,$A34*Impact!$B$9*5*Impact!$B$11*(1+Impact!$B$12)-Impact!$B$13)</f>
        <v>204.8336</v>
      </c>
      <c r="E34" s="19" t="n">
        <f aca="false">MAX(0,$A34*Impact!$B$9*6*Impact!$B$11*(1+Impact!$B$12)-Impact!$B$13)</f>
        <v>301.80032</v>
      </c>
      <c r="F34" s="19" t="n">
        <f aca="false">MAX(0,$A34*Impact!$B$9*7*Impact!$B$11*(1+Impact!$B$12)-Impact!$B$13)</f>
        <v>398.76704</v>
      </c>
    </row>
    <row r="35" customFormat="false" ht="15" hidden="false" customHeight="false" outlineLevel="0" collapsed="false">
      <c r="A35" s="27" t="n">
        <v>20</v>
      </c>
      <c r="B35" s="19" t="n">
        <f aca="false">MAX(0,$A35*Impact!$B$9*3*Impact!$B$11*(1+Impact!$B$12)-Impact!$B$13)</f>
        <v>54.368</v>
      </c>
      <c r="C35" s="19" t="n">
        <f aca="false">MAX(0,$A35*Impact!$B$9*4*Impact!$B$11*(1+Impact!$B$12)-Impact!$B$13)</f>
        <v>165.824</v>
      </c>
      <c r="D35" s="19" t="n">
        <f aca="false">MAX(0,$A35*Impact!$B$9*5*Impact!$B$11*(1+Impact!$B$12)-Impact!$B$13)</f>
        <v>277.28</v>
      </c>
      <c r="E35" s="19" t="n">
        <f aca="false">MAX(0,$A35*Impact!$B$9*6*Impact!$B$11*(1+Impact!$B$12)-Impact!$B$13)</f>
        <v>388.736</v>
      </c>
      <c r="F35" s="19" t="n">
        <f aca="false">MAX(0,$A35*Impact!$B$9*7*Impact!$B$11*(1+Impact!$B$12)-Impact!$B$13)</f>
        <v>500.192</v>
      </c>
    </row>
    <row r="36" customFormat="false" ht="15" hidden="false" customHeight="false" outlineLevel="0" collapsed="false">
      <c r="A36" s="27" t="n">
        <v>25</v>
      </c>
      <c r="B36" s="19" t="n">
        <f aca="false">MAX(0,$A36*Impact!$B$9*3*Impact!$B$11*(1+Impact!$B$12)-Impact!$B$13)</f>
        <v>137.96</v>
      </c>
      <c r="C36" s="19" t="n">
        <f aca="false">MAX(0,$A36*Impact!$B$9*4*Impact!$B$11*(1+Impact!$B$12)-Impact!$B$13)</f>
        <v>277.28</v>
      </c>
      <c r="D36" s="19" t="n">
        <f aca="false">MAX(0,$A36*Impact!$B$9*5*Impact!$B$11*(1+Impact!$B$12)-Impact!$B$13)</f>
        <v>416.6</v>
      </c>
      <c r="E36" s="19" t="n">
        <f aca="false">MAX(0,$A36*Impact!$B$9*6*Impact!$B$11*(1+Impact!$B$12)-Impact!$B$13)</f>
        <v>555.92</v>
      </c>
      <c r="F36" s="19" t="n">
        <f aca="false">MAX(0,$A36*Impact!$B$9*7*Impact!$B$11*(1+Impact!$B$12)-Impact!$B$13)</f>
        <v>695.24</v>
      </c>
    </row>
    <row r="37" customFormat="false" ht="15" hidden="false" customHeight="false" outlineLevel="0" collapsed="false">
      <c r="A37" s="27" t="n">
        <v>35</v>
      </c>
      <c r="B37" s="19" t="n">
        <f aca="false">MAX(0,$A37*Impact!$B$9*3*Impact!$B$11*(1+Impact!$B$12)-Impact!$B$13)</f>
        <v>305.144</v>
      </c>
      <c r="C37" s="19" t="n">
        <f aca="false">MAX(0,$A37*Impact!$B$9*4*Impact!$B$11*(1+Impact!$B$12)-Impact!$B$13)</f>
        <v>500.192</v>
      </c>
      <c r="D37" s="19" t="n">
        <f aca="false">MAX(0,$A37*Impact!$B$9*5*Impact!$B$11*(1+Impact!$B$12)-Impact!$B$13)</f>
        <v>695.24</v>
      </c>
      <c r="E37" s="19" t="n">
        <f aca="false">MAX(0,$A37*Impact!$B$9*6*Impact!$B$11*(1+Impact!$B$12)-Impact!$B$13)</f>
        <v>890.288</v>
      </c>
      <c r="F37" s="19" t="n">
        <f aca="false">MAX(0,$A37*Impact!$B$9*7*Impact!$B$11*(1+Impact!$B$12)-Impact!$B$13)</f>
        <v>1085.336</v>
      </c>
    </row>
    <row r="40" customFormat="false" ht="15" hidden="false" customHeight="false" outlineLevel="0" collapsed="false">
      <c r="A40" s="2" t="s">
        <v>62</v>
      </c>
      <c r="B40" s="2"/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A41" s="2" t="s">
        <v>63</v>
      </c>
      <c r="B41" s="2"/>
      <c r="C41" s="2"/>
      <c r="D41" s="2"/>
      <c r="E41" s="2"/>
      <c r="F41" s="2"/>
      <c r="G41" s="2"/>
      <c r="H41" s="2"/>
    </row>
  </sheetData>
  <mergeCells count="10">
    <mergeCell ref="A1:H1"/>
    <mergeCell ref="A2:H2"/>
    <mergeCell ref="A4:H4"/>
    <mergeCell ref="A5:H5"/>
    <mergeCell ref="A16:H16"/>
    <mergeCell ref="A17:H17"/>
    <mergeCell ref="A28:H28"/>
    <mergeCell ref="A29:H29"/>
    <mergeCell ref="A40:H40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2026-04-15T22:31:47Z</dcterms:created>
  <dc:creator>openpyxl</dc:creator>
  <dc:description/>
  <dc:language>en-US</dc:language>
  <cp:lastModifiedBy/>
  <dcterms:modified xsi:type="dcterms:W3CDTF">2026-04-15T22:31:47Z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