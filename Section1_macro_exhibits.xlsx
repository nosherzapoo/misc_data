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Ex1 Macro K" sheetId="2" state="visible" r:id="rId4"/>
    <sheet name="Ex2 Tier Share" sheetId="3" state="visible" r:id="rId5"/>
    <sheet name="Ex3 Sell-throug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<sst xmlns="http://schemas.openxmlformats.org/spreadsheetml/2006/main" count="54" uniqueCount="48">
  <si>
    <t xml:space="preserve">Section 1 — The Macro Backdrop: Exhibits</t>
  </si>
  <si>
    <t xml:space="preserve">US Live Entertainment K-Shaped note | supporting exhibits for the intro section</t>
  </si>
  <si>
    <t xml:space="preserve">Prepared 1 Jul 2026 | Bernstein analysis</t>
  </si>
  <si>
    <t xml:space="preserve">EXHIBITS IN THIS WORKBOOK</t>
  </si>
  <si>
    <t xml:space="preserve">Exhibit 1</t>
  </si>
  <si>
    <t xml:space="preserve">The K-shaped consumer: spend, wealth and credit divergence by income</t>
  </si>
  <si>
    <t xml:space="preserve">Tab 'Ex1 Macro K'</t>
  </si>
  <si>
    <t xml:space="preserve">Exhibit 2</t>
  </si>
  <si>
    <t xml:space="preserve">Live is concentrating: the top 1% of shows is taking share from the middle</t>
  </si>
  <si>
    <t xml:space="preserve">Tab 'Ex2 Tier Share'</t>
  </si>
  <si>
    <t xml:space="preserve">Exhibit 3</t>
  </si>
  <si>
    <t xml:space="preserve">The top is sold out; the middle has empty seats (capacity by tier)</t>
  </si>
  <si>
    <t xml:space="preserve">Tab 'Ex3 Sell-through'</t>
  </si>
  <si>
    <t xml:space="preserve">Exhibit 1: The US consumer is splitting in two, and the split is widest in live</t>
  </si>
  <si>
    <t xml:space="preserve">Spend, wealth and credit by income / wealth cohort. Government-sourced.</t>
  </si>
  <si>
    <t xml:space="preserve">A. Entertainment spend by income quintile (BLS CEX)</t>
  </si>
  <si>
    <t xml:space="preserve">Metric</t>
  </si>
  <si>
    <t xml:space="preserve">Lowest 20%</t>
  </si>
  <si>
    <t xml:space="preserve">Highest 20%</t>
  </si>
  <si>
    <t xml:space="preserve">Top / bottom</t>
  </si>
  <si>
    <t xml:space="preserve">Total annual spend, 2024 ($)</t>
  </si>
  <si>
    <t xml:space="preserve">Entertainment: fees &amp; admissions ($)</t>
  </si>
  <si>
    <t xml:space="preserve">The top quintile out-spends the bottom ~4x on total spending but ~12x on entertainment fees and admissions.</t>
  </si>
  <si>
    <t xml:space="preserve">B. Share of US household net worth (Fed DFA, 2025 Q2)</t>
  </si>
  <si>
    <t xml:space="preserve">Cohort</t>
  </si>
  <si>
    <t xml:space="preserve">Share</t>
  </si>
  <si>
    <t xml:space="preserve">Top 1%</t>
  </si>
  <si>
    <t xml:space="preserve">Top 10%</t>
  </si>
  <si>
    <t xml:space="preserve">Bottom 50%</t>
  </si>
  <si>
    <t xml:space="preserve">C. 90+ day mortgage delinquency by area income (NY Fed)</t>
  </si>
  <si>
    <t xml:space="preserve">Income group</t>
  </si>
  <si>
    <t xml:space="preserve">~2021</t>
  </si>
  <si>
    <t xml:space="preserve">Late 2025</t>
  </si>
  <si>
    <t xml:space="preserve">Lowest-income areas</t>
  </si>
  <si>
    <t xml:space="preserve">Highest-income areas</t>
  </si>
  <si>
    <t xml:space="preserve">Source: BLS Consumer Expenditure Survey (2024; fees &amp; admissions by quintile 2020 detail); Fed Distributional Financial Accounts (2025 Q2); NY Fed Liberty Street Economics (Feb 2026). Bernstein analysis. Note: fees &amp; admissions ~12x gap is directional (BLS flags high relative standard errors on detailed subcategories).</t>
  </si>
  <si>
    <t xml:space="preserve">Exhibit 2: Live is concentrating, the top 1% of shows is taking share from the middle</t>
  </si>
  <si>
    <t xml:space="preserve">Share of total US live gross by within-year gross tier, 2019–25.</t>
  </si>
  <si>
    <t xml:space="preserve">Gross share (%)</t>
  </si>
  <si>
    <t xml:space="preserve">Top 2–5%</t>
  </si>
  <si>
    <t xml:space="preserve">Mid (6–50%)</t>
  </si>
  <si>
    <t xml:space="preserve">The top 1% of shows lifted its share of total gross from 24.9% to 33.1% (+8.2pp) since 2019, while the mid-tier (6–50%) fell from 42.0% to 38.8%. Top-10 headliners' share of US gross rose from 14.5% to 19.3% over the same period.</t>
  </si>
  <si>
    <t xml:space="preserve">Source: Pollstar event-level box-office data (US, n=196,180 events, 2019–25); within-year tiers ranked by gross. Bernstein analysis. Note: 2020–21 (COVID) thin-sample; anchor on 2019 vs 2023–25.</t>
  </si>
  <si>
    <t xml:space="preserve">Exhibit 3: The top is sold out; the middle has empty seats</t>
  </si>
  <si>
    <t xml:space="preserve">US live shows: capacity sold (%) by within-year gross tier, 2019–25.</t>
  </si>
  <si>
    <t xml:space="preserve">Capacity sold (%)</t>
  </si>
  <si>
    <t xml:space="preserve">The top 1% of shows sells at 96–99% of capacity and rising; the mid-tier is flat near 80%; the bottom half fell to ~61%. The premium tier is capacity-constrained, so it can take price. The middle has slack, so it cannot.</t>
  </si>
  <si>
    <t xml:space="preserve">Source: Pollstar event-level box-office data (US, n=196,180 events, 2019–25); within-year tiers ranked by gross; capacity sold capped at 100%. Bernstein analysis. Note: 2020–21 (COVID) thin-sample; anchor on 2019 vs 2023–25.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</si>
</sst>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\x"/>
    <numFmt numFmtId="167" formatCode="0.0%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2E5496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6E0F0"/>
        <bgColor rgb="FFD9D9D9"/>
      </patternFill>
    </fill>
    <fill>
      <patternFill patternType="solid">
        <fgColor rgb="FFE2EFDA"/>
        <bgColor rgb="FFD6E0F0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US live gross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'Ex2 Tier Share'!B6</c:f>
              <c:strCache>
                <c:ptCount val="1"/>
                <c:pt idx="0">
                  <c:v>Top 1%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'Ex2 Tier Share'!$C$5:$I$5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'Ex2 Tier Share'!$C$6:$I$6</c:f>
              <c:numCache>
                <c:formatCode>0%</c:formatCode>
                <c:ptCount val="7"/>
                <c:pt idx="0">
                  <c:v>0.249</c:v>
                </c:pt>
                <c:pt idx="1">
                  <c:v>0.27</c:v>
                </c:pt>
                <c:pt idx="2">
                  <c:v>0.282</c:v>
                </c:pt>
                <c:pt idx="3">
                  <c:v>0.296</c:v>
                </c:pt>
                <c:pt idx="4">
                  <c:v>0.308</c:v>
                </c:pt>
                <c:pt idx="5">
                  <c:v>0.281</c:v>
                </c:pt>
                <c:pt idx="6">
                  <c:v>0.331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'Ex2 Tier Share'!B7</c:f>
              <c:strCache>
                <c:ptCount val="1"/>
                <c:pt idx="0">
                  <c:v>Top 2–5%</c:v>
                </c:pt>
              </c:strCache>
            </c:strRef>
          </c:tx>
          <c:spPr>
            <a:solidFill>
              <a:srgbClr val="9dc3e6"/>
            </a:solidFill>
            <a:ln w="158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'Ex2 Tier Share'!$C$5:$I$5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'Ex2 Tier Share'!$C$7:$I$7</c:f>
              <c:numCache>
                <c:formatCode>0%</c:formatCode>
                <c:ptCount val="7"/>
                <c:pt idx="0">
                  <c:v>0.308</c:v>
                </c:pt>
                <c:pt idx="1">
                  <c:v>0.337</c:v>
                </c:pt>
                <c:pt idx="2">
                  <c:v>0.278</c:v>
                </c:pt>
                <c:pt idx="3">
                  <c:v>0.281</c:v>
                </c:pt>
                <c:pt idx="4">
                  <c:v>0.262</c:v>
                </c:pt>
                <c:pt idx="5">
                  <c:v>0.28</c:v>
                </c:pt>
                <c:pt idx="6">
                  <c:v>0.26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'Ex2 Tier Share'!B8</c:f>
              <c:strCache>
                <c:ptCount val="1"/>
                <c:pt idx="0">
                  <c:v>Mid (6–50%)</c:v>
                </c:pt>
              </c:strCache>
            </c:strRef>
          </c:tx>
          <c:spPr>
            <a:solidFill>
              <a:srgbClr val="bfbfbf"/>
            </a:solidFill>
            <a:ln w="1584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'Ex2 Tier Share'!$C$5:$I$5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'Ex2 Tier Share'!$C$8:$I$8</c:f>
              <c:numCache>
                <c:formatCode>0%</c:formatCode>
                <c:ptCount val="7"/>
                <c:pt idx="0">
                  <c:v>0.42</c:v>
                </c:pt>
                <c:pt idx="1">
                  <c:v>0.366</c:v>
                </c:pt>
                <c:pt idx="2">
                  <c:v>0.415</c:v>
                </c:pt>
                <c:pt idx="3">
                  <c:v>0.4</c:v>
                </c:pt>
                <c:pt idx="4">
                  <c:v>0.407</c:v>
                </c:pt>
                <c:pt idx="5">
                  <c:v>0.417</c:v>
                </c:pt>
                <c:pt idx="6">
                  <c:v>0.388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'Ex2 Tier Share'!B9</c:f>
              <c:strCache>
                <c:ptCount val="1"/>
                <c:pt idx="0">
                  <c:v>Bottom 50%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'Ex2 Tier Share'!$C$5:$I$5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'Ex2 Tier Share'!$C$9:$I$9</c:f>
              <c:numCache>
                <c:formatCode>0%</c:formatCode>
                <c:ptCount val="7"/>
                <c:pt idx="0">
                  <c:v>0.023</c:v>
                </c:pt>
                <c:pt idx="1">
                  <c:v>0.028</c:v>
                </c:pt>
                <c:pt idx="2">
                  <c:v>0.025</c:v>
                </c:pt>
                <c:pt idx="3">
                  <c:v>0.023</c:v>
                </c:pt>
                <c:pt idx="4">
                  <c:v>0.023</c:v>
                </c:pt>
                <c:pt idx="5">
                  <c:v>0.023</c:v>
                </c:pt>
                <c:pt idx="6">
                  <c:v>0.021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440814"/>
        <c:axId val="96864372"/>
      </c:lineChart>
      <c:catAx>
        <c:axId val="91440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64372"/>
        <c:crosses val="autoZero"/>
        <c:auto val="1"/>
        <c:lblAlgn val="ctr"/>
        <c:lblOffset val="100"/>
        <c:noMultiLvlLbl val="0"/>
      </c:catAx>
      <c:valAx>
        <c:axId val="96864372"/>
        <c:scaling>
          <c:orientation val="minMax"/>
          <c:max val="0.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40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sold (%) by gross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'Ex3 Sell-through'!B6</c:f>
              <c:strCache>
                <c:ptCount val="1"/>
                <c:pt idx="0">
                  <c:v>Top 1%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'Ex3 Sell-through'!$C$5:$I$5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'Ex3 Sell-through'!$C$6:$I$6</c:f>
              <c:numCache>
                <c:formatCode>0%</c:formatCode>
                <c:ptCount val="7"/>
                <c:pt idx="0">
                  <c:v>0.962</c:v>
                </c:pt>
                <c:pt idx="1">
                  <c:v>0.967</c:v>
                </c:pt>
                <c:pt idx="2">
                  <c:v>0.968</c:v>
                </c:pt>
                <c:pt idx="3">
                  <c:v>0.968</c:v>
                </c:pt>
                <c:pt idx="4">
                  <c:v>0.978</c:v>
                </c:pt>
                <c:pt idx="5">
                  <c:v>0.985</c:v>
                </c:pt>
                <c:pt idx="6">
                  <c:v>0.986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'Ex3 Sell-through'!B7</c:f>
              <c:strCache>
                <c:ptCount val="1"/>
                <c:pt idx="0">
                  <c:v>Top 2–5%</c:v>
                </c:pt>
              </c:strCache>
            </c:strRef>
          </c:tx>
          <c:spPr>
            <a:solidFill>
              <a:srgbClr val="9dc3e6"/>
            </a:solidFill>
            <a:ln w="158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'Ex3 Sell-through'!$C$5:$I$5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'Ex3 Sell-through'!$C$7:$I$7</c:f>
              <c:numCache>
                <c:formatCode>0%</c:formatCode>
                <c:ptCount val="7"/>
                <c:pt idx="0">
                  <c:v>0.932</c:v>
                </c:pt>
                <c:pt idx="1">
                  <c:v>0.892</c:v>
                </c:pt>
                <c:pt idx="2">
                  <c:v>0.906</c:v>
                </c:pt>
                <c:pt idx="3">
                  <c:v>0.942</c:v>
                </c:pt>
                <c:pt idx="4">
                  <c:v>0.951</c:v>
                </c:pt>
                <c:pt idx="5">
                  <c:v>0.953</c:v>
                </c:pt>
                <c:pt idx="6">
                  <c:v>0.95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'Ex3 Sell-through'!B8</c:f>
              <c:strCache>
                <c:ptCount val="1"/>
                <c:pt idx="0">
                  <c:v>Mid (6–50%)</c:v>
                </c:pt>
              </c:strCache>
            </c:strRef>
          </c:tx>
          <c:spPr>
            <a:solidFill>
              <a:srgbClr val="bfbfbf"/>
            </a:solidFill>
            <a:ln w="1584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'Ex3 Sell-through'!$C$5:$I$5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'Ex3 Sell-through'!$C$8:$I$8</c:f>
              <c:numCache>
                <c:formatCode>0%</c:formatCode>
                <c:ptCount val="7"/>
                <c:pt idx="0">
                  <c:v>0.808</c:v>
                </c:pt>
                <c:pt idx="1">
                  <c:v>0.817</c:v>
                </c:pt>
                <c:pt idx="2">
                  <c:v>0.798</c:v>
                </c:pt>
                <c:pt idx="3">
                  <c:v>0.803</c:v>
                </c:pt>
                <c:pt idx="4">
                  <c:v>0.832</c:v>
                </c:pt>
                <c:pt idx="5">
                  <c:v>0.809</c:v>
                </c:pt>
                <c:pt idx="6">
                  <c:v>0.804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'Ex3 Sell-through'!B9</c:f>
              <c:strCache>
                <c:ptCount val="1"/>
                <c:pt idx="0">
                  <c:v>Bottom 50%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'Ex3 Sell-through'!$C$5:$I$5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'Ex3 Sell-through'!$C$9:$I$9</c:f>
              <c:numCache>
                <c:formatCode>0%</c:formatCode>
                <c:ptCount val="7"/>
                <c:pt idx="0">
                  <c:v>0.633</c:v>
                </c:pt>
                <c:pt idx="1">
                  <c:v>0.664</c:v>
                </c:pt>
                <c:pt idx="2">
                  <c:v>0.622</c:v>
                </c:pt>
                <c:pt idx="3">
                  <c:v>0.614</c:v>
                </c:pt>
                <c:pt idx="4">
                  <c:v>0.638</c:v>
                </c:pt>
                <c:pt idx="5">
                  <c:v>0.624</c:v>
                </c:pt>
                <c:pt idx="6">
                  <c:v>0.614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039577"/>
        <c:axId val="98387753"/>
      </c:lineChart>
      <c:catAx>
        <c:axId val="280395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87753"/>
        <c:crosses val="autoZero"/>
        <c:auto val="1"/>
        <c:lblAlgn val="ctr"/>
        <c:lblOffset val="100"/>
        <c:noMultiLvlLbl val="0"/>
      </c:catAx>
      <c:valAx>
        <c:axId val="98387753"/>
        <c:scaling>
          <c:orientation val="minMax"/>
          <c:max val="1"/>
          <c:min val="0.5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39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35280</xdr:rowOff>
    </xdr:from>
    <xdr:to>
      <xdr:col>10</xdr:col>
      <xdr:colOff>213840</xdr:colOff>
      <xdr:row>31</xdr:row>
      <xdr:rowOff>15120</xdr:rowOff>
    </xdr:to>
    <xdr:graphicFrame>
      <xdr:nvGraphicFramePr>
        <xdr:cNvPr id="0" name="Chart 1"/>
        <xdr:cNvGraphicFramePr/>
      </xdr:nvGraphicFramePr>
      <xdr:xfrm>
        <a:off x="211320" y="2857680"/>
        <a:ext cx="68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182880</xdr:rowOff>
    </xdr:from>
    <xdr:to>
      <xdr:col>10</xdr:col>
      <xdr:colOff>213840</xdr:colOff>
      <xdr:row>32</xdr:row>
      <xdr:rowOff>163080</xdr:rowOff>
    </xdr:to>
    <xdr:graphicFrame>
      <xdr:nvGraphicFramePr>
        <xdr:cNvPr id="1" name="Chart 1"/>
        <xdr:cNvGraphicFramePr/>
      </xdr:nvGraphicFramePr>
      <xdr:xfrm>
        <a:off x="211320" y="2857680"/>
        <a:ext cx="68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5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5" t="s">
        <v>4</v>
      </c>
      <c r="C7" s="6" t="s">
        <v>5</v>
      </c>
      <c r="D7" s="6"/>
      <c r="E7" s="6"/>
      <c r="F7" s="6"/>
      <c r="G7" s="6"/>
      <c r="H7" s="7" t="s">
        <v>6</v>
      </c>
      <c r="I7" s="7"/>
    </row>
    <row r="8" customFormat="false" ht="1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  <c r="H8" s="7" t="s">
        <v>9</v>
      </c>
      <c r="I8" s="7"/>
    </row>
    <row r="9" customFormat="false" ht="15" hidden="false" customHeight="true" outlineLevel="0" collapsed="false">
      <c r="B9" s="5" t="s">
        <v>10</v>
      </c>
      <c r="C9" s="6" t="s">
        <v>11</v>
      </c>
      <c r="D9" s="6"/>
      <c r="E9" s="6"/>
      <c r="F9" s="6"/>
      <c r="G9" s="6"/>
      <c r="H9" s="7" t="s">
        <v>12</v>
      </c>
      <c r="I9" s="7"/>
    </row>
  </sheetData>
  <mergeCells count="10">
    <mergeCell ref="B2:I2"/>
    <mergeCell ref="B3:I3"/>
    <mergeCell ref="B4:I4"/>
    <mergeCell ref="B6:I6"/>
    <mergeCell ref="C7:G7"/>
    <mergeCell ref="H7:I7"/>
    <mergeCell ref="C8:G8"/>
    <mergeCell ref="H8:I8"/>
    <mergeCell ref="C9:G9"/>
    <mergeCell ref="H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7.35" hidden="false" customHeight="true" outlineLevel="0" collapsed="false">
      <c r="B2" s="8" t="s">
        <v>13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14</v>
      </c>
      <c r="C3" s="9"/>
      <c r="D3" s="9"/>
      <c r="E3" s="9"/>
      <c r="F3" s="9"/>
      <c r="G3" s="9"/>
      <c r="H3" s="9"/>
    </row>
    <row r="5" customFormat="false" ht="15" hidden="false" customHeight="false" outlineLevel="0" collapsed="false">
      <c r="B5" s="10" t="s">
        <v>15</v>
      </c>
    </row>
    <row r="6" customFormat="false" ht="15" hidden="false" customHeight="false" outlineLevel="0" collapsed="false">
      <c r="B6" s="11" t="s">
        <v>16</v>
      </c>
      <c r="C6" s="11" t="s">
        <v>17</v>
      </c>
      <c r="D6" s="11" t="s">
        <v>18</v>
      </c>
      <c r="E6" s="11" t="s">
        <v>19</v>
      </c>
    </row>
    <row r="7" customFormat="false" ht="15" hidden="false" customHeight="false" outlineLevel="0" collapsed="false">
      <c r="B7" s="12" t="s">
        <v>20</v>
      </c>
      <c r="C7" s="13" t="n">
        <v>35046</v>
      </c>
      <c r="D7" s="13" t="n">
        <v>150342</v>
      </c>
      <c r="E7" s="14" t="n">
        <f aca="false">D7/C7</f>
        <v>4.28984762883068</v>
      </c>
    </row>
    <row r="8" customFormat="false" ht="15" hidden="false" customHeight="false" outlineLevel="0" collapsed="false">
      <c r="B8" s="12" t="s">
        <v>21</v>
      </c>
      <c r="C8" s="13" t="n">
        <v>99</v>
      </c>
      <c r="D8" s="13" t="n">
        <v>1202</v>
      </c>
      <c r="E8" s="14" t="n">
        <f aca="false">D8/C8</f>
        <v>12.1414141414141</v>
      </c>
    </row>
    <row r="9" customFormat="false" ht="15" hidden="false" customHeight="true" outlineLevel="0" collapsed="false">
      <c r="B9" s="15" t="s">
        <v>22</v>
      </c>
      <c r="C9" s="15"/>
      <c r="D9" s="15"/>
      <c r="E9" s="15"/>
      <c r="F9" s="15"/>
      <c r="G9" s="15"/>
      <c r="H9" s="15"/>
    </row>
    <row r="11" customFormat="false" ht="15" hidden="false" customHeight="false" outlineLevel="0" collapsed="false">
      <c r="B11" s="10" t="s">
        <v>23</v>
      </c>
    </row>
    <row r="12" customFormat="false" ht="15" hidden="false" customHeight="false" outlineLevel="0" collapsed="false">
      <c r="B12" s="16" t="s">
        <v>24</v>
      </c>
      <c r="C12" s="16" t="s">
        <v>25</v>
      </c>
    </row>
    <row r="13" customFormat="false" ht="15" hidden="false" customHeight="false" outlineLevel="0" collapsed="false">
      <c r="B13" s="17" t="s">
        <v>26</v>
      </c>
      <c r="C13" s="18" t="n">
        <v>0.31</v>
      </c>
    </row>
    <row r="14" customFormat="false" ht="15" hidden="false" customHeight="false" outlineLevel="0" collapsed="false">
      <c r="B14" s="17" t="s">
        <v>27</v>
      </c>
      <c r="C14" s="18" t="n">
        <v>0.672</v>
      </c>
    </row>
    <row r="15" customFormat="false" ht="15" hidden="false" customHeight="false" outlineLevel="0" collapsed="false">
      <c r="B15" s="19" t="s">
        <v>28</v>
      </c>
      <c r="C15" s="20" t="n">
        <v>0.025</v>
      </c>
    </row>
    <row r="17" customFormat="false" ht="15" hidden="false" customHeight="false" outlineLevel="0" collapsed="false">
      <c r="B17" s="10" t="s">
        <v>29</v>
      </c>
    </row>
    <row r="18" customFormat="false" ht="15" hidden="false" customHeight="false" outlineLevel="0" collapsed="false">
      <c r="B18" s="16" t="s">
        <v>30</v>
      </c>
      <c r="C18" s="16" t="s">
        <v>31</v>
      </c>
      <c r="D18" s="16" t="s">
        <v>32</v>
      </c>
    </row>
    <row r="19" customFormat="false" ht="15" hidden="false" customHeight="false" outlineLevel="0" collapsed="false">
      <c r="B19" s="19" t="s">
        <v>33</v>
      </c>
      <c r="C19" s="20" t="n">
        <v>0.005</v>
      </c>
      <c r="D19" s="20" t="n">
        <v>0.03</v>
      </c>
    </row>
    <row r="20" customFormat="false" ht="15" hidden="false" customHeight="false" outlineLevel="0" collapsed="false">
      <c r="B20" s="17" t="s">
        <v>34</v>
      </c>
      <c r="C20" s="18" t="n">
        <v>0.005</v>
      </c>
      <c r="D20" s="18" t="n">
        <v>0.006</v>
      </c>
    </row>
    <row r="22" customFormat="false" ht="19.4" hidden="false" customHeight="true" outlineLevel="0" collapsed="false">
      <c r="B22" s="7" t="s">
        <v>35</v>
      </c>
      <c r="C22" s="7"/>
      <c r="D22" s="7"/>
      <c r="E22" s="7"/>
      <c r="F22" s="7"/>
      <c r="G22" s="7"/>
      <c r="H22" s="7"/>
    </row>
  </sheetData>
  <mergeCells count="4">
    <mergeCell ref="B2:H2"/>
    <mergeCell ref="B3:H3"/>
    <mergeCell ref="B9:H9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0" min="3" style="0" width="9"/>
  </cols>
  <sheetData>
    <row r="2" customFormat="false" ht="32.8" hidden="false" customHeight="true" outlineLevel="0" collapsed="false">
      <c r="B2" s="8" t="s">
        <v>36</v>
      </c>
      <c r="C2" s="8"/>
      <c r="D2" s="8"/>
      <c r="E2" s="8"/>
      <c r="F2" s="8"/>
      <c r="G2" s="8"/>
      <c r="H2" s="8"/>
      <c r="I2" s="8"/>
      <c r="J2" s="8"/>
    </row>
    <row r="3" customFormat="false" ht="15" hidden="false" customHeight="true" outlineLevel="0" collapsed="false">
      <c r="B3" s="9" t="s">
        <v>37</v>
      </c>
      <c r="C3" s="9"/>
      <c r="D3" s="9"/>
      <c r="E3" s="9"/>
      <c r="F3" s="9"/>
      <c r="G3" s="9"/>
      <c r="H3" s="9"/>
      <c r="I3" s="9"/>
      <c r="J3" s="9"/>
    </row>
    <row r="5" customFormat="false" ht="15" hidden="false" customHeight="false" outlineLevel="0" collapsed="false">
      <c r="B5" s="21" t="s">
        <v>38</v>
      </c>
      <c r="C5" s="11" t="n">
        <v>2019</v>
      </c>
      <c r="D5" s="11" t="n">
        <v>2020</v>
      </c>
      <c r="E5" s="11" t="n">
        <v>2021</v>
      </c>
      <c r="F5" s="11" t="n">
        <v>2022</v>
      </c>
      <c r="G5" s="11" t="n">
        <v>2023</v>
      </c>
      <c r="H5" s="11" t="n">
        <v>2024</v>
      </c>
      <c r="I5" s="11" t="n">
        <v>2025</v>
      </c>
    </row>
    <row r="6" customFormat="false" ht="15" hidden="false" customHeight="false" outlineLevel="0" collapsed="false">
      <c r="B6" s="22" t="s">
        <v>26</v>
      </c>
      <c r="C6" s="23" t="n">
        <v>0.249</v>
      </c>
      <c r="D6" s="23" t="n">
        <v>0.27</v>
      </c>
      <c r="E6" s="23" t="n">
        <v>0.282</v>
      </c>
      <c r="F6" s="23" t="n">
        <v>0.296</v>
      </c>
      <c r="G6" s="23" t="n">
        <v>0.308</v>
      </c>
      <c r="H6" s="23" t="n">
        <v>0.281</v>
      </c>
      <c r="I6" s="23" t="n">
        <v>0.331</v>
      </c>
    </row>
    <row r="7" customFormat="false" ht="15" hidden="false" customHeight="false" outlineLevel="0" collapsed="false">
      <c r="B7" s="12" t="s">
        <v>39</v>
      </c>
      <c r="C7" s="24" t="n">
        <v>0.308</v>
      </c>
      <c r="D7" s="24" t="n">
        <v>0.337</v>
      </c>
      <c r="E7" s="24" t="n">
        <v>0.278</v>
      </c>
      <c r="F7" s="24" t="n">
        <v>0.281</v>
      </c>
      <c r="G7" s="24" t="n">
        <v>0.262</v>
      </c>
      <c r="H7" s="24" t="n">
        <v>0.28</v>
      </c>
      <c r="I7" s="24" t="n">
        <v>0.26</v>
      </c>
    </row>
    <row r="8" customFormat="false" ht="15" hidden="false" customHeight="false" outlineLevel="0" collapsed="false">
      <c r="B8" s="25" t="s">
        <v>40</v>
      </c>
      <c r="C8" s="24" t="n">
        <v>0.42</v>
      </c>
      <c r="D8" s="24" t="n">
        <v>0.366</v>
      </c>
      <c r="E8" s="24" t="n">
        <v>0.415</v>
      </c>
      <c r="F8" s="24" t="n">
        <v>0.4</v>
      </c>
      <c r="G8" s="24" t="n">
        <v>0.407</v>
      </c>
      <c r="H8" s="24" t="n">
        <v>0.417</v>
      </c>
      <c r="I8" s="24" t="n">
        <v>0.388</v>
      </c>
    </row>
    <row r="9" customFormat="false" ht="15" hidden="false" customHeight="false" outlineLevel="0" collapsed="false">
      <c r="B9" s="19" t="s">
        <v>28</v>
      </c>
      <c r="C9" s="26" t="n">
        <v>0.023</v>
      </c>
      <c r="D9" s="26" t="n">
        <v>0.028</v>
      </c>
      <c r="E9" s="26" t="n">
        <v>0.025</v>
      </c>
      <c r="F9" s="26" t="n">
        <v>0.023</v>
      </c>
      <c r="G9" s="26" t="n">
        <v>0.023</v>
      </c>
      <c r="H9" s="26" t="n">
        <v>0.023</v>
      </c>
      <c r="I9" s="26" t="n">
        <v>0.021</v>
      </c>
    </row>
    <row r="11" customFormat="false" ht="35.05" hidden="false" customHeight="true" outlineLevel="0" collapsed="false">
      <c r="B11" s="15" t="s">
        <v>41</v>
      </c>
      <c r="C11" s="15"/>
      <c r="D11" s="15"/>
      <c r="E11" s="15"/>
      <c r="F11" s="15"/>
      <c r="G11" s="15"/>
      <c r="H11" s="15"/>
      <c r="I11" s="15"/>
      <c r="J11" s="15"/>
    </row>
    <row r="12" customFormat="false" ht="19.4" hidden="false" customHeight="true" outlineLevel="0" collapsed="false">
      <c r="B12" s="7" t="s">
        <v>42</v>
      </c>
      <c r="C12" s="7"/>
      <c r="D12" s="7"/>
      <c r="E12" s="7"/>
      <c r="F12" s="7"/>
      <c r="G12" s="7"/>
      <c r="H12" s="7"/>
      <c r="I12" s="7"/>
      <c r="J12" s="7"/>
    </row>
  </sheetData>
  <mergeCells count="4">
    <mergeCell ref="B2:J2"/>
    <mergeCell ref="B3:J3"/>
    <mergeCell ref="B11:J11"/>
    <mergeCell ref="B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0" min="3" style="0" width="9"/>
  </cols>
  <sheetData>
    <row r="2" customFormat="false" ht="17.35" hidden="false" customHeight="true" outlineLevel="0" collapsed="false">
      <c r="B2" s="8" t="s">
        <v>43</v>
      </c>
      <c r="C2" s="8"/>
      <c r="D2" s="8"/>
      <c r="E2" s="8"/>
      <c r="F2" s="8"/>
      <c r="G2" s="8"/>
      <c r="H2" s="8"/>
      <c r="I2" s="8"/>
      <c r="J2" s="8"/>
    </row>
    <row r="3" customFormat="false" ht="15" hidden="false" customHeight="true" outlineLevel="0" collapsed="false">
      <c r="B3" s="9" t="s">
        <v>44</v>
      </c>
      <c r="C3" s="9"/>
      <c r="D3" s="9"/>
      <c r="E3" s="9"/>
      <c r="F3" s="9"/>
      <c r="G3" s="9"/>
      <c r="H3" s="9"/>
      <c r="I3" s="9"/>
      <c r="J3" s="9"/>
    </row>
    <row r="5" customFormat="false" ht="15" hidden="false" customHeight="false" outlineLevel="0" collapsed="false">
      <c r="B5" s="21" t="s">
        <v>45</v>
      </c>
      <c r="C5" s="11" t="n">
        <v>2019</v>
      </c>
      <c r="D5" s="11" t="n">
        <v>2020</v>
      </c>
      <c r="E5" s="11" t="n">
        <v>2021</v>
      </c>
      <c r="F5" s="11" t="n">
        <v>2022</v>
      </c>
      <c r="G5" s="11" t="n">
        <v>2023</v>
      </c>
      <c r="H5" s="11" t="n">
        <v>2024</v>
      </c>
      <c r="I5" s="11" t="n">
        <v>2025</v>
      </c>
    </row>
    <row r="6" customFormat="false" ht="15" hidden="false" customHeight="false" outlineLevel="0" collapsed="false">
      <c r="B6" s="22" t="s">
        <v>26</v>
      </c>
      <c r="C6" s="23" t="n">
        <v>0.962</v>
      </c>
      <c r="D6" s="23" t="n">
        <v>0.967</v>
      </c>
      <c r="E6" s="23" t="n">
        <v>0.968</v>
      </c>
      <c r="F6" s="23" t="n">
        <v>0.968</v>
      </c>
      <c r="G6" s="23" t="n">
        <v>0.978</v>
      </c>
      <c r="H6" s="23" t="n">
        <v>0.985</v>
      </c>
      <c r="I6" s="23" t="n">
        <v>0.986</v>
      </c>
    </row>
    <row r="7" customFormat="false" ht="15" hidden="false" customHeight="false" outlineLevel="0" collapsed="false">
      <c r="B7" s="12" t="s">
        <v>39</v>
      </c>
      <c r="C7" s="24" t="n">
        <v>0.932</v>
      </c>
      <c r="D7" s="24" t="n">
        <v>0.892</v>
      </c>
      <c r="E7" s="24" t="n">
        <v>0.906</v>
      </c>
      <c r="F7" s="24" t="n">
        <v>0.942</v>
      </c>
      <c r="G7" s="24" t="n">
        <v>0.951</v>
      </c>
      <c r="H7" s="24" t="n">
        <v>0.953</v>
      </c>
      <c r="I7" s="24" t="n">
        <v>0.95</v>
      </c>
    </row>
    <row r="8" customFormat="false" ht="15" hidden="false" customHeight="false" outlineLevel="0" collapsed="false">
      <c r="B8" s="12" t="s">
        <v>40</v>
      </c>
      <c r="C8" s="24" t="n">
        <v>0.808</v>
      </c>
      <c r="D8" s="24" t="n">
        <v>0.817</v>
      </c>
      <c r="E8" s="24" t="n">
        <v>0.798</v>
      </c>
      <c r="F8" s="24" t="n">
        <v>0.803</v>
      </c>
      <c r="G8" s="24" t="n">
        <v>0.832</v>
      </c>
      <c r="H8" s="24" t="n">
        <v>0.809</v>
      </c>
      <c r="I8" s="24" t="n">
        <v>0.804</v>
      </c>
    </row>
    <row r="9" customFormat="false" ht="15" hidden="false" customHeight="false" outlineLevel="0" collapsed="false">
      <c r="B9" s="27" t="s">
        <v>28</v>
      </c>
      <c r="C9" s="26" t="n">
        <v>0.633</v>
      </c>
      <c r="D9" s="26" t="n">
        <v>0.664</v>
      </c>
      <c r="E9" s="26" t="n">
        <v>0.622</v>
      </c>
      <c r="F9" s="26" t="n">
        <v>0.614</v>
      </c>
      <c r="G9" s="26" t="n">
        <v>0.638</v>
      </c>
      <c r="H9" s="26" t="n">
        <v>0.624</v>
      </c>
      <c r="I9" s="26" t="n">
        <v>0.614</v>
      </c>
    </row>
    <row r="11" customFormat="false" ht="23.85" hidden="false" customHeight="true" outlineLevel="0" collapsed="false">
      <c r="B11" s="15" t="s">
        <v>46</v>
      </c>
      <c r="C11" s="15"/>
      <c r="D11" s="15"/>
      <c r="E11" s="15"/>
      <c r="F11" s="15"/>
      <c r="G11" s="15"/>
      <c r="H11" s="15"/>
      <c r="I11" s="15"/>
      <c r="J11" s="15"/>
    </row>
    <row r="12" customFormat="false" ht="19.4" hidden="false" customHeight="true" outlineLevel="0" collapsed="false">
      <c r="B12" s="7" t="s">
        <v>47</v>
      </c>
      <c r="C12" s="7"/>
      <c r="D12" s="7"/>
      <c r="E12" s="7"/>
      <c r="F12" s="7"/>
      <c r="G12" s="7"/>
      <c r="H12" s="7"/>
      <c r="I12" s="7"/>
      <c r="J12" s="7"/>
    </row>
  </sheetData>
  <mergeCells count="4">
    <mergeCell ref="B2:J2"/>
    <mergeCell ref="B3:J3"/>
    <mergeCell ref="B11:J11"/>
    <mergeCell ref="B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2026-07-01T15:10:49Z</dcterms:created>
  <dc:creator>openpyxl</dc:creator>
  <dc:description/>
  <dc:language>en-US</dc:language>
  <cp:lastModifiedBy/>
  <dcterms:modified xsi:type="dcterms:W3CDTF">2026-07-01T15:10:51Z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