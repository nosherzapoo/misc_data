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gin Mix Bridg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0" authorId="0">
      <text>
        <r>
          <rPr>
            <sz val="10"/>
            <rFont val="Arial"/>
            <family val="2"/>
          </rPr>
          <t xml:space="preserve">LYV Concerts+Sponsorship combined, to match CTS Live Entertainment which includes its sponsorship.</t>
        </r>
      </text>
    </comment>
    <comment ref="B44" authorId="0">
      <text>
        <r>
          <rPr>
            <sz val="10"/>
            <rFont val="Arial"/>
            <family val="2"/>
          </rPr>
          <t xml:space="preserve">LYV ticketing weight x CTS ticketing margin + LYV promotion weight x CTS live-ent margin. CTS has no separate corporate line.</t>
        </r>
      </text>
    </comment>
    <comment ref="B45" authorId="0">
      <text>
        <r>
          <rPr>
            <sz val="10"/>
            <rFont val="Arial"/>
            <family val="2"/>
          </rPr>
          <t xml:space="preserve">CTS ticketing weight x LYV ticketing margin + CTS promotion weight x LYV promotion margin.</t>
        </r>
      </text>
    </comment>
    <comment ref="B46" authorId="0">
      <text>
        <r>
          <rPr>
            <sz val="10"/>
            <rFont val="Arial"/>
            <family val="2"/>
          </rPr>
          <t xml:space="preserve">(Group AOI - sum of segment AOI) / group revenue. Negative = corporate + elimination drag.</t>
        </r>
      </text>
    </comment>
  </commentList>
</comments>
</file>

<file path=xl/sharedStrings.xml><?xml version="1.0" encoding="utf-8"?>
<sst xmlns="http://schemas.openxmlformats.org/spreadsheetml/2006/main" count="81" uniqueCount="73">
  <si>
    <t xml:space="preserve">CTS Eventim vs Live Nation  —  Margin Mix Bridge (FY2025)</t>
  </si>
  <si>
    <t xml:space="preserve">Shows the group adjusted-margin gap is driven mainly by business mix, not profitability. Blue = hardcoded inputs; black = live formulas.</t>
  </si>
  <si>
    <t xml:space="preserve">1.  Inputs — CTS Eventim (FY2025, EUR m)</t>
  </si>
  <si>
    <t xml:space="preserve">Metric</t>
  </si>
  <si>
    <t xml:space="preserve">Value</t>
  </si>
  <si>
    <t xml:space="preserve">Source</t>
  </si>
  <si>
    <t xml:space="preserve">Ticketing revenue</t>
  </si>
  <si>
    <t xml:space="preserve">CTS FY2025 results, Ticketing segment</t>
  </si>
  <si>
    <t xml:space="preserve">Ticketing adjusted EBITDA</t>
  </si>
  <si>
    <t xml:space="preserve">Live Entertainment revenue</t>
  </si>
  <si>
    <t xml:space="preserve">CTS FY2025 results, Live Entertainment segment</t>
  </si>
  <si>
    <t xml:space="preserve">Live Entertainment adjusted EBITDA</t>
  </si>
  <si>
    <t xml:space="preserve">Group revenue</t>
  </si>
  <si>
    <t xml:space="preserve">CTS FY2025 results, group</t>
  </si>
  <si>
    <t xml:space="preserve">Group adjusted EBITDA</t>
  </si>
  <si>
    <t xml:space="preserve">2.  Inputs — Live Nation (FY2025, USD m)</t>
  </si>
  <si>
    <t xml:space="preserve">Concerts revenue</t>
  </si>
  <si>
    <t xml:space="preserve">LYV 10-K FY2025 / Bernstein model, Concerts</t>
  </si>
  <si>
    <t xml:space="preserve">Concerts AOI</t>
  </si>
  <si>
    <t xml:space="preserve">Bernstein model, Concerts AOI</t>
  </si>
  <si>
    <t xml:space="preserve">LYV 10-K FY2025, Ticketing</t>
  </si>
  <si>
    <t xml:space="preserve">Ticketing AOI</t>
  </si>
  <si>
    <t xml:space="preserve">Bernstein model, Ticketing AOI</t>
  </si>
  <si>
    <t xml:space="preserve">Sponsorship &amp; Advertising revenue</t>
  </si>
  <si>
    <t xml:space="preserve">LYV 10-K FY2025, Sponsorship &amp; Advertising</t>
  </si>
  <si>
    <t xml:space="preserve">Sponsorship &amp; Advertising AOI</t>
  </si>
  <si>
    <t xml:space="preserve">Bernstein model, Sponsorship AOI</t>
  </si>
  <si>
    <t xml:space="preserve">LYV 10-K FY2025, total revenue</t>
  </si>
  <si>
    <t xml:space="preserve">Group AOI</t>
  </si>
  <si>
    <t xml:space="preserve">Bernstein model, total AOI</t>
  </si>
  <si>
    <t xml:space="preserve">3.  Segment margins  ( = adjusted profit / revenue )</t>
  </si>
  <si>
    <t xml:space="preserve">CTS Ticketing</t>
  </si>
  <si>
    <t xml:space="preserve">CTS Live Entertainment</t>
  </si>
  <si>
    <t xml:space="preserve">LYV Ticketing</t>
  </si>
  <si>
    <t xml:space="preserve">LYV Concerts</t>
  </si>
  <si>
    <t xml:space="preserve">LYV Sponsorship &amp; Advertising</t>
  </si>
  <si>
    <t xml:space="preserve">LYV Promotion (Concerts + Sponsorship)</t>
  </si>
  <si>
    <t xml:space="preserve">4.  Revenue mix  (share of segment revenue)</t>
  </si>
  <si>
    <t xml:space="preserve">CTS Ticketing %</t>
  </si>
  <si>
    <t xml:space="preserve">CTS Live Entertainment %</t>
  </si>
  <si>
    <t xml:space="preserve">LYV Ticketing %</t>
  </si>
  <si>
    <t xml:space="preserve">LYV Promotion % (Concerts + Sponsorship)</t>
  </si>
  <si>
    <t xml:space="preserve">5.  Group adjusted margins</t>
  </si>
  <si>
    <t xml:space="preserve">CTS group adjusted EBITDA margin</t>
  </si>
  <si>
    <t xml:space="preserve">LYV group AOI margin</t>
  </si>
  <si>
    <t xml:space="preserve">Gap (percentage points)</t>
  </si>
  <si>
    <t xml:space="preserve">6.  Mix-neutral margins  (own segment margins applied to the other company's mix)</t>
  </si>
  <si>
    <t xml:space="preserve">CTS at Live Nation's mix</t>
  </si>
  <si>
    <t xml:space="preserve">LYV at CTS's mix (segment level)</t>
  </si>
  <si>
    <t xml:space="preserve">less: LYV unallocated corporate (% of revenue)</t>
  </si>
  <si>
    <t xml:space="preserve">LYV at CTS's mix (after corporate)</t>
  </si>
  <si>
    <t xml:space="preserve">7.  Gap decomposition</t>
  </si>
  <si>
    <t xml:space="preserve">Actual gap (pp)</t>
  </si>
  <si>
    <t xml:space="preserve">Gap at CTS's mix:  CTS - LYV@CTS (pp)</t>
  </si>
  <si>
    <t xml:space="preserve">Gap at LYV's mix:  CTS@LYV - LYV (pp)</t>
  </si>
  <si>
    <t xml:space="preserve">Mix share of gap (using CTS-mix residual)</t>
  </si>
  <si>
    <t xml:space="preserve">Mix share of gap (using LYV-mix residual)</t>
  </si>
  <si>
    <t xml:space="preserve">8.  Absolute adjusted profit</t>
  </si>
  <si>
    <t xml:space="preserve">EUR/USD rate</t>
  </si>
  <si>
    <t xml:space="preserve">FX assumption — adjust as needed</t>
  </si>
  <si>
    <t xml:space="preserve">CTS adjusted EBITDA (USD m)</t>
  </si>
  <si>
    <t xml:space="preserve">LYV AOI (USD m)</t>
  </si>
  <si>
    <t xml:space="preserve">LYV / CTS  (x)</t>
  </si>
  <si>
    <t xml:space="preserve">memo: LYV AOI ex-SBC (USD m)</t>
  </si>
  <si>
    <t xml:space="preserve">   SBC add-back removed (USD m)</t>
  </si>
  <si>
    <t xml:space="preserve">Removed to match CTS adj. EBITDA definition (~$130m FY2025 SBC)</t>
  </si>
  <si>
    <t xml:space="preserve">LYV ex-SBC / CTS  (x)</t>
  </si>
  <si>
    <t xml:space="preserve">Notes &amp; methodology</t>
  </si>
  <si>
    <t xml:space="preserve">• Metric basis: CTS adjusted EBITDA vs Live Nation AOI (each company's headline adjusted operating-profit metric); both are after rent.</t>
  </si>
  <si>
    <t xml:space="preserve">• Promotion bucket: LYV Concerts + Sponsorship is mapped to CTS Live Entertainment, since CTS reports its sponsorship inside Live Entertainment.</t>
  </si>
  <si>
    <t xml:space="preserve">• IFRS vs US GAAP leases are immaterial here: CTS right-of-use D&amp;A was EUR 2.8m FY2025 (asset-light); LYV operating leases sit above EBITDA under US GAAP.</t>
  </si>
  <si>
    <t xml:space="preserve">• Revenue mix uses segment-revenue shares (sum to 100%); group margins use reported group revenue (incl. intersegment eliminations).</t>
  </si>
  <si>
    <t xml:space="preserve">• Result: at a common mix the ~10pp group gap narrows to 2-4pp, so mix (not profitability) explains more than half (58-83%) of it.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</si>
</sst>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0.0%"/>
    <numFmt numFmtId="167" formatCode="0.000"/>
    <numFmt numFmtId="168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5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s">
        <v>4</v>
      </c>
      <c r="C5" s="5" t="s">
        <v>5</v>
      </c>
    </row>
    <row r="6" customFormat="false" ht="15" hidden="false" customHeight="false" outlineLevel="0" collapsed="false">
      <c r="A6" s="7" t="s">
        <v>6</v>
      </c>
      <c r="B6" s="8" t="n">
        <v>977.1</v>
      </c>
      <c r="C6" s="9" t="s">
        <v>7</v>
      </c>
    </row>
    <row r="7" customFormat="false" ht="15" hidden="false" customHeight="false" outlineLevel="0" collapsed="false">
      <c r="A7" s="7" t="s">
        <v>8</v>
      </c>
      <c r="B7" s="8" t="n">
        <v>453.7</v>
      </c>
      <c r="C7" s="9" t="s">
        <v>7</v>
      </c>
    </row>
    <row r="8" customFormat="false" ht="15" hidden="false" customHeight="false" outlineLevel="0" collapsed="false">
      <c r="A8" s="7" t="s">
        <v>9</v>
      </c>
      <c r="B8" s="8" t="n">
        <v>2152.2</v>
      </c>
      <c r="C8" s="9" t="s">
        <v>10</v>
      </c>
    </row>
    <row r="9" customFormat="false" ht="15" hidden="false" customHeight="false" outlineLevel="0" collapsed="false">
      <c r="A9" s="7" t="s">
        <v>11</v>
      </c>
      <c r="B9" s="8" t="n">
        <v>130.3</v>
      </c>
      <c r="C9" s="9" t="s">
        <v>10</v>
      </c>
    </row>
    <row r="10" customFormat="false" ht="15" hidden="false" customHeight="false" outlineLevel="0" collapsed="false">
      <c r="A10" s="7" t="s">
        <v>12</v>
      </c>
      <c r="B10" s="8" t="n">
        <v>3079.3</v>
      </c>
      <c r="C10" s="9" t="s">
        <v>13</v>
      </c>
    </row>
    <row r="11" customFormat="false" ht="15" hidden="false" customHeight="false" outlineLevel="0" collapsed="false">
      <c r="A11" s="7" t="s">
        <v>14</v>
      </c>
      <c r="B11" s="8" t="n">
        <v>584</v>
      </c>
      <c r="C11" s="9" t="s">
        <v>13</v>
      </c>
    </row>
    <row r="13" customFormat="false" ht="15" hidden="false" customHeight="false" outlineLevel="0" collapsed="false">
      <c r="A13" s="3" t="s">
        <v>15</v>
      </c>
      <c r="B13" s="4"/>
      <c r="C13" s="4"/>
    </row>
    <row r="14" customFormat="false" ht="15" hidden="false" customHeight="false" outlineLevel="0" collapsed="false">
      <c r="A14" s="5" t="s">
        <v>3</v>
      </c>
      <c r="B14" s="6" t="s">
        <v>4</v>
      </c>
      <c r="C14" s="5" t="s">
        <v>5</v>
      </c>
    </row>
    <row r="15" customFormat="false" ht="15" hidden="false" customHeight="false" outlineLevel="0" collapsed="false">
      <c r="A15" s="7" t="s">
        <v>16</v>
      </c>
      <c r="B15" s="8" t="n">
        <v>20860.7</v>
      </c>
      <c r="C15" s="9" t="s">
        <v>17</v>
      </c>
    </row>
    <row r="16" customFormat="false" ht="15" hidden="false" customHeight="false" outlineLevel="0" collapsed="false">
      <c r="A16" s="7" t="s">
        <v>18</v>
      </c>
      <c r="B16" s="8" t="n">
        <v>687.1</v>
      </c>
      <c r="C16" s="9" t="s">
        <v>19</v>
      </c>
    </row>
    <row r="17" customFormat="false" ht="15" hidden="false" customHeight="false" outlineLevel="0" collapsed="false">
      <c r="A17" s="7" t="s">
        <v>6</v>
      </c>
      <c r="B17" s="8" t="n">
        <v>3081.2</v>
      </c>
      <c r="C17" s="9" t="s">
        <v>20</v>
      </c>
    </row>
    <row r="18" customFormat="false" ht="15" hidden="false" customHeight="false" outlineLevel="0" collapsed="false">
      <c r="A18" s="7" t="s">
        <v>21</v>
      </c>
      <c r="B18" s="8" t="n">
        <v>1134.4</v>
      </c>
      <c r="C18" s="9" t="s">
        <v>22</v>
      </c>
    </row>
    <row r="19" customFormat="false" ht="15" hidden="false" customHeight="false" outlineLevel="0" collapsed="false">
      <c r="A19" s="7" t="s">
        <v>23</v>
      </c>
      <c r="B19" s="8" t="n">
        <v>1329.2</v>
      </c>
      <c r="C19" s="9" t="s">
        <v>24</v>
      </c>
    </row>
    <row r="20" customFormat="false" ht="15" hidden="false" customHeight="false" outlineLevel="0" collapsed="false">
      <c r="A20" s="7" t="s">
        <v>25</v>
      </c>
      <c r="B20" s="8" t="n">
        <v>845.2</v>
      </c>
      <c r="C20" s="9" t="s">
        <v>26</v>
      </c>
    </row>
    <row r="21" customFormat="false" ht="15" hidden="false" customHeight="false" outlineLevel="0" collapsed="false">
      <c r="A21" s="7" t="s">
        <v>12</v>
      </c>
      <c r="B21" s="8" t="n">
        <v>25201.4</v>
      </c>
      <c r="C21" s="9" t="s">
        <v>27</v>
      </c>
    </row>
    <row r="22" customFormat="false" ht="15" hidden="false" customHeight="false" outlineLevel="0" collapsed="false">
      <c r="A22" s="7" t="s">
        <v>28</v>
      </c>
      <c r="B22" s="8" t="n">
        <v>2366.4</v>
      </c>
      <c r="C22" s="9" t="s">
        <v>29</v>
      </c>
    </row>
    <row r="24" customFormat="false" ht="15" hidden="false" customHeight="false" outlineLevel="0" collapsed="false">
      <c r="A24" s="3" t="s">
        <v>30</v>
      </c>
      <c r="B24" s="4"/>
      <c r="C24" s="4"/>
    </row>
    <row r="25" customFormat="false" ht="15" hidden="false" customHeight="false" outlineLevel="0" collapsed="false">
      <c r="A25" s="7" t="s">
        <v>31</v>
      </c>
      <c r="B25" s="10" t="n">
        <f aca="false">B7/B6</f>
        <v>0.464333230989663</v>
      </c>
    </row>
    <row r="26" customFormat="false" ht="15" hidden="false" customHeight="false" outlineLevel="0" collapsed="false">
      <c r="A26" s="7" t="s">
        <v>32</v>
      </c>
      <c r="B26" s="10" t="n">
        <f aca="false">B9/B8</f>
        <v>0.0605427004925193</v>
      </c>
    </row>
    <row r="27" customFormat="false" ht="15" hidden="false" customHeight="false" outlineLevel="0" collapsed="false">
      <c r="A27" s="7" t="s">
        <v>33</v>
      </c>
      <c r="B27" s="10" t="n">
        <f aca="false">B18/B17</f>
        <v>0.368168246137868</v>
      </c>
    </row>
    <row r="28" customFormat="false" ht="15" hidden="false" customHeight="false" outlineLevel="0" collapsed="false">
      <c r="A28" s="7" t="s">
        <v>34</v>
      </c>
      <c r="B28" s="10" t="n">
        <f aca="false">B16/B15</f>
        <v>0.0329375332563145</v>
      </c>
    </row>
    <row r="29" customFormat="false" ht="15" hidden="false" customHeight="false" outlineLevel="0" collapsed="false">
      <c r="A29" s="7" t="s">
        <v>35</v>
      </c>
      <c r="B29" s="10" t="n">
        <f aca="false">B20/B19</f>
        <v>0.635871200722239</v>
      </c>
    </row>
    <row r="30" customFormat="false" ht="15" hidden="false" customHeight="false" outlineLevel="0" collapsed="false">
      <c r="A30" s="7" t="s">
        <v>36</v>
      </c>
      <c r="B30" s="10" t="n">
        <f aca="false">(B16+B20)/(B15+B19)</f>
        <v>0.0690539389542089</v>
      </c>
    </row>
    <row r="32" customFormat="false" ht="15" hidden="false" customHeight="false" outlineLevel="0" collapsed="false">
      <c r="A32" s="3" t="s">
        <v>37</v>
      </c>
      <c r="B32" s="4"/>
      <c r="C32" s="4"/>
    </row>
    <row r="33" customFormat="false" ht="15" hidden="false" customHeight="false" outlineLevel="0" collapsed="false">
      <c r="A33" s="7" t="s">
        <v>38</v>
      </c>
      <c r="B33" s="10" t="n">
        <f aca="false">B6/(B6+B8)</f>
        <v>0.31224235452018</v>
      </c>
    </row>
    <row r="34" customFormat="false" ht="15" hidden="false" customHeight="false" outlineLevel="0" collapsed="false">
      <c r="A34" s="7" t="s">
        <v>39</v>
      </c>
      <c r="B34" s="10" t="n">
        <f aca="false">B8/(B6+B8)</f>
        <v>0.68775764547982</v>
      </c>
    </row>
    <row r="35" customFormat="false" ht="15" hidden="false" customHeight="false" outlineLevel="0" collapsed="false">
      <c r="A35" s="7" t="s">
        <v>40</v>
      </c>
      <c r="B35" s="10" t="n">
        <f aca="false">B17/(B15+B17+B19)</f>
        <v>0.121925836231901</v>
      </c>
    </row>
    <row r="36" customFormat="false" ht="15" hidden="false" customHeight="false" outlineLevel="0" collapsed="false">
      <c r="A36" s="7" t="s">
        <v>41</v>
      </c>
      <c r="B36" s="10" t="n">
        <f aca="false">(B15+B19)/(B15+B17+B19)</f>
        <v>0.878074163768099</v>
      </c>
    </row>
    <row r="38" customFormat="false" ht="15" hidden="false" customHeight="false" outlineLevel="0" collapsed="false">
      <c r="A38" s="3" t="s">
        <v>42</v>
      </c>
      <c r="B38" s="4"/>
      <c r="C38" s="4"/>
    </row>
    <row r="39" customFormat="false" ht="15" hidden="false" customHeight="false" outlineLevel="0" collapsed="false">
      <c r="A39" s="7" t="s">
        <v>43</v>
      </c>
      <c r="B39" s="10" t="n">
        <f aca="false">B11/B10</f>
        <v>0.189653492676907</v>
      </c>
    </row>
    <row r="40" customFormat="false" ht="15" hidden="false" customHeight="false" outlineLevel="0" collapsed="false">
      <c r="A40" s="7" t="s">
        <v>44</v>
      </c>
      <c r="B40" s="10" t="n">
        <f aca="false">B22/B21</f>
        <v>0.0938995452633584</v>
      </c>
    </row>
    <row r="41" customFormat="false" ht="15" hidden="false" customHeight="false" outlineLevel="0" collapsed="false">
      <c r="A41" s="7" t="s">
        <v>45</v>
      </c>
      <c r="B41" s="11" t="n">
        <f aca="false">B39-B40</f>
        <v>0.0957539474135487</v>
      </c>
    </row>
    <row r="43" customFormat="false" ht="15" hidden="false" customHeight="false" outlineLevel="0" collapsed="false">
      <c r="A43" s="3" t="s">
        <v>46</v>
      </c>
      <c r="B43" s="4"/>
      <c r="C43" s="4"/>
    </row>
    <row r="44" customFormat="false" ht="15" hidden="false" customHeight="false" outlineLevel="0" collapsed="false">
      <c r="A44" s="7" t="s">
        <v>47</v>
      </c>
      <c r="B44" s="10" t="n">
        <f aca="false">B35*B25+B36*B26</f>
        <v>0.109775198585907</v>
      </c>
    </row>
    <row r="45" customFormat="false" ht="15" hidden="false" customHeight="false" outlineLevel="0" collapsed="false">
      <c r="A45" s="7" t="s">
        <v>48</v>
      </c>
      <c r="B45" s="10" t="n">
        <f aca="false">B33*B27+B34*B30</f>
        <v>0.162450094499907</v>
      </c>
    </row>
    <row r="46" customFormat="false" ht="15" hidden="false" customHeight="false" outlineLevel="0" collapsed="false">
      <c r="A46" s="7" t="s">
        <v>49</v>
      </c>
      <c r="B46" s="10" t="n">
        <f aca="false">(B22-(B16+B18+B20))/B21</f>
        <v>-0.0119160046664074</v>
      </c>
    </row>
    <row r="47" customFormat="false" ht="15" hidden="false" customHeight="false" outlineLevel="0" collapsed="false">
      <c r="A47" s="7" t="s">
        <v>50</v>
      </c>
      <c r="B47" s="11" t="n">
        <f aca="false">B45+B46</f>
        <v>0.1505340898335</v>
      </c>
    </row>
    <row r="50" customFormat="false" ht="15" hidden="false" customHeight="false" outlineLevel="0" collapsed="false">
      <c r="A50" s="3" t="s">
        <v>51</v>
      </c>
      <c r="B50" s="4"/>
      <c r="C50" s="4"/>
    </row>
    <row r="51" customFormat="false" ht="15" hidden="false" customHeight="false" outlineLevel="0" collapsed="false">
      <c r="A51" s="7" t="s">
        <v>52</v>
      </c>
      <c r="B51" s="10" t="n">
        <f aca="false">B39-B40</f>
        <v>0.0957539474135487</v>
      </c>
    </row>
    <row r="52" customFormat="false" ht="15" hidden="false" customHeight="false" outlineLevel="0" collapsed="false">
      <c r="A52" s="7" t="s">
        <v>53</v>
      </c>
      <c r="B52" s="10" t="n">
        <f aca="false">B39-B47</f>
        <v>0.0391194028434073</v>
      </c>
    </row>
    <row r="53" customFormat="false" ht="15" hidden="false" customHeight="false" outlineLevel="0" collapsed="false">
      <c r="A53" s="7" t="s">
        <v>54</v>
      </c>
      <c r="B53" s="10" t="n">
        <f aca="false">B44-B40</f>
        <v>0.0158756533225482</v>
      </c>
    </row>
    <row r="54" customFormat="false" ht="15" hidden="false" customHeight="false" outlineLevel="0" collapsed="false">
      <c r="A54" s="7" t="s">
        <v>55</v>
      </c>
      <c r="B54" s="10" t="n">
        <f aca="false">1-B52/B51</f>
        <v>0.591459110563289</v>
      </c>
    </row>
    <row r="55" customFormat="false" ht="15" hidden="false" customHeight="false" outlineLevel="0" collapsed="false">
      <c r="A55" s="7" t="s">
        <v>56</v>
      </c>
      <c r="B55" s="10" t="n">
        <f aca="false">1-B53/B51</f>
        <v>0.834203667301742</v>
      </c>
    </row>
    <row r="58" customFormat="false" ht="15" hidden="false" customHeight="false" outlineLevel="0" collapsed="false">
      <c r="A58" s="3" t="s">
        <v>57</v>
      </c>
      <c r="B58" s="4"/>
      <c r="C58" s="4"/>
    </row>
    <row r="59" customFormat="false" ht="15" hidden="false" customHeight="false" outlineLevel="0" collapsed="false">
      <c r="A59" s="7" t="s">
        <v>58</v>
      </c>
      <c r="B59" s="12" t="n">
        <v>1.1</v>
      </c>
      <c r="C59" s="9" t="s">
        <v>59</v>
      </c>
    </row>
    <row r="60" customFormat="false" ht="15" hidden="false" customHeight="false" outlineLevel="0" collapsed="false">
      <c r="A60" s="7" t="s">
        <v>60</v>
      </c>
      <c r="B60" s="13" t="n">
        <f aca="false">B11*B59</f>
        <v>642.4</v>
      </c>
    </row>
    <row r="61" customFormat="false" ht="15" hidden="false" customHeight="false" outlineLevel="0" collapsed="false">
      <c r="A61" s="7" t="s">
        <v>61</v>
      </c>
      <c r="B61" s="13" t="n">
        <f aca="false">B22</f>
        <v>2366.4</v>
      </c>
    </row>
    <row r="62" customFormat="false" ht="15" hidden="false" customHeight="false" outlineLevel="0" collapsed="false">
      <c r="A62" s="7" t="s">
        <v>62</v>
      </c>
      <c r="B62" s="14" t="n">
        <f aca="false">B61/B60</f>
        <v>3.68368617683686</v>
      </c>
    </row>
    <row r="63" customFormat="false" ht="15" hidden="false" customHeight="false" outlineLevel="0" collapsed="false">
      <c r="A63" s="7" t="s">
        <v>63</v>
      </c>
      <c r="B63" s="13" t="n">
        <f aca="false">B22-B64</f>
        <v>2236.4</v>
      </c>
    </row>
    <row r="64" customFormat="false" ht="15" hidden="false" customHeight="false" outlineLevel="0" collapsed="false">
      <c r="A64" s="7" t="s">
        <v>64</v>
      </c>
      <c r="B64" s="8" t="n">
        <v>130</v>
      </c>
      <c r="C64" s="9" t="s">
        <v>65</v>
      </c>
    </row>
    <row r="65" customFormat="false" ht="15" hidden="false" customHeight="false" outlineLevel="0" collapsed="false">
      <c r="A65" s="7" t="s">
        <v>66</v>
      </c>
      <c r="B65" s="15" t="n">
        <f aca="false">B63/B60</f>
        <v>3.4813200498132</v>
      </c>
    </row>
    <row r="68" customFormat="false" ht="15" hidden="false" customHeight="false" outlineLevel="0" collapsed="false">
      <c r="A68" s="3" t="s">
        <v>67</v>
      </c>
      <c r="B68" s="4"/>
      <c r="C68" s="4"/>
    </row>
    <row r="69" customFormat="false" ht="15" hidden="false" customHeight="false" outlineLevel="0" collapsed="false">
      <c r="A69" s="9" t="s">
        <v>68</v>
      </c>
    </row>
    <row r="70" customFormat="false" ht="15" hidden="false" customHeight="false" outlineLevel="0" collapsed="false">
      <c r="A70" s="9" t="s">
        <v>69</v>
      </c>
    </row>
    <row r="71" customFormat="false" ht="15" hidden="false" customHeight="false" outlineLevel="0" collapsed="false">
      <c r="A71" s="9" t="s">
        <v>70</v>
      </c>
    </row>
    <row r="72" customFormat="false" ht="15" hidden="false" customHeight="false" outlineLevel="0" collapsed="false">
      <c r="A72" s="9" t="s">
        <v>71</v>
      </c>
    </row>
    <row r="73" customFormat="false" ht="15" hidden="false" customHeight="false" outlineLevel="0" collapsed="false">
      <c r="A73" s="9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2026-06-09T22:14:06Z</dcterms:created>
  <dc:creator>openpyxl</dc:creator>
  <dc:description/>
  <dc:language>en-US</dc:language>
  <cp:lastModifiedBy/>
  <dcterms:modified xsi:type="dcterms:W3CDTF">2026-06-09T22:14:06Z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