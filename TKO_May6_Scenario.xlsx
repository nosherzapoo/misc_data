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Model" sheetId="1" state="visible" r:id="rId3"/>
  </sheets>
  <definedNames>
    <definedName function="false" hidden="false" localSheetId="0" name="_xlnm.Print_Area" vbProcedure="false">'Scenario Model'!$B$2:$H$62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<sst xmlns="http://schemas.openxmlformats.org/spreadsheetml/2006/main" count="67" uniqueCount="63">
  <si>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TKO — May 6 Q1 Call Scenario: Jun 27 WWE Riyadh + Jul 26 UFC Abu Dhabi</t>
  </si>
  <si>
    <t xml:space="preserve">Sizing 2026E revenue/EBITDA impact if TKO announces that either or both ME events need to relocate</t>
  </si>
  <si>
    <t xml:space="preserve">INPUTS &amp; ASSUMPTIONS  (blue = editable)</t>
  </si>
  <si>
    <t xml:space="preserve">WWE Night of Champions
(Jun 27, Riyadh)</t>
  </si>
  <si>
    <t xml:space="preserve">UFC Fight Night
(Jul 26, Abu Dhabi)</t>
  </si>
  <si>
    <t xml:space="preserve">Source / note</t>
  </si>
  <si>
    <t xml:space="preserve">Site fee revenue (ME host)</t>
  </si>
  <si>
    <t xml:space="preserve">WWE: Shapiro confirmed $55M/PLE on Q4 25 call (per WON/411Mania). UFC: Etihad Arena fight night under DCT-Abu Dhabi partnership through 2028; Fight Island-era reporting cites ~$25M/event (forum), we use $20M conservative.</t>
  </si>
  <si>
    <t xml:space="preserve">Contribution margin on site fee</t>
  </si>
  <si>
    <t xml:space="preserve">Near-pure margin (host pays for venue/production). WWE slightly higher — fighter pay is a variable cost for UFC.</t>
  </si>
  <si>
    <t xml:space="preserve">US replacement revenue (gate + FIP + sponsorship)</t>
  </si>
  <si>
    <t xml:space="preserve">WWE: US PLE gate ~$12M + FIP ~$7M + incremental sponsorship ~$3M. UFC: Fight Night US gate ~$3M + state FIP ~$5M.</t>
  </si>
  <si>
    <t xml:space="preserve">Contribution margin on US replacement</t>
  </si>
  <si>
    <t xml:space="preserve">Lower than pure site fee — US replacement absorbs venue, production, promotion costs.</t>
  </si>
  <si>
    <t xml:space="preserve">TKO 2026E BASE MODEL</t>
  </si>
  <si>
    <t xml:space="preserve">Bernstein 2026E Revenue ($M)</t>
  </si>
  <si>
    <t xml:space="preserve">Bernstein Feb 26, 2026 note. Guide midpoint $5,725M.</t>
  </si>
  <si>
    <t xml:space="preserve">Bernstein 2026E Adj. EBITDA ($M)</t>
  </si>
  <si>
    <t xml:space="preserve">Bernstein Feb 26, 2026 note. Guide midpoint $2,265M.</t>
  </si>
  <si>
    <t xml:space="preserve">Implied multiple at $250 PT (NTM EV/EBITDA)</t>
  </si>
  <si>
    <t xml:space="preserve">Bernstein Feb 26 note valuation framework.</t>
  </si>
  <si>
    <t xml:space="preserve">TKO shares outstanding (M)</t>
  </si>
  <si>
    <t xml:space="preserve">Approximate Class A + Class B economic equivalent; confirm against latest 10-Q.</t>
  </si>
  <si>
    <t xml:space="preserve">SCENARIO ANALYSIS</t>
  </si>
  <si>
    <t xml:space="preserve">Status Quo
(both held)</t>
  </si>
  <si>
    <t xml:space="preserve">Both events
relocated to US</t>
  </si>
  <si>
    <t xml:space="preserve">Both cancelled,
no replacement</t>
  </si>
  <si>
    <t xml:space="preserve">Only WWE moved
(UFC held)*</t>
  </si>
  <si>
    <t xml:space="preserve">*PIF-specific: Abu Dhabi is DCT-UAE, not PIF</t>
  </si>
  <si>
    <t xml:space="preserve">REVENUE ($M)</t>
  </si>
  <si>
    <t xml:space="preserve">  WWE Night of Champions — Saudi site fee</t>
  </si>
  <si>
    <t xml:space="preserve">  WWE Night of Champions — US replacement</t>
  </si>
  <si>
    <t xml:space="preserve">  UFC Fight Night — Abu Dhabi site fee</t>
  </si>
  <si>
    <t xml:space="preserve">  UFC Fight Night — US replacement</t>
  </si>
  <si>
    <t xml:space="preserve">Total revenue from both events</t>
  </si>
  <si>
    <t xml:space="preserve">Revenue delta vs. Status Quo</t>
  </si>
  <si>
    <t xml:space="preserve">EBITDA ($M)</t>
  </si>
  <si>
    <t xml:space="preserve">Total EBITDA from both events</t>
  </si>
  <si>
    <t xml:space="preserve">EBITDA delta vs. Status Quo</t>
  </si>
  <si>
    <t xml:space="preserve">CONSOLIDATED 2026E IMPACT</t>
  </si>
  <si>
    <t xml:space="preserve">Adjusted 2026E Revenue ($M)</t>
  </si>
  <si>
    <t xml:space="preserve">Adjusted 2026E Adj. EBITDA ($M)</t>
  </si>
  <si>
    <t xml:space="preserve">Implied 2026E EBITDA margin</t>
  </si>
  <si>
    <t xml:space="preserve">EBITDA impact vs. base ($M)</t>
  </si>
  <si>
    <t xml:space="preserve">EBITDA impact as % of base</t>
  </si>
  <si>
    <t xml:space="preserve">STOCK-LEVEL IMPACT</t>
  </si>
  <si>
    <t xml:space="preserve">Implied EV impact ($M)  [= EBITDA delta × 18.6x]</t>
  </si>
  <si>
    <t xml:space="preserve">Implied price impact ($/share)  [÷ 84M shares]</t>
  </si>
  <si>
    <t xml:space="preserve">Adjusted PT ($/share)  [= $250 + impact]</t>
  </si>
  <si>
    <t xml:space="preserve">% change to PT</t>
  </si>
  <si>
    <t xml:space="preserve">KEY TAKEAWAYS</t>
  </si>
  <si>
    <t xml:space="preserve">1. Across all three disruption scenarios, the 2026E EBITDA hit is bounded at ~1-3% of base (≤$65M). This is ~$8-14 per share against Bernstein's $250 PT.</t>
  </si>
  <si>
    <t xml:space="preserve">2. The most realistic outcome — both events relocated to US venues — drives a ~2% EBITDA hit. Management has a proven playbook for this (Crown Jewel moved from Riyadh to Perth in 2025).</t>
  </si>
  <si>
    <t xml:space="preserve">3. The PIF-specific scenario (WWE moved, UFC Abu Dhabi held) drives the smallest impact (~1.5%), because Abu Dhabi's partnership is with the UAE Department of Culture &amp; Tourism — not PIF. The LIV read-across technically should not affect the Jul 26 event.</t>
  </si>
  <si>
    <t xml:space="preserve">4. Context: even the 'both cancelled' tail is dwarfed by the Feb 26 Iran scenario work, which sized full-ME loss at $88-226M of EBITDA. Ian's narrower scenario captures the realistic May 6 announcement risk.</t>
  </si>
  <si>
    <t xml:space="preserve">5. Sensitivity: 10% change in the WWE site fee ($5.5M) = ~$0.60/share. 10% change in Abu Dhabi fee ($2M) = ~$0.20/share. Model is most sensitive to US replacement margin assumptions (55% WWE / 45% UFC).</t>
  </si>
  <si>
    <t xml:space="preserve">SOURCES</t>
  </si>
  <si>
    <t xml:space="preserve">Night of Champions Jun 27, 2026 Riyadh: WWE corporate press release, Apr 23, 2026; confirmed same day by SI, Wrestletalk, F4W, 411Mania</t>
  </si>
  <si>
    <t xml:space="preserve">UFC Fight Night Jul 26, 2026 Abu Dhabi (Etihad Arena): Experience Abu Dhabi, Etihad Arena, Yas Island official event listings</t>
  </si>
  <si>
    <t xml:space="preserve">WWE $55M site fee: Shapiro Q4 25 earnings call (per WON/411Mania Feb 28, 2026); same rate as Royal Rumble 2026</t>
  </si>
  <si>
    <t xml:space="preserve">UFC Abu Dhabi site fee: DCT-Abu Dhabi partnership extended through 2028; forum sources cite ~$25M/event; we use $20M conservative for Fight Night (smaller than numbered event)</t>
  </si>
  <si>
    <t xml:space="preserve">TKO 2026E Revenue $5,773M / EBITDA $2,281M: Bernstein Feb 26, 2026 note; guide midpoints $5,725M / $2,265M</t>
  </si>
  <si>
    <t xml:space="preserve">18.6x NTM EV/EBITDA at $250 PT: Bernstein Feb 26, 2026 valuation framework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</si>
</sst>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;&quot;($&quot;#,##0.0\);\-"/>
    <numFmt numFmtId="166" formatCode="0.0%;\(0.0%\);\-"/>
    <numFmt numFmtId="167" formatCode="\$#,##0;&quot;($&quot;#,##0\);\-"/>
    <numFmt numFmtId="168" formatCode="0.0\x"/>
    <numFmt numFmtId="169" formatCode="#,##0"/>
    <numFmt numFmtId="170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46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"/>
    <col collapsed="false" customWidth="true" hidden="false" outlineLevel="0" max="8" min="8" style="1" width="50"/>
  </cols>
  <sheetData>
    <row r="2" customFormat="false" ht="17.2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</row>
    <row r="6" customFormat="false" ht="31.5" hidden="false" customHeight="true" outlineLevel="0" collapsed="false">
      <c r="C6" s="5" t="s">
        <v>3</v>
      </c>
      <c r="D6" s="5"/>
      <c r="E6" s="5" t="s">
        <v>4</v>
      </c>
      <c r="F6" s="5"/>
      <c r="H6" s="6" t="s">
        <v>5</v>
      </c>
    </row>
    <row r="7" customFormat="false" ht="48" hidden="false" customHeight="true" outlineLevel="0" collapsed="false">
      <c r="B7" s="7" t="s">
        <v>6</v>
      </c>
      <c r="C7" s="8" t="n">
        <v>55</v>
      </c>
      <c r="D7" s="8"/>
      <c r="E7" s="8" t="n">
        <v>20</v>
      </c>
      <c r="F7" s="8"/>
      <c r="H7" s="9" t="s">
        <v>7</v>
      </c>
    </row>
    <row r="8" customFormat="false" ht="31.5" hidden="false" customHeight="true" outlineLevel="0" collapsed="false">
      <c r="B8" s="7" t="s">
        <v>8</v>
      </c>
      <c r="C8" s="10" t="n">
        <v>0.85</v>
      </c>
      <c r="D8" s="10"/>
      <c r="E8" s="10" t="n">
        <v>0.8</v>
      </c>
      <c r="F8" s="10"/>
      <c r="H8" s="9" t="s">
        <v>9</v>
      </c>
    </row>
    <row r="9" customFormat="false" ht="39.75" hidden="false" customHeight="true" outlineLevel="0" collapsed="false">
      <c r="B9" s="7" t="s">
        <v>10</v>
      </c>
      <c r="C9" s="8" t="n">
        <v>22</v>
      </c>
      <c r="D9" s="8"/>
      <c r="E9" s="8" t="n">
        <v>8</v>
      </c>
      <c r="F9" s="8"/>
      <c r="H9" s="9" t="s">
        <v>11</v>
      </c>
    </row>
    <row r="10" customFormat="false" ht="30" hidden="false" customHeight="true" outlineLevel="0" collapsed="false">
      <c r="B10" s="7" t="s">
        <v>12</v>
      </c>
      <c r="C10" s="10" t="n">
        <v>0.55</v>
      </c>
      <c r="D10" s="10"/>
      <c r="E10" s="10" t="n">
        <v>0.45</v>
      </c>
      <c r="F10" s="10"/>
      <c r="H10" s="9" t="s">
        <v>13</v>
      </c>
    </row>
    <row r="12" customFormat="false" ht="15" hidden="false" customHeight="true" outlineLevel="0" collapsed="false">
      <c r="B12" s="4" t="s">
        <v>14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7" t="s">
        <v>15</v>
      </c>
      <c r="C13" s="11" t="n">
        <v>5773</v>
      </c>
      <c r="D13" s="11"/>
      <c r="H13" s="9" t="s">
        <v>16</v>
      </c>
    </row>
    <row r="14" customFormat="false" ht="15" hidden="false" customHeight="true" outlineLevel="0" collapsed="false">
      <c r="B14" s="7" t="s">
        <v>17</v>
      </c>
      <c r="C14" s="11" t="n">
        <v>2281</v>
      </c>
      <c r="D14" s="11"/>
      <c r="H14" s="9" t="s">
        <v>18</v>
      </c>
    </row>
    <row r="15" customFormat="false" ht="15" hidden="false" customHeight="true" outlineLevel="0" collapsed="false">
      <c r="B15" s="7" t="s">
        <v>19</v>
      </c>
      <c r="C15" s="12" t="n">
        <v>18.6</v>
      </c>
      <c r="D15" s="12"/>
      <c r="H15" s="9" t="s">
        <v>20</v>
      </c>
    </row>
    <row r="16" customFormat="false" ht="21.75" hidden="false" customHeight="true" outlineLevel="0" collapsed="false">
      <c r="B16" s="7" t="s">
        <v>21</v>
      </c>
      <c r="C16" s="13" t="n">
        <v>84</v>
      </c>
      <c r="D16" s="13"/>
      <c r="H16" s="9" t="s">
        <v>22</v>
      </c>
    </row>
    <row r="18" customFormat="false" ht="15" hidden="false" customHeight="true" outlineLevel="0" collapsed="false">
      <c r="B18" s="4" t="s">
        <v>23</v>
      </c>
      <c r="C18" s="4"/>
      <c r="D18" s="4"/>
      <c r="E18" s="4"/>
      <c r="F18" s="4"/>
      <c r="G18" s="4"/>
      <c r="H18" s="4"/>
    </row>
    <row r="19" customFormat="false" ht="45" hidden="false" customHeight="true" outlineLevel="0" collapsed="false">
      <c r="B19" s="14"/>
      <c r="C19" s="15" t="s">
        <v>24</v>
      </c>
      <c r="D19" s="15" t="s">
        <v>25</v>
      </c>
      <c r="E19" s="15" t="s">
        <v>26</v>
      </c>
      <c r="F19" s="15" t="s">
        <v>27</v>
      </c>
      <c r="H19" s="16" t="s">
        <v>28</v>
      </c>
    </row>
    <row r="20" customFormat="false" ht="15" hidden="false" customHeight="true" outlineLevel="0" collapsed="false">
      <c r="B20" s="17" t="s">
        <v>29</v>
      </c>
      <c r="C20" s="18"/>
      <c r="D20" s="18"/>
      <c r="E20" s="18"/>
      <c r="F20" s="18"/>
    </row>
    <row r="21" customFormat="false" ht="15" hidden="false" customHeight="true" outlineLevel="0" collapsed="false">
      <c r="B21" s="7" t="s">
        <v>30</v>
      </c>
      <c r="C21" s="19" t="n">
        <f aca="false">C7</f>
        <v>55</v>
      </c>
      <c r="D21" s="19" t="n">
        <v>0</v>
      </c>
      <c r="E21" s="19" t="n">
        <v>0</v>
      </c>
      <c r="F21" s="19" t="n">
        <v>0</v>
      </c>
    </row>
    <row r="22" customFormat="false" ht="15" hidden="false" customHeight="true" outlineLevel="0" collapsed="false">
      <c r="B22" s="7" t="s">
        <v>31</v>
      </c>
      <c r="C22" s="19" t="n">
        <v>0</v>
      </c>
      <c r="D22" s="19" t="n">
        <f aca="false">C9</f>
        <v>22</v>
      </c>
      <c r="E22" s="19" t="n">
        <v>0</v>
      </c>
      <c r="F22" s="19" t="n">
        <f aca="false">C9</f>
        <v>22</v>
      </c>
    </row>
    <row r="23" customFormat="false" ht="15" hidden="false" customHeight="true" outlineLevel="0" collapsed="false">
      <c r="B23" s="7" t="s">
        <v>32</v>
      </c>
      <c r="C23" s="19" t="n">
        <f aca="false">E7</f>
        <v>20</v>
      </c>
      <c r="D23" s="19" t="n">
        <v>0</v>
      </c>
      <c r="E23" s="19" t="n">
        <v>0</v>
      </c>
      <c r="F23" s="19" t="n">
        <f aca="false">E7</f>
        <v>20</v>
      </c>
    </row>
    <row r="24" customFormat="false" ht="15" hidden="false" customHeight="true" outlineLevel="0" collapsed="false">
      <c r="B24" s="7" t="s">
        <v>33</v>
      </c>
      <c r="C24" s="19" t="n">
        <v>0</v>
      </c>
      <c r="D24" s="19" t="n">
        <f aca="false">E9</f>
        <v>8</v>
      </c>
      <c r="E24" s="19" t="n">
        <v>0</v>
      </c>
      <c r="F24" s="19" t="n">
        <v>0</v>
      </c>
    </row>
    <row r="25" customFormat="false" ht="15" hidden="false" customHeight="true" outlineLevel="0" collapsed="false">
      <c r="B25" s="17" t="s">
        <v>34</v>
      </c>
      <c r="C25" s="20" t="n">
        <f aca="false">SUM(C21:C24)</f>
        <v>75</v>
      </c>
      <c r="D25" s="20" t="n">
        <f aca="false">SUM(D21:D24)</f>
        <v>30</v>
      </c>
      <c r="E25" s="20" t="n">
        <f aca="false">SUM(E21:E24)</f>
        <v>0</v>
      </c>
      <c r="F25" s="20" t="n">
        <f aca="false">SUM(F21:F24)</f>
        <v>42</v>
      </c>
    </row>
    <row r="26" customFormat="false" ht="15" hidden="false" customHeight="true" outlineLevel="0" collapsed="false">
      <c r="B26" s="21" t="s">
        <v>35</v>
      </c>
      <c r="C26" s="22" t="n">
        <f aca="false">C25-$C$25</f>
        <v>0</v>
      </c>
      <c r="D26" s="22" t="n">
        <f aca="false">D25-$C$25</f>
        <v>-45</v>
      </c>
      <c r="E26" s="22" t="n">
        <f aca="false">E25-$C$25</f>
        <v>-75</v>
      </c>
      <c r="F26" s="22" t="n">
        <f aca="false">F25-$C$25</f>
        <v>-33</v>
      </c>
    </row>
    <row r="28" customFormat="false" ht="15" hidden="false" customHeight="true" outlineLevel="0" collapsed="false">
      <c r="B28" s="17" t="s">
        <v>36</v>
      </c>
      <c r="C28" s="18"/>
      <c r="D28" s="18"/>
      <c r="E28" s="18"/>
      <c r="F28" s="18"/>
    </row>
    <row r="29" customFormat="false" ht="15" hidden="false" customHeight="true" outlineLevel="0" collapsed="false">
      <c r="B29" s="7" t="s">
        <v>30</v>
      </c>
      <c r="C29" s="19" t="n">
        <f aca="false">C21*$C$8</f>
        <v>46.75</v>
      </c>
      <c r="D29" s="19" t="n">
        <f aca="false">D21*$C$8</f>
        <v>0</v>
      </c>
      <c r="E29" s="19" t="n">
        <f aca="false">E21*$C$8</f>
        <v>0</v>
      </c>
      <c r="F29" s="19" t="n">
        <f aca="false">F21*$C$8</f>
        <v>0</v>
      </c>
    </row>
    <row r="30" customFormat="false" ht="15" hidden="false" customHeight="true" outlineLevel="0" collapsed="false">
      <c r="B30" s="7" t="s">
        <v>31</v>
      </c>
      <c r="C30" s="19" t="n">
        <f aca="false">C22*$C$10</f>
        <v>0</v>
      </c>
      <c r="D30" s="19" t="n">
        <f aca="false">D22*$C$10</f>
        <v>12.1</v>
      </c>
      <c r="E30" s="19" t="n">
        <f aca="false">E22*$C$10</f>
        <v>0</v>
      </c>
      <c r="F30" s="19" t="n">
        <f aca="false">F22*$C$10</f>
        <v>12.1</v>
      </c>
    </row>
    <row r="31" customFormat="false" ht="15" hidden="false" customHeight="true" outlineLevel="0" collapsed="false">
      <c r="B31" s="7" t="s">
        <v>32</v>
      </c>
      <c r="C31" s="19" t="n">
        <f aca="false">C23*$E$8</f>
        <v>16</v>
      </c>
      <c r="D31" s="19" t="n">
        <f aca="false">D23*$E$8</f>
        <v>0</v>
      </c>
      <c r="E31" s="19" t="n">
        <f aca="false">E23*$E$8</f>
        <v>0</v>
      </c>
      <c r="F31" s="19" t="n">
        <f aca="false">F23*$E$8</f>
        <v>16</v>
      </c>
    </row>
    <row r="32" customFormat="false" ht="15" hidden="false" customHeight="true" outlineLevel="0" collapsed="false">
      <c r="B32" s="7" t="s">
        <v>33</v>
      </c>
      <c r="C32" s="19" t="n">
        <f aca="false">C24*$E$10</f>
        <v>0</v>
      </c>
      <c r="D32" s="19" t="n">
        <f aca="false">D24*$E$10</f>
        <v>3.6</v>
      </c>
      <c r="E32" s="19" t="n">
        <f aca="false">E24*$E$10</f>
        <v>0</v>
      </c>
      <c r="F32" s="19" t="n">
        <f aca="false">F24*$E$10</f>
        <v>0</v>
      </c>
    </row>
    <row r="33" customFormat="false" ht="15" hidden="false" customHeight="true" outlineLevel="0" collapsed="false">
      <c r="B33" s="17" t="s">
        <v>37</v>
      </c>
      <c r="C33" s="20" t="n">
        <f aca="false">SUM(C29:C32)</f>
        <v>62.75</v>
      </c>
      <c r="D33" s="20" t="n">
        <f aca="false">SUM(D29:D32)</f>
        <v>15.7</v>
      </c>
      <c r="E33" s="20" t="n">
        <f aca="false">SUM(E29:E32)</f>
        <v>0</v>
      </c>
      <c r="F33" s="20" t="n">
        <f aca="false">SUM(F29:F32)</f>
        <v>28.1</v>
      </c>
    </row>
    <row r="34" customFormat="false" ht="15" hidden="false" customHeight="true" outlineLevel="0" collapsed="false">
      <c r="B34" s="21" t="s">
        <v>38</v>
      </c>
      <c r="C34" s="22" t="n">
        <f aca="false">C33-$C$33</f>
        <v>0</v>
      </c>
      <c r="D34" s="22" t="n">
        <f aca="false">D33-$C$33</f>
        <v>-47.05</v>
      </c>
      <c r="E34" s="22" t="n">
        <f aca="false">E33-$C$33</f>
        <v>-62.75</v>
      </c>
      <c r="F34" s="22" t="n">
        <f aca="false">F33-$C$33</f>
        <v>-34.65</v>
      </c>
    </row>
    <row r="36" customFormat="false" ht="15" hidden="false" customHeight="true" outlineLevel="0" collapsed="false">
      <c r="B36" s="4" t="s">
        <v>39</v>
      </c>
      <c r="C36" s="4"/>
      <c r="D36" s="4"/>
      <c r="E36" s="4"/>
      <c r="F36" s="4"/>
      <c r="G36" s="4"/>
      <c r="H36" s="4"/>
    </row>
    <row r="37" customFormat="false" ht="15" hidden="false" customHeight="true" outlineLevel="0" collapsed="false">
      <c r="B37" s="7" t="s">
        <v>40</v>
      </c>
      <c r="C37" s="23" t="n">
        <f aca="false">$C$13+C26</f>
        <v>5773</v>
      </c>
      <c r="D37" s="23" t="n">
        <f aca="false">$C$13+D26</f>
        <v>5728</v>
      </c>
      <c r="E37" s="23" t="n">
        <f aca="false">$C$13+E26</f>
        <v>5698</v>
      </c>
      <c r="F37" s="23" t="n">
        <f aca="false">$C$13+F26</f>
        <v>5740</v>
      </c>
    </row>
    <row r="38" customFormat="false" ht="15" hidden="false" customHeight="true" outlineLevel="0" collapsed="false">
      <c r="B38" s="7" t="s">
        <v>41</v>
      </c>
      <c r="C38" s="23" t="n">
        <f aca="false">$C$14+C34</f>
        <v>2281</v>
      </c>
      <c r="D38" s="23" t="n">
        <f aca="false">$C$14+D34</f>
        <v>2233.95</v>
      </c>
      <c r="E38" s="23" t="n">
        <f aca="false">$C$14+E34</f>
        <v>2218.25</v>
      </c>
      <c r="F38" s="23" t="n">
        <f aca="false">$C$14+F34</f>
        <v>2246.35</v>
      </c>
    </row>
    <row r="39" customFormat="false" ht="15" hidden="false" customHeight="true" outlineLevel="0" collapsed="false">
      <c r="B39" s="7" t="s">
        <v>42</v>
      </c>
      <c r="C39" s="24" t="n">
        <f aca="false">C38/C37</f>
        <v>0.39511519140828</v>
      </c>
      <c r="D39" s="24" t="n">
        <f aca="false">D38/D37</f>
        <v>0.390005237430168</v>
      </c>
      <c r="E39" s="24" t="n">
        <f aca="false">E38/E37</f>
        <v>0.389303264303264</v>
      </c>
      <c r="F39" s="24" t="n">
        <f aca="false">F38/F37</f>
        <v>0.391350174216028</v>
      </c>
    </row>
    <row r="40" customFormat="false" ht="15" hidden="false" customHeight="true" outlineLevel="0" collapsed="false">
      <c r="B40" s="25" t="s">
        <v>43</v>
      </c>
      <c r="C40" s="26" t="n">
        <f aca="false">C38-$C$14</f>
        <v>0</v>
      </c>
      <c r="D40" s="26" t="n">
        <f aca="false">D38-$C$14</f>
        <v>-47.0500000000002</v>
      </c>
      <c r="E40" s="26" t="n">
        <f aca="false">E38-$C$14</f>
        <v>-62.75</v>
      </c>
      <c r="F40" s="26" t="n">
        <f aca="false">F38-$C$14</f>
        <v>-34.6500000000001</v>
      </c>
    </row>
    <row r="41" customFormat="false" ht="15" hidden="false" customHeight="true" outlineLevel="0" collapsed="false">
      <c r="B41" s="25" t="s">
        <v>44</v>
      </c>
      <c r="C41" s="27" t="n">
        <f aca="false">C40/$C$14</f>
        <v>0</v>
      </c>
      <c r="D41" s="27" t="n">
        <f aca="false">D40/$C$14</f>
        <v>-0.0206269180184131</v>
      </c>
      <c r="E41" s="27" t="n">
        <f aca="false">E40/$C$14</f>
        <v>-0.0275098640946953</v>
      </c>
      <c r="F41" s="27" t="n">
        <f aca="false">F40/$C$14</f>
        <v>-0.015190705830776</v>
      </c>
    </row>
    <row r="43" customFormat="false" ht="15" hidden="false" customHeight="true" outlineLevel="0" collapsed="false">
      <c r="B43" s="4" t="s">
        <v>45</v>
      </c>
      <c r="C43" s="4"/>
      <c r="D43" s="4"/>
      <c r="E43" s="4"/>
      <c r="F43" s="4"/>
      <c r="G43" s="4"/>
      <c r="H43" s="4"/>
    </row>
    <row r="44" customFormat="false" ht="15" hidden="false" customHeight="true" outlineLevel="0" collapsed="false">
      <c r="B44" s="7" t="s">
        <v>46</v>
      </c>
      <c r="C44" s="23" t="n">
        <f aca="false">C40*$C$15</f>
        <v>0</v>
      </c>
      <c r="D44" s="23" t="n">
        <f aca="false">D40*$C$15</f>
        <v>-875.130000000003</v>
      </c>
      <c r="E44" s="23" t="n">
        <f aca="false">E40*$C$15</f>
        <v>-1167.15</v>
      </c>
      <c r="F44" s="23" t="n">
        <f aca="false">F40*$C$15</f>
        <v>-644.490000000002</v>
      </c>
    </row>
    <row r="45" customFormat="false" ht="15" hidden="false" customHeight="true" outlineLevel="0" collapsed="false">
      <c r="B45" s="7" t="s">
        <v>47</v>
      </c>
      <c r="C45" s="28" t="n">
        <f aca="false">C44/$C$16</f>
        <v>0</v>
      </c>
      <c r="D45" s="28" t="n">
        <f aca="false">D44/$C$16</f>
        <v>-10.4182142857143</v>
      </c>
      <c r="E45" s="28" t="n">
        <f aca="false">E44/$C$16</f>
        <v>-13.8946428571429</v>
      </c>
      <c r="F45" s="28" t="n">
        <f aca="false">F44/$C$16</f>
        <v>-7.67250000000002</v>
      </c>
    </row>
    <row r="46" customFormat="false" ht="15" hidden="false" customHeight="true" outlineLevel="0" collapsed="false">
      <c r="B46" s="25" t="s">
        <v>48</v>
      </c>
      <c r="C46" s="29" t="n">
        <f aca="false">250+C45</f>
        <v>250</v>
      </c>
      <c r="D46" s="29" t="n">
        <f aca="false">250+D45</f>
        <v>239.581785714286</v>
      </c>
      <c r="E46" s="29" t="n">
        <f aca="false">250+E45</f>
        <v>236.105357142857</v>
      </c>
      <c r="F46" s="29" t="n">
        <f aca="false">250+F45</f>
        <v>242.3275</v>
      </c>
    </row>
    <row r="47" customFormat="false" ht="15" hidden="false" customHeight="true" outlineLevel="0" collapsed="false">
      <c r="B47" s="21" t="s">
        <v>49</v>
      </c>
      <c r="C47" s="30" t="n">
        <f aca="false">C45/250</f>
        <v>0</v>
      </c>
      <c r="D47" s="30" t="n">
        <f aca="false">D45/250</f>
        <v>-0.0416728571428573</v>
      </c>
      <c r="E47" s="30" t="n">
        <f aca="false">E45/250</f>
        <v>-0.0555785714285714</v>
      </c>
      <c r="F47" s="30" t="n">
        <f aca="false">F45/250</f>
        <v>-0.0306900000000001</v>
      </c>
    </row>
    <row r="49" customFormat="false" ht="15" hidden="false" customHeight="true" outlineLevel="0" collapsed="false">
      <c r="B49" s="4" t="s">
        <v>50</v>
      </c>
      <c r="C49" s="4"/>
      <c r="D49" s="4"/>
      <c r="E49" s="4"/>
      <c r="F49" s="4"/>
      <c r="G49" s="4"/>
      <c r="H49" s="4"/>
    </row>
    <row r="50" customFormat="false" ht="31.5" hidden="false" customHeight="true" outlineLevel="0" collapsed="false">
      <c r="B50" s="31" t="s">
        <v>51</v>
      </c>
      <c r="C50" s="31"/>
      <c r="D50" s="31"/>
      <c r="E50" s="31"/>
      <c r="F50" s="31"/>
      <c r="G50" s="31"/>
      <c r="H50" s="31"/>
    </row>
    <row r="51" customFormat="false" ht="31.5" hidden="false" customHeight="true" outlineLevel="0" collapsed="false">
      <c r="B51" s="31" t="s">
        <v>52</v>
      </c>
      <c r="C51" s="31"/>
      <c r="D51" s="31"/>
      <c r="E51" s="31"/>
      <c r="F51" s="31"/>
      <c r="G51" s="31"/>
      <c r="H51" s="31"/>
    </row>
    <row r="52" customFormat="false" ht="31.5" hidden="false" customHeight="true" outlineLevel="0" collapsed="false">
      <c r="B52" s="31" t="s">
        <v>53</v>
      </c>
      <c r="C52" s="31"/>
      <c r="D52" s="31"/>
      <c r="E52" s="31"/>
      <c r="F52" s="31"/>
      <c r="G52" s="31"/>
      <c r="H52" s="31"/>
    </row>
    <row r="53" customFormat="false" ht="31.5" hidden="false" customHeight="true" outlineLevel="0" collapsed="false">
      <c r="B53" s="31" t="s">
        <v>54</v>
      </c>
      <c r="C53" s="31"/>
      <c r="D53" s="31"/>
      <c r="E53" s="31"/>
      <c r="F53" s="31"/>
      <c r="G53" s="31"/>
      <c r="H53" s="31"/>
    </row>
    <row r="54" customFormat="false" ht="31.5" hidden="false" customHeight="true" outlineLevel="0" collapsed="false">
      <c r="B54" s="31" t="s">
        <v>55</v>
      </c>
      <c r="C54" s="31"/>
      <c r="D54" s="31"/>
      <c r="E54" s="31"/>
      <c r="F54" s="31"/>
      <c r="G54" s="31"/>
      <c r="H54" s="31"/>
    </row>
    <row r="56" customFormat="false" ht="15" hidden="false" customHeight="true" outlineLevel="0" collapsed="false">
      <c r="B56" s="32" t="s">
        <v>56</v>
      </c>
      <c r="C56" s="32"/>
      <c r="D56" s="32"/>
      <c r="E56" s="32"/>
      <c r="F56" s="32"/>
      <c r="G56" s="32"/>
      <c r="H56" s="32"/>
    </row>
    <row r="57" customFormat="false" ht="18" hidden="false" customHeight="true" outlineLevel="0" collapsed="false">
      <c r="B57" s="33" t="s">
        <v>57</v>
      </c>
      <c r="C57" s="33"/>
      <c r="D57" s="33"/>
      <c r="E57" s="33"/>
      <c r="F57" s="33"/>
      <c r="G57" s="33"/>
      <c r="H57" s="33"/>
    </row>
    <row r="58" customFormat="false" ht="18" hidden="false" customHeight="true" outlineLevel="0" collapsed="false">
      <c r="B58" s="33" t="s">
        <v>58</v>
      </c>
      <c r="C58" s="33"/>
      <c r="D58" s="33"/>
      <c r="E58" s="33"/>
      <c r="F58" s="33"/>
      <c r="G58" s="33"/>
      <c r="H58" s="33"/>
    </row>
    <row r="59" customFormat="false" ht="18" hidden="false" customHeight="true" outlineLevel="0" collapsed="false">
      <c r="B59" s="33" t="s">
        <v>59</v>
      </c>
      <c r="C59" s="33"/>
      <c r="D59" s="33"/>
      <c r="E59" s="33"/>
      <c r="F59" s="33"/>
      <c r="G59" s="33"/>
      <c r="H59" s="33"/>
    </row>
    <row r="60" customFormat="false" ht="18" hidden="false" customHeight="true" outlineLevel="0" collapsed="false">
      <c r="B60" s="33" t="s">
        <v>60</v>
      </c>
      <c r="C60" s="33"/>
      <c r="D60" s="33"/>
      <c r="E60" s="33"/>
      <c r="F60" s="33"/>
      <c r="G60" s="33"/>
      <c r="H60" s="33"/>
    </row>
    <row r="61" customFormat="false" ht="18" hidden="false" customHeight="true" outlineLevel="0" collapsed="false">
      <c r="B61" s="33" t="s">
        <v>61</v>
      </c>
      <c r="C61" s="33"/>
      <c r="D61" s="33"/>
      <c r="E61" s="33"/>
      <c r="F61" s="33"/>
      <c r="G61" s="33"/>
      <c r="H61" s="33"/>
    </row>
    <row r="62" customFormat="false" ht="18" hidden="false" customHeight="true" outlineLevel="0" collapsed="false">
      <c r="B62" s="33" t="s">
        <v>62</v>
      </c>
      <c r="C62" s="33"/>
      <c r="D62" s="33"/>
      <c r="E62" s="33"/>
      <c r="F62" s="33"/>
      <c r="G62" s="33"/>
      <c r="H62" s="33"/>
    </row>
  </sheetData>
  <mergeCells count="34">
    <mergeCell ref="B2:H2"/>
    <mergeCell ref="B3:H3"/>
    <mergeCell ref="B5:H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B12:H12"/>
    <mergeCell ref="C13:D13"/>
    <mergeCell ref="C14:D14"/>
    <mergeCell ref="C15:D15"/>
    <mergeCell ref="C16:D16"/>
    <mergeCell ref="B18:H18"/>
    <mergeCell ref="B36:H36"/>
    <mergeCell ref="B43:H43"/>
    <mergeCell ref="B49:H49"/>
    <mergeCell ref="B50:H50"/>
    <mergeCell ref="B51:H51"/>
    <mergeCell ref="B52:H52"/>
    <mergeCell ref="B53:H53"/>
    <mergeCell ref="B54:H54"/>
    <mergeCell ref="B56:H56"/>
    <mergeCell ref="B57:H57"/>
    <mergeCell ref="B58:H58"/>
    <mergeCell ref="B59:H59"/>
    <mergeCell ref="B60:H60"/>
    <mergeCell ref="B61:H61"/>
    <mergeCell ref="B62:H6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2026-04-23T15:42:43Z</dcterms:created>
  <dc:creator>openpyxl</dc:creator>
  <dc:description/>
  <dc:language>en-US</dc:language>
  <cp:lastModifiedBy/>
  <dcterms:modified xsi:type="dcterms:W3CDTF">2026-04-23T15:43:47Z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