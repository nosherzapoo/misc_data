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Sponsorship Tracker" sheetId="1" state="visible" r:id="rId3"/>
    <sheet name="2. Sponsorship Build" sheetId="2" state="visible" r:id="rId4"/>
    <sheet name="3. Licensing Sizing" sheetId="3" state="visible" r:id="rId5"/>
    <sheet name="4. Media Renewals" sheetId="4" state="visible" r:id="rId6"/>
    <sheet name="5. Exhibit Takeaway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<sst xmlns="http://schemas.openxmlformats.org/spreadsheetml/2006/main" count="288" uniqueCount="262">
  <si>
    <t xml:space="preserve">F1 league-level commercial deal flow, 2026 YTD (Exhibit A)</t>
  </si>
  <si>
    <t xml:space="preserve">Q2/early-Q3 2026 dataflow highlighted in yellow. Est. annual values are BernE illustrative unless publicly reported.</t>
  </si>
  <si>
    <t xml:space="preserve">Partner</t>
  </si>
  <si>
    <t xml:space="preserve">Announced</t>
  </si>
  <si>
    <t xml:space="preserve">Designation / tier</t>
  </si>
  <si>
    <t xml:space="preserve">Category</t>
  </si>
  <si>
    <t xml:space="preserve">Deal type</t>
  </si>
  <si>
    <t xml:space="preserve">Est. annual value ($M, BernE)</t>
  </si>
  <si>
    <t xml:space="preserve">Whitespace category closed (vs. May-26 map)?</t>
  </si>
  <si>
    <t xml:space="preserve">Notes</t>
  </si>
  <si>
    <t xml:space="preserve">Standard Chartered</t>
  </si>
  <si>
    <t xml:space="preserve">Jan-26</t>
  </si>
  <si>
    <t xml:space="preserve">Official Wealth Management + CIB Partner</t>
  </si>
  <si>
    <t xml:space="preserve">Financial services</t>
  </si>
  <si>
    <t xml:space="preserve">New logo</t>
  </si>
  <si>
    <t xml:space="preserve">No (fin. svcs already saturated)</t>
  </si>
  <si>
    <t xml:space="preserve">Multi-year from 2026; includes F1 Academy sponsorship; presence in 19 of 21 race markets</t>
  </si>
  <si>
    <t xml:space="preserve">Marsh</t>
  </si>
  <si>
    <t xml:space="preserve">Apr-26</t>
  </si>
  <si>
    <t xml:space="preserve">Official Risk Partner / Official Insurance Brokering Partner</t>
  </si>
  <si>
    <t xml:space="preserve">Insurance</t>
  </si>
  <si>
    <t xml:space="preserve">YES - Insurance ($15-25M mapped)</t>
  </si>
  <si>
    <t xml:space="preserve">First league-level insurance partner; closes a category we flagged as zero-presence</t>
  </si>
  <si>
    <t xml:space="preserve">FanDuel / Betway</t>
  </si>
  <si>
    <t xml:space="preserve">2025 season</t>
  </si>
  <si>
    <t xml:space="preserve">Official Partners</t>
  </si>
  <si>
    <t xml:space="preserve">Betting / gaming</t>
  </si>
  <si>
    <t xml:space="preserve">New logos</t>
  </si>
  <si>
    <t xml:space="preserve">YES - Betting ($15M mapped)</t>
  </si>
  <si>
    <t xml:space="preserve">Both active on 2026 renewal grid (2030 expiries)</t>
  </si>
  <si>
    <t xml:space="preserve">T-Mobile</t>
  </si>
  <si>
    <t xml:space="preserve">Nov-25</t>
  </si>
  <si>
    <t xml:space="preserve">Regional 5G Innovation Partner (US) + exclusive 5G Partner, Las Vegas GP</t>
  </si>
  <si>
    <t xml:space="preserve">Telecom (US regional)</t>
  </si>
  <si>
    <t xml:space="preserve">Partial - global telecom still open</t>
  </si>
  <si>
    <t xml:space="preserve">US-regional only; the 21-country global telecom slot remains whitespace</t>
  </si>
  <si>
    <t xml:space="preserve">Salesforce</t>
  </si>
  <si>
    <t xml:space="preserve">Q1-26</t>
  </si>
  <si>
    <t xml:space="preserve">Official Partner (extension to 2030)</t>
  </si>
  <si>
    <t xml:space="preserve">Technology</t>
  </si>
  <si>
    <t xml:space="preserve">Renewal</t>
  </si>
  <si>
    <t xml:space="preserve">n/a (renewal)</t>
  </si>
  <si>
    <t xml:space="preserve">Agentforce 360 fan companion; extended before Apple's first US race aired</t>
  </si>
  <si>
    <t xml:space="preserve">Allwyn</t>
  </si>
  <si>
    <t xml:space="preserve">Official Partner (renewal)</t>
  </si>
  <si>
    <t xml:space="preserve">Lottery / gaming</t>
  </si>
  <si>
    <t xml:space="preserve">Part of six league deals signed pre-Apple US debut</t>
  </si>
  <si>
    <t xml:space="preserve">Fever</t>
  </si>
  <si>
    <t xml:space="preserve">Jul-26</t>
  </si>
  <si>
    <t xml:space="preserve">Official Supplier (live-entertainment technology)</t>
  </si>
  <si>
    <t xml:space="preserve">Live entertainment / experiences</t>
  </si>
  <si>
    <t xml:space="preserve">New supplier</t>
  </si>
  <si>
    <t xml:space="preserve">No (new experiential category)</t>
  </si>
  <si>
    <t xml:space="preserve">Long-term deal; extends F1's location-based-experience distribution stack</t>
  </si>
  <si>
    <t xml:space="preserve">LVMH (Louis Vuitton)</t>
  </si>
  <si>
    <t xml:space="preserve">Jun-26 activation</t>
  </si>
  <si>
    <t xml:space="preserve">Title Partner, Monaco GP 2026</t>
  </si>
  <si>
    <t xml:space="preserve">Luxury</t>
  </si>
  <si>
    <t xml:space="preserve">Activation under 10-yr deal</t>
  </si>
  <si>
    <t xml:space="preserve">n/a (existing $150M/yr anchor)</t>
  </si>
  <si>
    <t xml:space="preserve">Second season of 10-yr Global Luxury Partnership; Monaco title + trophy trunks</t>
  </si>
  <si>
    <t xml:space="preserve">MSC Cruises</t>
  </si>
  <si>
    <t xml:space="preserve">Title Partner, Barcelona-Catalunya GP 2026</t>
  </si>
  <si>
    <t xml:space="preserve">Travel / cruise</t>
  </si>
  <si>
    <t xml:space="preserve">Activation</t>
  </si>
  <si>
    <t xml:space="preserve">n/a (existing partner)</t>
  </si>
  <si>
    <t xml:space="preserve">Race-title inventory continues to be sold at premium; renewal due 2027</t>
  </si>
  <si>
    <t xml:space="preserve">Disney (Mickey &amp; Friends)</t>
  </si>
  <si>
    <t xml:space="preserve">Oct-25 (program runs 2026-27)</t>
  </si>
  <si>
    <t xml:space="preserve">Licensing &amp; promotional collaboration</t>
  </si>
  <si>
    <t xml:space="preserve">Consumer products / family</t>
  </si>
  <si>
    <t xml:space="preserve">Licensing collab</t>
  </si>
  <si>
    <t xml:space="preserve">n/a (licensing line)</t>
  </si>
  <si>
    <t xml:space="preserve">'Fuel the Magic' merch debuted at Las Vegas Hub; retail via DisneyStore.com</t>
  </si>
  <si>
    <t xml:space="preserve">Total est. annual value shown</t>
  </si>
  <si>
    <t xml:space="preserve">Whitespace map update (vs. our May-26 FWONK note, Exhibit 3: $120-220M across nine categories)</t>
  </si>
  <si>
    <t xml:space="preserve">May-26 status</t>
  </si>
  <si>
    <t xml:space="preserve">Jul-26 status</t>
  </si>
  <si>
    <t xml:space="preserve">Est. whitespace then ($M, low)</t>
  </si>
  <si>
    <t xml:space="preserve">Est. whitespace then ($M, high)</t>
  </si>
  <si>
    <t xml:space="preserve">Est. whitespace now ($M, low)</t>
  </si>
  <si>
    <t xml:space="preserve">Est. whitespace now ($M, high)</t>
  </si>
  <si>
    <t xml:space="preserve">Automotive / EV</t>
  </si>
  <si>
    <t xml:space="preserve">Open</t>
  </si>
  <si>
    <t xml:space="preserve">Still open (Audi + Cadillac on grid; no series deal)</t>
  </si>
  <si>
    <t xml:space="preserve">Zero presence</t>
  </si>
  <si>
    <t xml:space="preserve">CLOSED - Marsh (Apr-26)</t>
  </si>
  <si>
    <t xml:space="preserve">Telecom (global)</t>
  </si>
  <si>
    <t xml:space="preserve">Partially addressed (T-Mobile US-regional only)</t>
  </si>
  <si>
    <t xml:space="preserve">Pharma / Healthcare</t>
  </si>
  <si>
    <t xml:space="preserve">Still open</t>
  </si>
  <si>
    <t xml:space="preserve">Sportswear / Athleisure</t>
  </si>
  <si>
    <t xml:space="preserve">Consumer Electronics</t>
  </si>
  <si>
    <t xml:space="preserve">E-Commerce / Retail</t>
  </si>
  <si>
    <t xml:space="preserve">Hotels / Hospitality</t>
  </si>
  <si>
    <t xml:space="preserve">Still open (Fever supplier deal adjacent, not a sponsor)</t>
  </si>
  <si>
    <t xml:space="preserve">Beauty / Cosmetics</t>
  </si>
  <si>
    <t xml:space="preserve">Still open (LVMH halo)</t>
  </si>
  <si>
    <t xml:space="preserve">Betting / Gaming (2025 adds)</t>
  </si>
  <si>
    <t xml:space="preserve">Newly opened</t>
  </si>
  <si>
    <t xml:space="preserve">CLOSED - FanDuel, Betway</t>
  </si>
  <si>
    <t xml:space="preserve">Total</t>
  </si>
  <si>
    <t xml:space="preserve">Sources: Formula 1 corporate press releases (Standard Chartered Jan-26; Marsh Apr-26; ServusTV Jun-26), Sky Group, SportsPro, BlackBook Motorsport, Sportcal, LVMH, RacingNews365, Bernstein estimates and analysis. Blue = BernE hardcoded estimate/input.</t>
  </si>
  <si>
    <t xml:space="preserve">F1 sponsorship revenue build and mix (Exhibit B)</t>
  </si>
  <si>
    <t xml:space="preserve">Updates the sponsorship trajectory from our 7-May-26 note with 2Q26 dataflow. Blue cells = inputs/estimates.</t>
  </si>
  <si>
    <t xml:space="preserve">($M unless noted)</t>
  </si>
  <si>
    <t xml:space="preserve">2017A</t>
  </si>
  <si>
    <t xml:space="preserve">2024A</t>
  </si>
  <si>
    <t xml:space="preserve">2025A</t>
  </si>
  <si>
    <t xml:space="preserve">2026E</t>
  </si>
  <si>
    <t xml:space="preserve">2027E</t>
  </si>
  <si>
    <t xml:space="preserve">2028E</t>
  </si>
  <si>
    <t xml:space="preserve">F1 sponsorship / advertising revenue</t>
  </si>
  <si>
    <t xml:space="preserve">F1 primary revenue</t>
  </si>
  <si>
    <t xml:space="preserve">Sponsorship as % of primary revenue</t>
  </si>
  <si>
    <t xml:space="preserve">Y/Y growth</t>
  </si>
  <si>
    <t xml:space="preserve">Drivers of the 2026E-2028E step-up (per 7-May-26 note, updated)</t>
  </si>
  <si>
    <t xml:space="preserve">LVMH at full activation (yr 2 of 10)</t>
  </si>
  <si>
    <t xml:space="preserve">$150M/yr anchor; Monaco title activation Jun-26 confirms marquee inventory pricing</t>
  </si>
  <si>
    <t xml:space="preserve">Contractual escalators on existing partners</t>
  </si>
  <si>
    <t xml:space="preserve">Standard 3-5% on ~$700M+ base = $25-35M/yr</t>
  </si>
  <si>
    <t xml:space="preserve">2026 cohort annualizing</t>
  </si>
  <si>
    <t xml:space="preserve">Standard Chartered, Marsh, FanDuel, Betway, Allwyn renewal, Salesforce extension: six deals signed before Apple's first US race aired</t>
  </si>
  <si>
    <t xml:space="preserve">Remaining whitespace conversion</t>
  </si>
  <si>
    <t xml:space="preserve">~$105-195M still open across seven categories (see Tab 1) vs. $120-220M in May</t>
  </si>
  <si>
    <t xml:space="preserve">2027 renewal cohort (leading indicator)</t>
  </si>
  <si>
    <t xml:space="preserve">~$145M up for renewal: Rolex, Pirelli, MSC, Lenovo, Santander; first major post-Apple batch</t>
  </si>
  <si>
    <t xml:space="preserve">2030 renewal wall</t>
  </si>
  <si>
    <t xml:space="preserve">~$255M rolls in one year (Aramco, Heineken, Salesforce, Crypto.com, Qatar Airways, PepsiCo, Allwyn, FanDuel, Betway); bull-case 15-20% renewal pricing = $60-80M incremental by 2030</t>
  </si>
  <si>
    <t xml:space="preserve">Sources: Company reports, Liberty Media earnings materials, SportsPro (2017 base), BlackBook Motorsport, Bernstein estimates and analysis. 2024A sponsorship = 18.6% of primary revenue per company disclosure.</t>
  </si>
  <si>
    <t xml:space="preserve">How big can F1 licensing get? Bottom-up illustrative build (Exhibit C)</t>
  </si>
  <si>
    <t xml:space="preserve">F1 does not disclose licensing separately (sits in 'other F1 revenue' with Paddock Club, F1 TV, freight, TV production). All royalty figures are BernE illustrative estimates anchored to named programs.</t>
  </si>
  <si>
    <t xml:space="preserve">Anchor program(s)</t>
  </si>
  <si>
    <t xml:space="preserve">Status</t>
  </si>
  <si>
    <t xml:space="preserve">Est. royalty run-rate 2026E ($M, low)</t>
  </si>
  <si>
    <t xml:space="preserve">Est. royalty run-rate 2026E ($M, high)</t>
  </si>
  <si>
    <t xml:space="preserve">2030E potential ($M, low)</t>
  </si>
  <si>
    <t xml:space="preserve">2030E potential ($M, high)</t>
  </si>
  <si>
    <t xml:space="preserve">Logic</t>
  </si>
  <si>
    <t xml:space="preserve">Video games</t>
  </si>
  <si>
    <t xml:space="preserve">EA Sports F1 (annual franchise); F1 25 featured APXGP movie tie-in</t>
  </si>
  <si>
    <t xml:space="preserve">Live</t>
  </si>
  <si>
    <t xml:space="preserve">Annualized franchise royalty; audience growth + movie halo</t>
  </si>
  <si>
    <t xml:space="preserve">Construction toys</t>
  </si>
  <si>
    <t xml:space="preserve">LEGO F1 (all teams, Duplo to Technic); Silverstone kart parade Jul-26</t>
  </si>
  <si>
    <t xml:space="preserve">Live; LEGO cites F1 among drivers of record H1 revenue</t>
  </si>
  <si>
    <t xml:space="preserve">Speed Champions consumer sales +16% in 2025 vs. +7% toy industry; multi-generational, multi-gender per LEGO CPMO</t>
  </si>
  <si>
    <t xml:space="preserve">Die-cast / collectible toys</t>
  </si>
  <si>
    <t xml:space="preserve">Mattel Hot Wheels (150+ countries); F1 Movie APXGP die-cast</t>
  </si>
  <si>
    <t xml:space="preserve">$5 mass price point to $50+ premium tiers; staggered drops</t>
  </si>
  <si>
    <t xml:space="preserve">Apparel</t>
  </si>
  <si>
    <t xml:space="preserve">Puma master license; Pacsun (renewed); driver/team lines</t>
  </si>
  <si>
    <t xml:space="preserve">Fashion crossover; LVMH halo; 40%+ female, under-35 skew</t>
  </si>
  <si>
    <t xml:space="preserve">Trading cards / memorabilia</t>
  </si>
  <si>
    <t xml:space="preserve">Topps (renewed); The Memento Group</t>
  </si>
  <si>
    <t xml:space="preserve">Collectibles cycle plus authenticated memorabilia</t>
  </si>
  <si>
    <t xml:space="preserve">Location-based entertainment</t>
  </si>
  <si>
    <t xml:space="preserve">F1 Arcade, F1 Exhibition, F1 Drive; Fever supplier deal (Jul-26)</t>
  </si>
  <si>
    <t xml:space="preserve">Scaling</t>
  </si>
  <si>
    <t xml:space="preserve">Venue royalties/fees; Fever partnership extends distribution</t>
  </si>
  <si>
    <t xml:space="preserve">Film &amp; premium content</t>
  </si>
  <si>
    <t xml:space="preserve">F1 The Movie (Apple; highest-grossing Apple theatrical, ~$630M WW); sequel in development</t>
  </si>
  <si>
    <t xml:space="preserve">Sequel gears turning per Variety</t>
  </si>
  <si>
    <t xml:space="preserve">Rights fees + merch halo; sequel re-runs the 2025 playbook</t>
  </si>
  <si>
    <t xml:space="preserve">Family / character collabs</t>
  </si>
  <si>
    <t xml:space="preserve">Disney Mickey &amp; Friends 'Fuel the Magic' (2026-27)</t>
  </si>
  <si>
    <t xml:space="preserve">DisneyStore.com distribution puts F1 into mainstream kids retail</t>
  </si>
  <si>
    <t xml:space="preserve">Total (BernE illustrative)</t>
  </si>
  <si>
    <t xml:space="preserve">Context and cross-checks</t>
  </si>
  <si>
    <t xml:space="preserve">'Other F1 revenue' (incl. licensing, Paddock Club, F1 TV, freight, TV production), FY2025</t>
  </si>
  <si>
    <t xml:space="preserve">Company reports (sum of quarterly other F1 revenue)</t>
  </si>
  <si>
    <t xml:space="preserve">F1 global fan base (M)</t>
  </si>
  <si>
    <t xml:space="preserve">Company disclosure</t>
  </si>
  <si>
    <t xml:space="preserve">2026E midpoint royalty total ($M)</t>
  </si>
  <si>
    <t xml:space="preserve">Implied royalty per fan ($)</t>
  </si>
  <si>
    <t xml:space="preserve">2030E midpoint royalty total ($M)</t>
  </si>
  <si>
    <t xml:space="preserve">Sources: License Global, CNBC (Lego, Dec-25), The Race (Jul-26), SportsPro, Variety, Deadline, Formula 1 disclosures, Bernstein estimates and analysis. Illustrative only; F1 does not break out licensing.</t>
  </si>
  <si>
    <t xml:space="preserve">European media rights: Spain live, Germany loaded, Austria done (Exhibit D)</t>
  </si>
  <si>
    <t xml:space="preserve">Focus markets vs. renewal benchmarks. Blue = BernE estimates; values converted at ~1.08 USD/EUR where needed.</t>
  </si>
  <si>
    <t xml:space="preserve">Market</t>
  </si>
  <si>
    <t xml:space="preserve">Incumbent(s)</t>
  </si>
  <si>
    <t xml:space="preserve">Current deal window</t>
  </si>
  <si>
    <t xml:space="preserve">Est. current AAV (EUR M/yr)</t>
  </si>
  <si>
    <t xml:space="preserve">Status (Jul-26)</t>
  </si>
  <si>
    <t xml:space="preserve">Credible suitors</t>
  </si>
  <si>
    <t xml:space="preserve">Key dynamics</t>
  </si>
  <si>
    <t xml:space="preserve">BernE renewal AAV (EUR M/yr, low)</t>
  </si>
  <si>
    <t xml:space="preserve">BernE renewal AAV (EUR M/yr, high)</t>
  </si>
  <si>
    <t xml:space="preserve">Spain</t>
  </si>
  <si>
    <t xml:space="preserve">DAZN (exclusive; Mediaset FTA sublicense for Spanish GP)</t>
  </si>
  <si>
    <t xml:space="preserve">2024-2026</t>
  </si>
  <si>
    <t xml:space="preserve">LIVE NEGOTIATION - expires end-2026; DAZN preparing renewal (El Confidencial Digital, Jan-26)</t>
  </si>
  <si>
    <t xml:space="preserve">DAZN (incumbent, deepened Movistar+ alliance); Movistar Plus+/Telefonica (prior holder at EUR 65M/yr, 2020-23); Mediaset (FTA); opportunistic streamers</t>
  </si>
  <si>
    <t xml:space="preserve">Two Spanish GPs from 2026 (Madrid 'Madring' debut Sep-26 + Barcelona); Alonso/Sainz on grid; prior cycle actually stepped DOWN from EUR 65M to EUR 55M - re-rating overdue</t>
  </si>
  <si>
    <t xml:space="preserve">Germany</t>
  </si>
  <si>
    <t xml:space="preserve">Sky Deutschland (pay; FTA sublicense unresolved since RTL exit)</t>
  </si>
  <si>
    <t xml:space="preserve">2021-2027</t>
  </si>
  <si>
    <t xml:space="preserve">LOADED - excluded from May-26 early Sky renewals; RTL takeover of Sky Deutschland cleared by EU Commission</t>
  </si>
  <si>
    <t xml:space="preserve">RTL/Sky combined entity (natural owner: pay + FTA + ad sales via Ad Alliance); ProSiebenSat.1 (historically cool); DAZN Germany; streamers</t>
  </si>
  <si>
    <t xml:space="preserve">F1 renewed Sky Italia early to 2032 and Sky UK early to 2034 but left Germany out - keeps Germany in play for the merged RTL/Sky to bid up; Audi works debut + Cadillac raise national interest; German market pressure visible (Screenforce, Jul-26)</t>
  </si>
  <si>
    <t xml:space="preserve">Austria</t>
  </si>
  <si>
    <t xml:space="preserve">ServusTV (FTA; ORF sub-license through 2026); Sky pay-TV to 2027</t>
  </si>
  <si>
    <t xml:space="preserve">FTA now extended to 2029</t>
  </si>
  <si>
    <t xml:space="preserve">RESOLVED - ServusTV extension announced 26-Jun-26 (through 2029 season)</t>
  </si>
  <si>
    <t xml:space="preserve">n/a - done; ORF sub-license for 2027-29 TBD</t>
  </si>
  <si>
    <t xml:space="preserve">Red Bull-owned ServusTV locks FTA continuity around the home race; removes a small but visible open item and extends F1's premium FTA pricing in a Red Bull market</t>
  </si>
  <si>
    <t xml:space="preserve">Focus-market total</t>
  </si>
  <si>
    <t xml:space="preserve">Implied uplift vs. current (%)</t>
  </si>
  <si>
    <t xml:space="preserve">Renewal benchmarks (the tape says step-ups, struck early)</t>
  </si>
  <si>
    <t xml:space="preserve">Old deal</t>
  </si>
  <si>
    <t xml:space="preserve">New deal</t>
  </si>
  <si>
    <t xml:space="preserve">Known economics / step-up</t>
  </si>
  <si>
    <t xml:space="preserve">US</t>
  </si>
  <si>
    <t xml:space="preserve">ESPN, ~$85-90M/yr through 2025</t>
  </si>
  <si>
    <t xml:space="preserve">Apple, from 2026</t>
  </si>
  <si>
    <t xml:space="preserve">2025</t>
  </si>
  <si>
    <t xml:space="preserve">$150M/yr reported = ~1.7x step-up; struck on F1 Movie halo</t>
  </si>
  <si>
    <t xml:space="preserve">UK &amp; Ireland</t>
  </si>
  <si>
    <t xml:space="preserve">Sky Sports to 2029 (~GBP 195M/yr est.)</t>
  </si>
  <si>
    <t xml:space="preserve">Sky Sports extended to 2034</t>
  </si>
  <si>
    <t xml:space="preserve">May-26</t>
  </si>
  <si>
    <t xml:space="preserve">Renewed 3+ years EARLY; terms n/d - early renewal at scale signals pricing power</t>
  </si>
  <si>
    <t xml:space="preserve">Italy</t>
  </si>
  <si>
    <t xml:space="preserve">Sky Italia to 2027</t>
  </si>
  <si>
    <t xml:space="preserve">Sky Italia extended to 2032</t>
  </si>
  <si>
    <t xml:space="preserve">Renewed early with F2/F3/F1 Academy/Porsche Supercup bundled; terms n/d</t>
  </si>
  <si>
    <t xml:space="preserve">Austria (FTA)</t>
  </si>
  <si>
    <t xml:space="preserve">ServusTV/ORF to 2026</t>
  </si>
  <si>
    <t xml:space="preserve">ServusTV to 2029</t>
  </si>
  <si>
    <t xml:space="preserve">Jun-26</t>
  </si>
  <si>
    <t xml:space="preserve">Continuity locked a season early</t>
  </si>
  <si>
    <t xml:space="preserve">Belgium (FTA)</t>
  </si>
  <si>
    <t xml:space="preserve">RTBF</t>
  </si>
  <si>
    <t xml:space="preserve">RTBF to 2027</t>
  </si>
  <si>
    <t xml:space="preserve">2023</t>
  </si>
  <si>
    <t xml:space="preserve">Four-season renewal</t>
  </si>
  <si>
    <t xml:space="preserve">Sources: Formula 1 corporate releases (ServusTV Jun-26), Sky Group, motorsport-total.com (May-26), Sportcal, BlackBook Motorsport, cveintiuno / 2Playbook (DAZN EUR 55M), GPBlog/Bild (Sky DE EUR 50-55M), diemedien.at, El Confidencial Digital (Jan-26), Puck/Business Insider (Apple US $150M), Bernstein estimates and analysis.</t>
  </si>
  <si>
    <t xml:space="preserve">Suggested exhibit titles and takeaways (Bernstein house style: takeaway-as-title)</t>
  </si>
  <si>
    <t xml:space="preserve">Exhibit</t>
  </si>
  <si>
    <t xml:space="preserve">Source tab</t>
  </si>
  <si>
    <t xml:space="preserve">Suggested title / takeaway</t>
  </si>
  <si>
    <t xml:space="preserve">Chart guidance</t>
  </si>
  <si>
    <t xml:space="preserve">A</t>
  </si>
  <si>
    <t xml:space="preserve">1. Sponsorship Tracker</t>
  </si>
  <si>
    <t xml:space="preserve">Six league-level deals signed before Apple's first US race aired - the 2-year sponsorship lag is compressing at F1</t>
  </si>
  <si>
    <t xml:space="preserve">Table; highlight Q2 rows; footnote BernE values</t>
  </si>
  <si>
    <t xml:space="preserve">A2</t>
  </si>
  <si>
    <t xml:space="preserve">1. Sponsorship Tracker (lower)</t>
  </si>
  <si>
    <t xml:space="preserve">Two of nine whitespace categories closed since our May map; ~$105-195M remains open</t>
  </si>
  <si>
    <t xml:space="preserve">Before/after bar or table; Marsh + betting shaded as closed</t>
  </si>
  <si>
    <t xml:space="preserve">B</t>
  </si>
  <si>
    <t xml:space="preserve">2. Sponsorship Build</t>
  </si>
  <si>
    <t xml:space="preserve">Sponsorship approaches ~$1.1B by FY2027 and holds ~30% of primary revenue - the fastest-compounding line in the model</t>
  </si>
  <si>
    <t xml:space="preserve">Stacked bar (media rights / race promo / sponsorship) with sponsorship % labels; reuse May note format</t>
  </si>
  <si>
    <t xml:space="preserve">C</t>
  </si>
  <si>
    <t xml:space="preserve">3. Licensing Sizing</t>
  </si>
  <si>
    <t xml:space="preserve">Licensing is the unmodeled line: a ~$80-150M royalty base today with a credible path toward $175-310M by 2030</t>
  </si>
  <si>
    <t xml:space="preserve">Waterfall or stacked bar by category; label per-fan royalty vs. US league benchmarks</t>
  </si>
  <si>
    <t xml:space="preserve">D</t>
  </si>
  <si>
    <t xml:space="preserve">4. Media Renewals</t>
  </si>
  <si>
    <t xml:space="preserve">Spain is live, Germany is loaded: EUR 120M of European AAV renews into a market that just re-signed the UK to 2034 and Italy to 2032 early</t>
  </si>
  <si>
    <t xml:space="preserve">Table with status column color-coded (live / loaded / resolved); benchmark step-up panel below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</si>
</sst>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%"/>
    <numFmt numFmtId="167" formatCode="#,##0"/>
    <numFmt numFmtId="168" formatCode="\$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38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6"/>
    <col collapsed="false" customWidth="true" hidden="false" outlineLevel="0" max="8" min="8" style="0" width="5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3.8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5" t="n">
        <v>18</v>
      </c>
      <c r="G5" s="4" t="s">
        <v>15</v>
      </c>
      <c r="H5" s="4" t="s">
        <v>16</v>
      </c>
    </row>
    <row r="6" customFormat="false" ht="23.85" hidden="false" customHeight="false" outlineLevel="0" collapsed="false">
      <c r="A6" s="6" t="s">
        <v>17</v>
      </c>
      <c r="B6" s="6" t="s">
        <v>18</v>
      </c>
      <c r="C6" s="6" t="s">
        <v>19</v>
      </c>
      <c r="D6" s="6" t="s">
        <v>20</v>
      </c>
      <c r="E6" s="6" t="s">
        <v>14</v>
      </c>
      <c r="F6" s="7" t="n">
        <v>12</v>
      </c>
      <c r="G6" s="6" t="s">
        <v>21</v>
      </c>
      <c r="H6" s="6" t="s">
        <v>22</v>
      </c>
    </row>
    <row r="7" customFormat="false" ht="15" hidden="false" customHeight="false" outlineLevel="0" collapsed="false">
      <c r="A7" s="4" t="s">
        <v>23</v>
      </c>
      <c r="B7" s="4" t="s">
        <v>24</v>
      </c>
      <c r="C7" s="4" t="s">
        <v>25</v>
      </c>
      <c r="D7" s="4" t="s">
        <v>26</v>
      </c>
      <c r="E7" s="4" t="s">
        <v>27</v>
      </c>
      <c r="F7" s="5" t="n">
        <v>25</v>
      </c>
      <c r="G7" s="4" t="s">
        <v>28</v>
      </c>
      <c r="H7" s="4" t="s">
        <v>29</v>
      </c>
    </row>
    <row r="8" customFormat="false" ht="23.85" hidden="false" customHeight="false" outlineLevel="0" collapsed="false">
      <c r="A8" s="4" t="s">
        <v>30</v>
      </c>
      <c r="B8" s="4" t="s">
        <v>31</v>
      </c>
      <c r="C8" s="4" t="s">
        <v>32</v>
      </c>
      <c r="D8" s="4" t="s">
        <v>33</v>
      </c>
      <c r="E8" s="4" t="s">
        <v>14</v>
      </c>
      <c r="F8" s="5" t="n">
        <v>8</v>
      </c>
      <c r="G8" s="4" t="s">
        <v>34</v>
      </c>
      <c r="H8" s="4" t="s">
        <v>35</v>
      </c>
    </row>
    <row r="9" customFormat="false" ht="23.85" hidden="false" customHeight="false" outlineLevel="0" collapsed="false">
      <c r="A9" s="4" t="s">
        <v>36</v>
      </c>
      <c r="B9" s="4" t="s">
        <v>37</v>
      </c>
      <c r="C9" s="4" t="s">
        <v>38</v>
      </c>
      <c r="D9" s="4" t="s">
        <v>39</v>
      </c>
      <c r="E9" s="4" t="s">
        <v>40</v>
      </c>
      <c r="F9" s="5" t="n">
        <v>40</v>
      </c>
      <c r="G9" s="4" t="s">
        <v>41</v>
      </c>
      <c r="H9" s="4" t="s">
        <v>42</v>
      </c>
    </row>
    <row r="10" customFormat="false" ht="15" hidden="false" customHeight="false" outlineLevel="0" collapsed="false">
      <c r="A10" s="4" t="s">
        <v>43</v>
      </c>
      <c r="B10" s="4" t="s">
        <v>37</v>
      </c>
      <c r="C10" s="4" t="s">
        <v>44</v>
      </c>
      <c r="D10" s="4" t="s">
        <v>45</v>
      </c>
      <c r="E10" s="4" t="s">
        <v>40</v>
      </c>
      <c r="F10" s="5" t="n">
        <v>15</v>
      </c>
      <c r="G10" s="4" t="s">
        <v>41</v>
      </c>
      <c r="H10" s="4" t="s">
        <v>46</v>
      </c>
    </row>
    <row r="11" customFormat="false" ht="23.85" hidden="false" customHeight="false" outlineLevel="0" collapsed="false">
      <c r="A11" s="6" t="s">
        <v>47</v>
      </c>
      <c r="B11" s="6" t="s">
        <v>48</v>
      </c>
      <c r="C11" s="6" t="s">
        <v>49</v>
      </c>
      <c r="D11" s="6" t="s">
        <v>50</v>
      </c>
      <c r="E11" s="6" t="s">
        <v>51</v>
      </c>
      <c r="F11" s="7" t="n">
        <v>5</v>
      </c>
      <c r="G11" s="6" t="s">
        <v>52</v>
      </c>
      <c r="H11" s="6" t="s">
        <v>53</v>
      </c>
    </row>
    <row r="12" customFormat="false" ht="23.85" hidden="false" customHeight="false" outlineLevel="0" collapsed="false">
      <c r="A12" s="6" t="s">
        <v>54</v>
      </c>
      <c r="B12" s="6" t="s">
        <v>55</v>
      </c>
      <c r="C12" s="6" t="s">
        <v>56</v>
      </c>
      <c r="D12" s="6" t="s">
        <v>57</v>
      </c>
      <c r="E12" s="6" t="s">
        <v>58</v>
      </c>
      <c r="F12" s="7" t="n">
        <v>150</v>
      </c>
      <c r="G12" s="6" t="s">
        <v>59</v>
      </c>
      <c r="H12" s="6" t="s">
        <v>60</v>
      </c>
    </row>
    <row r="13" customFormat="false" ht="23.85" hidden="false" customHeight="false" outlineLevel="0" collapsed="false">
      <c r="A13" s="6" t="s">
        <v>61</v>
      </c>
      <c r="B13" s="6" t="s">
        <v>55</v>
      </c>
      <c r="C13" s="6" t="s">
        <v>62</v>
      </c>
      <c r="D13" s="6" t="s">
        <v>63</v>
      </c>
      <c r="E13" s="6" t="s">
        <v>64</v>
      </c>
      <c r="F13" s="7" t="n">
        <v>25</v>
      </c>
      <c r="G13" s="6" t="s">
        <v>65</v>
      </c>
      <c r="H13" s="6" t="s">
        <v>66</v>
      </c>
    </row>
    <row r="14" customFormat="false" ht="23.85" hidden="false" customHeight="false" outlineLevel="0" collapsed="false">
      <c r="A14" s="4" t="s">
        <v>67</v>
      </c>
      <c r="B14" s="4" t="s">
        <v>68</v>
      </c>
      <c r="C14" s="4" t="s">
        <v>69</v>
      </c>
      <c r="D14" s="4" t="s">
        <v>70</v>
      </c>
      <c r="E14" s="4" t="s">
        <v>71</v>
      </c>
      <c r="F14" s="5" t="n">
        <v>8</v>
      </c>
      <c r="G14" s="4" t="s">
        <v>72</v>
      </c>
      <c r="H14" s="4" t="s">
        <v>73</v>
      </c>
    </row>
    <row r="15" customFormat="false" ht="35.05" hidden="false" customHeight="false" outlineLevel="0" collapsed="false">
      <c r="E15" s="8" t="s">
        <v>74</v>
      </c>
      <c r="F15" s="9" t="n">
        <f aca="false">SUM(F5:F14)</f>
        <v>306</v>
      </c>
    </row>
    <row r="17" customFormat="false" ht="15" hidden="false" customHeight="false" outlineLevel="0" collapsed="false">
      <c r="A17" s="10" t="s">
        <v>75</v>
      </c>
    </row>
    <row r="18" customFormat="false" ht="35.05" hidden="false" customHeight="false" outlineLevel="0" collapsed="false">
      <c r="A18" s="3" t="s">
        <v>5</v>
      </c>
      <c r="B18" s="3" t="s">
        <v>76</v>
      </c>
      <c r="C18" s="3" t="s">
        <v>77</v>
      </c>
      <c r="D18" s="3" t="s">
        <v>78</v>
      </c>
      <c r="E18" s="3" t="s">
        <v>79</v>
      </c>
      <c r="F18" s="3" t="s">
        <v>80</v>
      </c>
      <c r="G18" s="3" t="s">
        <v>81</v>
      </c>
    </row>
    <row r="19" customFormat="false" ht="23.85" hidden="false" customHeight="false" outlineLevel="0" collapsed="false">
      <c r="A19" s="4" t="s">
        <v>82</v>
      </c>
      <c r="B19" s="4" t="s">
        <v>83</v>
      </c>
      <c r="C19" s="4" t="s">
        <v>84</v>
      </c>
      <c r="D19" s="5" t="n">
        <v>30</v>
      </c>
      <c r="E19" s="5" t="n">
        <v>50</v>
      </c>
      <c r="F19" s="5" t="n">
        <v>30</v>
      </c>
      <c r="G19" s="5" t="n">
        <v>50</v>
      </c>
    </row>
    <row r="20" customFormat="false" ht="15" hidden="false" customHeight="false" outlineLevel="0" collapsed="false">
      <c r="A20" s="6" t="s">
        <v>20</v>
      </c>
      <c r="B20" s="6" t="s">
        <v>85</v>
      </c>
      <c r="C20" s="6" t="s">
        <v>86</v>
      </c>
      <c r="D20" s="7" t="n">
        <v>15</v>
      </c>
      <c r="E20" s="7" t="n">
        <v>25</v>
      </c>
      <c r="F20" s="7" t="n">
        <v>0</v>
      </c>
      <c r="G20" s="7" t="n">
        <v>0</v>
      </c>
    </row>
    <row r="21" customFormat="false" ht="23.85" hidden="false" customHeight="false" outlineLevel="0" collapsed="false">
      <c r="A21" s="6" t="s">
        <v>87</v>
      </c>
      <c r="B21" s="6" t="s">
        <v>83</v>
      </c>
      <c r="C21" s="6" t="s">
        <v>88</v>
      </c>
      <c r="D21" s="7" t="n">
        <v>25</v>
      </c>
      <c r="E21" s="7" t="n">
        <v>40</v>
      </c>
      <c r="F21" s="7" t="n">
        <v>15</v>
      </c>
      <c r="G21" s="7" t="n">
        <v>30</v>
      </c>
    </row>
    <row r="22" customFormat="false" ht="15" hidden="false" customHeight="false" outlineLevel="0" collapsed="false">
      <c r="A22" s="4" t="s">
        <v>89</v>
      </c>
      <c r="B22" s="4" t="s">
        <v>83</v>
      </c>
      <c r="C22" s="4" t="s">
        <v>90</v>
      </c>
      <c r="D22" s="5" t="n">
        <v>15</v>
      </c>
      <c r="E22" s="5" t="n">
        <v>25</v>
      </c>
      <c r="F22" s="5" t="n">
        <v>15</v>
      </c>
      <c r="G22" s="5" t="n">
        <v>25</v>
      </c>
    </row>
    <row r="23" customFormat="false" ht="15" hidden="false" customHeight="false" outlineLevel="0" collapsed="false">
      <c r="A23" s="4" t="s">
        <v>91</v>
      </c>
      <c r="B23" s="4" t="s">
        <v>83</v>
      </c>
      <c r="C23" s="4" t="s">
        <v>90</v>
      </c>
      <c r="D23" s="5" t="n">
        <v>15</v>
      </c>
      <c r="E23" s="5" t="n">
        <v>25</v>
      </c>
      <c r="F23" s="5" t="n">
        <v>15</v>
      </c>
      <c r="G23" s="5" t="n">
        <v>25</v>
      </c>
    </row>
    <row r="24" customFormat="false" ht="15" hidden="false" customHeight="false" outlineLevel="0" collapsed="false">
      <c r="A24" s="4" t="s">
        <v>92</v>
      </c>
      <c r="B24" s="4" t="s">
        <v>83</v>
      </c>
      <c r="C24" s="4" t="s">
        <v>90</v>
      </c>
      <c r="D24" s="5" t="n">
        <v>10</v>
      </c>
      <c r="E24" s="5" t="n">
        <v>20</v>
      </c>
      <c r="F24" s="5" t="n">
        <v>10</v>
      </c>
      <c r="G24" s="5" t="n">
        <v>20</v>
      </c>
    </row>
    <row r="25" customFormat="false" ht="15" hidden="false" customHeight="false" outlineLevel="0" collapsed="false">
      <c r="A25" s="4" t="s">
        <v>93</v>
      </c>
      <c r="B25" s="4" t="s">
        <v>83</v>
      </c>
      <c r="C25" s="4" t="s">
        <v>90</v>
      </c>
      <c r="D25" s="5" t="n">
        <v>10</v>
      </c>
      <c r="E25" s="5" t="n">
        <v>20</v>
      </c>
      <c r="F25" s="5" t="n">
        <v>10</v>
      </c>
      <c r="G25" s="5" t="n">
        <v>20</v>
      </c>
    </row>
    <row r="26" customFormat="false" ht="23.85" hidden="false" customHeight="false" outlineLevel="0" collapsed="false">
      <c r="A26" s="4" t="s">
        <v>94</v>
      </c>
      <c r="B26" s="4" t="s">
        <v>83</v>
      </c>
      <c r="C26" s="4" t="s">
        <v>95</v>
      </c>
      <c r="D26" s="5" t="n">
        <v>10</v>
      </c>
      <c r="E26" s="5" t="n">
        <v>20</v>
      </c>
      <c r="F26" s="5" t="n">
        <v>10</v>
      </c>
      <c r="G26" s="5" t="n">
        <v>20</v>
      </c>
    </row>
    <row r="27" customFormat="false" ht="15" hidden="false" customHeight="false" outlineLevel="0" collapsed="false">
      <c r="A27" s="4" t="s">
        <v>96</v>
      </c>
      <c r="B27" s="4" t="s">
        <v>83</v>
      </c>
      <c r="C27" s="4" t="s">
        <v>97</v>
      </c>
      <c r="D27" s="5" t="n">
        <v>5</v>
      </c>
      <c r="E27" s="5" t="n">
        <v>15</v>
      </c>
      <c r="F27" s="5" t="n">
        <v>5</v>
      </c>
      <c r="G27" s="5" t="n">
        <v>15</v>
      </c>
    </row>
    <row r="28" customFormat="false" ht="23.85" hidden="false" customHeight="false" outlineLevel="0" collapsed="false">
      <c r="A28" s="6" t="s">
        <v>98</v>
      </c>
      <c r="B28" s="6" t="s">
        <v>99</v>
      </c>
      <c r="C28" s="6" t="s">
        <v>100</v>
      </c>
      <c r="D28" s="7" t="n">
        <v>15</v>
      </c>
      <c r="E28" s="7" t="n">
        <v>15</v>
      </c>
      <c r="F28" s="7" t="n">
        <v>0</v>
      </c>
      <c r="G28" s="7" t="n">
        <v>0</v>
      </c>
    </row>
    <row r="29" customFormat="false" ht="15" hidden="false" customHeight="false" outlineLevel="0" collapsed="false">
      <c r="C29" s="8" t="s">
        <v>101</v>
      </c>
      <c r="D29" s="9" t="n">
        <f aca="false">SUM(D19:D28)</f>
        <v>150</v>
      </c>
      <c r="E29" s="9" t="n">
        <f aca="false">SUM(E19:E28)</f>
        <v>255</v>
      </c>
      <c r="F29" s="9" t="n">
        <f aca="false">SUM(F19:F28)</f>
        <v>110</v>
      </c>
      <c r="G29" s="9" t="n">
        <f aca="false">SUM(G19:G28)</f>
        <v>205</v>
      </c>
    </row>
    <row r="31" customFormat="false" ht="15" hidden="false" customHeight="false" outlineLevel="0" collapsed="false">
      <c r="A31" s="2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2" style="0" width="12"/>
  </cols>
  <sheetData>
    <row r="1" customFormat="false" ht="1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4" customFormat="false" ht="15" hidden="false" customHeight="false" outlineLevel="0" collapsed="false">
      <c r="A4" s="3" t="s">
        <v>105</v>
      </c>
      <c r="B4" s="3" t="s">
        <v>106</v>
      </c>
      <c r="C4" s="3" t="s">
        <v>107</v>
      </c>
      <c r="D4" s="3" t="s">
        <v>108</v>
      </c>
      <c r="E4" s="3" t="s">
        <v>109</v>
      </c>
      <c r="F4" s="3" t="s">
        <v>110</v>
      </c>
      <c r="G4" s="3" t="s">
        <v>111</v>
      </c>
    </row>
    <row r="5" customFormat="false" ht="15" hidden="false" customHeight="false" outlineLevel="0" collapsed="false">
      <c r="A5" s="8" t="s">
        <v>112</v>
      </c>
      <c r="B5" s="5" t="n">
        <v>268</v>
      </c>
      <c r="C5" s="5" t="n">
        <v>703</v>
      </c>
      <c r="D5" s="5" t="n">
        <v>840</v>
      </c>
      <c r="E5" s="5" t="n">
        <v>960</v>
      </c>
      <c r="F5" s="5" t="n">
        <v>1100</v>
      </c>
      <c r="G5" s="5" t="n">
        <v>1200</v>
      </c>
    </row>
    <row r="6" customFormat="false" ht="15" hidden="false" customHeight="false" outlineLevel="0" collapsed="false">
      <c r="A6" s="4" t="s">
        <v>113</v>
      </c>
      <c r="B6" s="5" t="n">
        <v>1780</v>
      </c>
      <c r="C6" s="5" t="n">
        <v>3780</v>
      </c>
      <c r="D6" s="5" t="n">
        <v>3086</v>
      </c>
      <c r="E6" s="5" t="n">
        <v>3400</v>
      </c>
      <c r="F6" s="5" t="n">
        <v>3800</v>
      </c>
      <c r="G6" s="5" t="n">
        <v>4100</v>
      </c>
    </row>
    <row r="7" customFormat="false" ht="15" hidden="false" customHeight="false" outlineLevel="0" collapsed="false">
      <c r="A7" s="4" t="s">
        <v>114</v>
      </c>
      <c r="B7" s="11" t="n">
        <f aca="false">B5/B6</f>
        <v>0.150561797752809</v>
      </c>
      <c r="C7" s="11" t="n">
        <f aca="false">C5/C6</f>
        <v>0.185978835978836</v>
      </c>
      <c r="D7" s="11" t="n">
        <f aca="false">D5/D6</f>
        <v>0.272197018794556</v>
      </c>
      <c r="E7" s="11" t="n">
        <f aca="false">E5/E6</f>
        <v>0.282352941176471</v>
      </c>
      <c r="F7" s="11" t="n">
        <f aca="false">F5/F6</f>
        <v>0.289473684210526</v>
      </c>
      <c r="G7" s="11" t="n">
        <f aca="false">G5/G6</f>
        <v>0.292682926829268</v>
      </c>
    </row>
    <row r="8" customFormat="false" ht="15" hidden="false" customHeight="false" outlineLevel="0" collapsed="false">
      <c r="A8" s="4" t="s">
        <v>115</v>
      </c>
      <c r="D8" s="11" t="n">
        <f aca="false">D5/C5-1</f>
        <v>0.194879089615932</v>
      </c>
      <c r="E8" s="11" t="n">
        <f aca="false">E5/D5-1</f>
        <v>0.142857142857143</v>
      </c>
      <c r="F8" s="11" t="n">
        <f aca="false">F5/E5-1</f>
        <v>0.145833333333333</v>
      </c>
      <c r="G8" s="11" t="n">
        <f aca="false">G5/F5-1</f>
        <v>0.0909090909090908</v>
      </c>
    </row>
    <row r="10" customFormat="false" ht="15" hidden="false" customHeight="false" outlineLevel="0" collapsed="false">
      <c r="A10" s="10" t="s">
        <v>116</v>
      </c>
    </row>
    <row r="11" customFormat="false" ht="15" hidden="false" customHeight="true" outlineLevel="0" collapsed="false">
      <c r="A11" s="4" t="s">
        <v>117</v>
      </c>
      <c r="B11" s="4" t="s">
        <v>118</v>
      </c>
      <c r="C11" s="4"/>
      <c r="D11" s="4"/>
      <c r="E11" s="4"/>
      <c r="F11" s="4"/>
      <c r="G11" s="4"/>
    </row>
    <row r="12" customFormat="false" ht="15" hidden="false" customHeight="true" outlineLevel="0" collapsed="false">
      <c r="A12" s="4" t="s">
        <v>119</v>
      </c>
      <c r="B12" s="4" t="s">
        <v>120</v>
      </c>
      <c r="C12" s="4"/>
      <c r="D12" s="4"/>
      <c r="E12" s="4"/>
      <c r="F12" s="4"/>
      <c r="G12" s="4"/>
    </row>
    <row r="13" customFormat="false" ht="23.85" hidden="false" customHeight="true" outlineLevel="0" collapsed="false">
      <c r="A13" s="4" t="s">
        <v>121</v>
      </c>
      <c r="B13" s="4" t="s">
        <v>122</v>
      </c>
      <c r="C13" s="4"/>
      <c r="D13" s="4"/>
      <c r="E13" s="4"/>
      <c r="F13" s="4"/>
      <c r="G13" s="4"/>
    </row>
    <row r="14" customFormat="false" ht="15" hidden="false" customHeight="true" outlineLevel="0" collapsed="false">
      <c r="A14" s="4" t="s">
        <v>123</v>
      </c>
      <c r="B14" s="4" t="s">
        <v>124</v>
      </c>
      <c r="C14" s="4"/>
      <c r="D14" s="4"/>
      <c r="E14" s="4"/>
      <c r="F14" s="4"/>
      <c r="G14" s="4"/>
    </row>
    <row r="15" customFormat="false" ht="23.85" hidden="false" customHeight="true" outlineLevel="0" collapsed="false">
      <c r="A15" s="4" t="s">
        <v>125</v>
      </c>
      <c r="B15" s="4" t="s">
        <v>126</v>
      </c>
      <c r="C15" s="4"/>
      <c r="D15" s="4"/>
      <c r="E15" s="4"/>
      <c r="F15" s="4"/>
      <c r="G15" s="4"/>
    </row>
    <row r="16" customFormat="false" ht="35.05" hidden="false" customHeight="true" outlineLevel="0" collapsed="false">
      <c r="A16" s="4" t="s">
        <v>127</v>
      </c>
      <c r="B16" s="4" t="s">
        <v>128</v>
      </c>
      <c r="C16" s="4"/>
      <c r="D16" s="4"/>
      <c r="E16" s="4"/>
      <c r="F16" s="4"/>
      <c r="G16" s="4"/>
    </row>
    <row r="18" customFormat="false" ht="15" hidden="false" customHeight="false" outlineLevel="0" collapsed="false">
      <c r="A18" s="2" t="s">
        <v>129</v>
      </c>
    </row>
  </sheetData>
  <mergeCells count="6">
    <mergeCell ref="B11:G11"/>
    <mergeCell ref="B12:G12"/>
    <mergeCell ref="B13:G13"/>
    <mergeCell ref="B14:G14"/>
    <mergeCell ref="B15:G15"/>
    <mergeCell ref="B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7" min="4" style="0" width="14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1" t="s">
        <v>130</v>
      </c>
    </row>
    <row r="2" customFormat="false" ht="15" hidden="false" customHeight="false" outlineLevel="0" collapsed="false">
      <c r="A2" s="2" t="s">
        <v>131</v>
      </c>
    </row>
    <row r="4" customFormat="false" ht="35.05" hidden="false" customHeight="false" outlineLevel="0" collapsed="false">
      <c r="A4" s="3" t="s">
        <v>5</v>
      </c>
      <c r="B4" s="3" t="s">
        <v>132</v>
      </c>
      <c r="C4" s="3" t="s">
        <v>133</v>
      </c>
      <c r="D4" s="3" t="s">
        <v>134</v>
      </c>
      <c r="E4" s="3" t="s">
        <v>135</v>
      </c>
      <c r="F4" s="3" t="s">
        <v>136</v>
      </c>
      <c r="G4" s="3" t="s">
        <v>137</v>
      </c>
      <c r="H4" s="3" t="s">
        <v>138</v>
      </c>
    </row>
    <row r="5" customFormat="false" ht="23.85" hidden="false" customHeight="false" outlineLevel="0" collapsed="false">
      <c r="A5" s="4" t="s">
        <v>139</v>
      </c>
      <c r="B5" s="4" t="s">
        <v>140</v>
      </c>
      <c r="C5" s="4" t="s">
        <v>141</v>
      </c>
      <c r="D5" s="5" t="n">
        <v>15</v>
      </c>
      <c r="E5" s="5" t="n">
        <v>25</v>
      </c>
      <c r="F5" s="5" t="n">
        <v>25</v>
      </c>
      <c r="G5" s="5" t="n">
        <v>40</v>
      </c>
      <c r="H5" s="4" t="s">
        <v>142</v>
      </c>
    </row>
    <row r="6" customFormat="false" ht="35.05" hidden="false" customHeight="false" outlineLevel="0" collapsed="false">
      <c r="A6" s="4" t="s">
        <v>143</v>
      </c>
      <c r="B6" s="4" t="s">
        <v>144</v>
      </c>
      <c r="C6" s="4" t="s">
        <v>145</v>
      </c>
      <c r="D6" s="5" t="n">
        <v>15</v>
      </c>
      <c r="E6" s="5" t="n">
        <v>30</v>
      </c>
      <c r="F6" s="5" t="n">
        <v>35</v>
      </c>
      <c r="G6" s="5" t="n">
        <v>60</v>
      </c>
      <c r="H6" s="4" t="s">
        <v>146</v>
      </c>
    </row>
    <row r="7" customFormat="false" ht="23.85" hidden="false" customHeight="false" outlineLevel="0" collapsed="false">
      <c r="A7" s="4" t="s">
        <v>147</v>
      </c>
      <c r="B7" s="4" t="s">
        <v>148</v>
      </c>
      <c r="C7" s="4" t="s">
        <v>141</v>
      </c>
      <c r="D7" s="5" t="n">
        <v>8</v>
      </c>
      <c r="E7" s="5" t="n">
        <v>15</v>
      </c>
      <c r="F7" s="5" t="n">
        <v>15</v>
      </c>
      <c r="G7" s="5" t="n">
        <v>25</v>
      </c>
      <c r="H7" s="4" t="s">
        <v>149</v>
      </c>
    </row>
    <row r="8" customFormat="false" ht="23.85" hidden="false" customHeight="false" outlineLevel="0" collapsed="false">
      <c r="A8" s="4" t="s">
        <v>150</v>
      </c>
      <c r="B8" s="4" t="s">
        <v>151</v>
      </c>
      <c r="C8" s="4" t="s">
        <v>141</v>
      </c>
      <c r="D8" s="5" t="n">
        <v>15</v>
      </c>
      <c r="E8" s="5" t="n">
        <v>25</v>
      </c>
      <c r="F8" s="5" t="n">
        <v>30</v>
      </c>
      <c r="G8" s="5" t="n">
        <v>50</v>
      </c>
      <c r="H8" s="4" t="s">
        <v>152</v>
      </c>
    </row>
    <row r="9" customFormat="false" ht="15" hidden="false" customHeight="false" outlineLevel="0" collapsed="false">
      <c r="A9" s="4" t="s">
        <v>153</v>
      </c>
      <c r="B9" s="4" t="s">
        <v>154</v>
      </c>
      <c r="C9" s="4" t="s">
        <v>141</v>
      </c>
      <c r="D9" s="5" t="n">
        <v>8</v>
      </c>
      <c r="E9" s="5" t="n">
        <v>12</v>
      </c>
      <c r="F9" s="5" t="n">
        <v>15</v>
      </c>
      <c r="G9" s="5" t="n">
        <v>25</v>
      </c>
      <c r="H9" s="4" t="s">
        <v>155</v>
      </c>
    </row>
    <row r="10" customFormat="false" ht="23.85" hidden="false" customHeight="false" outlineLevel="0" collapsed="false">
      <c r="A10" s="4" t="s">
        <v>156</v>
      </c>
      <c r="B10" s="4" t="s">
        <v>157</v>
      </c>
      <c r="C10" s="4" t="s">
        <v>158</v>
      </c>
      <c r="D10" s="5" t="n">
        <v>10</v>
      </c>
      <c r="E10" s="5" t="n">
        <v>20</v>
      </c>
      <c r="F10" s="5" t="n">
        <v>30</v>
      </c>
      <c r="G10" s="5" t="n">
        <v>55</v>
      </c>
      <c r="H10" s="4" t="s">
        <v>159</v>
      </c>
    </row>
    <row r="11" customFormat="false" ht="23.85" hidden="false" customHeight="false" outlineLevel="0" collapsed="false">
      <c r="A11" s="4" t="s">
        <v>160</v>
      </c>
      <c r="B11" s="4" t="s">
        <v>161</v>
      </c>
      <c r="C11" s="4" t="s">
        <v>162</v>
      </c>
      <c r="D11" s="5" t="n">
        <v>5</v>
      </c>
      <c r="E11" s="5" t="n">
        <v>15</v>
      </c>
      <c r="F11" s="5" t="n">
        <v>15</v>
      </c>
      <c r="G11" s="5" t="n">
        <v>35</v>
      </c>
      <c r="H11" s="4" t="s">
        <v>163</v>
      </c>
    </row>
    <row r="12" customFormat="false" ht="23.85" hidden="false" customHeight="false" outlineLevel="0" collapsed="false">
      <c r="A12" s="4" t="s">
        <v>164</v>
      </c>
      <c r="B12" s="4" t="s">
        <v>165</v>
      </c>
      <c r="C12" s="4" t="s">
        <v>141</v>
      </c>
      <c r="D12" s="5" t="n">
        <v>4</v>
      </c>
      <c r="E12" s="5" t="n">
        <v>8</v>
      </c>
      <c r="F12" s="5" t="n">
        <v>10</v>
      </c>
      <c r="G12" s="5" t="n">
        <v>20</v>
      </c>
      <c r="H12" s="4" t="s">
        <v>166</v>
      </c>
    </row>
    <row r="13" customFormat="false" ht="15" hidden="false" customHeight="false" outlineLevel="0" collapsed="false">
      <c r="C13" s="8" t="s">
        <v>167</v>
      </c>
      <c r="D13" s="9" t="n">
        <f aca="false">SUM(D5:D12)</f>
        <v>80</v>
      </c>
      <c r="E13" s="9" t="n">
        <f aca="false">SUM(E5:E12)</f>
        <v>150</v>
      </c>
      <c r="F13" s="9" t="n">
        <f aca="false">SUM(F5:F12)</f>
        <v>175</v>
      </c>
      <c r="G13" s="9" t="n">
        <f aca="false">SUM(G5:G12)</f>
        <v>310</v>
      </c>
    </row>
    <row r="15" customFormat="false" ht="15" hidden="false" customHeight="false" outlineLevel="0" collapsed="false">
      <c r="A15" s="10" t="s">
        <v>168</v>
      </c>
    </row>
    <row r="16" customFormat="false" ht="46.25" hidden="false" customHeight="false" outlineLevel="0" collapsed="false">
      <c r="A16" s="4" t="s">
        <v>169</v>
      </c>
      <c r="B16" s="5" t="n">
        <v>787</v>
      </c>
      <c r="C16" s="12" t="s">
        <v>170</v>
      </c>
    </row>
    <row r="17" customFormat="false" ht="15" hidden="false" customHeight="false" outlineLevel="0" collapsed="false">
      <c r="A17" s="4" t="s">
        <v>171</v>
      </c>
      <c r="B17" s="13" t="n">
        <v>827</v>
      </c>
      <c r="C17" s="12" t="s">
        <v>172</v>
      </c>
    </row>
    <row r="18" customFormat="false" ht="23.85" hidden="false" customHeight="false" outlineLevel="0" collapsed="false">
      <c r="A18" s="4" t="s">
        <v>173</v>
      </c>
      <c r="B18" s="14" t="n">
        <f aca="false">(D13+E13)/2</f>
        <v>115</v>
      </c>
    </row>
    <row r="19" customFormat="false" ht="15" hidden="false" customHeight="false" outlineLevel="0" collapsed="false">
      <c r="A19" s="4" t="s">
        <v>174</v>
      </c>
      <c r="B19" s="15" t="n">
        <f aca="false">B18/B17</f>
        <v>0.139056831922612</v>
      </c>
    </row>
    <row r="20" customFormat="false" ht="23.85" hidden="false" customHeight="false" outlineLevel="0" collapsed="false">
      <c r="A20" s="4" t="s">
        <v>175</v>
      </c>
      <c r="B20" s="14" t="n">
        <f aca="false">(F13+G13)/2</f>
        <v>242.5</v>
      </c>
    </row>
    <row r="22" customFormat="false" ht="15" hidden="false" customHeight="false" outlineLevel="0" collapsed="false">
      <c r="A22" s="2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34"/>
    <col collapsed="false" customWidth="true" hidden="false" outlineLevel="0" max="6" min="6" style="0" width="42"/>
    <col collapsed="false" customWidth="true" hidden="false" outlineLevel="0" max="7" min="7" style="0" width="60"/>
    <col collapsed="false" customWidth="true" hidden="false" outlineLevel="0" max="9" min="8" style="0" width="14"/>
  </cols>
  <sheetData>
    <row r="1" customFormat="false" ht="15" hidden="false" customHeight="false" outlineLevel="0" collapsed="false">
      <c r="A1" s="1" t="s">
        <v>177</v>
      </c>
    </row>
    <row r="2" customFormat="false" ht="15" hidden="false" customHeight="false" outlineLevel="0" collapsed="false">
      <c r="A2" s="2" t="s">
        <v>178</v>
      </c>
    </row>
    <row r="4" customFormat="false" ht="35.05" hidden="false" customHeight="false" outlineLevel="0" collapsed="false">
      <c r="A4" s="3" t="s">
        <v>179</v>
      </c>
      <c r="B4" s="3" t="s">
        <v>180</v>
      </c>
      <c r="C4" s="3" t="s">
        <v>181</v>
      </c>
      <c r="D4" s="3" t="s">
        <v>182</v>
      </c>
      <c r="E4" s="3" t="s">
        <v>183</v>
      </c>
      <c r="F4" s="3" t="s">
        <v>184</v>
      </c>
      <c r="G4" s="3" t="s">
        <v>185</v>
      </c>
      <c r="H4" s="3" t="s">
        <v>186</v>
      </c>
      <c r="I4" s="3" t="s">
        <v>187</v>
      </c>
    </row>
    <row r="5" customFormat="false" ht="46.25" hidden="false" customHeight="false" outlineLevel="0" collapsed="false">
      <c r="A5" s="6" t="s">
        <v>188</v>
      </c>
      <c r="B5" s="6" t="s">
        <v>189</v>
      </c>
      <c r="C5" s="6" t="s">
        <v>190</v>
      </c>
      <c r="D5" s="16" t="n">
        <v>55</v>
      </c>
      <c r="E5" s="6" t="s">
        <v>191</v>
      </c>
      <c r="F5" s="6" t="s">
        <v>192</v>
      </c>
      <c r="G5" s="6" t="s">
        <v>193</v>
      </c>
      <c r="H5" s="16" t="n">
        <v>65</v>
      </c>
      <c r="I5" s="16" t="n">
        <v>80</v>
      </c>
    </row>
    <row r="6" customFormat="false" ht="46.25" hidden="false" customHeight="false" outlineLevel="0" collapsed="false">
      <c r="A6" s="6" t="s">
        <v>194</v>
      </c>
      <c r="B6" s="6" t="s">
        <v>195</v>
      </c>
      <c r="C6" s="6" t="s">
        <v>196</v>
      </c>
      <c r="D6" s="16" t="n">
        <v>53</v>
      </c>
      <c r="E6" s="6" t="s">
        <v>197</v>
      </c>
      <c r="F6" s="6" t="s">
        <v>198</v>
      </c>
      <c r="G6" s="6" t="s">
        <v>199</v>
      </c>
      <c r="H6" s="16" t="n">
        <v>60</v>
      </c>
      <c r="I6" s="16" t="n">
        <v>75</v>
      </c>
    </row>
    <row r="7" customFormat="false" ht="35.05" hidden="false" customHeight="false" outlineLevel="0" collapsed="false">
      <c r="A7" s="4" t="s">
        <v>200</v>
      </c>
      <c r="B7" s="4" t="s">
        <v>201</v>
      </c>
      <c r="C7" s="4" t="s">
        <v>202</v>
      </c>
      <c r="D7" s="13" t="n">
        <v>12</v>
      </c>
      <c r="E7" s="4" t="s">
        <v>203</v>
      </c>
      <c r="F7" s="4" t="s">
        <v>204</v>
      </c>
      <c r="G7" s="4" t="s">
        <v>205</v>
      </c>
      <c r="H7" s="13" t="n">
        <v>13</v>
      </c>
      <c r="I7" s="13" t="n">
        <v>16</v>
      </c>
    </row>
    <row r="8" customFormat="false" ht="15" hidden="false" customHeight="false" outlineLevel="0" collapsed="false">
      <c r="C8" s="8" t="s">
        <v>206</v>
      </c>
      <c r="D8" s="17" t="n">
        <f aca="false">SUM(D5:D7)</f>
        <v>120</v>
      </c>
      <c r="H8" s="17" t="n">
        <f aca="false">SUM(H5:H7)</f>
        <v>138</v>
      </c>
      <c r="I8" s="17" t="n">
        <f aca="false">SUM(I5:I7)</f>
        <v>171</v>
      </c>
    </row>
    <row r="9" customFormat="false" ht="23.85" hidden="false" customHeight="false" outlineLevel="0" collapsed="false">
      <c r="C9" s="8" t="s">
        <v>207</v>
      </c>
      <c r="H9" s="18" t="n">
        <f aca="false">H8/D8-1</f>
        <v>0.15</v>
      </c>
      <c r="I9" s="18" t="n">
        <f aca="false">I8/D8-1</f>
        <v>0.425</v>
      </c>
    </row>
    <row r="11" customFormat="false" ht="15" hidden="false" customHeight="false" outlineLevel="0" collapsed="false">
      <c r="A11" s="10" t="s">
        <v>208</v>
      </c>
    </row>
    <row r="12" customFormat="false" ht="15" hidden="false" customHeight="false" outlineLevel="0" collapsed="false">
      <c r="A12" s="3" t="s">
        <v>179</v>
      </c>
      <c r="B12" s="3" t="s">
        <v>209</v>
      </c>
      <c r="C12" s="3" t="s">
        <v>210</v>
      </c>
      <c r="D12" s="3" t="s">
        <v>3</v>
      </c>
      <c r="E12" s="3" t="s">
        <v>211</v>
      </c>
    </row>
    <row r="13" customFormat="false" ht="23.85" hidden="false" customHeight="false" outlineLevel="0" collapsed="false">
      <c r="A13" s="4" t="s">
        <v>212</v>
      </c>
      <c r="B13" s="4" t="s">
        <v>213</v>
      </c>
      <c r="C13" s="4" t="s">
        <v>214</v>
      </c>
      <c r="D13" s="4" t="s">
        <v>215</v>
      </c>
      <c r="E13" s="4" t="s">
        <v>216</v>
      </c>
    </row>
    <row r="14" customFormat="false" ht="35.05" hidden="false" customHeight="false" outlineLevel="0" collapsed="false">
      <c r="A14" s="4" t="s">
        <v>217</v>
      </c>
      <c r="B14" s="4" t="s">
        <v>218</v>
      </c>
      <c r="C14" s="4" t="s">
        <v>219</v>
      </c>
      <c r="D14" s="4" t="s">
        <v>220</v>
      </c>
      <c r="E14" s="4" t="s">
        <v>221</v>
      </c>
    </row>
    <row r="15" customFormat="false" ht="35.05" hidden="false" customHeight="false" outlineLevel="0" collapsed="false">
      <c r="A15" s="4" t="s">
        <v>222</v>
      </c>
      <c r="B15" s="4" t="s">
        <v>223</v>
      </c>
      <c r="C15" s="4" t="s">
        <v>224</v>
      </c>
      <c r="D15" s="4" t="s">
        <v>220</v>
      </c>
      <c r="E15" s="4" t="s">
        <v>225</v>
      </c>
    </row>
    <row r="16" customFormat="false" ht="15" hidden="false" customHeight="false" outlineLevel="0" collapsed="false">
      <c r="A16" s="4" t="s">
        <v>226</v>
      </c>
      <c r="B16" s="4" t="s">
        <v>227</v>
      </c>
      <c r="C16" s="4" t="s">
        <v>228</v>
      </c>
      <c r="D16" s="4" t="s">
        <v>229</v>
      </c>
      <c r="E16" s="4" t="s">
        <v>230</v>
      </c>
    </row>
    <row r="17" customFormat="false" ht="23.85" hidden="false" customHeight="false" outlineLevel="0" collapsed="false">
      <c r="A17" s="4" t="s">
        <v>231</v>
      </c>
      <c r="B17" s="4" t="s">
        <v>232</v>
      </c>
      <c r="C17" s="4" t="s">
        <v>233</v>
      </c>
      <c r="D17" s="4" t="s">
        <v>234</v>
      </c>
      <c r="E17" s="4" t="s">
        <v>235</v>
      </c>
    </row>
    <row r="19" customFormat="false" ht="15" hidden="false" customHeight="false" outlineLevel="0" collapsed="false">
      <c r="A19" s="2" t="s">
        <v>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80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1" t="s">
        <v>237</v>
      </c>
    </row>
    <row r="3" customFormat="false" ht="15" hidden="false" customHeight="false" outlineLevel="0" collapsed="false">
      <c r="A3" s="3" t="s">
        <v>238</v>
      </c>
      <c r="B3" s="3" t="s">
        <v>239</v>
      </c>
      <c r="C3" s="3" t="s">
        <v>240</v>
      </c>
      <c r="D3" s="3" t="s">
        <v>241</v>
      </c>
    </row>
    <row r="4" customFormat="false" ht="23.85" hidden="false" customHeight="false" outlineLevel="0" collapsed="false">
      <c r="A4" s="4" t="s">
        <v>242</v>
      </c>
      <c r="B4" s="4" t="s">
        <v>243</v>
      </c>
      <c r="C4" s="4" t="s">
        <v>244</v>
      </c>
      <c r="D4" s="4" t="s">
        <v>245</v>
      </c>
    </row>
    <row r="5" customFormat="false" ht="15" hidden="false" customHeight="false" outlineLevel="0" collapsed="false">
      <c r="A5" s="4" t="s">
        <v>246</v>
      </c>
      <c r="B5" s="4" t="s">
        <v>247</v>
      </c>
      <c r="C5" s="4" t="s">
        <v>248</v>
      </c>
      <c r="D5" s="4" t="s">
        <v>249</v>
      </c>
    </row>
    <row r="6" customFormat="false" ht="23.85" hidden="false" customHeight="false" outlineLevel="0" collapsed="false">
      <c r="A6" s="4" t="s">
        <v>250</v>
      </c>
      <c r="B6" s="4" t="s">
        <v>251</v>
      </c>
      <c r="C6" s="4" t="s">
        <v>252</v>
      </c>
      <c r="D6" s="4" t="s">
        <v>253</v>
      </c>
    </row>
    <row r="7" customFormat="false" ht="23.85" hidden="false" customHeight="false" outlineLevel="0" collapsed="false">
      <c r="A7" s="4" t="s">
        <v>254</v>
      </c>
      <c r="B7" s="4" t="s">
        <v>255</v>
      </c>
      <c r="C7" s="4" t="s">
        <v>256</v>
      </c>
      <c r="D7" s="4" t="s">
        <v>257</v>
      </c>
    </row>
    <row r="8" customFormat="false" ht="23.85" hidden="false" customHeight="false" outlineLevel="0" collapsed="false">
      <c r="A8" s="4" t="s">
        <v>258</v>
      </c>
      <c r="B8" s="4" t="s">
        <v>259</v>
      </c>
      <c r="C8" s="4" t="s">
        <v>260</v>
      </c>
      <c r="D8" s="4" t="s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2026-07-14T20:06:27Z</dcterms:created>
  <dc:creator>openpyxl</dc:creator>
  <dc:description/>
  <dc:language>en-US</dc:language>
  <cp:lastModifiedBy/>
  <dcterms:modified xsi:type="dcterms:W3CDTF">2026-07-14T20:06:27Z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