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dds Tracker" sheetId="1" state="visible" r:id="rId3"/>
    <sheet name="Method &amp; Data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<sst xmlns="http://schemas.openxmlformats.org/spreadsheetml/2006/main" count="56" uniqueCount="56">
  <si>
    <t xml:space="preserve">World Cup 2026 — Outright Winner Odds Tracker  |  DraftKings · FanDuel · Kalshi · Polymarket</t>
  </si>
  <si>
    <t xml:space="preserve">As of:</t>
  </si>
  <si>
    <t xml:space="preserve">2026-06-05 (user screenshots)</t>
  </si>
  <si>
    <t xml:space="preserve">DK overround:</t>
  </si>
  <si>
    <t xml:space="preserve">FD overround:</t>
  </si>
  <si>
    <t xml:space="preserve">Overround = sum of implied % across all 48 teams (set exactly for true de-vig). PMs treated as fair: price ¢ = implied %.</t>
  </si>
  <si>
    <t xml:space="preserve">LIVE DATA from uploaded screenshots (June 5, 2026): DK &amp; FD American odds; Kalshi market % (Yes); Polymarket 'Buy Yes' (ask) cents. Overround ~1.19 estimated from DK's near-complete board (sum all 48 teams to refine). Polymarket asks run slightly hot vs Kalshi mid; weigh that in the gap column.</t>
  </si>
  <si>
    <t xml:space="preserve">Rank</t>
  </si>
  <si>
    <t xml:space="preserve">Team</t>
  </si>
  <si>
    <t xml:space="preserve">DK
odds</t>
  </si>
  <si>
    <t xml:space="preserve">DK
imp%</t>
  </si>
  <si>
    <t xml:space="preserve">DK
de-vig</t>
  </si>
  <si>
    <t xml:space="preserve">FD
odds</t>
  </si>
  <si>
    <t xml:space="preserve">FD
imp%</t>
  </si>
  <si>
    <t xml:space="preserve">FD
de-vig</t>
  </si>
  <si>
    <t xml:space="preserve">Kalshi
¢</t>
  </si>
  <si>
    <t xml:space="preserve">Kalshi
%</t>
  </si>
  <si>
    <t xml:space="preserve">Poly
¢</t>
  </si>
  <si>
    <t xml:space="preserve">Poly
%</t>
  </si>
  <si>
    <t xml:space="preserve">Book
de-vig avg</t>
  </si>
  <si>
    <t xml:space="preserve">PM
avg</t>
  </si>
  <si>
    <t xml:space="preserve">Book − PM
gap</t>
  </si>
  <si>
    <t xml:space="preserve">Spain</t>
  </si>
  <si>
    <t xml:space="preserve">France</t>
  </si>
  <si>
    <t xml:space="preserve">England</t>
  </si>
  <si>
    <t xml:space="preserve">Brazil</t>
  </si>
  <si>
    <t xml:space="preserve">Argentina</t>
  </si>
  <si>
    <t xml:space="preserve">Portugal</t>
  </si>
  <si>
    <t xml:space="preserve">Germany</t>
  </si>
  <si>
    <t xml:space="preserve">Netherlands</t>
  </si>
  <si>
    <t xml:space="preserve">Norway</t>
  </si>
  <si>
    <t xml:space="preserve">Belgium</t>
  </si>
  <si>
    <t xml:space="preserve">TOP-10 TOTAL</t>
  </si>
  <si>
    <t xml:space="preserve">Read the 'Book − PM gap' column: positive = sportsbooks imply a HIGHER win prob than prediction markets (book rich / PM cheap); negative = the reverse. The TOP-10 TOTAL row shows how much championship probability the top 10 capture: raw book sums reveal the vig (&gt;100%), de-vig and PM sums show the true top-10 share.</t>
  </si>
  <si>
    <t xml:space="preserve">How to use, update, and read this tracker</t>
  </si>
  <si>
    <t xml:space="preserve">1. Why normalize to implied probability</t>
  </si>
  <si>
    <t xml:space="preserve">The four venues quote in two languages. DK/FD use American odds that bake in vig; Kalshi/Polymarket trade in cents that equal implied probability. Convert everything to probability so they are comparable.</t>
  </si>
  <si>
    <t xml:space="preserve">2. American odds → implied probability</t>
  </si>
  <si>
    <t xml:space="preserve">Positive odds (e.g. +450):  implied % = 100 / (odds + 100).  +450 → 100/550 = 18.2%.</t>
  </si>
  <si>
    <t xml:space="preserve">Negative odds (e.g. -150):  implied % = -odds / (-odds + 100).  -150 → 150/250 = 60.0%.</t>
  </si>
  <si>
    <t xml:space="preserve">Prediction markets: price in cents IS the implied probability. 19¢ = 19%. No conversion needed.</t>
  </si>
  <si>
    <t xml:space="preserve">3. De-vig the sportsbooks (the key step)</t>
  </si>
  <si>
    <t xml:space="preserve">A 48-team futures book carries a large overround: raw implied probabilities across all teams sum to ~130-145%, not 100%. Prediction-market prices sit close to fair. Comparing raw book % to PM price overstates the book.</t>
  </si>
  <si>
    <t xml:space="preserve">De-vig = raw implied % ÷ overround, where overround = the sum of raw implied % across ALL 48 teams. Set the DK/FD overround cells on the tracker to that exact sum for a true comparison; ~1.40 is a placeholder.</t>
  </si>
  <si>
    <t xml:space="preserve">This 'proportional' de-vig is the simple, standard method. It assumes vig is spread evenly; longshots are slightly over-devigged, but it is fine for tracking relative movement.</t>
  </si>
  <si>
    <t xml:space="preserve">4. What to watch</t>
  </si>
  <si>
    <t xml:space="preserve">'Book − PM gap': where sportsbooks and prediction markets disagree. Today books have Spain as favorite while Kalshi/Polymarket have France first — a live example of the divergence to track.</t>
  </si>
  <si>
    <t xml:space="preserve">TOP-10 TOTAL: de-vigged book and PM sums show the share of championship probability concentrated in the top 10 (the rest is spread across 38 teams).</t>
  </si>
  <si>
    <t xml:space="preserve">5. Updating — manual or API</t>
  </si>
  <si>
    <t xml:space="preserve">Manual (fastest): open each app/site, paste American odds (DK/FD) and cent prices (Kalshi/Polymarket) into the yellow cells. Stamp the date. Snapshot daily or each matchday to build a time series.</t>
  </si>
  <si>
    <t xml:space="preserve">DK/FD via aggregator: The Odds API (the-odds-api.com), sport key 'soccer_fifa_world_cup_winner', markets=outrights — free tier ~500 calls/mo. Verify the current key in their docs.</t>
  </si>
  <si>
    <t xml:space="preserve">Polymarket: public Gamma/CLOB API (gamma-api.polymarket.com) — pull the World Cup winner market token prices (already in probability terms). Free, no key.</t>
  </si>
  <si>
    <t xml:space="preserve">Kalshi: public REST API (trading-api.kalshi.com) — pull the World Cup winner market YES bid/ask/last. Free with an account/key.</t>
  </si>
  <si>
    <t xml:space="preserve">Wiring: Google Sheets via Apps Script (UrlFetchApp) or Excel via Power Query (From Web). Snapshot each pull into a dated row for a time series.</t>
  </si>
  <si>
    <t xml:space="preserve">6. Caveats</t>
  </si>
  <si>
    <t xml:space="preserve">PM prices can be thin/illiquid on longshots and non-US venues; use mid of bid/ask, not last trade, where possible. Books update faster around team news. Polymarket is offshore/crypto and not CFTC-regulated; Kalshi is CFTC-regulated. Note venue when comparing.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</si>
</sst>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\+0;\-0"/>
    <numFmt numFmtId="167" formatCode="0.0%"/>
    <numFmt numFmtId="168" formatCode="0.0"/>
    <numFmt numFmtId="169" formatCode="\+0.0&quot;pp&quot;;\-0.0&quot;pp&quot;;0.0&quot;pp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404040"/>
      <name val="Arial"/>
      <family val="0"/>
      <charset val="1"/>
    </font>
    <font>
      <i val="true"/>
      <sz val="8"/>
      <color rgb="FFC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375623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12" min="3" style="1" width="8"/>
    <col collapsed="false" customWidth="true" hidden="false" outlineLevel="0" max="13" min="13" style="1" width="11"/>
    <col collapsed="false" customWidth="true" hidden="false" outlineLevel="0" max="14" min="14" style="1" width="9"/>
    <col collapsed="false" customWidth="true" hidden="false" outlineLevel="0" max="15" min="15" style="1" width="11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3" t="s">
        <v>1</v>
      </c>
      <c r="B2" s="4" t="s">
        <v>2</v>
      </c>
      <c r="D2" s="3" t="s">
        <v>3</v>
      </c>
      <c r="E2" s="5" t="n">
        <v>1.19</v>
      </c>
      <c r="F2" s="3" t="s">
        <v>4</v>
      </c>
      <c r="G2" s="5" t="n">
        <v>1.19</v>
      </c>
      <c r="I2" s="6" t="s">
        <v>5</v>
      </c>
      <c r="J2" s="6"/>
      <c r="K2" s="6"/>
      <c r="L2" s="6"/>
      <c r="M2" s="6"/>
      <c r="N2" s="6"/>
      <c r="O2" s="6"/>
    </row>
    <row r="3" customFormat="false" ht="25.5" hidden="false" customHeight="true" outlineLevel="0" collapsed="false">
      <c r="A3" s="7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customFormat="false" ht="30" hidden="false" customHeight="true" outlineLevel="0" collapsed="false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</row>
    <row r="5" customFormat="false" ht="15" hidden="false" customHeight="true" outlineLevel="0" collapsed="false">
      <c r="A5" s="9" t="n">
        <v>1</v>
      </c>
      <c r="B5" s="10" t="s">
        <v>22</v>
      </c>
      <c r="C5" s="11" t="n">
        <v>450</v>
      </c>
      <c r="D5" s="12" t="n">
        <f aca="false">IF($C5="","",IF(C5&gt;0,100/(C5+100),-C5/(-C5+100)))</f>
        <v>0.181818181818182</v>
      </c>
      <c r="E5" s="12" t="n">
        <f aca="false">IF(D5="","",D5/$E$2)</f>
        <v>0.152788388082506</v>
      </c>
      <c r="F5" s="11" t="n">
        <v>450</v>
      </c>
      <c r="G5" s="12" t="n">
        <f aca="false">IF($F5="","",IF(F5&gt;0,100/(F5+100),-F5/(-F5+100)))</f>
        <v>0.181818181818182</v>
      </c>
      <c r="H5" s="12" t="n">
        <f aca="false">IF(G5="","",G5/$G$2)</f>
        <v>0.152788388082506</v>
      </c>
      <c r="I5" s="13" t="n">
        <v>16.5</v>
      </c>
      <c r="J5" s="12" t="n">
        <f aca="false">IF($I5="","",I5/100)</f>
        <v>0.165</v>
      </c>
      <c r="K5" s="13" t="n">
        <v>16</v>
      </c>
      <c r="L5" s="12" t="n">
        <f aca="false">IF($K5="","",K5/100)</f>
        <v>0.16</v>
      </c>
      <c r="M5" s="14" t="n">
        <f aca="false">IFERROR(AVERAGE(E5,H5),"")</f>
        <v>0.152788388082506</v>
      </c>
      <c r="N5" s="14" t="n">
        <f aca="false">IFERROR(AVERAGE(J5,L5),"")</f>
        <v>0.1625</v>
      </c>
      <c r="O5" s="15" t="n">
        <f aca="false">IF(OR(M5="",N5=""),"",(M5-N5)*100)</f>
        <v>-0.971161191749426</v>
      </c>
    </row>
    <row r="6" customFormat="false" ht="15" hidden="false" customHeight="true" outlineLevel="0" collapsed="false">
      <c r="A6" s="16" t="n">
        <v>2</v>
      </c>
      <c r="B6" s="17" t="s">
        <v>23</v>
      </c>
      <c r="C6" s="11" t="n">
        <v>475</v>
      </c>
      <c r="D6" s="18" t="n">
        <f aca="false">IF($C6="","",IF(C6&gt;0,100/(C6+100),-C6/(-C6+100)))</f>
        <v>0.173913043478261</v>
      </c>
      <c r="E6" s="18" t="n">
        <f aca="false">IF(D6="","",D6/$E$2)</f>
        <v>0.146145414687614</v>
      </c>
      <c r="F6" s="11" t="n">
        <v>470</v>
      </c>
      <c r="G6" s="18" t="n">
        <f aca="false">IF($F6="","",IF(F6&gt;0,100/(F6+100),-F6/(-F6+100)))</f>
        <v>0.175438596491228</v>
      </c>
      <c r="H6" s="18" t="n">
        <f aca="false">IF(G6="","",G6/$G$2)</f>
        <v>0.147427392009435</v>
      </c>
      <c r="I6" s="13" t="n">
        <v>16.2</v>
      </c>
      <c r="J6" s="18" t="n">
        <f aca="false">IF($I6="","",I6/100)</f>
        <v>0.162</v>
      </c>
      <c r="K6" s="13" t="n">
        <v>16</v>
      </c>
      <c r="L6" s="18" t="n">
        <f aca="false">IF($K6="","",K6/100)</f>
        <v>0.16</v>
      </c>
      <c r="M6" s="19" t="n">
        <f aca="false">IFERROR(AVERAGE(E6,H6),"")</f>
        <v>0.146786403348525</v>
      </c>
      <c r="N6" s="19" t="n">
        <f aca="false">IFERROR(AVERAGE(J6,L6),"")</f>
        <v>0.161</v>
      </c>
      <c r="O6" s="15" t="n">
        <f aca="false">IF(OR(M6="",N6=""),"",(M6-N6)*100)</f>
        <v>-1.42135966514752</v>
      </c>
    </row>
    <row r="7" customFormat="false" ht="15" hidden="false" customHeight="true" outlineLevel="0" collapsed="false">
      <c r="A7" s="9" t="n">
        <v>3</v>
      </c>
      <c r="B7" s="10" t="s">
        <v>24</v>
      </c>
      <c r="C7" s="11" t="n">
        <v>700</v>
      </c>
      <c r="D7" s="12" t="n">
        <f aca="false">IF($C7="","",IF(C7&gt;0,100/(C7+100),-C7/(-C7+100)))</f>
        <v>0.125</v>
      </c>
      <c r="E7" s="12" t="n">
        <f aca="false">IF(D7="","",D7/$E$2)</f>
        <v>0.105042016806723</v>
      </c>
      <c r="F7" s="11" t="n">
        <v>650</v>
      </c>
      <c r="G7" s="12" t="n">
        <f aca="false">IF($F7="","",IF(F7&gt;0,100/(F7+100),-F7/(-F7+100)))</f>
        <v>0.133333333333333</v>
      </c>
      <c r="H7" s="12" t="n">
        <f aca="false">IF(G7="","",G7/$G$2)</f>
        <v>0.112044817927171</v>
      </c>
      <c r="I7" s="13" t="n">
        <v>10.5</v>
      </c>
      <c r="J7" s="12" t="n">
        <f aca="false">IF($I7="","",I7/100)</f>
        <v>0.105</v>
      </c>
      <c r="K7" s="13" t="n">
        <v>11.4</v>
      </c>
      <c r="L7" s="12" t="n">
        <f aca="false">IF($K7="","",K7/100)</f>
        <v>0.114</v>
      </c>
      <c r="M7" s="14" t="n">
        <f aca="false">IFERROR(AVERAGE(E7,H7),"")</f>
        <v>0.108543417366947</v>
      </c>
      <c r="N7" s="14" t="n">
        <f aca="false">IFERROR(AVERAGE(J7,L7),"")</f>
        <v>0.1095</v>
      </c>
      <c r="O7" s="15" t="n">
        <f aca="false">IF(OR(M7="",N7=""),"",(M7-N7)*100)</f>
        <v>-0.0956582633053218</v>
      </c>
    </row>
    <row r="8" customFormat="false" ht="15" hidden="false" customHeight="true" outlineLevel="0" collapsed="false">
      <c r="A8" s="16" t="n">
        <v>4</v>
      </c>
      <c r="B8" s="17" t="s">
        <v>25</v>
      </c>
      <c r="C8" s="11" t="n">
        <v>950</v>
      </c>
      <c r="D8" s="18" t="n">
        <f aca="false">IF($C8="","",IF(C8&gt;0,100/(C8+100),-C8/(-C8+100)))</f>
        <v>0.0952380952380952</v>
      </c>
      <c r="E8" s="18" t="n">
        <f aca="false">IF(D8="","",D8/$E$2)</f>
        <v>0.0800320128051221</v>
      </c>
      <c r="F8" s="11" t="n">
        <v>850</v>
      </c>
      <c r="G8" s="18" t="n">
        <f aca="false">IF($F8="","",IF(F8&gt;0,100/(F8+100),-F8/(-F8+100)))</f>
        <v>0.105263157894737</v>
      </c>
      <c r="H8" s="18" t="n">
        <f aca="false">IF(G8="","",G8/$G$2)</f>
        <v>0.0884564352056612</v>
      </c>
      <c r="I8" s="13" t="n">
        <v>8.1</v>
      </c>
      <c r="J8" s="18" t="n">
        <f aca="false">IF($I8="","",I8/100)</f>
        <v>0.081</v>
      </c>
      <c r="K8" s="13" t="n">
        <v>8.3</v>
      </c>
      <c r="L8" s="18" t="n">
        <f aca="false">IF($K8="","",K8/100)</f>
        <v>0.083</v>
      </c>
      <c r="M8" s="19" t="n">
        <f aca="false">IFERROR(AVERAGE(E8,H8),"")</f>
        <v>0.0842442240053916</v>
      </c>
      <c r="N8" s="19" t="n">
        <f aca="false">IFERROR(AVERAGE(J8,L8),"")</f>
        <v>0.082</v>
      </c>
      <c r="O8" s="15" t="n">
        <f aca="false">IF(OR(M8="",N8=""),"",(M8-N8)*100)</f>
        <v>0.224422400539163</v>
      </c>
    </row>
    <row r="9" customFormat="false" ht="15" hidden="false" customHeight="true" outlineLevel="0" collapsed="false">
      <c r="A9" s="9" t="n">
        <v>5</v>
      </c>
      <c r="B9" s="10" t="s">
        <v>26</v>
      </c>
      <c r="C9" s="11" t="n">
        <v>900</v>
      </c>
      <c r="D9" s="12" t="n">
        <f aca="false">IF($C9="","",IF(C9&gt;0,100/(C9+100),-C9/(-C9+100)))</f>
        <v>0.1</v>
      </c>
      <c r="E9" s="12" t="n">
        <f aca="false">IF(D9="","",D9/$E$2)</f>
        <v>0.0840336134453782</v>
      </c>
      <c r="F9" s="11" t="n">
        <v>1000</v>
      </c>
      <c r="G9" s="12" t="n">
        <f aca="false">IF($F9="","",IF(F9&gt;0,100/(F9+100),-F9/(-F9+100)))</f>
        <v>0.0909090909090909</v>
      </c>
      <c r="H9" s="12" t="n">
        <f aca="false">IF(G9="","",G9/$G$2)</f>
        <v>0.0763941940412529</v>
      </c>
      <c r="I9" s="13" t="n">
        <v>9.2</v>
      </c>
      <c r="J9" s="12" t="n">
        <f aca="false">IF($I9="","",I9/100)</f>
        <v>0.092</v>
      </c>
      <c r="K9" s="13" t="n">
        <v>8.8</v>
      </c>
      <c r="L9" s="12" t="n">
        <f aca="false">IF($K9="","",K9/100)</f>
        <v>0.088</v>
      </c>
      <c r="M9" s="14" t="n">
        <f aca="false">IFERROR(AVERAGE(E9,H9),"")</f>
        <v>0.0802139037433155</v>
      </c>
      <c r="N9" s="14" t="n">
        <f aca="false">IFERROR(AVERAGE(J9,L9),"")</f>
        <v>0.09</v>
      </c>
      <c r="O9" s="15" t="n">
        <f aca="false">IF(OR(M9="",N9=""),"",(M9-N9)*100)</f>
        <v>-0.978609625668447</v>
      </c>
    </row>
    <row r="10" customFormat="false" ht="15" hidden="false" customHeight="true" outlineLevel="0" collapsed="false">
      <c r="A10" s="16" t="n">
        <v>6</v>
      </c>
      <c r="B10" s="17" t="s">
        <v>27</v>
      </c>
      <c r="C10" s="11" t="n">
        <v>850</v>
      </c>
      <c r="D10" s="18" t="n">
        <f aca="false">IF($C10="","",IF(C10&gt;0,100/(C10+100),-C10/(-C10+100)))</f>
        <v>0.105263157894737</v>
      </c>
      <c r="E10" s="18" t="n">
        <f aca="false">IF(D10="","",D10/$E$2)</f>
        <v>0.0884564352056612</v>
      </c>
      <c r="F10" s="11" t="n">
        <v>900</v>
      </c>
      <c r="G10" s="18" t="n">
        <f aca="false">IF($F10="","",IF(F10&gt;0,100/(F10+100),-F10/(-F10+100)))</f>
        <v>0.1</v>
      </c>
      <c r="H10" s="18" t="n">
        <f aca="false">IF(G10="","",G10/$G$2)</f>
        <v>0.0840336134453782</v>
      </c>
      <c r="I10" s="13" t="n">
        <v>9.3</v>
      </c>
      <c r="J10" s="18" t="n">
        <f aca="false">IF($I10="","",I10/100)</f>
        <v>0.093</v>
      </c>
      <c r="K10" s="13" t="n">
        <v>9.7</v>
      </c>
      <c r="L10" s="18" t="n">
        <f aca="false">IF($K10="","",K10/100)</f>
        <v>0.097</v>
      </c>
      <c r="M10" s="19" t="n">
        <f aca="false">IFERROR(AVERAGE(E10,H10),"")</f>
        <v>0.0862450243255197</v>
      </c>
      <c r="N10" s="19" t="n">
        <f aca="false">IFERROR(AVERAGE(J10,L10),"")</f>
        <v>0.095</v>
      </c>
      <c r="O10" s="15" t="n">
        <f aca="false">IF(OR(M10="",N10=""),"",(M10-N10)*100)</f>
        <v>-0.875497567448032</v>
      </c>
    </row>
    <row r="11" customFormat="false" ht="15" hidden="false" customHeight="true" outlineLevel="0" collapsed="false">
      <c r="A11" s="9" t="n">
        <v>7</v>
      </c>
      <c r="B11" s="10" t="s">
        <v>28</v>
      </c>
      <c r="C11" s="11" t="n">
        <v>1400</v>
      </c>
      <c r="D11" s="12" t="n">
        <f aca="false">IF($C11="","",IF(C11&gt;0,100/(C11+100),-C11/(-C11+100)))</f>
        <v>0.0666666666666667</v>
      </c>
      <c r="E11" s="12" t="n">
        <f aca="false">IF(D11="","",D11/$E$2)</f>
        <v>0.0560224089635854</v>
      </c>
      <c r="F11" s="11" t="n">
        <v>1300</v>
      </c>
      <c r="G11" s="12" t="n">
        <f aca="false">IF($F11="","",IF(F11&gt;0,100/(F11+100),-F11/(-F11+100)))</f>
        <v>0.0714285714285714</v>
      </c>
      <c r="H11" s="12" t="n">
        <f aca="false">IF(G11="","",G11/$G$2)</f>
        <v>0.0600240096038415</v>
      </c>
      <c r="I11" s="13" t="n">
        <v>6</v>
      </c>
      <c r="J11" s="12" t="n">
        <f aca="false">IF($I11="","",I11/100)</f>
        <v>0.06</v>
      </c>
      <c r="K11" s="13" t="n">
        <v>5.4</v>
      </c>
      <c r="L11" s="12" t="n">
        <f aca="false">IF($K11="","",K11/100)</f>
        <v>0.054</v>
      </c>
      <c r="M11" s="14" t="n">
        <f aca="false">IFERROR(AVERAGE(E11,H11),"")</f>
        <v>0.0580232092837135</v>
      </c>
      <c r="N11" s="14" t="n">
        <f aca="false">IFERROR(AVERAGE(J11,L11),"")</f>
        <v>0.057</v>
      </c>
      <c r="O11" s="15" t="n">
        <f aca="false">IF(OR(M11="",N11=""),"",(M11-N11)*100)</f>
        <v>0.102320928371349</v>
      </c>
    </row>
    <row r="12" customFormat="false" ht="15" hidden="false" customHeight="true" outlineLevel="0" collapsed="false">
      <c r="A12" s="16" t="n">
        <v>8</v>
      </c>
      <c r="B12" s="17" t="s">
        <v>29</v>
      </c>
      <c r="C12" s="11" t="n">
        <v>2000</v>
      </c>
      <c r="D12" s="18" t="n">
        <f aca="false">IF($C12="","",IF(C12&gt;0,100/(C12+100),-C12/(-C12+100)))</f>
        <v>0.0476190476190476</v>
      </c>
      <c r="E12" s="18" t="n">
        <f aca="false">IF(D12="","",D12/$E$2)</f>
        <v>0.040016006402561</v>
      </c>
      <c r="F12" s="11" t="n">
        <v>1600</v>
      </c>
      <c r="G12" s="18" t="n">
        <f aca="false">IF($F12="","",IF(F12&gt;0,100/(F12+100),-F12/(-F12+100)))</f>
        <v>0.0588235294117647</v>
      </c>
      <c r="H12" s="18" t="n">
        <f aca="false">IF(G12="","",G12/$G$2)</f>
        <v>0.0494315373208107</v>
      </c>
      <c r="I12" s="13" t="n">
        <v>4.4</v>
      </c>
      <c r="J12" s="18" t="n">
        <f aca="false">IF($I12="","",I12/100)</f>
        <v>0.044</v>
      </c>
      <c r="K12" s="13" t="n">
        <v>4</v>
      </c>
      <c r="L12" s="18" t="n">
        <f aca="false">IF($K12="","",K12/100)</f>
        <v>0.04</v>
      </c>
      <c r="M12" s="19" t="n">
        <f aca="false">IFERROR(AVERAGE(E12,H12),"")</f>
        <v>0.0447237718616859</v>
      </c>
      <c r="N12" s="19" t="n">
        <f aca="false">IFERROR(AVERAGE(J12,L12),"")</f>
        <v>0.042</v>
      </c>
      <c r="O12" s="15" t="n">
        <f aca="false">IF(OR(M12="",N12=""),"",(M12-N12)*100)</f>
        <v>0.272377186168585</v>
      </c>
    </row>
    <row r="13" customFormat="false" ht="15" hidden="false" customHeight="true" outlineLevel="0" collapsed="false">
      <c r="A13" s="9" t="n">
        <v>9</v>
      </c>
      <c r="B13" s="10" t="s">
        <v>30</v>
      </c>
      <c r="C13" s="11" t="n">
        <v>3500</v>
      </c>
      <c r="D13" s="12" t="n">
        <f aca="false">IF($C13="","",IF(C13&gt;0,100/(C13+100),-C13/(-C13+100)))</f>
        <v>0.0277777777777778</v>
      </c>
      <c r="E13" s="12" t="n">
        <f aca="false">IF(D13="","",D13/$E$2)</f>
        <v>0.0233426704014939</v>
      </c>
      <c r="F13" s="11" t="n">
        <v>3300</v>
      </c>
      <c r="G13" s="12" t="n">
        <f aca="false">IF($F13="","",IF(F13&gt;0,100/(F13+100),-F13/(-F13+100)))</f>
        <v>0.0294117647058824</v>
      </c>
      <c r="H13" s="12" t="n">
        <f aca="false">IF(G13="","",G13/$G$2)</f>
        <v>0.0247157686604053</v>
      </c>
      <c r="I13" s="13" t="n">
        <v>2.6</v>
      </c>
      <c r="J13" s="12" t="n">
        <f aca="false">IF($I13="","",I13/100)</f>
        <v>0.026</v>
      </c>
      <c r="K13" s="13" t="n">
        <v>2.6</v>
      </c>
      <c r="L13" s="12" t="n">
        <f aca="false">IF($K13="","",K13/100)</f>
        <v>0.026</v>
      </c>
      <c r="M13" s="14" t="n">
        <f aca="false">IFERROR(AVERAGE(E13,H13),"")</f>
        <v>0.0240292195309496</v>
      </c>
      <c r="N13" s="14" t="n">
        <f aca="false">IFERROR(AVERAGE(J13,L13),"")</f>
        <v>0.026</v>
      </c>
      <c r="O13" s="15" t="n">
        <f aca="false">IF(OR(M13="",N13=""),"",(M13-N13)*100)</f>
        <v>-0.197078046905037</v>
      </c>
    </row>
    <row r="14" customFormat="false" ht="15" hidden="false" customHeight="true" outlineLevel="0" collapsed="false">
      <c r="A14" s="16" t="n">
        <v>10</v>
      </c>
      <c r="B14" s="17" t="s">
        <v>31</v>
      </c>
      <c r="C14" s="11" t="n">
        <v>4000</v>
      </c>
      <c r="D14" s="18" t="n">
        <f aca="false">IF($C14="","",IF(C14&gt;0,100/(C14+100),-C14/(-C14+100)))</f>
        <v>0.024390243902439</v>
      </c>
      <c r="E14" s="18" t="n">
        <f aca="false">IF(D14="","",D14/$E$2)</f>
        <v>0.0204960032793605</v>
      </c>
      <c r="F14" s="11" t="n">
        <v>2200</v>
      </c>
      <c r="G14" s="18" t="n">
        <f aca="false">IF($F14="","",IF(F14&gt;0,100/(F14+100),-F14/(-F14+100)))</f>
        <v>0.0434782608695652</v>
      </c>
      <c r="H14" s="18" t="n">
        <f aca="false">IF(G14="","",G14/$G$2)</f>
        <v>0.0365363536719036</v>
      </c>
      <c r="I14" s="13" t="n">
        <v>2.2</v>
      </c>
      <c r="J14" s="18" t="n">
        <f aca="false">IF($I14="","",I14/100)</f>
        <v>0.022</v>
      </c>
      <c r="K14" s="13" t="n">
        <v>2</v>
      </c>
      <c r="L14" s="18" t="n">
        <f aca="false">IF($K14="","",K14/100)</f>
        <v>0.02</v>
      </c>
      <c r="M14" s="19" t="n">
        <f aca="false">IFERROR(AVERAGE(E14,H14),"")</f>
        <v>0.028516178475632</v>
      </c>
      <c r="N14" s="19" t="n">
        <f aca="false">IFERROR(AVERAGE(J14,L14),"")</f>
        <v>0.021</v>
      </c>
      <c r="O14" s="15" t="n">
        <f aca="false">IF(OR(M14="",N14=""),"",(M14-N14)*100)</f>
        <v>0.751617847563204</v>
      </c>
    </row>
    <row r="15" customFormat="false" ht="15" hidden="false" customHeight="true" outlineLevel="0" collapsed="false">
      <c r="A15" s="20"/>
      <c r="B15" s="21" t="s">
        <v>32</v>
      </c>
      <c r="C15" s="20"/>
      <c r="D15" s="22" t="n">
        <f aca="false">SUM(D5:D14)</f>
        <v>0.947686214395206</v>
      </c>
      <c r="E15" s="22" t="n">
        <f aca="false">SUM(E5:E14)</f>
        <v>0.796374970080005</v>
      </c>
      <c r="F15" s="20"/>
      <c r="G15" s="22" t="n">
        <f aca="false">SUM(G5:G14)</f>
        <v>0.989904486862355</v>
      </c>
      <c r="H15" s="22" t="n">
        <f aca="false">SUM(H5:H14)</f>
        <v>0.831852509968365</v>
      </c>
      <c r="I15" s="20"/>
      <c r="J15" s="22" t="n">
        <f aca="false">SUM(J5:J14)</f>
        <v>0.85</v>
      </c>
      <c r="K15" s="20"/>
      <c r="L15" s="22" t="n">
        <f aca="false">SUM(L5:L14)</f>
        <v>0.842</v>
      </c>
      <c r="M15" s="22" t="n">
        <f aca="false">SUM(M5:M14)</f>
        <v>0.814113740024185</v>
      </c>
      <c r="N15" s="22" t="n">
        <f aca="false">SUM(N5:N14)</f>
        <v>0.846</v>
      </c>
      <c r="O15" s="20"/>
    </row>
    <row r="17" customFormat="false" ht="30" hidden="false" customHeight="true" outlineLevel="0" collapsed="false">
      <c r="A17" s="23" t="s">
        <v>33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</sheetData>
  <mergeCells count="4">
    <mergeCell ref="A1:O1"/>
    <mergeCell ref="I2:O2"/>
    <mergeCell ref="A3:O3"/>
    <mergeCell ref="A17:O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24" hidden="false" customHeight="true" outlineLevel="0" collapsed="false">
      <c r="A1" s="2" t="s">
        <v>34</v>
      </c>
      <c r="B1" s="2"/>
    </row>
    <row r="3" customFormat="false" ht="15" hidden="false" customHeight="true" outlineLevel="0" collapsed="false">
      <c r="A3" s="24" t="s">
        <v>35</v>
      </c>
      <c r="B3" s="24"/>
    </row>
    <row r="4" customFormat="false" ht="27.75" hidden="false" customHeight="true" outlineLevel="0" collapsed="false">
      <c r="A4" s="25" t="s">
        <v>36</v>
      </c>
      <c r="B4" s="25"/>
    </row>
    <row r="6" customFormat="false" ht="15" hidden="false" customHeight="true" outlineLevel="0" collapsed="false">
      <c r="A6" s="24" t="s">
        <v>37</v>
      </c>
      <c r="B6" s="24"/>
    </row>
    <row r="7" customFormat="false" ht="15.75" hidden="false" customHeight="true" outlineLevel="0" collapsed="false">
      <c r="A7" s="25" t="s">
        <v>38</v>
      </c>
      <c r="B7" s="25"/>
    </row>
    <row r="8" customFormat="false" ht="15.75" hidden="false" customHeight="true" outlineLevel="0" collapsed="false">
      <c r="A8" s="25" t="s">
        <v>39</v>
      </c>
      <c r="B8" s="25"/>
    </row>
    <row r="9" customFormat="false" ht="15.75" hidden="false" customHeight="true" outlineLevel="0" collapsed="false">
      <c r="A9" s="25" t="s">
        <v>40</v>
      </c>
      <c r="B9" s="25"/>
    </row>
    <row r="11" customFormat="false" ht="15" hidden="false" customHeight="true" outlineLevel="0" collapsed="false">
      <c r="A11" s="24" t="s">
        <v>41</v>
      </c>
      <c r="B11" s="24"/>
    </row>
    <row r="12" customFormat="false" ht="27.75" hidden="false" customHeight="true" outlineLevel="0" collapsed="false">
      <c r="A12" s="25" t="s">
        <v>42</v>
      </c>
      <c r="B12" s="25"/>
    </row>
    <row r="13" customFormat="false" ht="27.75" hidden="false" customHeight="true" outlineLevel="0" collapsed="false">
      <c r="A13" s="25" t="s">
        <v>43</v>
      </c>
      <c r="B13" s="25"/>
    </row>
    <row r="14" customFormat="false" ht="27.75" hidden="false" customHeight="true" outlineLevel="0" collapsed="false">
      <c r="A14" s="25" t="s">
        <v>44</v>
      </c>
      <c r="B14" s="25"/>
    </row>
    <row r="16" customFormat="false" ht="15" hidden="false" customHeight="true" outlineLevel="0" collapsed="false">
      <c r="A16" s="24" t="s">
        <v>45</v>
      </c>
      <c r="B16" s="24"/>
    </row>
    <row r="17" customFormat="false" ht="27.75" hidden="false" customHeight="true" outlineLevel="0" collapsed="false">
      <c r="A17" s="25" t="s">
        <v>46</v>
      </c>
      <c r="B17" s="25"/>
    </row>
    <row r="18" customFormat="false" ht="27.75" hidden="false" customHeight="true" outlineLevel="0" collapsed="false">
      <c r="A18" s="25" t="s">
        <v>47</v>
      </c>
      <c r="B18" s="25"/>
    </row>
    <row r="20" customFormat="false" ht="15" hidden="false" customHeight="true" outlineLevel="0" collapsed="false">
      <c r="A20" s="24" t="s">
        <v>48</v>
      </c>
      <c r="B20" s="24"/>
    </row>
    <row r="21" customFormat="false" ht="27.75" hidden="false" customHeight="true" outlineLevel="0" collapsed="false">
      <c r="A21" s="25" t="s">
        <v>49</v>
      </c>
      <c r="B21" s="25"/>
    </row>
    <row r="22" customFormat="false" ht="27.75" hidden="false" customHeight="true" outlineLevel="0" collapsed="false">
      <c r="A22" s="25" t="s">
        <v>50</v>
      </c>
      <c r="B22" s="25"/>
    </row>
    <row r="23" customFormat="false" ht="27.75" hidden="false" customHeight="true" outlineLevel="0" collapsed="false">
      <c r="A23" s="25" t="s">
        <v>51</v>
      </c>
      <c r="B23" s="25"/>
    </row>
    <row r="24" customFormat="false" ht="27.75" hidden="false" customHeight="true" outlineLevel="0" collapsed="false">
      <c r="A24" s="25" t="s">
        <v>52</v>
      </c>
      <c r="B24" s="25"/>
    </row>
    <row r="25" customFormat="false" ht="27.75" hidden="false" customHeight="true" outlineLevel="0" collapsed="false">
      <c r="A25" s="25" t="s">
        <v>53</v>
      </c>
      <c r="B25" s="25"/>
    </row>
    <row r="27" customFormat="false" ht="15" hidden="false" customHeight="true" outlineLevel="0" collapsed="false">
      <c r="A27" s="24" t="s">
        <v>54</v>
      </c>
      <c r="B27" s="24"/>
    </row>
    <row r="28" customFormat="false" ht="27.75" hidden="false" customHeight="true" outlineLevel="0" collapsed="false">
      <c r="A28" s="25" t="s">
        <v>55</v>
      </c>
      <c r="B28" s="25"/>
    </row>
  </sheetData>
  <mergeCells count="22">
    <mergeCell ref="A1:B1"/>
    <mergeCell ref="A3:B3"/>
    <mergeCell ref="A4:B4"/>
    <mergeCell ref="A6:B6"/>
    <mergeCell ref="A7:B7"/>
    <mergeCell ref="A8:B8"/>
    <mergeCell ref="A9:B9"/>
    <mergeCell ref="A11:B11"/>
    <mergeCell ref="A12:B12"/>
    <mergeCell ref="A13:B13"/>
    <mergeCell ref="A14:B14"/>
    <mergeCell ref="A16:B16"/>
    <mergeCell ref="A17:B17"/>
    <mergeCell ref="A18:B18"/>
    <mergeCell ref="A20:B20"/>
    <mergeCell ref="A21:B21"/>
    <mergeCell ref="A22:B22"/>
    <mergeCell ref="A23:B23"/>
    <mergeCell ref="A24:B24"/>
    <mergeCell ref="A25:B25"/>
    <mergeCell ref="A27:B27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2026-06-05T18:15:01Z</dcterms:created>
  <dc:creator>openpyxl</dc:creator>
  <dc:description/>
  <dc:language>en-US</dc:language>
  <cp:lastModifiedBy/>
  <dcterms:modified xsi:type="dcterms:W3CDTF">2026-06-05T18:22:23Z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