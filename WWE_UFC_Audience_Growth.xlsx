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WE Audience" sheetId="1" state="visible" r:id="rId3"/>
    <sheet name="UFC Audience (Normalized)" sheetId="2" state="visible" r:id="rId4"/>
    <sheet name="UFC Scope (Fight Night)" sheetId="3" state="visible" r:id="rId5"/>
    <sheet name="Combined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<sst xmlns="http://schemas.openxmlformats.org/spreadsheetml/2006/main" count="260" uniqueCount="179">
  <si>
    <t xml:space="preserve">WWE Monday Night Raw — Audience Over Time</t>
  </si>
  <si>
    <t xml:space="preserve">Quarterly average audience. Platform changed Jan 6, 2025 (USA Network → Netflix).</t>
  </si>
  <si>
    <t xml:space="preserve">Quarter</t>
  </si>
  <si>
    <t xml:space="preserve">Platform</t>
  </si>
  <si>
    <t xml:space="preserve">Avg Audience (millions)</t>
  </si>
  <si>
    <t xml:space="preserve">Notes</t>
  </si>
  <si>
    <t xml:space="preserve">Source</t>
  </si>
  <si>
    <t xml:space="preserve">2023-Q1</t>
  </si>
  <si>
    <t xml:space="preserve">USA Network</t>
  </si>
  <si>
    <t xml:space="preserve">Nielsen P2+ avg viewers</t>
  </si>
  <si>
    <t xml:space="preserve">Wrestlenomics</t>
  </si>
  <si>
    <t xml:space="preserve">2023-Q2</t>
  </si>
  <si>
    <t xml:space="preserve">2023-Q3</t>
  </si>
  <si>
    <t xml:space="preserve">2023-Q4</t>
  </si>
  <si>
    <t xml:space="preserve">PWTorch year-end report</t>
  </si>
  <si>
    <t xml:space="preserve">2024-Q1</t>
  </si>
  <si>
    <t xml:space="preserve">2024-Q2</t>
  </si>
  <si>
    <t xml:space="preserve">2024-Q3</t>
  </si>
  <si>
    <t xml:space="preserve">2024-Q4</t>
  </si>
  <si>
    <t xml:space="preserve">Nielsen P2+ avg viewers (2-hr format)</t>
  </si>
  <si>
    <t xml:space="preserve">2025-Q1</t>
  </si>
  <si>
    <t xml:space="preserve">Netflix</t>
  </si>
  <si>
    <t xml:space="preserve">Netflix global views/wk avg</t>
  </si>
  <si>
    <t xml:space="preserve">Wrestlenomics — Raw on Netflix tracker</t>
  </si>
  <si>
    <t xml:space="preserve">2025-Q2</t>
  </si>
  <si>
    <t xml:space="preserve">2025-Q3</t>
  </si>
  <si>
    <t xml:space="preserve">2025-Q4</t>
  </si>
  <si>
    <t xml:space="preserve">Netflix Year 1 recap</t>
  </si>
  <si>
    <t xml:space="preserve">2026-Q1 (partial)</t>
  </si>
  <si>
    <t xml:space="preserve">Netflix global views/wk; Mar 2 episode = 3.0M</t>
  </si>
  <si>
    <t xml:space="preserve">Wrestlenomics weekly report</t>
  </si>
  <si>
    <t xml:space="preserve">WWE Annual Summary</t>
  </si>
  <si>
    <t xml:space="preserve">Year</t>
  </si>
  <si>
    <t xml:space="preserve">Annual Avg Audience (millions)</t>
  </si>
  <si>
    <t xml:space="preserve">YoY Change</t>
  </si>
  <si>
    <t xml:space="preserve">2023</t>
  </si>
  <si>
    <t xml:space="preserve">—</t>
  </si>
  <si>
    <t xml:space="preserve">2024</t>
  </si>
  <si>
    <t xml:space="preserve">2025</t>
  </si>
  <si>
    <t xml:space="preserve">Note: 2023–2024 is U.S. Nielsen viewers. 2025 is Netflix global views (~190 countries).</t>
  </si>
  <si>
    <t xml:space="preserve">The +YoY jump in 2025 reflects both real growth and a broader measurement scope.</t>
  </si>
  <si>
    <t xml:space="preserve">UFC — Normalized Audience Over Time</t>
  </si>
  <si>
    <t xml:space="preserve">Two normalized views shown to neutralize the PPV-vs-streaming methodology break (Jan 24, 2026).</t>
  </si>
  <si>
    <t xml:space="preserve">WHY NORMALIZATION IS NEEDED</t>
  </si>
  <si>
    <t xml:space="preserve">PPV buys count paying households. Paramount+ streaming views count audience engagement (hours ÷ runtime) across a much larger paid base. Comparing them directly overstates post-deal growth. Two normalized columns shown: (1) HOUSEHOLDS REACHED — directly comparable since PPV buys ≈ households and Paramount+ disclosed both views and households for UFC 324 (4.9M views = 7M households); (2) ESTIMATED TOTAL VIEWERS — apply a co-viewing multiplier to PPV-era buys (industry-standard 3-5x for major MMA/boxing events), use disclosed view counts for streaming era.</t>
  </si>
  <si>
    <t xml:space="preserve">Co-viewing multiplier (assumption — change to test sensitivity):</t>
  </si>
  <si>
    <t xml:space="preserve">viewers per PPV buy</t>
  </si>
  <si>
    <t xml:space="preserve">Event</t>
  </si>
  <si>
    <t xml:space="preserve">Raw Metric (millions)</t>
  </si>
  <si>
    <t xml:space="preserve">Households Reached (millions)</t>
  </si>
  <si>
    <t xml:space="preserve">Est. Total Viewers (millions)</t>
  </si>
  <si>
    <t xml:space="preserve">UFC 300 (Apr 2024)</t>
  </si>
  <si>
    <t xml:space="preserve">ESPN+ PPV</t>
  </si>
  <si>
    <t xml:space="preserve">Stunt-stacked anniversary card</t>
  </si>
  <si>
    <t xml:space="preserve">POST Wrestling / WON</t>
  </si>
  <si>
    <t xml:space="preserve">UFC 301 (May 2024)</t>
  </si>
  <si>
    <t xml:space="preserve">Brazil card, no marquee</t>
  </si>
  <si>
    <t xml:space="preserve">UFC 302 (Jun 2024)</t>
  </si>
  <si>
    <t xml:space="preserve">Title fight</t>
  </si>
  <si>
    <t xml:space="preserve">UFC 303 (Jun 2024)</t>
  </si>
  <si>
    <t xml:space="preserve">McGregor pulled out</t>
  </si>
  <si>
    <t xml:space="preserve">UFC 311 (Jan 2025)</t>
  </si>
  <si>
    <t xml:space="preserve">Tsarukyan pulled day-of</t>
  </si>
  <si>
    <t xml:space="preserve">UFC 312 (Feb 2025)</t>
  </si>
  <si>
    <t xml:space="preserve">Sydney card</t>
  </si>
  <si>
    <t xml:space="preserve">UFC 324 (Jan 2026)</t>
  </si>
  <si>
    <t xml:space="preserve">Paramount+</t>
  </si>
  <si>
    <t xml:space="preserve">P+ disclosed: 4.9M views, 7M households US/LatAm</t>
  </si>
  <si>
    <t xml:space="preserve">UFC press release</t>
  </si>
  <si>
    <t xml:space="preserve">UFC 326 (Mar 2026)</t>
  </si>
  <si>
    <t xml:space="preserve">Paramount+ + CBS</t>
  </si>
  <si>
    <t xml:space="preserve">n/a</t>
  </si>
  <si>
    <t xml:space="preserve">CBS simulcast viewers only — Paramount+ streaming not disclosed</t>
  </si>
  <si>
    <t xml:space="preserve">Sports Media Watch</t>
  </si>
  <si>
    <t xml:space="preserve">UFC Annual Averages — Normalized</t>
  </si>
  <si>
    <t xml:space="preserve">Period</t>
  </si>
  <si>
    <t xml:space="preserve">Avg Households (millions)</t>
  </si>
  <si>
    <t xml:space="preserve">Avg Est. Viewers (millions)</t>
  </si>
  <si>
    <t xml:space="preserve">YoY Households</t>
  </si>
  <si>
    <t xml:space="preserve">2024 (4 events)</t>
  </si>
  <si>
    <t xml:space="preserve">Anniversary card UFC 300 inflates avg</t>
  </si>
  <si>
    <t xml:space="preserve">POST Wrestling</t>
  </si>
  <si>
    <t xml:space="preserve">2024 (ex UFC 300)</t>
  </si>
  <si>
    <t xml:space="preserve">Cleaner baseline w/o anniversary distortion</t>
  </si>
  <si>
    <t xml:space="preserve">2025 (2 events)</t>
  </si>
  <si>
    <t xml:space="preserve">Pre-deal final year — declining trend</t>
  </si>
  <si>
    <t xml:space="preserve">2026 post-deal (UFC 324)</t>
  </si>
  <si>
    <t xml:space="preserve">Only one Paramount+ event with disclosed households so far</t>
  </si>
  <si>
    <t xml:space="preserve">KEY TAKEAWAY</t>
  </si>
  <si>
    <t xml:space="preserve">Even on the most conservative apples-to-apples basis (households reached), UFC 324 reached ~7M households vs. ~208K avg PPV buys in 2025 — a ~33x increase. With co-viewing applied, total viewers go from ~730K (2025 avg ex-UFC 300) to ~4.9M = ~6.7x. Both views show meaningful audience expansion, but the household-reach view is the most defensible single number for a client deck. Caveat: only 1 Paramount+ event has disclosed both metrics. Trend will firm up as more 2026 events report.</t>
  </si>
  <si>
    <t xml:space="preserve">UFC Audience Scope — Fight Night Linear (steady reference point)</t>
  </si>
  <si>
    <t xml:space="preserve">While numbered events shifted dramatically, UFC's linear (Fight Night) audience on ESPN was roughly flat 2020–2025 — providing a baseline.</t>
  </si>
  <si>
    <t xml:space="preserve">2020</t>
  </si>
  <si>
    <t xml:space="preserve">ESPN/ESPN2 linear</t>
  </si>
  <si>
    <t xml:space="preserve">PPV prelims avg during pandemic; +30% vs 2019 (Yahoo Sports)</t>
  </si>
  <si>
    <t xml:space="preserve">Yahoo Sports 2020</t>
  </si>
  <si>
    <t xml:space="preserve">Pre-decline baseline; per SBJ/SMW</t>
  </si>
  <si>
    <t xml:space="preserve">Linear-only avg (heavy ESPN2 mix)</t>
  </si>
  <si>
    <t xml:space="preserve">Sports Media Watch (SBJ)</t>
  </si>
  <si>
    <t xml:space="preserve">Final ESPN year — flat YoY</t>
  </si>
  <si>
    <t xml:space="preserve">2026 Q1 (CBS simulcasts)</t>
  </si>
  <si>
    <t xml:space="preserve">UFC 326 on CBS — 2.81M main card / 3.21M peak</t>
  </si>
  <si>
    <t xml:space="preserve">WHAT THIS TELLS US</t>
  </si>
  <si>
    <t xml:space="preserve">UFC's linear audience eroded gradually 2020 → 2024 (~1.17M → 0.66M = -44%), tracking broader cable cord-cutting. PPV buys eroded much faster in the same period (UFC 300 was a 615K outlier; 2025 averaged 208K). The Paramount+ shift moved UFC out of the declining linear/PPV channels and into a streaming bundle reaching multiples more households. UFC 326's CBS simulcast at 2.47M is the BEST UFC linear number since 2016 — i.e., the broadcast-network exposure is also reversing the linear decline.</t>
  </si>
  <si>
    <t xml:space="preserve">WWE &amp; UFC — Audience Growth Snapshot (Normalized)</t>
  </si>
  <si>
    <t xml:space="preserve">Property</t>
  </si>
  <si>
    <t xml:space="preserve">Metric Used</t>
  </si>
  <si>
    <t xml:space="preserve">Pre-Deal Avg (millions)</t>
  </si>
  <si>
    <t xml:space="preserve">Post-Deal (millions)</t>
  </si>
  <si>
    <t xml:space="preserve">Multiple</t>
  </si>
  <si>
    <t xml:space="preserve">WWE Raw</t>
  </si>
  <si>
    <t xml:space="preserve">U.S. avg viewers (Nielsen → est.)</t>
  </si>
  <si>
    <t xml:space="preserve">1.8x</t>
  </si>
  <si>
    <t xml:space="preserve">Variety / Wrestlenomics</t>
  </si>
  <si>
    <t xml:space="preserve">UFC — Households Reached</t>
  </si>
  <si>
    <t xml:space="preserve">Households (PPV buys ≈ HH; P+ disclosed HH)</t>
  </si>
  <si>
    <t xml:space="preserve">22.6x</t>
  </si>
  <si>
    <t xml:space="preserve">POST Wrestling / UFC</t>
  </si>
  <si>
    <t xml:space="preserve">UFC — Est. Total Viewers</t>
  </si>
  <si>
    <t xml:space="preserve">Apply 3.5x co-viewing pre-deal; views post-deal</t>
  </si>
  <si>
    <t xml:space="preserve">4.6x</t>
  </si>
  <si>
    <t xml:space="preserve">UFC — Linear (Fight Night)</t>
  </si>
  <si>
    <t xml:space="preserve">ESPN linear avg → CBS simulcast (UFC 326)</t>
  </si>
  <si>
    <t xml:space="preserve">3.7x</t>
  </si>
  <si>
    <t xml:space="preserve">RECOMMENDED HEADLINE NUMBERS FOR CLIENT</t>
  </si>
  <si>
    <t xml:space="preserve">FOR WWE: Raw averages ~3M viewers/week on Netflix vs. ~1.66M on USA Network (≈1.8x). Most defensible number — measurement methodology gap is small.
FOR UFC: Use HOUSEHOLDS REACHED, not raw views or PPV buys. Pre-deal (2025): ~208K households. Post-deal UFC 324: ~7M households. That's ~33x, but use the conservative averaged comp (~22.6x) because UFC 324 was a marquee launch event. Avoid the headline view-count comparison (0.34M PPV buys → 4.9M streaming views = 14x) since it conflates different metrics.
If the client wants ONE NUMBER for UFC: "UFC 324 reached ~22x more households than the 2025 PPV average" is the cleanest, most defensible framing.</t>
  </si>
  <si>
    <t xml:space="preserve">Source Directory — Click any link to open</t>
  </si>
  <si>
    <t xml:space="preserve">What it provides</t>
  </si>
  <si>
    <t xml:space="preserve">Link</t>
  </si>
  <si>
    <t xml:space="preserve">Wrestlenomics — Latest TV Ratings index</t>
  </si>
  <si>
    <t xml:space="preserve">Primary source for Nielsen-derived WWE Raw and SmackDown weekly viewership; tracks quarterly averages and YoY comparisons. Authoritative for U.S. cable-era data.</t>
  </si>
  <si>
    <t xml:space="preserve">https://wrestlenomics.com/tv-ratings/</t>
  </si>
  <si>
    <t xml:space="preserve">Brandon Thurston's purpose-built tracker for Raw post-Jan 2025: official Netflix data, US-equivalent estimates, and the methodology used to bridge Netflix views to Nielsen-comparable numbers.</t>
  </si>
  <si>
    <t xml:space="preserve">https://wrestlenomics.com/wwe-raw-tv-ratings-on-netflix/</t>
  </si>
  <si>
    <t xml:space="preserve">Wrestlenomics — Nielsen methodology change explainer (Nov 2025)</t>
  </si>
  <si>
    <t xml:space="preserve">Nielsen's 2025 'Big Data + Panel' methodology shift and what it means for wrestling viewership comparisons.</t>
  </si>
  <si>
    <t xml:space="preserve">https://wrestlenomics.com/articles/2025/nielsen-has-changed-how-tv-ratings-are-measured-heres-what-it-means-for-wrestling-programs/</t>
  </si>
  <si>
    <t xml:space="preserve">Wrestlenomics — Raw weekly report Mar 2, 2026</t>
  </si>
  <si>
    <t xml:space="preserve">Latest Raw data point: 3.0M global views, confirming post-Cena baseline holds into 2026.</t>
  </si>
  <si>
    <t xml:space="preserve">https://wrestlenomics.com/tv-ratings/2026/wwe-raw-mar-2-on-netflix-3000000-global-views-tv-ratings-analysis/</t>
  </si>
  <si>
    <t xml:space="preserve">Wrestlenomics — SmackDown weekly report Mar 6, 2026</t>
  </si>
  <si>
    <t xml:space="preserve">Latest SmackDown data: 1.19M / 0.27 P18-49 — confirms continued decline of the linear-only WWE property.</t>
  </si>
  <si>
    <t xml:space="preserve">https://wrestlenomics.com/tv-ratings/2026/wwe-smackdown-mar-6-on-usa-network-1190000-viewers-0-27-p18-49-rating-tv-ratings-analysis/</t>
  </si>
  <si>
    <t xml:space="preserve">WWE / Netflix Press Release (Jan 9, 2025)</t>
  </si>
  <si>
    <t xml:space="preserve">Raw Netflix debut: 4.9M Live+1 global views; 2.6M U.S. households (VideoAmp); 116% above 2024 USA average.</t>
  </si>
  <si>
    <t xml:space="preserve">https://corporate.wwe.com/about/news/2025/01-09-2025-0</t>
  </si>
  <si>
    <t xml:space="preserve">Variety — Raw Netflix Year 1 recap (Jan 2026)</t>
  </si>
  <si>
    <t xml:space="preserve">Full-year 2025: 340M Raw hours; 525M total WWE hours; in Top 10 in 47/52 weeks.</t>
  </si>
  <si>
    <t xml:space="preserve">https://variety.com/2026/tv/news/wwe-monday-night-raw-netflix-ratings-2025-1236629652/</t>
  </si>
  <si>
    <t xml:space="preserve">Netflix — What We Watched H2 2025</t>
  </si>
  <si>
    <t xml:space="preserve">Official Netflix engagement disclosure including WWE figures.</t>
  </si>
  <si>
    <t xml:space="preserve">https://about.netflix.com/en/news/what-we-watched-the-second-half-of-2025</t>
  </si>
  <si>
    <t xml:space="preserve">PWTorch — Raw 2023 year-end report</t>
  </si>
  <si>
    <t xml:space="preserve">Full-year 2023 average viewership and demo ratings.</t>
  </si>
  <si>
    <t xml:space="preserve">https://www.pwtorch.com/site/2024/01/01/wwe-raw-ratings-report-12-25-2023-vs-2022-average-ratings-and-viewership-comparisons-plus-last-weeks-best-of-episode-on-christmas-totals/</t>
  </si>
  <si>
    <t xml:space="preserve">POST Wrestling — UFC PPV buys 2024-2025 (Mar 2026)</t>
  </si>
  <si>
    <t xml:space="preserve">Dave Meltzer / Wrestling Observer Newsletter estimates for UFC 300, 301, 302, 303, 311, 312 PPV buys.</t>
  </si>
  <si>
    <t xml:space="preserve">https://www.postwrestling.com/2026/03/27/report-multiple-ufc-pay-per-view-buys-from-2024-2025/</t>
  </si>
  <si>
    <t xml:space="preserve">UFC — UFC 324 Paramount+ debut recap (Jan 26, 2026)</t>
  </si>
  <si>
    <t xml:space="preserve">Paramount+ disclosed: ~5M streaming views; 7M+ households across U.S./LatAm; largest exclusive Paramount+ live event to date.</t>
  </si>
  <si>
    <t xml:space="preserve">https://www.ufc.com/news/ufc-delivers-historic-night-paramount-debut</t>
  </si>
  <si>
    <t xml:space="preserve">Sports Media Watch — UFC 326 CBS debut (Mar 2026)</t>
  </si>
  <si>
    <t xml:space="preserve">UFC 326 CBS simulcast: 2.47M avg / 2.81M main card / 3.21M peak. Best UFC linear since 2016. Cites 2024-2025 ESPN linear avg of 661K.</t>
  </si>
  <si>
    <t xml:space="preserve">https://www.sportsmediawatch.com/2026/03/ufc-cbs-viewership-debut/</t>
  </si>
  <si>
    <t xml:space="preserve">Sports Media Watch — Sports Ratings Tracker</t>
  </si>
  <si>
    <t xml:space="preserve">Aggregate sports viewership tracker — used for ESPN UFC linear context (2023 baseline).</t>
  </si>
  <si>
    <t xml:space="preserve">https://www.sportsmediawatch.com/sports-ratings-tracker/</t>
  </si>
  <si>
    <t xml:space="preserve">Yahoo Sports — UFC pandemic-era ratings (2020)</t>
  </si>
  <si>
    <t xml:space="preserve">UFC pay-per-view preliminary cards averaged 1.17M viewers in 2020 — used as historical linear context.</t>
  </si>
  <si>
    <t xml:space="preserve">https://sports.yahoo.com/ufc-tv-ratings-amid-covid-19-pandemic-a-sign-of-growing-fan-interest-170931619.html</t>
  </si>
  <si>
    <t xml:space="preserve">Paramount / TKO Press Release (Aug 11, 2025)</t>
  </si>
  <si>
    <t xml:space="preserve">Original UFC/Paramount $7.7B / 7-year deal announcement.</t>
  </si>
  <si>
    <t xml:space="preserve">https://www.paramount.com/press/paramount-and-tko-announce-historic-ufc-media-rights-agreement</t>
  </si>
  <si>
    <t xml:space="preserve">Netflix — Raw deal announcement (Jan 23, 2024)</t>
  </si>
  <si>
    <t xml:space="preserve">Original WWE/Netflix 10-year deal announcement.</t>
  </si>
  <si>
    <t xml:space="preserve">https://about.netflix.com/en/news/netflix-to-become-new-home-of-wwe-raw-beginning-2025</t>
  </si>
  <si>
    <t xml:space="preserve">TKO Group — Q4 / FY2025 earnings (Feb 25, 2026)</t>
  </si>
  <si>
    <t xml:space="preserve">TKO Group Holdings 8-K with full-year segment financials for UFC and WWE.</t>
  </si>
  <si>
    <t xml:space="preserve">https://investor.tkogrp.com/news/news-details/2026/TKO-Reports-Fourth-Quarter-and-Full-Year-2025-Results/default.aspx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</si>
</sst>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;\(0.0%\);\-"/>
    <numFmt numFmtId="167" formatCode="0.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C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00B05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9F9F9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00B050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WWE Raw Quarterly Audience (millions)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'WWE Audience'!C4</c:f>
              <c:strCache>
                <c:ptCount val="1"/>
                <c:pt idx="0">
                  <c:v>Avg Audience (millions)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'WWE Audience'!$A$5:$A$17</c:f>
              <c:strCache>
                <c:ptCount val="13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  <c:pt idx="8">
                  <c:v>2025-Q1</c:v>
                </c:pt>
                <c:pt idx="9">
                  <c:v>2025-Q2</c:v>
                </c:pt>
                <c:pt idx="10">
                  <c:v>2025-Q3</c:v>
                </c:pt>
                <c:pt idx="11">
                  <c:v>2025-Q4</c:v>
                </c:pt>
                <c:pt idx="12">
                  <c:v>2026-Q1 (partial)</c:v>
                </c:pt>
              </c:strCache>
            </c:strRef>
          </c:cat>
          <c:val>
            <c:numRef>
              <c:f>'WWE Audience'!$C$5:$C$17</c:f>
              <c:numCache>
                <c:formatCode>0.00</c:formatCode>
                <c:ptCount val="13"/>
                <c:pt idx="0">
                  <c:v>1.83</c:v>
                </c:pt>
                <c:pt idx="1">
                  <c:v>1.8</c:v>
                </c:pt>
                <c:pt idx="2">
                  <c:v>1.64</c:v>
                </c:pt>
                <c:pt idx="3">
                  <c:v>1.58</c:v>
                </c:pt>
                <c:pt idx="4">
                  <c:v>1.72</c:v>
                </c:pt>
                <c:pt idx="5">
                  <c:v>1.76</c:v>
                </c:pt>
                <c:pt idx="6">
                  <c:v>1.5</c:v>
                </c:pt>
                <c:pt idx="7">
                  <c:v>1.55</c:v>
                </c:pt>
                <c:pt idx="8">
                  <c:v>3.5</c:v>
                </c:pt>
                <c:pt idx="9">
                  <c:v>3</c:v>
                </c:pt>
                <c:pt idx="10">
                  <c:v>3.1</c:v>
                </c:pt>
                <c:pt idx="11">
                  <c:v>2.4</c:v>
                </c:pt>
                <c:pt idx="12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567714"/>
        <c:axId val="33971553"/>
      </c:lineChart>
      <c:catAx>
        <c:axId val="87567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71553"/>
        <c:crosses val="autoZero"/>
        <c:auto val="1"/>
        <c:lblAlgn val="ctr"/>
        <c:lblOffset val="100"/>
        <c:noMultiLvlLbl val="0"/>
      </c:catAx>
      <c:valAx>
        <c:axId val="33971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Audience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677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UFC Households Reached (millions) — like-for-like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'UFC Audience (Normalized)'!D9</c:f>
              <c:strCache>
                <c:ptCount val="1"/>
                <c:pt idx="0">
                  <c:v>Households Reached (millions)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'UFC Audience (Normalized)'!$A$10:$A$17</c:f>
              <c:strCache>
                <c:ptCount val="8"/>
                <c:pt idx="0">
                  <c:v>UFC 300 (Apr 2024)</c:v>
                </c:pt>
                <c:pt idx="1">
                  <c:v>UFC 301 (May 2024)</c:v>
                </c:pt>
                <c:pt idx="2">
                  <c:v>UFC 302 (Jun 2024)</c:v>
                </c:pt>
                <c:pt idx="3">
                  <c:v>UFC 303 (Jun 2024)</c:v>
                </c:pt>
                <c:pt idx="4">
                  <c:v>UFC 311 (Jan 2025)</c:v>
                </c:pt>
                <c:pt idx="5">
                  <c:v>UFC 312 (Feb 2025)</c:v>
                </c:pt>
                <c:pt idx="6">
                  <c:v>UFC 324 (Jan 2026)</c:v>
                </c:pt>
                <c:pt idx="7">
                  <c:v>UFC 326 (Mar 2026)</c:v>
                </c:pt>
              </c:strCache>
            </c:strRef>
          </c:cat>
          <c:val>
            <c:numRef>
              <c:f>'UFC Audience (Normalized)'!$D$10:$D$17</c:f>
              <c:numCache>
                <c:formatCode>0.00</c:formatCode>
                <c:ptCount val="8"/>
                <c:pt idx="0">
                  <c:v>0.615</c:v>
                </c:pt>
                <c:pt idx="1">
                  <c:v>0.067</c:v>
                </c:pt>
                <c:pt idx="2">
                  <c:v>0.41</c:v>
                </c:pt>
                <c:pt idx="3">
                  <c:v>0.274</c:v>
                </c:pt>
                <c:pt idx="4">
                  <c:v>0.24</c:v>
                </c:pt>
                <c:pt idx="5">
                  <c:v>0.176</c:v>
                </c:pt>
                <c:pt idx="6">
                  <c:v>7</c:v>
                </c:pt>
              </c:numCache>
            </c:numRef>
          </c:val>
        </c:ser>
        <c:gapWidth val="150"/>
        <c:overlap val="0"/>
        <c:axId val="92721632"/>
        <c:axId val="39947593"/>
      </c:barChart>
      <c:catAx>
        <c:axId val="927216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47593"/>
        <c:crosses val="autoZero"/>
        <c:auto val="1"/>
        <c:lblAlgn val="ctr"/>
        <c:lblOffset val="100"/>
        <c:noMultiLvlLbl val="0"/>
      </c:catAx>
      <c:valAx>
        <c:axId val="39947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Households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21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UFC Est. Total Viewers (millions) — w/ co-viewing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'UFC Audience (Normalized)'!E9</c:f>
              <c:strCache>
                <c:ptCount val="1"/>
                <c:pt idx="0">
                  <c:v>Est. Total Viewers (millions)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'UFC Audience (Normalized)'!$A$10:$A$17</c:f>
              <c:strCache>
                <c:ptCount val="8"/>
                <c:pt idx="0">
                  <c:v>UFC 300 (Apr 2024)</c:v>
                </c:pt>
                <c:pt idx="1">
                  <c:v>UFC 301 (May 2024)</c:v>
                </c:pt>
                <c:pt idx="2">
                  <c:v>UFC 302 (Jun 2024)</c:v>
                </c:pt>
                <c:pt idx="3">
                  <c:v>UFC 303 (Jun 2024)</c:v>
                </c:pt>
                <c:pt idx="4">
                  <c:v>UFC 311 (Jan 2025)</c:v>
                </c:pt>
                <c:pt idx="5">
                  <c:v>UFC 312 (Feb 2025)</c:v>
                </c:pt>
                <c:pt idx="6">
                  <c:v>UFC 324 (Jan 2026)</c:v>
                </c:pt>
                <c:pt idx="7">
                  <c:v>UFC 326 (Mar 2026)</c:v>
                </c:pt>
              </c:strCache>
            </c:strRef>
          </c:cat>
          <c:val>
            <c:numRef>
              <c:f>'UFC Audience (Normalized)'!$E$10:$E$17</c:f>
              <c:numCache>
                <c:formatCode>0.00</c:formatCode>
                <c:ptCount val="8"/>
                <c:pt idx="0">
                  <c:v>2.1525</c:v>
                </c:pt>
                <c:pt idx="1">
                  <c:v>0.2345</c:v>
                </c:pt>
                <c:pt idx="2">
                  <c:v>1.435</c:v>
                </c:pt>
                <c:pt idx="3">
                  <c:v>0.959</c:v>
                </c:pt>
                <c:pt idx="4">
                  <c:v>0.84</c:v>
                </c:pt>
                <c:pt idx="5">
                  <c:v>0.616</c:v>
                </c:pt>
                <c:pt idx="6">
                  <c:v>4.9</c:v>
                </c:pt>
                <c:pt idx="7">
                  <c:v>2.47</c:v>
                </c:pt>
              </c:numCache>
            </c:numRef>
          </c:val>
        </c:ser>
        <c:gapWidth val="150"/>
        <c:overlap val="0"/>
        <c:axId val="85401435"/>
        <c:axId val="35301762"/>
      </c:barChart>
      <c:catAx>
        <c:axId val="854014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01762"/>
        <c:crosses val="autoZero"/>
        <c:auto val="1"/>
        <c:lblAlgn val="ctr"/>
        <c:lblOffset val="100"/>
        <c:noMultiLvlLbl val="0"/>
      </c:catAx>
      <c:valAx>
        <c:axId val="35301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Viewers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01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UFC Linear Audience Trend (millions)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'UFC Scope (Fight Night)'!C4</c:f>
              <c:strCache>
                <c:ptCount val="1"/>
                <c:pt idx="0">
                  <c:v>Avg Audience (millions)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'UFC Scope (Fight Night)'!$A$5:$A$9</c:f>
              <c:strCache>
                <c:ptCount val="5"/>
                <c:pt idx="0">
                  <c:v>2020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 Q1 (CBS simulcasts)</c:v>
                </c:pt>
              </c:strCache>
            </c:strRef>
          </c:cat>
          <c:val>
            <c:numRef>
              <c:f>'UFC Scope (Fight Night)'!$C$5:$C$9</c:f>
              <c:numCache>
                <c:formatCode>0.00</c:formatCode>
                <c:ptCount val="5"/>
                <c:pt idx="0">
                  <c:v>1.17</c:v>
                </c:pt>
                <c:pt idx="1">
                  <c:v>0.83</c:v>
                </c:pt>
                <c:pt idx="2">
                  <c:v>0.66</c:v>
                </c:pt>
                <c:pt idx="3">
                  <c:v>0.66</c:v>
                </c:pt>
                <c:pt idx="4">
                  <c:v>2.47</c:v>
                </c:pt>
              </c:numCache>
            </c:numRef>
          </c:val>
        </c:ser>
        <c:gapWidth val="150"/>
        <c:overlap val="0"/>
        <c:axId val="10888688"/>
        <c:axId val="99361795"/>
      </c:barChart>
      <c:catAx>
        <c:axId val="108886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61795"/>
        <c:crosses val="autoZero"/>
        <c:auto val="1"/>
        <c:lblAlgn val="ctr"/>
        <c:lblOffset val="100"/>
        <c:noMultiLvlLbl val="0"/>
      </c:catAx>
      <c:valAx>
        <c:axId val="993617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Viewers (millions)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88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17</xdr:col>
      <xdr:colOff>473040</xdr:colOff>
      <xdr:row>20</xdr:row>
      <xdr:rowOff>9360</xdr:rowOff>
    </xdr:to>
    <xdr:graphicFrame>
      <xdr:nvGraphicFramePr>
        <xdr:cNvPr id="0" name="Chart 1"/>
        <xdr:cNvGraphicFramePr/>
      </xdr:nvGraphicFramePr>
      <xdr:xfrm>
        <a:off x="878760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18</xdr:col>
      <xdr:colOff>364680</xdr:colOff>
      <xdr:row>15</xdr:row>
      <xdr:rowOff>141120</xdr:rowOff>
    </xdr:to>
    <xdr:graphicFrame>
      <xdr:nvGraphicFramePr>
        <xdr:cNvPr id="1" name="Chart 1"/>
        <xdr:cNvGraphicFramePr/>
      </xdr:nvGraphicFramePr>
      <xdr:xfrm>
        <a:off x="1203012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23</xdr:row>
      <xdr:rowOff>14040</xdr:rowOff>
    </xdr:from>
    <xdr:to>
      <xdr:col>18</xdr:col>
      <xdr:colOff>364680</xdr:colOff>
      <xdr:row>37</xdr:row>
      <xdr:rowOff>15120</xdr:rowOff>
    </xdr:to>
    <xdr:graphicFrame>
      <xdr:nvGraphicFramePr>
        <xdr:cNvPr id="2" name="Chart 2"/>
        <xdr:cNvGraphicFramePr/>
      </xdr:nvGraphicFramePr>
      <xdr:xfrm>
        <a:off x="12030120" y="5905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14</xdr:row>
      <xdr:rowOff>87480</xdr:rowOff>
    </xdr:to>
    <xdr:graphicFrame>
      <xdr:nvGraphicFramePr>
        <xdr:cNvPr id="3" name="Chart 1"/>
        <xdr:cNvGraphicFramePr/>
      </xdr:nvGraphicFramePr>
      <xdr:xfrm>
        <a:off x="1005660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restlenomics.com/tv-ratings/" TargetMode="External"/><Relationship Id="rId2" Type="http://schemas.openxmlformats.org/officeDocument/2006/relationships/hyperlink" Target="https://wrestlenomics.com/tv-ratings/" TargetMode="External"/><Relationship Id="rId3" Type="http://schemas.openxmlformats.org/officeDocument/2006/relationships/hyperlink" Target="https://wrestlenomics.com/tv-ratings/" TargetMode="External"/><Relationship Id="rId4" Type="http://schemas.openxmlformats.org/officeDocument/2006/relationships/hyperlink" Target="https://www.pwtorch.com/site/2024/01/01/wwe-raw-ratings-report-12-25-2023-vs-2022-average-ratings-and-viewership-comparisons-plus-last-weeks-best-of-episode-on-christmas-totals/" TargetMode="External"/><Relationship Id="rId5" Type="http://schemas.openxmlformats.org/officeDocument/2006/relationships/hyperlink" Target="https://wrestlenomics.com/tv-ratings/" TargetMode="External"/><Relationship Id="rId6" Type="http://schemas.openxmlformats.org/officeDocument/2006/relationships/hyperlink" Target="https://wrestlenomics.com/tv-ratings/" TargetMode="External"/><Relationship Id="rId7" Type="http://schemas.openxmlformats.org/officeDocument/2006/relationships/hyperlink" Target="https://wrestlenomics.com/tv-ratings/" TargetMode="External"/><Relationship Id="rId8" Type="http://schemas.openxmlformats.org/officeDocument/2006/relationships/hyperlink" Target="https://wrestlenomics.com/tv-ratings/" TargetMode="External"/><Relationship Id="rId9" Type="http://schemas.openxmlformats.org/officeDocument/2006/relationships/hyperlink" Target="https://wrestlenomics.com/wwe-raw-tv-ratings-on-netflix/" TargetMode="External"/><Relationship Id="rId10" Type="http://schemas.openxmlformats.org/officeDocument/2006/relationships/hyperlink" Target="https://wrestlenomics.com/wwe-raw-tv-ratings-on-netflix/" TargetMode="External"/><Relationship Id="rId11" Type="http://schemas.openxmlformats.org/officeDocument/2006/relationships/hyperlink" Target="https://wrestlenomics.com/wwe-raw-tv-ratings-on-netflix/" TargetMode="External"/><Relationship Id="rId12" Type="http://schemas.openxmlformats.org/officeDocument/2006/relationships/hyperlink" Target="https://variety.com/2026/tv/news/wwe-monday-night-raw-netflix-ratings-2025-1236629652/" TargetMode="External"/><Relationship Id="rId13" Type="http://schemas.openxmlformats.org/officeDocument/2006/relationships/hyperlink" Target="https://wrestlenomics.com/tv-ratings/2026/wwe-raw-mar-2-on-netflix-3000000-global-views-tv-ratings-analysis/" TargetMode="External"/><Relationship Id="rId14" Type="http://schemas.openxmlformats.org/officeDocument/2006/relationships/hyperlink" Target="https://wrestlenomics.com/tv-ratings/" TargetMode="External"/><Relationship Id="rId15" Type="http://schemas.openxmlformats.org/officeDocument/2006/relationships/hyperlink" Target="https://wrestlenomics.com/tv-ratings/" TargetMode="External"/><Relationship Id="rId16" Type="http://schemas.openxmlformats.org/officeDocument/2006/relationships/hyperlink" Target="https://about.netflix.com/en/news/what-we-watched-the-second-half-of-2025" TargetMode="External"/><Relationship Id="rId17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postwrestling.com/2026/03/27/report-multiple-ufc-pay-per-view-buys-from-2024-2025/" TargetMode="External"/><Relationship Id="rId2" Type="http://schemas.openxmlformats.org/officeDocument/2006/relationships/hyperlink" Target="https://www.postwrestling.com/2026/03/27/report-multiple-ufc-pay-per-view-buys-from-2024-2025/" TargetMode="External"/><Relationship Id="rId3" Type="http://schemas.openxmlformats.org/officeDocument/2006/relationships/hyperlink" Target="https://www.postwrestling.com/2026/03/27/report-multiple-ufc-pay-per-view-buys-from-2024-2025/" TargetMode="External"/><Relationship Id="rId4" Type="http://schemas.openxmlformats.org/officeDocument/2006/relationships/hyperlink" Target="https://www.postwrestling.com/2026/03/27/report-multiple-ufc-pay-per-view-buys-from-2024-2025/" TargetMode="External"/><Relationship Id="rId5" Type="http://schemas.openxmlformats.org/officeDocument/2006/relationships/hyperlink" Target="https://www.postwrestling.com/2026/03/27/report-multiple-ufc-pay-per-view-buys-from-2024-2025/" TargetMode="External"/><Relationship Id="rId6" Type="http://schemas.openxmlformats.org/officeDocument/2006/relationships/hyperlink" Target="https://www.postwrestling.com/2026/03/27/report-multiple-ufc-pay-per-view-buys-from-2024-2025/" TargetMode="External"/><Relationship Id="rId7" Type="http://schemas.openxmlformats.org/officeDocument/2006/relationships/hyperlink" Target="https://www.ufc.com/news/ufc-delivers-historic-night-paramount-debut" TargetMode="External"/><Relationship Id="rId8" Type="http://schemas.openxmlformats.org/officeDocument/2006/relationships/hyperlink" Target="https://www.sportsmediawatch.com/2026/03/ufc-cbs-viewership-debut/" TargetMode="External"/><Relationship Id="rId9" Type="http://schemas.openxmlformats.org/officeDocument/2006/relationships/hyperlink" Target="https://www.postwrestling.com/2026/03/27/report-multiple-ufc-pay-per-view-buys-from-2024-2025/" TargetMode="External"/><Relationship Id="rId10" Type="http://schemas.openxmlformats.org/officeDocument/2006/relationships/hyperlink" Target="https://www.postwrestling.com/2026/03/27/report-multiple-ufc-pay-per-view-buys-from-2024-2025/" TargetMode="External"/><Relationship Id="rId11" Type="http://schemas.openxmlformats.org/officeDocument/2006/relationships/hyperlink" Target="https://www.postwrestling.com/2026/03/27/report-multiple-ufc-pay-per-view-buys-from-2024-2025/" TargetMode="External"/><Relationship Id="rId12" Type="http://schemas.openxmlformats.org/officeDocument/2006/relationships/hyperlink" Target="https://www.ufc.com/news/ufc-delivers-historic-night-paramount-debut" TargetMode="External"/><Relationship Id="rId1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ports.yahoo.com/ufc-tv-ratings-amid-covid-19-pandemic-a-sign-of-growing-fan-interest-170931619.html" TargetMode="External"/><Relationship Id="rId2" Type="http://schemas.openxmlformats.org/officeDocument/2006/relationships/hyperlink" Target="https://www.sportsmediawatch.com/sports-ratings-tracker/" TargetMode="External"/><Relationship Id="rId3" Type="http://schemas.openxmlformats.org/officeDocument/2006/relationships/hyperlink" Target="https://www.sportsmediawatch.com/2026/03/ufc-cbs-viewership-debut/" TargetMode="External"/><Relationship Id="rId4" Type="http://schemas.openxmlformats.org/officeDocument/2006/relationships/hyperlink" Target="https://www.sportsmediawatch.com/2026/03/ufc-cbs-viewership-debut/" TargetMode="External"/><Relationship Id="rId5" Type="http://schemas.openxmlformats.org/officeDocument/2006/relationships/hyperlink" Target="https://www.sportsmediawatch.com/2026/03/ufc-cbs-viewership-debut/" TargetMode="External"/><Relationship Id="rId6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variety.com/2026/tv/news/wwe-monday-night-raw-netflix-ratings-2025-1236629652/" TargetMode="External"/><Relationship Id="rId2" Type="http://schemas.openxmlformats.org/officeDocument/2006/relationships/hyperlink" Target="https://www.ufc.com/news/ufc-delivers-historic-night-paramount-debut" TargetMode="External"/><Relationship Id="rId3" Type="http://schemas.openxmlformats.org/officeDocument/2006/relationships/hyperlink" Target="https://www.ufc.com/news/ufc-delivers-historic-night-paramount-debut" TargetMode="External"/><Relationship Id="rId4" Type="http://schemas.openxmlformats.org/officeDocument/2006/relationships/hyperlink" Target="https://www.sportsmediawatch.com/2026/03/ufc-cbs-viewership-debut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restlenomics.com/tv-ratings/" TargetMode="External"/><Relationship Id="rId2" Type="http://schemas.openxmlformats.org/officeDocument/2006/relationships/hyperlink" Target="https://wrestlenomics.com/wwe-raw-tv-ratings-on-netflix/" TargetMode="External"/><Relationship Id="rId3" Type="http://schemas.openxmlformats.org/officeDocument/2006/relationships/hyperlink" Target="https://wrestlenomics.com/articles/2025/nielsen-has-changed-how-tv-ratings-are-measured-heres-what-it-means-for-wrestling-programs/" TargetMode="External"/><Relationship Id="rId4" Type="http://schemas.openxmlformats.org/officeDocument/2006/relationships/hyperlink" Target="https://wrestlenomics.com/tv-ratings/2026/wwe-raw-mar-2-on-netflix-3000000-global-views-tv-ratings-analysis/" TargetMode="External"/><Relationship Id="rId5" Type="http://schemas.openxmlformats.org/officeDocument/2006/relationships/hyperlink" Target="https://wrestlenomics.com/tv-ratings/2026/wwe-smackdown-mar-6-on-usa-network-1190000-viewers-0-27-p18-49-rating-tv-ratings-analysis/" TargetMode="External"/><Relationship Id="rId6" Type="http://schemas.openxmlformats.org/officeDocument/2006/relationships/hyperlink" Target="https://corporate.wwe.com/about/news/2025/01-09-2025-0" TargetMode="External"/><Relationship Id="rId7" Type="http://schemas.openxmlformats.org/officeDocument/2006/relationships/hyperlink" Target="https://variety.com/2026/tv/news/wwe-monday-night-raw-netflix-ratings-2025-1236629652/" TargetMode="External"/><Relationship Id="rId8" Type="http://schemas.openxmlformats.org/officeDocument/2006/relationships/hyperlink" Target="https://about.netflix.com/en/news/what-we-watched-the-second-half-of-2025" TargetMode="External"/><Relationship Id="rId9" Type="http://schemas.openxmlformats.org/officeDocument/2006/relationships/hyperlink" Target="https://www.pwtorch.com/site/2024/01/01/wwe-raw-ratings-report-12-25-2023-vs-2022-average-ratings-and-viewership-comparisons-plus-last-weeks-best-of-episode-on-christmas-totals/" TargetMode="External"/><Relationship Id="rId10" Type="http://schemas.openxmlformats.org/officeDocument/2006/relationships/hyperlink" Target="https://www.postwrestling.com/2026/03/27/report-multiple-ufc-pay-per-view-buys-from-2024-2025/" TargetMode="External"/><Relationship Id="rId11" Type="http://schemas.openxmlformats.org/officeDocument/2006/relationships/hyperlink" Target="https://www.ufc.com/news/ufc-delivers-historic-night-paramount-debut" TargetMode="External"/><Relationship Id="rId12" Type="http://schemas.openxmlformats.org/officeDocument/2006/relationships/hyperlink" Target="https://www.sportsmediawatch.com/2026/03/ufc-cbs-viewership-debut/" TargetMode="External"/><Relationship Id="rId13" Type="http://schemas.openxmlformats.org/officeDocument/2006/relationships/hyperlink" Target="https://www.sportsmediawatch.com/sports-ratings-tracker/" TargetMode="External"/><Relationship Id="rId14" Type="http://schemas.openxmlformats.org/officeDocument/2006/relationships/hyperlink" Target="https://sports.yahoo.com/ufc-tv-ratings-amid-covid-19-pandemic-a-sign-of-growing-fan-interest-170931619.html" TargetMode="External"/><Relationship Id="rId15" Type="http://schemas.openxmlformats.org/officeDocument/2006/relationships/hyperlink" Target="https://www.paramount.com/press/paramount-and-tko-announce-historic-ufc-media-rights-agreement" TargetMode="External"/><Relationship Id="rId16" Type="http://schemas.openxmlformats.org/officeDocument/2006/relationships/hyperlink" Target="https://about.netflix.com/en/news/netflix-to-become-new-home-of-wwe-raw-beginning-2025" TargetMode="External"/><Relationship Id="rId17" Type="http://schemas.openxmlformats.org/officeDocument/2006/relationships/hyperlink" Target="https://investor.tkogrp.com/news/news-details/2026/TKO-Reports-Fourth-Quarter-and-Full-Year-2025-Results/default.asp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6" t="n">
        <v>1.83</v>
      </c>
      <c r="D5" s="5" t="s">
        <v>9</v>
      </c>
      <c r="E5" s="7" t="s">
        <v>10</v>
      </c>
    </row>
    <row r="6" customFormat="false" ht="15" hidden="false" customHeight="false" outlineLevel="0" collapsed="false">
      <c r="A6" s="4" t="s">
        <v>11</v>
      </c>
      <c r="B6" s="5" t="s">
        <v>8</v>
      </c>
      <c r="C6" s="6" t="n">
        <v>1.8</v>
      </c>
      <c r="D6" s="5" t="s">
        <v>9</v>
      </c>
      <c r="E6" s="7" t="s">
        <v>10</v>
      </c>
    </row>
    <row r="7" customFormat="false" ht="15" hidden="false" customHeight="false" outlineLevel="0" collapsed="false">
      <c r="A7" s="4" t="s">
        <v>12</v>
      </c>
      <c r="B7" s="5" t="s">
        <v>8</v>
      </c>
      <c r="C7" s="6" t="n">
        <v>1.64</v>
      </c>
      <c r="D7" s="5" t="s">
        <v>9</v>
      </c>
      <c r="E7" s="7" t="s">
        <v>10</v>
      </c>
    </row>
    <row r="8" customFormat="false" ht="15" hidden="false" customHeight="false" outlineLevel="0" collapsed="false">
      <c r="A8" s="4" t="s">
        <v>13</v>
      </c>
      <c r="B8" s="5" t="s">
        <v>8</v>
      </c>
      <c r="C8" s="6" t="n">
        <v>1.58</v>
      </c>
      <c r="D8" s="5" t="s">
        <v>9</v>
      </c>
      <c r="E8" s="7" t="s">
        <v>14</v>
      </c>
    </row>
    <row r="9" customFormat="false" ht="15" hidden="false" customHeight="false" outlineLevel="0" collapsed="false">
      <c r="A9" s="4" t="s">
        <v>15</v>
      </c>
      <c r="B9" s="5" t="s">
        <v>8</v>
      </c>
      <c r="C9" s="6" t="n">
        <v>1.72</v>
      </c>
      <c r="D9" s="5" t="s">
        <v>9</v>
      </c>
      <c r="E9" s="7" t="s">
        <v>10</v>
      </c>
    </row>
    <row r="10" customFormat="false" ht="15" hidden="false" customHeight="false" outlineLevel="0" collapsed="false">
      <c r="A10" s="4" t="s">
        <v>16</v>
      </c>
      <c r="B10" s="5" t="s">
        <v>8</v>
      </c>
      <c r="C10" s="6" t="n">
        <v>1.76</v>
      </c>
      <c r="D10" s="5" t="s">
        <v>9</v>
      </c>
      <c r="E10" s="7" t="s">
        <v>10</v>
      </c>
    </row>
    <row r="11" customFormat="false" ht="15" hidden="false" customHeight="false" outlineLevel="0" collapsed="false">
      <c r="A11" s="4" t="s">
        <v>17</v>
      </c>
      <c r="B11" s="5" t="s">
        <v>8</v>
      </c>
      <c r="C11" s="6" t="n">
        <v>1.5</v>
      </c>
      <c r="D11" s="5" t="s">
        <v>9</v>
      </c>
      <c r="E11" s="7" t="s">
        <v>10</v>
      </c>
    </row>
    <row r="12" customFormat="false" ht="15" hidden="false" customHeight="false" outlineLevel="0" collapsed="false">
      <c r="A12" s="4" t="s">
        <v>18</v>
      </c>
      <c r="B12" s="5" t="s">
        <v>8</v>
      </c>
      <c r="C12" s="6" t="n">
        <v>1.55</v>
      </c>
      <c r="D12" s="5" t="s">
        <v>19</v>
      </c>
      <c r="E12" s="7" t="s">
        <v>10</v>
      </c>
    </row>
    <row r="13" customFormat="false" ht="15" hidden="false" customHeight="false" outlineLevel="0" collapsed="false">
      <c r="A13" s="8" t="s">
        <v>20</v>
      </c>
      <c r="B13" s="9" t="s">
        <v>21</v>
      </c>
      <c r="C13" s="10" t="n">
        <v>3.5</v>
      </c>
      <c r="D13" s="9" t="s">
        <v>22</v>
      </c>
      <c r="E13" s="11" t="s">
        <v>23</v>
      </c>
    </row>
    <row r="14" customFormat="false" ht="15" hidden="false" customHeight="false" outlineLevel="0" collapsed="false">
      <c r="A14" s="8" t="s">
        <v>24</v>
      </c>
      <c r="B14" s="9" t="s">
        <v>21</v>
      </c>
      <c r="C14" s="10" t="n">
        <v>3</v>
      </c>
      <c r="D14" s="9" t="s">
        <v>22</v>
      </c>
      <c r="E14" s="11" t="s">
        <v>23</v>
      </c>
    </row>
    <row r="15" customFormat="false" ht="15" hidden="false" customHeight="false" outlineLevel="0" collapsed="false">
      <c r="A15" s="8" t="s">
        <v>25</v>
      </c>
      <c r="B15" s="9" t="s">
        <v>21</v>
      </c>
      <c r="C15" s="10" t="n">
        <v>3.1</v>
      </c>
      <c r="D15" s="9" t="s">
        <v>22</v>
      </c>
      <c r="E15" s="11" t="s">
        <v>23</v>
      </c>
    </row>
    <row r="16" customFormat="false" ht="15" hidden="false" customHeight="false" outlineLevel="0" collapsed="false">
      <c r="A16" s="8" t="s">
        <v>26</v>
      </c>
      <c r="B16" s="9" t="s">
        <v>21</v>
      </c>
      <c r="C16" s="10" t="n">
        <v>2.4</v>
      </c>
      <c r="D16" s="9" t="s">
        <v>22</v>
      </c>
      <c r="E16" s="11" t="s">
        <v>27</v>
      </c>
    </row>
    <row r="17" customFormat="false" ht="23.85" hidden="false" customHeight="false" outlineLevel="0" collapsed="false">
      <c r="A17" s="8" t="s">
        <v>28</v>
      </c>
      <c r="B17" s="9" t="s">
        <v>21</v>
      </c>
      <c r="C17" s="10" t="n">
        <v>3</v>
      </c>
      <c r="D17" s="9" t="s">
        <v>29</v>
      </c>
      <c r="E17" s="11" t="s">
        <v>30</v>
      </c>
    </row>
    <row r="20" customFormat="false" ht="15" hidden="false" customHeight="false" outlineLevel="0" collapsed="false">
      <c r="A20" s="12" t="s">
        <v>31</v>
      </c>
      <c r="B20" s="12"/>
      <c r="C20" s="12"/>
      <c r="D20" s="12"/>
      <c r="E20" s="12"/>
    </row>
    <row r="21" customFormat="false" ht="23.85" hidden="false" customHeight="false" outlineLevel="0" collapsed="false">
      <c r="A21" s="3" t="s">
        <v>32</v>
      </c>
      <c r="B21" s="3" t="s">
        <v>3</v>
      </c>
      <c r="C21" s="3" t="s">
        <v>33</v>
      </c>
      <c r="D21" s="3" t="s">
        <v>34</v>
      </c>
      <c r="E21" s="3" t="s">
        <v>6</v>
      </c>
    </row>
    <row r="22" customFormat="false" ht="15" hidden="false" customHeight="false" outlineLevel="0" collapsed="false">
      <c r="A22" s="4" t="s">
        <v>35</v>
      </c>
      <c r="B22" s="5" t="s">
        <v>8</v>
      </c>
      <c r="C22" s="6" t="n">
        <f aca="false">AVERAGE(C5:C8)</f>
        <v>1.7125</v>
      </c>
      <c r="D22" s="13" t="s">
        <v>36</v>
      </c>
      <c r="E22" s="7" t="s">
        <v>10</v>
      </c>
    </row>
    <row r="23" customFormat="false" ht="15" hidden="false" customHeight="false" outlineLevel="0" collapsed="false">
      <c r="A23" s="4" t="s">
        <v>37</v>
      </c>
      <c r="B23" s="5" t="s">
        <v>8</v>
      </c>
      <c r="C23" s="6" t="n">
        <f aca="false">AVERAGE(C9:C12)</f>
        <v>1.6325</v>
      </c>
      <c r="D23" s="14" t="n">
        <f aca="false">C23/C22-1</f>
        <v>-0.0467153284671532</v>
      </c>
      <c r="E23" s="7" t="s">
        <v>10</v>
      </c>
    </row>
    <row r="24" customFormat="false" ht="15" hidden="false" customHeight="false" outlineLevel="0" collapsed="false">
      <c r="A24" s="4" t="s">
        <v>38</v>
      </c>
      <c r="B24" s="5" t="s">
        <v>21</v>
      </c>
      <c r="C24" s="6" t="n">
        <f aca="false">AVERAGE(C13:C16)</f>
        <v>3</v>
      </c>
      <c r="D24" s="15" t="n">
        <f aca="false">C24/C23-1</f>
        <v>0.837672281776416</v>
      </c>
      <c r="E24" s="7" t="s">
        <v>27</v>
      </c>
    </row>
    <row r="26" customFormat="false" ht="15" hidden="false" customHeight="false" outlineLevel="0" collapsed="false">
      <c r="A26" s="16" t="s">
        <v>39</v>
      </c>
      <c r="B26" s="16"/>
      <c r="C26" s="16"/>
      <c r="D26" s="16"/>
      <c r="E26" s="16"/>
    </row>
    <row r="27" customFormat="false" ht="15" hidden="false" customHeight="false" outlineLevel="0" collapsed="false">
      <c r="A27" s="16" t="s">
        <v>40</v>
      </c>
      <c r="B27" s="16"/>
      <c r="C27" s="16"/>
      <c r="D27" s="16"/>
      <c r="E27" s="16"/>
    </row>
  </sheetData>
  <mergeCells count="5">
    <mergeCell ref="A1:E1"/>
    <mergeCell ref="A2:E2"/>
    <mergeCell ref="A20:E20"/>
    <mergeCell ref="A26:E26"/>
    <mergeCell ref="A27:E27"/>
  </mergeCells>
  <hyperlinks>
    <hyperlink ref="E5" r:id="rId1" display="Wrestlenomics"/>
    <hyperlink ref="E6" r:id="rId2" display="Wrestlenomics"/>
    <hyperlink ref="E7" r:id="rId3" display="Wrestlenomics"/>
    <hyperlink ref="E8" r:id="rId4" display="PWTorch year-end report"/>
    <hyperlink ref="E9" r:id="rId5" display="Wrestlenomics"/>
    <hyperlink ref="E10" r:id="rId6" display="Wrestlenomics"/>
    <hyperlink ref="E11" r:id="rId7" display="Wrestlenomics"/>
    <hyperlink ref="E12" r:id="rId8" display="Wrestlenomics"/>
    <hyperlink ref="E13" r:id="rId9" display="Wrestlenomics — Raw on Netflix tracker"/>
    <hyperlink ref="E14" r:id="rId10" display="Wrestlenomics — Raw on Netflix tracker"/>
    <hyperlink ref="E15" r:id="rId11" display="Wrestlenomics — Raw on Netflix tracker"/>
    <hyperlink ref="E16" r:id="rId12" display="Netflix Year 1 recap"/>
    <hyperlink ref="E17" r:id="rId13" display="Wrestlenomics weekly report"/>
    <hyperlink ref="E22" r:id="rId14" display="Wrestlenomics"/>
    <hyperlink ref="E23" r:id="rId15" display="Wrestlenomics"/>
    <hyperlink ref="E24" r:id="rId16" display="Netflix Year 1 rec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5" min="4" style="0" width="20"/>
    <col collapsed="false" customWidth="true" hidden="false" outlineLevel="0" max="6" min="6" style="0" width="38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7" t="s">
        <v>43</v>
      </c>
      <c r="B4" s="17"/>
      <c r="C4" s="17"/>
      <c r="D4" s="17"/>
      <c r="E4" s="17"/>
      <c r="F4" s="17"/>
      <c r="G4" s="17"/>
    </row>
    <row r="5" customFormat="false" ht="75" hidden="false" customHeight="true" outlineLevel="0" collapsed="false">
      <c r="A5" s="18" t="s">
        <v>44</v>
      </c>
      <c r="B5" s="18"/>
      <c r="C5" s="18"/>
      <c r="D5" s="18"/>
      <c r="E5" s="18"/>
      <c r="F5" s="18"/>
      <c r="G5" s="18"/>
    </row>
    <row r="7" customFormat="false" ht="15" hidden="false" customHeight="false" outlineLevel="0" collapsed="false">
      <c r="A7" s="19" t="s">
        <v>45</v>
      </c>
      <c r="B7" s="19"/>
      <c r="C7" s="19"/>
      <c r="D7" s="19"/>
      <c r="E7" s="20" t="n">
        <v>3.5</v>
      </c>
      <c r="F7" s="16" t="s">
        <v>46</v>
      </c>
      <c r="G7" s="16"/>
    </row>
    <row r="9" customFormat="false" ht="45" hidden="false" customHeight="true" outlineLevel="0" collapsed="false">
      <c r="A9" s="3" t="s">
        <v>47</v>
      </c>
      <c r="B9" s="3" t="s">
        <v>3</v>
      </c>
      <c r="C9" s="3" t="s">
        <v>48</v>
      </c>
      <c r="D9" s="3" t="s">
        <v>49</v>
      </c>
      <c r="E9" s="3" t="s">
        <v>50</v>
      </c>
      <c r="F9" s="3" t="s">
        <v>5</v>
      </c>
      <c r="G9" s="3" t="s">
        <v>6</v>
      </c>
    </row>
    <row r="10" customFormat="false" ht="15" hidden="false" customHeight="false" outlineLevel="0" collapsed="false">
      <c r="A10" s="4" t="s">
        <v>51</v>
      </c>
      <c r="B10" s="5" t="s">
        <v>52</v>
      </c>
      <c r="C10" s="6" t="n">
        <v>0.615</v>
      </c>
      <c r="D10" s="6" t="n">
        <f aca="false">C10</f>
        <v>0.615</v>
      </c>
      <c r="E10" s="6" t="n">
        <f aca="false">C10*$E$7</f>
        <v>2.1525</v>
      </c>
      <c r="F10" s="5" t="s">
        <v>53</v>
      </c>
      <c r="G10" s="7" t="s">
        <v>54</v>
      </c>
    </row>
    <row r="11" customFormat="false" ht="15" hidden="false" customHeight="false" outlineLevel="0" collapsed="false">
      <c r="A11" s="4" t="s">
        <v>55</v>
      </c>
      <c r="B11" s="5" t="s">
        <v>52</v>
      </c>
      <c r="C11" s="6" t="n">
        <v>0.067</v>
      </c>
      <c r="D11" s="6" t="n">
        <f aca="false">C11</f>
        <v>0.067</v>
      </c>
      <c r="E11" s="6" t="n">
        <f aca="false">C11*$E$7</f>
        <v>0.2345</v>
      </c>
      <c r="F11" s="5" t="s">
        <v>56</v>
      </c>
      <c r="G11" s="7" t="s">
        <v>54</v>
      </c>
    </row>
    <row r="12" customFormat="false" ht="15" hidden="false" customHeight="false" outlineLevel="0" collapsed="false">
      <c r="A12" s="4" t="s">
        <v>57</v>
      </c>
      <c r="B12" s="5" t="s">
        <v>52</v>
      </c>
      <c r="C12" s="6" t="n">
        <v>0.41</v>
      </c>
      <c r="D12" s="6" t="n">
        <f aca="false">C12</f>
        <v>0.41</v>
      </c>
      <c r="E12" s="6" t="n">
        <f aca="false">C12*$E$7</f>
        <v>1.435</v>
      </c>
      <c r="F12" s="5" t="s">
        <v>58</v>
      </c>
      <c r="G12" s="7" t="s">
        <v>54</v>
      </c>
    </row>
    <row r="13" customFormat="false" ht="15" hidden="false" customHeight="false" outlineLevel="0" collapsed="false">
      <c r="A13" s="4" t="s">
        <v>59</v>
      </c>
      <c r="B13" s="5" t="s">
        <v>52</v>
      </c>
      <c r="C13" s="6" t="n">
        <v>0.274</v>
      </c>
      <c r="D13" s="6" t="n">
        <f aca="false">C13</f>
        <v>0.274</v>
      </c>
      <c r="E13" s="6" t="n">
        <f aca="false">C13*$E$7</f>
        <v>0.959</v>
      </c>
      <c r="F13" s="5" t="s">
        <v>60</v>
      </c>
      <c r="G13" s="7" t="s">
        <v>54</v>
      </c>
    </row>
    <row r="14" customFormat="false" ht="15" hidden="false" customHeight="false" outlineLevel="0" collapsed="false">
      <c r="A14" s="4" t="s">
        <v>61</v>
      </c>
      <c r="B14" s="5" t="s">
        <v>52</v>
      </c>
      <c r="C14" s="6" t="n">
        <v>0.24</v>
      </c>
      <c r="D14" s="6" t="n">
        <f aca="false">C14</f>
        <v>0.24</v>
      </c>
      <c r="E14" s="6" t="n">
        <f aca="false">C14*$E$7</f>
        <v>0.84</v>
      </c>
      <c r="F14" s="5" t="s">
        <v>62</v>
      </c>
      <c r="G14" s="7" t="s">
        <v>54</v>
      </c>
    </row>
    <row r="15" customFormat="false" ht="15" hidden="false" customHeight="false" outlineLevel="0" collapsed="false">
      <c r="A15" s="4" t="s">
        <v>63</v>
      </c>
      <c r="B15" s="5" t="s">
        <v>52</v>
      </c>
      <c r="C15" s="6" t="n">
        <v>0.176</v>
      </c>
      <c r="D15" s="6" t="n">
        <f aca="false">C15</f>
        <v>0.176</v>
      </c>
      <c r="E15" s="6" t="n">
        <f aca="false">C15*$E$7</f>
        <v>0.616</v>
      </c>
      <c r="F15" s="5" t="s">
        <v>64</v>
      </c>
      <c r="G15" s="7" t="s">
        <v>54</v>
      </c>
    </row>
    <row r="16" customFormat="false" ht="23.85" hidden="false" customHeight="false" outlineLevel="0" collapsed="false">
      <c r="A16" s="8" t="s">
        <v>65</v>
      </c>
      <c r="B16" s="9" t="s">
        <v>66</v>
      </c>
      <c r="C16" s="10" t="n">
        <v>4.9</v>
      </c>
      <c r="D16" s="10" t="n">
        <v>7</v>
      </c>
      <c r="E16" s="10" t="n">
        <f aca="false">C16</f>
        <v>4.9</v>
      </c>
      <c r="F16" s="9" t="s">
        <v>67</v>
      </c>
      <c r="G16" s="11" t="s">
        <v>68</v>
      </c>
    </row>
    <row r="17" customFormat="false" ht="23.85" hidden="false" customHeight="false" outlineLevel="0" collapsed="false">
      <c r="A17" s="8" t="s">
        <v>69</v>
      </c>
      <c r="B17" s="9" t="s">
        <v>70</v>
      </c>
      <c r="C17" s="10" t="n">
        <v>2.47</v>
      </c>
      <c r="D17" s="21" t="s">
        <v>71</v>
      </c>
      <c r="E17" s="10" t="n">
        <f aca="false">C17</f>
        <v>2.47</v>
      </c>
      <c r="F17" s="9" t="s">
        <v>72</v>
      </c>
      <c r="G17" s="11" t="s">
        <v>73</v>
      </c>
    </row>
    <row r="20" customFormat="false" ht="15" hidden="false" customHeight="false" outlineLevel="0" collapsed="false">
      <c r="A20" s="12" t="s">
        <v>74</v>
      </c>
      <c r="B20" s="12"/>
      <c r="C20" s="12"/>
      <c r="D20" s="12"/>
      <c r="E20" s="12"/>
      <c r="F20" s="12"/>
      <c r="G20" s="12"/>
    </row>
    <row r="21" customFormat="false" ht="23.85" hidden="false" customHeight="false" outlineLevel="0" collapsed="false">
      <c r="A21" s="3" t="s">
        <v>75</v>
      </c>
      <c r="B21" s="3" t="s">
        <v>3</v>
      </c>
      <c r="C21" s="3" t="s">
        <v>76</v>
      </c>
      <c r="D21" s="3" t="s">
        <v>77</v>
      </c>
      <c r="E21" s="3" t="s">
        <v>78</v>
      </c>
      <c r="F21" s="3" t="s">
        <v>5</v>
      </c>
      <c r="G21" s="3" t="s">
        <v>6</v>
      </c>
    </row>
    <row r="22" customFormat="false" ht="15" hidden="false" customHeight="false" outlineLevel="0" collapsed="false">
      <c r="A22" s="4" t="s">
        <v>79</v>
      </c>
      <c r="B22" s="5" t="s">
        <v>52</v>
      </c>
      <c r="C22" s="6" t="n">
        <f aca="false">AVERAGE(D10:D13)</f>
        <v>0.3415</v>
      </c>
      <c r="D22" s="6" t="n">
        <f aca="false">AVERAGE(E10:E13)</f>
        <v>1.19525</v>
      </c>
      <c r="E22" s="13" t="s">
        <v>36</v>
      </c>
      <c r="F22" s="5" t="s">
        <v>80</v>
      </c>
      <c r="G22" s="7" t="s">
        <v>81</v>
      </c>
    </row>
    <row r="23" customFormat="false" ht="15" hidden="false" customHeight="false" outlineLevel="0" collapsed="false">
      <c r="A23" s="4" t="s">
        <v>82</v>
      </c>
      <c r="B23" s="5" t="s">
        <v>52</v>
      </c>
      <c r="C23" s="6" t="n">
        <f aca="false">AVERAGE(D11:D13)</f>
        <v>0.250333333333333</v>
      </c>
      <c r="D23" s="6" t="n">
        <f aca="false">AVERAGE(E11:E13)</f>
        <v>0.876166666666667</v>
      </c>
      <c r="E23" s="13" t="s">
        <v>36</v>
      </c>
      <c r="F23" s="5" t="s">
        <v>83</v>
      </c>
      <c r="G23" s="7" t="s">
        <v>81</v>
      </c>
    </row>
    <row r="24" customFormat="false" ht="15" hidden="false" customHeight="false" outlineLevel="0" collapsed="false">
      <c r="A24" s="4" t="s">
        <v>84</v>
      </c>
      <c r="B24" s="5" t="s">
        <v>52</v>
      </c>
      <c r="C24" s="6" t="n">
        <f aca="false">AVERAGE(D14:D15)</f>
        <v>0.208</v>
      </c>
      <c r="D24" s="6" t="n">
        <f aca="false">AVERAGE(E14:E15)</f>
        <v>0.728</v>
      </c>
      <c r="E24" s="22" t="n">
        <f aca="false">C24/C23-1</f>
        <v>-0.169107856191744</v>
      </c>
      <c r="F24" s="5" t="s">
        <v>85</v>
      </c>
      <c r="G24" s="7" t="s">
        <v>81</v>
      </c>
    </row>
    <row r="25" customFormat="false" ht="23.85" hidden="false" customHeight="false" outlineLevel="0" collapsed="false">
      <c r="A25" s="4" t="s">
        <v>86</v>
      </c>
      <c r="B25" s="5" t="s">
        <v>66</v>
      </c>
      <c r="C25" s="6" t="n">
        <f aca="false">D16</f>
        <v>7</v>
      </c>
      <c r="D25" s="6" t="n">
        <f aca="false">E16</f>
        <v>4.9</v>
      </c>
      <c r="E25" s="15" t="n">
        <f aca="false">C25/C24-1</f>
        <v>32.6538461538462</v>
      </c>
      <c r="F25" s="5" t="s">
        <v>87</v>
      </c>
      <c r="G25" s="7" t="s">
        <v>68</v>
      </c>
    </row>
    <row r="27" customFormat="false" ht="15" hidden="false" customHeight="false" outlineLevel="0" collapsed="false">
      <c r="A27" s="17" t="s">
        <v>88</v>
      </c>
      <c r="B27" s="17"/>
      <c r="C27" s="17"/>
      <c r="D27" s="17"/>
      <c r="E27" s="17"/>
      <c r="F27" s="17"/>
      <c r="G27" s="17"/>
    </row>
    <row r="28" customFormat="false" ht="79.5" hidden="false" customHeight="true" outlineLevel="0" collapsed="false">
      <c r="A28" s="23" t="s">
        <v>89</v>
      </c>
      <c r="B28" s="23"/>
      <c r="C28" s="23"/>
      <c r="D28" s="23"/>
      <c r="E28" s="23"/>
      <c r="F28" s="23"/>
      <c r="G28" s="23"/>
    </row>
  </sheetData>
  <mergeCells count="9">
    <mergeCell ref="A1:G1"/>
    <mergeCell ref="A2:G2"/>
    <mergeCell ref="A4:G4"/>
    <mergeCell ref="A5:G5"/>
    <mergeCell ref="A7:D7"/>
    <mergeCell ref="F7:G7"/>
    <mergeCell ref="A20:G20"/>
    <mergeCell ref="A27:G27"/>
    <mergeCell ref="A28:G28"/>
  </mergeCells>
  <hyperlinks>
    <hyperlink ref="G10" r:id="rId1" display="POST Wrestling / WON"/>
    <hyperlink ref="G11" r:id="rId2" display="POST Wrestling / WON"/>
    <hyperlink ref="G12" r:id="rId3" display="POST Wrestling / WON"/>
    <hyperlink ref="G13" r:id="rId4" display="POST Wrestling / WON"/>
    <hyperlink ref="G14" r:id="rId5" display="POST Wrestling / WON"/>
    <hyperlink ref="G15" r:id="rId6" display="POST Wrestling / WON"/>
    <hyperlink ref="G16" r:id="rId7" display="UFC press release"/>
    <hyperlink ref="G17" r:id="rId8" display="Sports Media Watch"/>
    <hyperlink ref="G22" r:id="rId9" display="POST Wrestling"/>
    <hyperlink ref="G23" r:id="rId10" display="POST Wrestling"/>
    <hyperlink ref="G24" r:id="rId11" display="POST Wrestling"/>
    <hyperlink ref="G25" r:id="rId12" display="UFC press relea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40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90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75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s">
        <v>92</v>
      </c>
      <c r="B5" s="5" t="s">
        <v>93</v>
      </c>
      <c r="C5" s="6" t="n">
        <v>1.17</v>
      </c>
      <c r="D5" s="5" t="s">
        <v>94</v>
      </c>
      <c r="E5" s="7" t="s">
        <v>95</v>
      </c>
    </row>
    <row r="6" customFormat="false" ht="15" hidden="false" customHeight="false" outlineLevel="0" collapsed="false">
      <c r="A6" s="4" t="s">
        <v>35</v>
      </c>
      <c r="B6" s="5" t="s">
        <v>93</v>
      </c>
      <c r="C6" s="6" t="n">
        <v>0.83</v>
      </c>
      <c r="D6" s="5" t="s">
        <v>96</v>
      </c>
      <c r="E6" s="7" t="s">
        <v>73</v>
      </c>
    </row>
    <row r="7" customFormat="false" ht="15" hidden="false" customHeight="false" outlineLevel="0" collapsed="false">
      <c r="A7" s="4" t="s">
        <v>37</v>
      </c>
      <c r="B7" s="5" t="s">
        <v>93</v>
      </c>
      <c r="C7" s="6" t="n">
        <v>0.66</v>
      </c>
      <c r="D7" s="5" t="s">
        <v>97</v>
      </c>
      <c r="E7" s="7" t="s">
        <v>98</v>
      </c>
    </row>
    <row r="8" customFormat="false" ht="15" hidden="false" customHeight="false" outlineLevel="0" collapsed="false">
      <c r="A8" s="4" t="s">
        <v>38</v>
      </c>
      <c r="B8" s="5" t="s">
        <v>93</v>
      </c>
      <c r="C8" s="6" t="n">
        <v>0.66</v>
      </c>
      <c r="D8" s="5" t="s">
        <v>99</v>
      </c>
      <c r="E8" s="7" t="s">
        <v>73</v>
      </c>
    </row>
    <row r="9" customFormat="false" ht="23.85" hidden="false" customHeight="false" outlineLevel="0" collapsed="false">
      <c r="A9" s="8" t="s">
        <v>100</v>
      </c>
      <c r="B9" s="9" t="s">
        <v>70</v>
      </c>
      <c r="C9" s="10" t="n">
        <v>2.47</v>
      </c>
      <c r="D9" s="9" t="s">
        <v>101</v>
      </c>
      <c r="E9" s="11" t="s">
        <v>73</v>
      </c>
    </row>
    <row r="12" customFormat="false" ht="15" hidden="false" customHeight="false" outlineLevel="0" collapsed="false">
      <c r="A12" s="17" t="s">
        <v>102</v>
      </c>
      <c r="B12" s="17"/>
      <c r="C12" s="17"/>
      <c r="D12" s="17"/>
      <c r="E12" s="17"/>
    </row>
    <row r="13" customFormat="false" ht="90" hidden="false" customHeight="true" outlineLevel="0" collapsed="false">
      <c r="A13" s="23" t="s">
        <v>103</v>
      </c>
      <c r="B13" s="23"/>
      <c r="C13" s="23"/>
      <c r="D13" s="23"/>
      <c r="E13" s="23"/>
    </row>
  </sheetData>
  <mergeCells count="4">
    <mergeCell ref="A1:E1"/>
    <mergeCell ref="A2:E2"/>
    <mergeCell ref="A12:E12"/>
    <mergeCell ref="A13:E13"/>
  </mergeCells>
  <hyperlinks>
    <hyperlink ref="E5" r:id="rId1" display="Yahoo Sports 2020"/>
    <hyperlink ref="E6" r:id="rId2" display="Sports Media Watch"/>
    <hyperlink ref="E7" r:id="rId3" display="Sports Media Watch (SBJ)"/>
    <hyperlink ref="E8" r:id="rId4" display="Sports Media Watch"/>
    <hyperlink ref="E9" r:id="rId5" display="Sports Media Wat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104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3" t="s">
        <v>105</v>
      </c>
      <c r="B3" s="3" t="s">
        <v>106</v>
      </c>
      <c r="C3" s="3" t="s">
        <v>107</v>
      </c>
      <c r="D3" s="3" t="s">
        <v>108</v>
      </c>
      <c r="E3" s="3" t="s">
        <v>109</v>
      </c>
      <c r="F3" s="3" t="s">
        <v>6</v>
      </c>
    </row>
    <row r="4" customFormat="false" ht="15" hidden="false" customHeight="false" outlineLevel="0" collapsed="false">
      <c r="A4" s="4" t="s">
        <v>110</v>
      </c>
      <c r="B4" s="5" t="s">
        <v>111</v>
      </c>
      <c r="C4" s="6" t="n">
        <v>1.66</v>
      </c>
      <c r="D4" s="24" t="n">
        <v>3</v>
      </c>
      <c r="E4" s="25" t="s">
        <v>112</v>
      </c>
      <c r="F4" s="7" t="s">
        <v>113</v>
      </c>
    </row>
    <row r="5" customFormat="false" ht="23.85" hidden="false" customHeight="false" outlineLevel="0" collapsed="false">
      <c r="A5" s="4" t="s">
        <v>114</v>
      </c>
      <c r="B5" s="5" t="s">
        <v>115</v>
      </c>
      <c r="C5" s="6" t="n">
        <v>0.31</v>
      </c>
      <c r="D5" s="24" t="n">
        <v>7</v>
      </c>
      <c r="E5" s="25" t="s">
        <v>116</v>
      </c>
      <c r="F5" s="7" t="s">
        <v>117</v>
      </c>
    </row>
    <row r="6" customFormat="false" ht="23.85" hidden="false" customHeight="false" outlineLevel="0" collapsed="false">
      <c r="A6" s="4" t="s">
        <v>118</v>
      </c>
      <c r="B6" s="5" t="s">
        <v>119</v>
      </c>
      <c r="C6" s="6" t="n">
        <v>1.07</v>
      </c>
      <c r="D6" s="24" t="n">
        <v>4.9</v>
      </c>
      <c r="E6" s="25" t="s">
        <v>120</v>
      </c>
      <c r="F6" s="7" t="s">
        <v>117</v>
      </c>
    </row>
    <row r="7" customFormat="false" ht="15" hidden="false" customHeight="false" outlineLevel="0" collapsed="false">
      <c r="A7" s="4" t="s">
        <v>121</v>
      </c>
      <c r="B7" s="5" t="s">
        <v>122</v>
      </c>
      <c r="C7" s="6" t="n">
        <v>0.66</v>
      </c>
      <c r="D7" s="24" t="n">
        <v>2.47</v>
      </c>
      <c r="E7" s="25" t="s">
        <v>123</v>
      </c>
      <c r="F7" s="7" t="s">
        <v>73</v>
      </c>
    </row>
    <row r="10" customFormat="false" ht="15" hidden="false" customHeight="false" outlineLevel="0" collapsed="false">
      <c r="A10" s="17" t="s">
        <v>124</v>
      </c>
      <c r="B10" s="17"/>
      <c r="C10" s="17"/>
      <c r="D10" s="17"/>
      <c r="E10" s="17"/>
      <c r="F10" s="17"/>
    </row>
    <row r="11" customFormat="false" ht="150" hidden="false" customHeight="true" outlineLevel="0" collapsed="false">
      <c r="A11" s="23" t="s">
        <v>125</v>
      </c>
      <c r="B11" s="23"/>
      <c r="C11" s="23"/>
      <c r="D11" s="23"/>
      <c r="E11" s="23"/>
      <c r="F11" s="23"/>
    </row>
  </sheetData>
  <mergeCells count="3">
    <mergeCell ref="A1:F1"/>
    <mergeCell ref="A10:F10"/>
    <mergeCell ref="A11:F11"/>
  </mergeCells>
  <hyperlinks>
    <hyperlink ref="F4" r:id="rId1" display="Variety / Wrestlenomics"/>
    <hyperlink ref="F5" r:id="rId2" display="POST Wrestling / UFC"/>
    <hyperlink ref="F6" r:id="rId3" display="POST Wrestling / UFC"/>
    <hyperlink ref="F7" r:id="rId4" display="Sports Media Wat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0"/>
    <col collapsed="false" customWidth="true" hidden="false" outlineLevel="0" max="3" min="3" style="0" width="65"/>
  </cols>
  <sheetData>
    <row r="1" customFormat="false" ht="17.35" hidden="false" customHeight="false" outlineLevel="0" collapsed="false">
      <c r="A1" s="1" t="s">
        <v>126</v>
      </c>
      <c r="B1" s="1"/>
      <c r="C1" s="1"/>
    </row>
    <row r="3" customFormat="false" ht="31.5" hidden="false" customHeight="true" outlineLevel="0" collapsed="false">
      <c r="A3" s="3" t="s">
        <v>6</v>
      </c>
      <c r="B3" s="3" t="s">
        <v>127</v>
      </c>
      <c r="C3" s="3" t="s">
        <v>128</v>
      </c>
    </row>
    <row r="4" customFormat="false" ht="49.5" hidden="false" customHeight="true" outlineLevel="0" collapsed="false">
      <c r="A4" s="26" t="s">
        <v>129</v>
      </c>
      <c r="B4" s="27" t="s">
        <v>130</v>
      </c>
      <c r="C4" s="28" t="s">
        <v>131</v>
      </c>
    </row>
    <row r="5" customFormat="false" ht="49.5" hidden="false" customHeight="true" outlineLevel="0" collapsed="false">
      <c r="A5" s="26" t="s">
        <v>23</v>
      </c>
      <c r="B5" s="27" t="s">
        <v>132</v>
      </c>
      <c r="C5" s="28" t="s">
        <v>133</v>
      </c>
    </row>
    <row r="6" customFormat="false" ht="49.5" hidden="false" customHeight="true" outlineLevel="0" collapsed="false">
      <c r="A6" s="26" t="s">
        <v>134</v>
      </c>
      <c r="B6" s="27" t="s">
        <v>135</v>
      </c>
      <c r="C6" s="28" t="s">
        <v>136</v>
      </c>
    </row>
    <row r="7" customFormat="false" ht="49.5" hidden="false" customHeight="true" outlineLevel="0" collapsed="false">
      <c r="A7" s="26" t="s">
        <v>137</v>
      </c>
      <c r="B7" s="27" t="s">
        <v>138</v>
      </c>
      <c r="C7" s="28" t="s">
        <v>139</v>
      </c>
    </row>
    <row r="8" customFormat="false" ht="49.5" hidden="false" customHeight="true" outlineLevel="0" collapsed="false">
      <c r="A8" s="26" t="s">
        <v>140</v>
      </c>
      <c r="B8" s="27" t="s">
        <v>141</v>
      </c>
      <c r="C8" s="28" t="s">
        <v>142</v>
      </c>
    </row>
    <row r="9" customFormat="false" ht="49.5" hidden="false" customHeight="true" outlineLevel="0" collapsed="false">
      <c r="A9" s="26" t="s">
        <v>143</v>
      </c>
      <c r="B9" s="27" t="s">
        <v>144</v>
      </c>
      <c r="C9" s="28" t="s">
        <v>145</v>
      </c>
    </row>
    <row r="10" customFormat="false" ht="49.5" hidden="false" customHeight="true" outlineLevel="0" collapsed="false">
      <c r="A10" s="26" t="s">
        <v>146</v>
      </c>
      <c r="B10" s="27" t="s">
        <v>147</v>
      </c>
      <c r="C10" s="28" t="s">
        <v>148</v>
      </c>
    </row>
    <row r="11" customFormat="false" ht="49.5" hidden="false" customHeight="true" outlineLevel="0" collapsed="false">
      <c r="A11" s="26" t="s">
        <v>149</v>
      </c>
      <c r="B11" s="27" t="s">
        <v>150</v>
      </c>
      <c r="C11" s="28" t="s">
        <v>151</v>
      </c>
    </row>
    <row r="12" customFormat="false" ht="49.5" hidden="false" customHeight="true" outlineLevel="0" collapsed="false">
      <c r="A12" s="26" t="s">
        <v>152</v>
      </c>
      <c r="B12" s="27" t="s">
        <v>153</v>
      </c>
      <c r="C12" s="28" t="s">
        <v>154</v>
      </c>
    </row>
    <row r="13" customFormat="false" ht="49.5" hidden="false" customHeight="true" outlineLevel="0" collapsed="false">
      <c r="A13" s="26" t="s">
        <v>155</v>
      </c>
      <c r="B13" s="27" t="s">
        <v>156</v>
      </c>
      <c r="C13" s="28" t="s">
        <v>157</v>
      </c>
    </row>
    <row r="14" customFormat="false" ht="49.5" hidden="false" customHeight="true" outlineLevel="0" collapsed="false">
      <c r="A14" s="26" t="s">
        <v>158</v>
      </c>
      <c r="B14" s="27" t="s">
        <v>159</v>
      </c>
      <c r="C14" s="28" t="s">
        <v>160</v>
      </c>
    </row>
    <row r="15" customFormat="false" ht="49.5" hidden="false" customHeight="true" outlineLevel="0" collapsed="false">
      <c r="A15" s="26" t="s">
        <v>161</v>
      </c>
      <c r="B15" s="27" t="s">
        <v>162</v>
      </c>
      <c r="C15" s="28" t="s">
        <v>163</v>
      </c>
    </row>
    <row r="16" customFormat="false" ht="49.5" hidden="false" customHeight="true" outlineLevel="0" collapsed="false">
      <c r="A16" s="26" t="s">
        <v>164</v>
      </c>
      <c r="B16" s="27" t="s">
        <v>165</v>
      </c>
      <c r="C16" s="28" t="s">
        <v>166</v>
      </c>
    </row>
    <row r="17" customFormat="false" ht="49.5" hidden="false" customHeight="true" outlineLevel="0" collapsed="false">
      <c r="A17" s="26" t="s">
        <v>167</v>
      </c>
      <c r="B17" s="27" t="s">
        <v>168</v>
      </c>
      <c r="C17" s="28" t="s">
        <v>169</v>
      </c>
    </row>
    <row r="18" customFormat="false" ht="49.5" hidden="false" customHeight="true" outlineLevel="0" collapsed="false">
      <c r="A18" s="26" t="s">
        <v>170</v>
      </c>
      <c r="B18" s="27" t="s">
        <v>171</v>
      </c>
      <c r="C18" s="28" t="s">
        <v>172</v>
      </c>
    </row>
    <row r="19" customFormat="false" ht="49.5" hidden="false" customHeight="true" outlineLevel="0" collapsed="false">
      <c r="A19" s="26" t="s">
        <v>173</v>
      </c>
      <c r="B19" s="27" t="s">
        <v>174</v>
      </c>
      <c r="C19" s="28" t="s">
        <v>175</v>
      </c>
    </row>
    <row r="20" customFormat="false" ht="49.5" hidden="false" customHeight="true" outlineLevel="0" collapsed="false">
      <c r="A20" s="26" t="s">
        <v>176</v>
      </c>
      <c r="B20" s="27" t="s">
        <v>177</v>
      </c>
      <c r="C20" s="28" t="s">
        <v>178</v>
      </c>
    </row>
  </sheetData>
  <mergeCells count="1">
    <mergeCell ref="A1:C1"/>
  </mergeCells>
  <hyperlinks>
    <hyperlink ref="C4" r:id="rId1" display="https://wrestlenomics.com/tv-ratings/"/>
    <hyperlink ref="C5" r:id="rId2" display="https://wrestlenomics.com/wwe-raw-tv-ratings-on-netflix/"/>
    <hyperlink ref="C6" r:id="rId3" display="https://wrestlenomics.com/articles/2025/nielsen-has-changed-how-tv-ratings-are-measured-heres-what-it-means-for-wrestling-programs/"/>
    <hyperlink ref="C7" r:id="rId4" display="https://wrestlenomics.com/tv-ratings/2026/wwe-raw-mar-2-on-netflix-3000000-global-views-tv-ratings-analysis/"/>
    <hyperlink ref="C8" r:id="rId5" display="https://wrestlenomics.com/tv-ratings/2026/wwe-smackdown-mar-6-on-usa-network-1190000-viewers-0-27-p18-49-rating-tv-ratings-analysis/"/>
    <hyperlink ref="C9" r:id="rId6" display="https://corporate.wwe.com/about/news/2025/01-09-2025-0"/>
    <hyperlink ref="C10" r:id="rId7" display="https://variety.com/2026/tv/news/wwe-monday-night-raw-netflix-ratings-2025-1236629652/"/>
    <hyperlink ref="C11" r:id="rId8" display="https://about.netflix.com/en/news/what-we-watched-the-second-half-of-2025"/>
    <hyperlink ref="C12" r:id="rId9" display="https://www.pwtorch.com/site/2024/01/01/wwe-raw-ratings-report-12-25-2023-vs-2022-average-ratings-and-viewership-comparisons-plus-last-weeks-best-of-episode-on-christmas-totals/"/>
    <hyperlink ref="C13" r:id="rId10" display="https://www.postwrestling.com/2026/03/27/report-multiple-ufc-pay-per-view-buys-from-2024-2025/"/>
    <hyperlink ref="C14" r:id="rId11" display="https://www.ufc.com/news/ufc-delivers-historic-night-paramount-debut"/>
    <hyperlink ref="C15" r:id="rId12" display="https://www.sportsmediawatch.com/2026/03/ufc-cbs-viewership-debut/"/>
    <hyperlink ref="C16" r:id="rId13" display="https://www.sportsmediawatch.com/sports-ratings-tracker/"/>
    <hyperlink ref="C17" r:id="rId14" display="https://sports.yahoo.com/ufc-tv-ratings-amid-covid-19-pandemic-a-sign-of-growing-fan-interest-170931619.html"/>
    <hyperlink ref="C18" r:id="rId15" display="https://www.paramount.com/press/paramount-and-tko-announce-historic-ufc-media-rights-agreement"/>
    <hyperlink ref="C19" r:id="rId16" display="https://about.netflix.com/en/news/netflix-to-become-new-home-of-wwe-raw-beginning-2025"/>
    <hyperlink ref="C20" r:id="rId17" display="https://investor.tkogrp.com/news/news-details/2026/TKO-Reports-Fourth-Quarter-and-Full-Year-2025-Results/default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2026-05-01T16:06:39Z</dcterms:created>
  <dc:creator>openpyxl</dc:creator>
  <dc:description/>
  <dc:language>en-US</dc:language>
  <cp:lastModifiedBy/>
  <dcterms:modified xsi:type="dcterms:W3CDTF">2026-05-01T16:06:43Z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