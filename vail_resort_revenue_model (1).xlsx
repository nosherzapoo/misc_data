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NSAA Benchmarks" sheetId="3" state="visible" r:id="rId5"/>
    <sheet name="NSAA Margins" sheetId="4" state="visible" r:id="rId6"/>
    <sheet name="Resort Model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<sst xmlns="http://schemas.openxmlformats.org/spreadsheetml/2006/main" count="406" uniqueCount="237">
  <si>
    <t xml:space="preserve">Vail Resorts (NYSE: MTN) - Estimated Revenue &amp; EBITDA by Resort  [v8]</t>
  </si>
  <si>
    <t xml:space="preserve">Geographically anchored: Whistler pinned to reported Canada revenue; US residual allocated via NSAA engine</t>
  </si>
  <si>
    <t xml:space="preserve">What v8 changes</t>
  </si>
  <si>
    <t xml:space="preserve">Skier-visit assumptions are now documented and grounded. Vail does not disclose per-resort visits, so: the North American total is calibrated to Vail's reported ~16.9mm FY2025 skier visits (US + Whistler); flagship resorts are cross-checked against public figures (caution: Whistler's ~2.0mm is WINTER skier visits, not the ~3mm total-visitor figure that includes summer); and the rest are grounded on NSAA Table 1 region x size averages, scaled up because Vail owns the larger areas in each region. A 'Visit Basis' column and a skier-visit reconciliation document every number.</t>
  </si>
  <si>
    <t xml:space="preserve">Why it matters</t>
  </si>
  <si>
    <t xml:space="preserve">Whistler is the largest single estimate in the model; pinning it to reported data removes that guesswork. It confirms Whistler as the #1 gross-revenue resort (~$320mm) but, after the 25% Nippon Cable interest, still behind Breckenridge and Vail Mountain on revenue attributable to Vail.</t>
  </si>
  <si>
    <t xml:space="preserve">Logic recap</t>
  </si>
  <si>
    <t xml:space="preserve">Total revenue: anchored resorts take their anchor; the rest share (Total Mountain - anchors) by visits x NSAA annual yield/visit by size x Yield Index. Lift vs non-lift split by NSAA size mix. EBITDA = revenue x NSAA size all-in margin, rescaled to Vail's Mountain EBITDA. 'To Vail' = x ownership %.</t>
  </si>
  <si>
    <t xml:space="preserve">Inputs (blue/yellow)</t>
  </si>
  <si>
    <t xml:space="preserve">Resort Model: Size (D), Visits (F), Yield Index (G), Anchor Rev (K), Ownership % (W).</t>
  </si>
  <si>
    <t xml:space="preserve">Assumptions: Vail revenue by stream, Mountain EBITDA, and the geographic anchors (Canada revenue + BC lodging carve-out).</t>
  </si>
  <si>
    <t xml:space="preserve">Caveats</t>
  </si>
  <si>
    <t xml:space="preserve">- Per-resort skier visits are ESTIMATES (Vail discloses only a company total). They set relative allocation weights; the NA total ties to the reported ~16.9mm.</t>
  </si>
  <si>
    <t xml:space="preserve">- Canada net revenue ($335.3mm) is all-segment; the BC-lodging carve-out (editable) backs into Whistler's Mountain revenue. Australia/Europe revenue validated vs Intl-ex-Canada ($205.8mm).</t>
  </si>
  <si>
    <t xml:space="preserve">- Ownership: Whistler 75% (Nippon Cable 25%). Andermatt-Sedrun &amp; Crans-Montana also part-owned - verify col W.</t>
  </si>
  <si>
    <t xml:space="preserve">- NSAA figures are industry averages used as relative weights and margins; Vail sets the absolute levels.</t>
  </si>
  <si>
    <t xml:space="preserve">Sources</t>
  </si>
  <si>
    <t xml:space="preserve">Vail FY2025 10-K: segment table (Mountain revenue $2,629.9mm, Mountain EBITDA $821.3mm, Lodging $334.0mm); geographic net revenue (US $2,423.2mm; Canada $335.3mm); 75% Whistler ownership; lift revenue $1,503.2mm.</t>
  </si>
  <si>
    <t xml:space="preserve">NSAA Economic Analysis of U.S. Ski Areas, 2024/25 (user-provided): Table 2 (rev/visit by size), Table 3 (region x size EBITDA margins), Table 8.</t>
  </si>
  <si>
    <t xml:space="preserve">ASSUMPTIONS</t>
  </si>
  <si>
    <t xml:space="preserve">Fiscal year:</t>
  </si>
  <si>
    <t xml:space="preserve">FY2025</t>
  </si>
  <si>
    <t xml:space="preserve">Ended July 31, 2025.</t>
  </si>
  <si>
    <t xml:space="preserve">MOUNTAIN SEGMENT REVENUE ($mm)</t>
  </si>
  <si>
    <t xml:space="preserve">% total</t>
  </si>
  <si>
    <t xml:space="preserve">Source / note</t>
  </si>
  <si>
    <t xml:space="preserve">Lift (pass + non-pass)</t>
  </si>
  <si>
    <t xml:space="preserve">Vail FY2025 8-K: $1,503.2mm.</t>
  </si>
  <si>
    <t xml:space="preserve">Ski school</t>
  </si>
  <si>
    <t xml:space="preserve">Derived +1.7% YoY.</t>
  </si>
  <si>
    <t xml:space="preserve">Dining</t>
  </si>
  <si>
    <t xml:space="preserve">Derived +5.9% YoY.</t>
  </si>
  <si>
    <t xml:space="preserve">Retail / rental</t>
  </si>
  <si>
    <t xml:space="preserve">Estimated FY2025.</t>
  </si>
  <si>
    <t xml:space="preserve">Other mountain</t>
  </si>
  <si>
    <t xml:space="preserve">Balancing plug; ties Mountain to reported $2,629.9mm.</t>
  </si>
  <si>
    <t xml:space="preserve">Total Mountain revenue</t>
  </si>
  <si>
    <t xml:space="preserve">Ties to reported FY2025 Mountain net revenue $2,629.9mm.</t>
  </si>
  <si>
    <t xml:space="preserve">  Non-lift revenue</t>
  </si>
  <si>
    <t xml:space="preserve">  Lift rescale (to tie lift)</t>
  </si>
  <si>
    <t xml:space="preserve">Scales the size-mix lift split so total lift ties to reported.</t>
  </si>
  <si>
    <t xml:space="preserve">PROFITABILITY</t>
  </si>
  <si>
    <t xml:space="preserve">Vail Mountain Reported EBITDA ($mm)</t>
  </si>
  <si>
    <t xml:space="preserve">Reported FY2025 Mountain EBITDA (10-K segment table).</t>
  </si>
  <si>
    <t xml:space="preserve">  Pre-scale modeled EBITDA ($mm)</t>
  </si>
  <si>
    <t xml:space="preserve">  EBITDA scaling factor</t>
  </si>
  <si>
    <t xml:space="preserve">GEOGRAPHIC ANCHORS ($mm, FY2025 10-K)</t>
  </si>
  <si>
    <t xml:space="preserve">Total net revenue (all segments)</t>
  </si>
  <si>
    <t xml:space="preserve">10-K geographic note.</t>
  </si>
  <si>
    <t xml:space="preserve">  U.S. net revenue</t>
  </si>
  <si>
    <t xml:space="preserve">  International net revenue</t>
  </si>
  <si>
    <t xml:space="preserve">  Canada (Whistler) net revenue</t>
  </si>
  <si>
    <t xml:space="preserve">All-segment; Whistler is the only Canadian resort.</t>
  </si>
  <si>
    <t xml:space="preserve">  Intl ex-Canada (AUS + EUR)</t>
  </si>
  <si>
    <t xml:space="preserve">Validation target for Australia + Europe.</t>
  </si>
  <si>
    <t xml:space="preserve">BC lodging carve-out (est)</t>
  </si>
  <si>
    <t xml:space="preserve">Non-Mountain Canada revenue removed from the Whistler anchor.</t>
  </si>
  <si>
    <t xml:space="preserve">Whistler Mountain anchor</t>
  </si>
  <si>
    <t xml:space="preserve">Canada revenue less BC lodging. Pinned in the model.</t>
  </si>
  <si>
    <t xml:space="preserve">NSAA BENCHMARKS</t>
  </si>
  <si>
    <t xml:space="preserve">Economic Analysis of U.S. Ski Areas, 2024/25 (per skier visit).</t>
  </si>
  <si>
    <t xml:space="preserve">Table 2C - Revenue per skier visit by SIZE ($)  &lt;-- drives revenue weights</t>
  </si>
  <si>
    <t xml:space="preserve">Size category</t>
  </si>
  <si>
    <t xml:space="preserve">VTF/hr range</t>
  </si>
  <si>
    <t xml:space="preserve">Annual rev/visit</t>
  </si>
  <si>
    <t xml:space="preserve">Ticket yield</t>
  </si>
  <si>
    <t xml:space="preserve">Non-ticket/visit</t>
  </si>
  <si>
    <t xml:space="preserve"># areas</t>
  </si>
  <si>
    <t xml:space="preserve">Small</t>
  </si>
  <si>
    <t xml:space="preserve">0 - 5,000</t>
  </si>
  <si>
    <t xml:space="preserve">Medium</t>
  </si>
  <si>
    <t xml:space="preserve">5,001 - 9,500</t>
  </si>
  <si>
    <t xml:space="preserve">Large</t>
  </si>
  <si>
    <t xml:space="preserve">9,501 - 20,000</t>
  </si>
  <si>
    <t xml:space="preserve">Extra Large</t>
  </si>
  <si>
    <t xml:space="preserve">20,001 +</t>
  </si>
  <si>
    <t xml:space="preserve">Whistler's yield is set by its Canada anchor, not these US benchmarks (NSAA excludes Canada).</t>
  </si>
  <si>
    <t xml:space="preserve">Table 1 - Avg downhill visits per ski area by REGION x SIZE band (2024/25)</t>
  </si>
  <si>
    <t xml:space="preserve">Region</t>
  </si>
  <si>
    <t xml:space="preserve">Size band (VTF/hr 000s)</t>
  </si>
  <si>
    <t xml:space="preserve">Avg visits/area</t>
  </si>
  <si>
    <t xml:space="preserve">Rocky Mountain</t>
  </si>
  <si>
    <t xml:space="preserve">0 - 9,500</t>
  </si>
  <si>
    <t xml:space="preserve">20,000 +</t>
  </si>
  <si>
    <t xml:space="preserve">Pacific Southwest</t>
  </si>
  <si>
    <t xml:space="preserve">Pacific South &amp; NW</t>
  </si>
  <si>
    <t xml:space="preserve">Pacific Northwest</t>
  </si>
  <si>
    <t xml:space="preserve">9,501 +</t>
  </si>
  <si>
    <t xml:space="preserve">Northeast</t>
  </si>
  <si>
    <t xml:space="preserve">0 - 7,500</t>
  </si>
  <si>
    <t xml:space="preserve">7,501 - 10,000</t>
  </si>
  <si>
    <t xml:space="preserve">10,001 - 20,000</t>
  </si>
  <si>
    <t xml:space="preserve">Southeast</t>
  </si>
  <si>
    <t xml:space="preserve">5,000 +</t>
  </si>
  <si>
    <t xml:space="preserve">Midwest</t>
  </si>
  <si>
    <t xml:space="preserve">0 - 3,500</t>
  </si>
  <si>
    <t xml:space="preserve">3,501 +</t>
  </si>
  <si>
    <t xml:space="preserve">Vail's resorts sit ABOVE these regional averages (Vail owns the larger areas in each region). Per-resort visits are estimates: flagships cross-checked vs public figures; the rest grounded on these averages; the North American total calibrated to Vail's reported ~16.9mm skier visits.</t>
  </si>
  <si>
    <t xml:space="preserve">NSAA EBITDA MARGINS</t>
  </si>
  <si>
    <t xml:space="preserve">NSAA 2024/25 Table 3, EBITDA margin by region x size. Drives the EBITDA layer.</t>
  </si>
  <si>
    <t xml:space="preserve">EBITDA margin by REGION x SIZE  &lt;-- drives EBITDA (relative; portfolio rescales to reported total)</t>
  </si>
  <si>
    <t xml:space="preserve">Basis / note</t>
  </si>
  <si>
    <t xml:space="preserve">0-9.5k / 9.5-20k / 20k+ bands</t>
  </si>
  <si>
    <t xml:space="preserve">Tahoe; Large approx (Kirkwood)</t>
  </si>
  <si>
    <t xml:space="preserve">9,501+ band only</t>
  </si>
  <si>
    <t xml:space="preserve">0-7.5k / 7.5-10k / 10-20k / 20k+</t>
  </si>
  <si>
    <t xml:space="preserve">Mid-Atlantic; both bands ~25.3%</t>
  </si>
  <si>
    <t xml:space="preserve">0-3,500 band; larger approx</t>
  </si>
  <si>
    <t xml:space="preserve">Canada</t>
  </si>
  <si>
    <t xml:space="preserve">No NSAA; Whistler blended-XL (editable)</t>
  </si>
  <si>
    <t xml:space="preserve">Europe</t>
  </si>
  <si>
    <t xml:space="preserve">No NSAA; fallback (editable)</t>
  </si>
  <si>
    <t xml:space="preserve">Australia</t>
  </si>
  <si>
    <t xml:space="preserve">Reference: NSAA Table 3 region x size EBITDA margins are full-entity (after all operating costs, before D&amp;A/interest/tax) - the same concept as Vail's Reported Mountain EBITDA. Values are relative weights; the portfolio is rescaled so total EBITDA equals Vail's reported $821.3mm.</t>
  </si>
  <si>
    <t xml:space="preserve">RESORT MODEL - estimated revenue &amp; EBITDA by resort ($mm, FY2025)</t>
  </si>
  <si>
    <t xml:space="preserve">Inputs (blue/yellow): Size (D), Visits (F), Yield Index (G), Anchor Rev (K), Ownership % (W). Orange = to Vail.</t>
  </si>
  <si>
    <t xml:space="preserve">Resort</t>
  </si>
  <si>
    <t xml:space="preserve">Country</t>
  </si>
  <si>
    <t xml:space="preserve">Size
Category</t>
  </si>
  <si>
    <t xml:space="preserve">Skiable
Acres</t>
  </si>
  <si>
    <t xml:space="preserve">Est. Skier
Visits (000s)</t>
  </si>
  <si>
    <t xml:space="preserve">Yield
Index</t>
  </si>
  <si>
    <t xml:space="preserve">NSAA Ticket
Yield ($)</t>
  </si>
  <si>
    <t xml:space="preserve">NSAA Non-
Ticket ($)</t>
  </si>
  <si>
    <t xml:space="preserve">Weight</t>
  </si>
  <si>
    <t xml:space="preserve">Anchor
Rev ($mm)</t>
  </si>
  <si>
    <t xml:space="preserve">Total Rev
($mm)</t>
  </si>
  <si>
    <t xml:space="preserve">Lift Rev
($mm)</t>
  </si>
  <si>
    <t xml:space="preserve">Non-lift
Rev ($mm)</t>
  </si>
  <si>
    <t xml:space="preserve">Ski School
($mm)</t>
  </si>
  <si>
    <t xml:space="preserve">Dining
($mm)</t>
  </si>
  <si>
    <t xml:space="preserve">Retail/Rent
($mm)</t>
  </si>
  <si>
    <t xml:space="preserve">Other
($mm)</t>
  </si>
  <si>
    <t xml:space="preserve">Rev/Visit
($)</t>
  </si>
  <si>
    <t xml:space="preserve">NSAA Size
Margin</t>
  </si>
  <si>
    <t xml:space="preserve">Est. EBITDA
($mm)</t>
  </si>
  <si>
    <t xml:space="preserve">EBITDA
Margin</t>
  </si>
  <si>
    <t xml:space="preserve">Owner-
ship %</t>
  </si>
  <si>
    <t xml:space="preserve">Rev to
Vail ($mm)</t>
  </si>
  <si>
    <t xml:space="preserve">EBITDA to
Vail ($mm)</t>
  </si>
  <si>
    <t xml:space="preserve">Visit Basis / source</t>
  </si>
  <si>
    <t xml:space="preserve">Whistler Blackcomb</t>
  </si>
  <si>
    <t xml:space="preserve">Public est. (winter skier visits, excl. summer)</t>
  </si>
  <si>
    <t xml:space="preserve">Breckenridge</t>
  </si>
  <si>
    <t xml:space="preserve">USA</t>
  </si>
  <si>
    <t xml:space="preserve">Public est. (busiest US resort)</t>
  </si>
  <si>
    <t xml:space="preserve">Vail Mountain</t>
  </si>
  <si>
    <t xml:space="preserve">Public est.</t>
  </si>
  <si>
    <t xml:space="preserve">Park City Mountain</t>
  </si>
  <si>
    <t xml:space="preserve">Public est. (largest US by acreage)</t>
  </si>
  <si>
    <t xml:space="preserve">Keystone</t>
  </si>
  <si>
    <t xml:space="preserve">Beaver Creek</t>
  </si>
  <si>
    <t xml:space="preserve">Heavenly</t>
  </si>
  <si>
    <t xml:space="preserve">Northstar</t>
  </si>
  <si>
    <t xml:space="preserve">Crested Butte</t>
  </si>
  <si>
    <t xml:space="preserve">NSAA RM-Large avg, scaled</t>
  </si>
  <si>
    <t xml:space="preserve">Kirkwood</t>
  </si>
  <si>
    <t xml:space="preserve">NSAA PSW-Large avg</t>
  </si>
  <si>
    <t xml:space="preserve">Stowe</t>
  </si>
  <si>
    <t xml:space="preserve">NSAA NE-Large, top-tier scale</t>
  </si>
  <si>
    <t xml:space="preserve">Okemo</t>
  </si>
  <si>
    <t xml:space="preserve">NSAA NE-Large, scaled</t>
  </si>
  <si>
    <t xml:space="preserve">Mount Snow</t>
  </si>
  <si>
    <t xml:space="preserve">Stevens Pass</t>
  </si>
  <si>
    <t xml:space="preserve">NSAA PNW avg</t>
  </si>
  <si>
    <t xml:space="preserve">Crans-Montana</t>
  </si>
  <si>
    <t xml:space="preserve">Switzerland</t>
  </si>
  <si>
    <t xml:space="preserve">Vail estimate (no NSAA region)</t>
  </si>
  <si>
    <t xml:space="preserve">Andermatt-Sedrun</t>
  </si>
  <si>
    <t xml:space="preserve">Perisher</t>
  </si>
  <si>
    <t xml:space="preserve">Vail estimate (largest in Australia)</t>
  </si>
  <si>
    <t xml:space="preserve">Hunter Mountain</t>
  </si>
  <si>
    <t xml:space="preserve">NSAA NE-Med, near NYC scale</t>
  </si>
  <si>
    <t xml:space="preserve">Seven Springs</t>
  </si>
  <si>
    <t xml:space="preserve">NSAA SE avg, scaled</t>
  </si>
  <si>
    <t xml:space="preserve">Attitash</t>
  </si>
  <si>
    <t xml:space="preserve">NSAA NE-Med avg</t>
  </si>
  <si>
    <t xml:space="preserve">Mount Sunapee</t>
  </si>
  <si>
    <t xml:space="preserve">Mount Hotham</t>
  </si>
  <si>
    <t xml:space="preserve">Falls Creek</t>
  </si>
  <si>
    <t xml:space="preserve">Wildcat</t>
  </si>
  <si>
    <t xml:space="preserve">NSAA NE-Small avg</t>
  </si>
  <si>
    <t xml:space="preserve">Afton Alps</t>
  </si>
  <si>
    <t xml:space="preserve">NSAA MW-Small avg, urban scale</t>
  </si>
  <si>
    <t xml:space="preserve">Mt. Brighton</t>
  </si>
  <si>
    <t xml:space="preserve">Wilmot</t>
  </si>
  <si>
    <t xml:space="preserve">Whitetail</t>
  </si>
  <si>
    <t xml:space="preserve">NSAA SE-Small avg, scaled</t>
  </si>
  <si>
    <t xml:space="preserve">Liberty Mountain</t>
  </si>
  <si>
    <t xml:space="preserve">Jack Frost / Big Boulder</t>
  </si>
  <si>
    <t xml:space="preserve">Roundtop</t>
  </si>
  <si>
    <t xml:space="preserve">NSAA SE-Small avg</t>
  </si>
  <si>
    <t xml:space="preserve">Boston Mills / Brandywine</t>
  </si>
  <si>
    <t xml:space="preserve">NSAA MW-Small avg, urban</t>
  </si>
  <si>
    <t xml:space="preserve">Hidden Valley (PA)</t>
  </si>
  <si>
    <t xml:space="preserve">Mad River Mountain</t>
  </si>
  <si>
    <t xml:space="preserve">NSAA MW-Small avg</t>
  </si>
  <si>
    <t xml:space="preserve">Hidden Valley (MO)</t>
  </si>
  <si>
    <t xml:space="preserve">Crotched</t>
  </si>
  <si>
    <t xml:space="preserve">Alpine Valley</t>
  </si>
  <si>
    <t xml:space="preserve">Paoli Peaks</t>
  </si>
  <si>
    <t xml:space="preserve">Snow Creek</t>
  </si>
  <si>
    <t xml:space="preserve">Laurel Mountain</t>
  </si>
  <si>
    <t xml:space="preserve">TOTAL / PORTFOLIO</t>
  </si>
  <si>
    <t xml:space="preserve">SUMMARY</t>
  </si>
  <si>
    <t xml:space="preserve">RECONCILIATION CHECKS ($mm)</t>
  </si>
  <si>
    <t xml:space="preserve">Line</t>
  </si>
  <si>
    <t xml:space="preserve">Reported/Target</t>
  </si>
  <si>
    <t xml:space="preserve">Model</t>
  </si>
  <si>
    <t xml:space="preserve">Diff</t>
  </si>
  <si>
    <t xml:space="preserve">Mountain EBITDA</t>
  </si>
  <si>
    <t xml:space="preserve">Lift revenue (approx)</t>
  </si>
  <si>
    <t xml:space="preserve">(Total revenue &amp; EBITDA tie exactly; lift is approximate as it is derived from size mix.)</t>
  </si>
  <si>
    <t xml:space="preserve">GEOGRAPHIC RECONCILIATION ($mm)</t>
  </si>
  <si>
    <t xml:space="preserve">Geography</t>
  </si>
  <si>
    <t xml:space="preserve">Model Mountain</t>
  </si>
  <si>
    <t xml:space="preserve">10-K (all-seg)</t>
  </si>
  <si>
    <t xml:space="preserve">Note</t>
  </si>
  <si>
    <t xml:space="preserve">U.S.</t>
  </si>
  <si>
    <t xml:space="preserve">Mountain only vs all-segment</t>
  </si>
  <si>
    <t xml:space="preserve">Canada (Whistler)</t>
  </si>
  <si>
    <t xml:space="preserve">Anchored (less BC lodging)</t>
  </si>
  <si>
    <t xml:space="preserve">part of Intl ex-Canada</t>
  </si>
  <si>
    <t xml:space="preserve">Europe (Switzerland)</t>
  </si>
  <si>
    <t xml:space="preserve">  Intl ex-Canada (model)</t>
  </si>
  <si>
    <t xml:space="preserve">validation: model vs 10-K</t>
  </si>
  <si>
    <t xml:space="preserve">SKIER-VISIT CHECK (000s)</t>
  </si>
  <si>
    <t xml:space="preserve">North America (US + Whistler)</t>
  </si>
  <si>
    <t xml:space="preserve">model vs Vail reported FY2025 NA visits</t>
  </si>
  <si>
    <t xml:space="preserve">Intl (AUS+EUR, excl. from NA metric)</t>
  </si>
  <si>
    <t xml:space="preserve">not in Vail's NA skier-visit disclosure</t>
  </si>
  <si>
    <t xml:space="preserve">TOP 8: GROSS REVENUE vs REVENUE TO VAIL</t>
  </si>
  <si>
    <t xml:space="preserve">Rank</t>
  </si>
  <si>
    <t xml:space="preserve">By gross rev</t>
  </si>
  <si>
    <t xml:space="preserve">Gross ($mm)</t>
  </si>
  <si>
    <t xml:space="preserve">By rev to Vail</t>
  </si>
  <si>
    <t xml:space="preserve">To Vail ($mm)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</si>
</sst>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;&quot;($&quot;#,##0.0\);\-"/>
    <numFmt numFmtId="166" formatCode="0.0%"/>
    <numFmt numFmtId="167" formatCode="0.00\x"/>
    <numFmt numFmtId="168" formatCode="\$#,##0.00"/>
    <numFmt numFmtId="169" formatCode="#,##0;\(#,##0\);\-"/>
    <numFmt numFmtId="170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4472C4"/>
        <bgColor rgb="FF2F5496"/>
      </patternFill>
    </fill>
    <fill>
      <patternFill patternType="solid">
        <fgColor rgb="FF548235"/>
        <bgColor rgb="FF666666"/>
      </patternFill>
    </fill>
    <fill>
      <patternFill patternType="solid">
        <fgColor rgb="FFE2EFDA"/>
        <bgColor rgb="FFDDEBF7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57.4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/>
    </row>
    <row r="8" customFormat="false" ht="15" hidden="false" customHeight="false" outlineLevel="0" collapsed="false">
      <c r="B8" s="3" t="s">
        <v>4</v>
      </c>
    </row>
    <row r="9" customFormat="false" ht="35.0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5"/>
    </row>
    <row r="11" customFormat="false" ht="15" hidden="false" customHeight="false" outlineLevel="0" collapsed="false">
      <c r="B11" s="3" t="s">
        <v>6</v>
      </c>
    </row>
    <row r="12" customFormat="false" ht="35.0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5"/>
    </row>
    <row r="14" customFormat="false" ht="15" hidden="false" customHeight="false" outlineLevel="0" collapsed="false">
      <c r="B14" s="3" t="s">
        <v>8</v>
      </c>
    </row>
    <row r="15" customFormat="false" ht="15" hidden="false" customHeight="false" outlineLevel="0" collapsed="false">
      <c r="B15" s="4" t="s">
        <v>9</v>
      </c>
    </row>
    <row r="16" customFormat="false" ht="15" hidden="false" customHeight="false" outlineLevel="0" collapsed="false">
      <c r="B16" s="4" t="s">
        <v>10</v>
      </c>
    </row>
    <row r="17" customFormat="false" ht="15" hidden="false" customHeight="false" outlineLevel="0" collapsed="false">
      <c r="B17" s="5"/>
    </row>
    <row r="18" customFormat="false" ht="15" hidden="false" customHeight="false" outlineLevel="0" collapsed="false">
      <c r="B18" s="3" t="s">
        <v>11</v>
      </c>
    </row>
    <row r="19" customFormat="false" ht="23.85" hidden="false" customHeight="false" outlineLevel="0" collapsed="false">
      <c r="B19" s="4" t="s">
        <v>12</v>
      </c>
    </row>
    <row r="20" customFormat="false" ht="23.85" hidden="false" customHeight="false" outlineLevel="0" collapsed="false">
      <c r="B20" s="4" t="s">
        <v>13</v>
      </c>
    </row>
    <row r="21" customFormat="false" ht="15" hidden="false" customHeight="false" outlineLevel="0" collapsed="false">
      <c r="B21" s="4" t="s">
        <v>14</v>
      </c>
    </row>
    <row r="22" customFormat="false" ht="15" hidden="false" customHeight="false" outlineLevel="0" collapsed="false">
      <c r="B22" s="4" t="s">
        <v>15</v>
      </c>
    </row>
    <row r="23" customFormat="false" ht="15" hidden="false" customHeight="false" outlineLevel="0" collapsed="false">
      <c r="B23" s="5"/>
    </row>
    <row r="24" customFormat="false" ht="15" hidden="false" customHeight="false" outlineLevel="0" collapsed="false">
      <c r="B24" s="3" t="s">
        <v>16</v>
      </c>
    </row>
    <row r="25" customFormat="false" ht="22.35" hidden="false" customHeight="false" outlineLevel="0" collapsed="false">
      <c r="B25" s="2" t="s">
        <v>17</v>
      </c>
    </row>
    <row r="26" customFormat="false" ht="22.35" hidden="false" customHeight="false" outlineLevel="0" collapsed="false">
      <c r="B26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6" t="s">
        <v>20</v>
      </c>
      <c r="B2" s="7" t="s">
        <v>21</v>
      </c>
      <c r="D2" s="2" t="s">
        <v>22</v>
      </c>
    </row>
    <row r="4" customFormat="false" ht="23.85" hidden="false" customHeight="false" outlineLevel="0" collapsed="false">
      <c r="A4" s="8" t="s">
        <v>23</v>
      </c>
      <c r="B4" s="8"/>
      <c r="C4" s="8" t="s">
        <v>24</v>
      </c>
      <c r="D4" s="8" t="s">
        <v>25</v>
      </c>
    </row>
    <row r="5" customFormat="false" ht="15" hidden="false" customHeight="false" outlineLevel="0" collapsed="false">
      <c r="A5" s="4" t="s">
        <v>26</v>
      </c>
      <c r="B5" s="9" t="n">
        <v>1503.2</v>
      </c>
      <c r="C5" s="10" t="n">
        <f aca="false">B5/$B$10</f>
        <v>0.571580668466482</v>
      </c>
      <c r="D5" s="2" t="s">
        <v>27</v>
      </c>
    </row>
    <row r="6" customFormat="false" ht="15" hidden="false" customHeight="false" outlineLevel="0" collapsed="false">
      <c r="A6" s="4" t="s">
        <v>28</v>
      </c>
      <c r="B6" s="9" t="n">
        <v>317</v>
      </c>
      <c r="C6" s="10" t="n">
        <f aca="false">B6/$B$10</f>
        <v>0.120536902543823</v>
      </c>
      <c r="D6" s="2" t="s">
        <v>29</v>
      </c>
    </row>
    <row r="7" customFormat="false" ht="15" hidden="false" customHeight="false" outlineLevel="0" collapsed="false">
      <c r="A7" s="4" t="s">
        <v>30</v>
      </c>
      <c r="B7" s="9" t="n">
        <v>239</v>
      </c>
      <c r="C7" s="10" t="n">
        <f aca="false">B7/$B$10</f>
        <v>0.0908779801513366</v>
      </c>
      <c r="D7" s="2" t="s">
        <v>31</v>
      </c>
    </row>
    <row r="8" customFormat="false" ht="15" hidden="false" customHeight="false" outlineLevel="0" collapsed="false">
      <c r="A8" s="4" t="s">
        <v>32</v>
      </c>
      <c r="B8" s="9" t="n">
        <v>290</v>
      </c>
      <c r="C8" s="10" t="n">
        <f aca="false">B8/$B$10</f>
        <v>0.110270352484885</v>
      </c>
      <c r="D8" s="2" t="s">
        <v>33</v>
      </c>
    </row>
    <row r="9" customFormat="false" ht="15" hidden="false" customHeight="false" outlineLevel="0" collapsed="false">
      <c r="A9" s="4" t="s">
        <v>34</v>
      </c>
      <c r="B9" s="9" t="n">
        <v>280.7</v>
      </c>
      <c r="C9" s="10" t="n">
        <f aca="false">B9/$B$10</f>
        <v>0.106734096353474</v>
      </c>
      <c r="D9" s="2" t="s">
        <v>35</v>
      </c>
    </row>
    <row r="10" customFormat="false" ht="15" hidden="false" customHeight="false" outlineLevel="0" collapsed="false">
      <c r="A10" s="11" t="s">
        <v>36</v>
      </c>
      <c r="B10" s="12" t="n">
        <f aca="false">SUM(B5:B9)</f>
        <v>2629.9</v>
      </c>
      <c r="C10" s="13" t="n">
        <f aca="false">B10/$B$10</f>
        <v>1</v>
      </c>
      <c r="D10" s="2" t="s">
        <v>37</v>
      </c>
    </row>
    <row r="11" customFormat="false" ht="15" hidden="false" customHeight="false" outlineLevel="0" collapsed="false">
      <c r="A11" s="4" t="s">
        <v>38</v>
      </c>
      <c r="B11" s="14" t="n">
        <f aca="false">SUM(B6:B9)</f>
        <v>1126.7</v>
      </c>
      <c r="C11" s="10" t="n">
        <f aca="false">B11/$B$10</f>
        <v>0.428419331533518</v>
      </c>
    </row>
    <row r="12" customFormat="false" ht="15" hidden="false" customHeight="false" outlineLevel="0" collapsed="false">
      <c r="A12" s="4" t="s">
        <v>39</v>
      </c>
      <c r="B12" s="15" t="n">
        <f aca="false">B5/SUMPRODUCT('Resort Model'!$L$4:$L$43,'Resort Model'!$H$4:$H$43/('Resort Model'!$H$4:$H$43+'Resort Model'!$I$4:$I$43))</f>
        <v>1.06328485265312</v>
      </c>
      <c r="D12" s="2" t="s">
        <v>40</v>
      </c>
    </row>
    <row r="13" customFormat="false" ht="15" hidden="false" customHeight="false" outlineLevel="0" collapsed="false">
      <c r="A13" s="16" t="s">
        <v>41</v>
      </c>
      <c r="B13" s="16"/>
      <c r="C13" s="16"/>
      <c r="D13" s="16"/>
    </row>
    <row r="14" customFormat="false" ht="15" hidden="false" customHeight="false" outlineLevel="0" collapsed="false">
      <c r="A14" s="4" t="s">
        <v>42</v>
      </c>
      <c r="B14" s="9" t="n">
        <v>821.3</v>
      </c>
      <c r="D14" s="2" t="s">
        <v>43</v>
      </c>
    </row>
    <row r="15" customFormat="false" ht="15" hidden="false" customHeight="false" outlineLevel="0" collapsed="false">
      <c r="A15" s="4" t="s">
        <v>44</v>
      </c>
      <c r="B15" s="14" t="n">
        <f aca="false">SUMPRODUCT('Resort Model'!$L$4:$L$43,'Resort Model'!$T$4:$T$43)</f>
        <v>888.637618773083</v>
      </c>
    </row>
    <row r="16" customFormat="false" ht="15" hidden="false" customHeight="false" outlineLevel="0" collapsed="false">
      <c r="A16" s="4" t="s">
        <v>45</v>
      </c>
      <c r="B16" s="15" t="n">
        <f aca="false">B14/B15</f>
        <v>0.924223758537193</v>
      </c>
    </row>
    <row r="18" customFormat="false" ht="23.85" hidden="false" customHeight="false" outlineLevel="0" collapsed="false">
      <c r="A18" s="17" t="s">
        <v>46</v>
      </c>
      <c r="B18" s="17"/>
      <c r="C18" s="17"/>
      <c r="D18" s="17"/>
    </row>
    <row r="19" customFormat="false" ht="15" hidden="false" customHeight="false" outlineLevel="0" collapsed="false">
      <c r="A19" s="4" t="s">
        <v>47</v>
      </c>
      <c r="B19" s="18" t="n">
        <v>2964.3</v>
      </c>
      <c r="D19" s="2" t="s">
        <v>48</v>
      </c>
    </row>
    <row r="20" customFormat="false" ht="15" hidden="false" customHeight="false" outlineLevel="0" collapsed="false">
      <c r="A20" s="4" t="s">
        <v>49</v>
      </c>
      <c r="B20" s="18" t="n">
        <v>2423.2</v>
      </c>
    </row>
    <row r="21" customFormat="false" ht="15" hidden="false" customHeight="false" outlineLevel="0" collapsed="false">
      <c r="A21" s="4" t="s">
        <v>50</v>
      </c>
      <c r="B21" s="18" t="n">
        <v>541.1</v>
      </c>
    </row>
    <row r="22" customFormat="false" ht="15" hidden="false" customHeight="false" outlineLevel="0" collapsed="false">
      <c r="A22" s="4" t="s">
        <v>51</v>
      </c>
      <c r="B22" s="9" t="n">
        <v>335.3</v>
      </c>
      <c r="D22" s="2" t="s">
        <v>52</v>
      </c>
    </row>
    <row r="23" customFormat="false" ht="15" hidden="false" customHeight="false" outlineLevel="0" collapsed="false">
      <c r="A23" s="4" t="s">
        <v>53</v>
      </c>
      <c r="B23" s="14" t="n">
        <f aca="false">B21-B22</f>
        <v>205.8</v>
      </c>
      <c r="D23" s="2" t="s">
        <v>54</v>
      </c>
    </row>
    <row r="24" customFormat="false" ht="15" hidden="false" customHeight="false" outlineLevel="0" collapsed="false">
      <c r="A24" s="4" t="s">
        <v>55</v>
      </c>
      <c r="B24" s="9" t="n">
        <v>15</v>
      </c>
      <c r="D24" s="2" t="s">
        <v>56</v>
      </c>
    </row>
    <row r="25" customFormat="false" ht="15" hidden="false" customHeight="false" outlineLevel="0" collapsed="false">
      <c r="A25" s="11" t="s">
        <v>57</v>
      </c>
      <c r="B25" s="12" t="n">
        <f aca="false">B22-B24</f>
        <v>320.3</v>
      </c>
      <c r="D25" s="19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6" min="3" style="0" width="14"/>
  </cols>
  <sheetData>
    <row r="1" customFormat="false" ht="48.5" hidden="false" customHeight="false" outlineLevel="0" collapsed="false">
      <c r="A1" s="1" t="s">
        <v>59</v>
      </c>
    </row>
    <row r="2" customFormat="false" ht="43.25" hidden="false" customHeight="false" outlineLevel="0" collapsed="false">
      <c r="A2" s="2" t="s">
        <v>60</v>
      </c>
    </row>
    <row r="4" customFormat="false" ht="57.45" hidden="false" customHeight="false" outlineLevel="0" collapsed="false">
      <c r="A4" s="8" t="s">
        <v>61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20" t="s">
        <v>62</v>
      </c>
      <c r="B5" s="20" t="s">
        <v>63</v>
      </c>
      <c r="C5" s="20" t="s">
        <v>64</v>
      </c>
      <c r="D5" s="20" t="s">
        <v>65</v>
      </c>
      <c r="E5" s="20" t="s">
        <v>66</v>
      </c>
      <c r="F5" s="20" t="s">
        <v>67</v>
      </c>
    </row>
    <row r="6" customFormat="false" ht="15" hidden="false" customHeight="false" outlineLevel="0" collapsed="false">
      <c r="A6" s="21" t="s">
        <v>68</v>
      </c>
      <c r="B6" s="22" t="s">
        <v>69</v>
      </c>
      <c r="C6" s="23" t="n">
        <v>110.84</v>
      </c>
      <c r="D6" s="23" t="n">
        <v>48.88</v>
      </c>
      <c r="E6" s="23" t="n">
        <v>61.96</v>
      </c>
      <c r="F6" s="24" t="n">
        <v>47</v>
      </c>
    </row>
    <row r="7" customFormat="false" ht="15" hidden="false" customHeight="false" outlineLevel="0" collapsed="false">
      <c r="A7" s="21" t="s">
        <v>70</v>
      </c>
      <c r="B7" s="22" t="s">
        <v>71</v>
      </c>
      <c r="C7" s="23" t="n">
        <v>116.43</v>
      </c>
      <c r="D7" s="23" t="n">
        <v>59.56</v>
      </c>
      <c r="E7" s="23" t="n">
        <v>57.37</v>
      </c>
      <c r="F7" s="24" t="n">
        <v>32</v>
      </c>
    </row>
    <row r="8" customFormat="false" ht="15" hidden="false" customHeight="false" outlineLevel="0" collapsed="false">
      <c r="A8" s="21" t="s">
        <v>72</v>
      </c>
      <c r="B8" s="22" t="s">
        <v>73</v>
      </c>
      <c r="C8" s="23" t="n">
        <v>119.5</v>
      </c>
      <c r="D8" s="23" t="n">
        <v>66.74</v>
      </c>
      <c r="E8" s="23" t="n">
        <v>52.76</v>
      </c>
      <c r="F8" s="24" t="n">
        <v>36</v>
      </c>
    </row>
    <row r="9" customFormat="false" ht="15" hidden="false" customHeight="false" outlineLevel="0" collapsed="false">
      <c r="A9" s="21" t="s">
        <v>74</v>
      </c>
      <c r="B9" s="22" t="s">
        <v>75</v>
      </c>
      <c r="C9" s="23" t="n">
        <v>171.89</v>
      </c>
      <c r="D9" s="23" t="n">
        <v>94.3</v>
      </c>
      <c r="E9" s="23" t="n">
        <v>77.59</v>
      </c>
      <c r="F9" s="24" t="n">
        <v>30</v>
      </c>
    </row>
    <row r="11" customFormat="false" ht="64.15" hidden="false" customHeight="false" outlineLevel="0" collapsed="false">
      <c r="A11" s="2" t="s">
        <v>76</v>
      </c>
    </row>
    <row r="13" customFormat="false" ht="57.45" hidden="false" customHeight="false" outlineLevel="0" collapsed="false">
      <c r="A13" s="8" t="s">
        <v>77</v>
      </c>
      <c r="B13" s="8"/>
      <c r="C13" s="8"/>
      <c r="D13" s="8"/>
    </row>
    <row r="14" customFormat="false" ht="15" hidden="false" customHeight="false" outlineLevel="0" collapsed="false">
      <c r="A14" s="20" t="s">
        <v>78</v>
      </c>
      <c r="B14" s="20" t="s">
        <v>79</v>
      </c>
      <c r="C14" s="20" t="s">
        <v>80</v>
      </c>
      <c r="D14" s="20" t="s">
        <v>67</v>
      </c>
    </row>
    <row r="15" customFormat="false" ht="15" hidden="false" customHeight="false" outlineLevel="0" collapsed="false">
      <c r="A15" s="21" t="s">
        <v>81</v>
      </c>
      <c r="B15" s="22" t="s">
        <v>82</v>
      </c>
      <c r="C15" s="25" t="n">
        <v>132747</v>
      </c>
      <c r="D15" s="24" t="n">
        <v>13</v>
      </c>
    </row>
    <row r="16" customFormat="false" ht="15" hidden="false" customHeight="false" outlineLevel="0" collapsed="false">
      <c r="A16" s="21" t="s">
        <v>81</v>
      </c>
      <c r="B16" s="22" t="s">
        <v>73</v>
      </c>
      <c r="C16" s="25" t="n">
        <v>379829</v>
      </c>
      <c r="D16" s="24" t="n">
        <v>14</v>
      </c>
    </row>
    <row r="17" customFormat="false" ht="15" hidden="false" customHeight="false" outlineLevel="0" collapsed="false">
      <c r="A17" s="21" t="s">
        <v>81</v>
      </c>
      <c r="B17" s="22" t="s">
        <v>83</v>
      </c>
      <c r="C17" s="25" t="n">
        <v>994914</v>
      </c>
      <c r="D17" s="24" t="n">
        <v>16</v>
      </c>
    </row>
    <row r="18" customFormat="false" ht="15" hidden="false" customHeight="false" outlineLevel="0" collapsed="false">
      <c r="A18" s="21" t="s">
        <v>84</v>
      </c>
      <c r="B18" s="22" t="s">
        <v>73</v>
      </c>
      <c r="C18" s="25" t="n">
        <v>230387</v>
      </c>
      <c r="D18" s="24" t="n">
        <v>6</v>
      </c>
    </row>
    <row r="19" customFormat="false" ht="15" hidden="false" customHeight="false" outlineLevel="0" collapsed="false">
      <c r="A19" s="21" t="s">
        <v>84</v>
      </c>
      <c r="B19" s="22" t="s">
        <v>75</v>
      </c>
      <c r="C19" s="25" t="n">
        <v>968100</v>
      </c>
      <c r="D19" s="24" t="n">
        <v>5</v>
      </c>
    </row>
    <row r="20" customFormat="false" ht="23.85" hidden="false" customHeight="false" outlineLevel="0" collapsed="false">
      <c r="A20" s="21" t="s">
        <v>85</v>
      </c>
      <c r="B20" s="22" t="s">
        <v>82</v>
      </c>
      <c r="C20" s="25" t="n">
        <v>166903</v>
      </c>
      <c r="D20" s="24" t="n">
        <v>9</v>
      </c>
    </row>
    <row r="21" customFormat="false" ht="15" hidden="false" customHeight="false" outlineLevel="0" collapsed="false">
      <c r="A21" s="21" t="s">
        <v>86</v>
      </c>
      <c r="B21" s="22" t="s">
        <v>87</v>
      </c>
      <c r="C21" s="25" t="n">
        <v>490792</v>
      </c>
      <c r="D21" s="24" t="n">
        <v>4</v>
      </c>
    </row>
    <row r="22" customFormat="false" ht="15" hidden="false" customHeight="false" outlineLevel="0" collapsed="false">
      <c r="A22" s="21" t="s">
        <v>88</v>
      </c>
      <c r="B22" s="22" t="s">
        <v>89</v>
      </c>
      <c r="C22" s="25" t="n">
        <v>149640</v>
      </c>
      <c r="D22" s="24" t="n">
        <v>6</v>
      </c>
    </row>
    <row r="23" customFormat="false" ht="15" hidden="false" customHeight="false" outlineLevel="0" collapsed="false">
      <c r="A23" s="21" t="s">
        <v>88</v>
      </c>
      <c r="B23" s="22" t="s">
        <v>90</v>
      </c>
      <c r="C23" s="25" t="n">
        <v>112966</v>
      </c>
      <c r="D23" s="24" t="n">
        <v>9</v>
      </c>
    </row>
    <row r="24" customFormat="false" ht="15" hidden="false" customHeight="false" outlineLevel="0" collapsed="false">
      <c r="A24" s="21" t="s">
        <v>88</v>
      </c>
      <c r="B24" s="22" t="s">
        <v>91</v>
      </c>
      <c r="C24" s="25" t="n">
        <v>224092</v>
      </c>
      <c r="D24" s="24" t="n">
        <v>9</v>
      </c>
    </row>
    <row r="25" customFormat="false" ht="15" hidden="false" customHeight="false" outlineLevel="0" collapsed="false">
      <c r="A25" s="21" t="s">
        <v>88</v>
      </c>
      <c r="B25" s="22" t="s">
        <v>75</v>
      </c>
      <c r="C25" s="25" t="n">
        <v>488626</v>
      </c>
      <c r="D25" s="24" t="n">
        <v>7</v>
      </c>
    </row>
    <row r="26" customFormat="false" ht="15" hidden="false" customHeight="false" outlineLevel="0" collapsed="false">
      <c r="A26" s="21" t="s">
        <v>92</v>
      </c>
      <c r="B26" s="22" t="s">
        <v>69</v>
      </c>
      <c r="C26" s="25" t="n">
        <v>103499</v>
      </c>
      <c r="D26" s="24" t="n">
        <v>13</v>
      </c>
    </row>
    <row r="27" customFormat="false" ht="15" hidden="false" customHeight="false" outlineLevel="0" collapsed="false">
      <c r="A27" s="21" t="s">
        <v>92</v>
      </c>
      <c r="B27" s="22" t="s">
        <v>93</v>
      </c>
      <c r="C27" s="25" t="n">
        <v>200612</v>
      </c>
      <c r="D27" s="24" t="n">
        <v>9</v>
      </c>
    </row>
    <row r="28" customFormat="false" ht="15" hidden="false" customHeight="false" outlineLevel="0" collapsed="false">
      <c r="A28" s="21" t="s">
        <v>94</v>
      </c>
      <c r="B28" s="22" t="s">
        <v>95</v>
      </c>
      <c r="C28" s="25" t="n">
        <v>80340</v>
      </c>
      <c r="D28" s="24" t="n">
        <v>14</v>
      </c>
    </row>
    <row r="29" customFormat="false" ht="15" hidden="false" customHeight="false" outlineLevel="0" collapsed="false">
      <c r="A29" s="21" t="s">
        <v>94</v>
      </c>
      <c r="B29" s="22" t="s">
        <v>96</v>
      </c>
      <c r="C29" s="25" t="n">
        <v>100621</v>
      </c>
      <c r="D29" s="24" t="n">
        <v>11</v>
      </c>
    </row>
    <row r="31" customFormat="false" ht="15" hidden="false" customHeight="true" outlineLevel="0" collapsed="false">
      <c r="A31" s="26" t="s">
        <v>97</v>
      </c>
      <c r="B31" s="26"/>
      <c r="C31" s="26"/>
      <c r="D31" s="26"/>
    </row>
    <row r="32" customFormat="false" ht="15" hidden="false" customHeight="false" outlineLevel="0" collapsed="false">
      <c r="A32" s="26"/>
      <c r="B32" s="26"/>
      <c r="C32" s="26"/>
      <c r="D32" s="26"/>
    </row>
    <row r="33" customFormat="false" ht="15" hidden="false" customHeight="false" outlineLevel="0" collapsed="false">
      <c r="A33" s="26"/>
      <c r="B33" s="26"/>
      <c r="C33" s="26"/>
      <c r="D33" s="26"/>
    </row>
  </sheetData>
  <mergeCells count="1">
    <mergeCell ref="A31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  <col collapsed="false" customWidth="true" hidden="false" outlineLevel="0" max="6" min="6" style="0" width="52"/>
  </cols>
  <sheetData>
    <row r="1" customFormat="false" ht="32.8" hidden="false" customHeight="false" outlineLevel="0" collapsed="false">
      <c r="A1" s="1" t="s">
        <v>98</v>
      </c>
    </row>
    <row r="2" customFormat="false" ht="43.25" hidden="false" customHeight="false" outlineLevel="0" collapsed="false">
      <c r="A2" s="2" t="s">
        <v>99</v>
      </c>
    </row>
    <row r="4" customFormat="false" ht="68.65" hidden="false" customHeight="false" outlineLevel="0" collapsed="false">
      <c r="A4" s="8" t="s">
        <v>100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20" t="s">
        <v>78</v>
      </c>
      <c r="B5" s="20" t="s">
        <v>68</v>
      </c>
      <c r="C5" s="20" t="s">
        <v>70</v>
      </c>
      <c r="D5" s="20" t="s">
        <v>72</v>
      </c>
      <c r="E5" s="20" t="s">
        <v>74</v>
      </c>
      <c r="F5" s="20" t="s">
        <v>101</v>
      </c>
    </row>
    <row r="6" customFormat="false" ht="15" hidden="false" customHeight="false" outlineLevel="0" collapsed="false">
      <c r="A6" s="21" t="s">
        <v>81</v>
      </c>
      <c r="B6" s="27" t="n">
        <v>0.229</v>
      </c>
      <c r="C6" s="27" t="n">
        <v>0.229</v>
      </c>
      <c r="D6" s="27" t="n">
        <v>0.317</v>
      </c>
      <c r="E6" s="27" t="n">
        <v>0.419</v>
      </c>
      <c r="F6" s="28" t="s">
        <v>102</v>
      </c>
    </row>
    <row r="7" customFormat="false" ht="15" hidden="false" customHeight="false" outlineLevel="0" collapsed="false">
      <c r="A7" s="21" t="s">
        <v>84</v>
      </c>
      <c r="B7" s="27" t="n">
        <v>0.227</v>
      </c>
      <c r="C7" s="27" t="n">
        <v>0.227</v>
      </c>
      <c r="D7" s="27" t="n">
        <v>0.18</v>
      </c>
      <c r="E7" s="27" t="n">
        <v>0.294</v>
      </c>
      <c r="F7" s="28" t="s">
        <v>103</v>
      </c>
    </row>
    <row r="8" customFormat="false" ht="15" hidden="false" customHeight="false" outlineLevel="0" collapsed="false">
      <c r="A8" s="21" t="s">
        <v>86</v>
      </c>
      <c r="B8" s="27" t="n">
        <v>0.233</v>
      </c>
      <c r="C8" s="27" t="n">
        <v>0.233</v>
      </c>
      <c r="D8" s="27" t="n">
        <v>0.233</v>
      </c>
      <c r="E8" s="27" t="n">
        <v>0.233</v>
      </c>
      <c r="F8" s="28" t="s">
        <v>104</v>
      </c>
    </row>
    <row r="9" customFormat="false" ht="15" hidden="false" customHeight="false" outlineLevel="0" collapsed="false">
      <c r="A9" s="21" t="s">
        <v>88</v>
      </c>
      <c r="B9" s="27" t="n">
        <v>0.199</v>
      </c>
      <c r="C9" s="27" t="n">
        <v>0.199</v>
      </c>
      <c r="D9" s="27" t="n">
        <v>0.235</v>
      </c>
      <c r="E9" s="27" t="n">
        <v>0.291</v>
      </c>
      <c r="F9" s="28" t="s">
        <v>105</v>
      </c>
    </row>
    <row r="10" customFormat="false" ht="15" hidden="false" customHeight="false" outlineLevel="0" collapsed="false">
      <c r="A10" s="21" t="s">
        <v>92</v>
      </c>
      <c r="B10" s="27" t="n">
        <v>0.253</v>
      </c>
      <c r="C10" s="27" t="n">
        <v>0.253</v>
      </c>
      <c r="D10" s="27" t="n">
        <v>0.253</v>
      </c>
      <c r="E10" s="27" t="n">
        <v>0.253</v>
      </c>
      <c r="F10" s="28" t="s">
        <v>106</v>
      </c>
    </row>
    <row r="11" customFormat="false" ht="15" hidden="false" customHeight="false" outlineLevel="0" collapsed="false">
      <c r="A11" s="21" t="s">
        <v>94</v>
      </c>
      <c r="B11" s="27" t="n">
        <v>0.278</v>
      </c>
      <c r="C11" s="27" t="n">
        <v>0.25</v>
      </c>
      <c r="D11" s="27" t="n">
        <v>0.25</v>
      </c>
      <c r="E11" s="27" t="n">
        <v>0.25</v>
      </c>
      <c r="F11" s="28" t="s">
        <v>107</v>
      </c>
    </row>
    <row r="12" customFormat="false" ht="15" hidden="false" customHeight="false" outlineLevel="0" collapsed="false">
      <c r="A12" s="21" t="s">
        <v>108</v>
      </c>
      <c r="B12" s="27" t="n">
        <v>0.335</v>
      </c>
      <c r="C12" s="27" t="n">
        <v>0.335</v>
      </c>
      <c r="D12" s="27" t="n">
        <v>0.335</v>
      </c>
      <c r="E12" s="27" t="n">
        <v>0.335</v>
      </c>
      <c r="F12" s="28" t="s">
        <v>109</v>
      </c>
    </row>
    <row r="13" customFormat="false" ht="15" hidden="false" customHeight="false" outlineLevel="0" collapsed="false">
      <c r="A13" s="21" t="s">
        <v>110</v>
      </c>
      <c r="B13" s="27" t="n">
        <v>0.24</v>
      </c>
      <c r="C13" s="27" t="n">
        <v>0.24</v>
      </c>
      <c r="D13" s="27" t="n">
        <v>0.24</v>
      </c>
      <c r="E13" s="27" t="n">
        <v>0.24</v>
      </c>
      <c r="F13" s="28" t="s">
        <v>111</v>
      </c>
    </row>
    <row r="14" customFormat="false" ht="15" hidden="false" customHeight="false" outlineLevel="0" collapsed="false">
      <c r="A14" s="21" t="s">
        <v>112</v>
      </c>
      <c r="B14" s="27" t="n">
        <v>0.24</v>
      </c>
      <c r="C14" s="27" t="n">
        <v>0.24</v>
      </c>
      <c r="D14" s="27" t="n">
        <v>0.24</v>
      </c>
      <c r="E14" s="27" t="n">
        <v>0.24</v>
      </c>
      <c r="F14" s="28" t="s">
        <v>111</v>
      </c>
    </row>
    <row r="16" customFormat="false" ht="15" hidden="false" customHeight="true" outlineLevel="0" collapsed="false">
      <c r="A16" s="26" t="s">
        <v>113</v>
      </c>
      <c r="B16" s="26"/>
      <c r="C16" s="26"/>
      <c r="D16" s="26"/>
      <c r="E16" s="26"/>
      <c r="F16" s="26"/>
    </row>
    <row r="17" customFormat="false" ht="15" hidden="false" customHeight="false" outlineLevel="0" collapsed="false">
      <c r="A17" s="26"/>
      <c r="B17" s="26"/>
      <c r="C17" s="26"/>
      <c r="D17" s="26"/>
      <c r="E17" s="26"/>
      <c r="F17" s="26"/>
    </row>
    <row r="18" customFormat="false" ht="15" hidden="false" customHeight="false" outlineLevel="0" collapsed="false">
      <c r="A18" s="26"/>
      <c r="B18" s="26"/>
      <c r="C18" s="26"/>
      <c r="D18" s="26"/>
      <c r="E18" s="26"/>
      <c r="F18" s="26"/>
    </row>
  </sheetData>
  <mergeCells count="1">
    <mergeCell ref="A16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5" min="11" style="0" width="9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8"/>
    <col collapsed="false" customWidth="true" hidden="false" outlineLevel="0" max="20" min="19" style="0" width="9"/>
    <col collapsed="false" customWidth="true" hidden="false" outlineLevel="0" max="21" min="21" style="0" width="10"/>
    <col collapsed="false" customWidth="true" hidden="false" outlineLevel="0" max="23" min="22" style="0" width="8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30"/>
  </cols>
  <sheetData>
    <row r="1" customFormat="false" ht="79.85" hidden="false" customHeight="false" outlineLevel="0" collapsed="false">
      <c r="A1" s="1" t="s">
        <v>114</v>
      </c>
    </row>
    <row r="2" customFormat="false" ht="43.25" hidden="false" customHeight="false" outlineLevel="0" collapsed="false">
      <c r="A2" s="2" t="s">
        <v>115</v>
      </c>
    </row>
    <row r="3" customFormat="false" ht="35.05" hidden="false" customHeight="false" outlineLevel="0" collapsed="false">
      <c r="A3" s="29" t="s">
        <v>116</v>
      </c>
      <c r="B3" s="29" t="s">
        <v>78</v>
      </c>
      <c r="C3" s="29" t="s">
        <v>117</v>
      </c>
      <c r="D3" s="29" t="s">
        <v>118</v>
      </c>
      <c r="E3" s="29" t="s">
        <v>119</v>
      </c>
      <c r="F3" s="29" t="s">
        <v>120</v>
      </c>
      <c r="G3" s="29" t="s">
        <v>121</v>
      </c>
      <c r="H3" s="29" t="s">
        <v>122</v>
      </c>
      <c r="I3" s="29" t="s">
        <v>123</v>
      </c>
      <c r="J3" s="29" t="s">
        <v>124</v>
      </c>
      <c r="K3" s="29" t="s">
        <v>125</v>
      </c>
      <c r="L3" s="29" t="s">
        <v>126</v>
      </c>
      <c r="M3" s="29" t="s">
        <v>127</v>
      </c>
      <c r="N3" s="29" t="s">
        <v>128</v>
      </c>
      <c r="O3" s="29" t="s">
        <v>129</v>
      </c>
      <c r="P3" s="29" t="s">
        <v>130</v>
      </c>
      <c r="Q3" s="29" t="s">
        <v>131</v>
      </c>
      <c r="R3" s="29" t="s">
        <v>132</v>
      </c>
      <c r="S3" s="29" t="s">
        <v>133</v>
      </c>
      <c r="T3" s="30" t="s">
        <v>134</v>
      </c>
      <c r="U3" s="30" t="s">
        <v>135</v>
      </c>
      <c r="V3" s="30" t="s">
        <v>136</v>
      </c>
      <c r="W3" s="31" t="s">
        <v>137</v>
      </c>
      <c r="X3" s="31" t="s">
        <v>138</v>
      </c>
      <c r="Y3" s="31" t="s">
        <v>139</v>
      </c>
      <c r="Z3" s="31" t="s">
        <v>140</v>
      </c>
    </row>
    <row r="4" customFormat="false" ht="22.35" hidden="false" customHeight="false" outlineLevel="0" collapsed="false">
      <c r="A4" s="21" t="s">
        <v>141</v>
      </c>
      <c r="B4" s="21" t="s">
        <v>108</v>
      </c>
      <c r="C4" s="21" t="s">
        <v>108</v>
      </c>
      <c r="D4" s="32" t="s">
        <v>74</v>
      </c>
      <c r="E4" s="24" t="n">
        <v>8171</v>
      </c>
      <c r="F4" s="33" t="n">
        <v>2050</v>
      </c>
      <c r="G4" s="34" t="n">
        <v>1</v>
      </c>
      <c r="H4" s="35" t="n">
        <f aca="false">VLOOKUP(D4,'NSAA Benchmarks'!$A$6:$F$9,4,FALSE())</f>
        <v>94.3</v>
      </c>
      <c r="I4" s="35" t="n">
        <f aca="false">VLOOKUP(D4,'NSAA Benchmarks'!$A$6:$F$9,5,FALSE())</f>
        <v>77.59</v>
      </c>
      <c r="J4" s="24" t="n">
        <f aca="false">F4*(H4+I4)*G4</f>
        <v>352374.5</v>
      </c>
      <c r="K4" s="36" t="n">
        <f aca="false">Assumptions!$B$25</f>
        <v>320.3</v>
      </c>
      <c r="L4" s="37" t="n">
        <f aca="false">IF(K4&gt;0,K4,J4/SUMIF($K$4:$K$43,0,$J$4:$J$43)*(Assumptions!$B$10-SUM($K$4:$K$43)))</f>
        <v>320.3</v>
      </c>
      <c r="M4" s="37" t="n">
        <f aca="false">L4*H4/(H4+I4)*Assumptions!$B$12</f>
        <v>186.839048473687</v>
      </c>
      <c r="N4" s="37" t="n">
        <f aca="false">L4-M4</f>
        <v>133.460951526313</v>
      </c>
      <c r="O4" s="38" t="n">
        <f aca="false">N4*Assumptions!$B$6/Assumptions!$B$11</f>
        <v>37.5495887404288</v>
      </c>
      <c r="P4" s="38" t="n">
        <f aca="false">N4*Assumptions!$B$7/Assumptions!$B$11</f>
        <v>28.3102577569794</v>
      </c>
      <c r="Q4" s="38" t="n">
        <f aca="false">N4*Assumptions!$B$8/Assumptions!$B$11</f>
        <v>34.3513587846194</v>
      </c>
      <c r="R4" s="38" t="n">
        <f aca="false">N4*Assumptions!$B$9/Assumptions!$B$11</f>
        <v>33.249746244285</v>
      </c>
      <c r="S4" s="39" t="n">
        <f aca="false">IF(F4=0,0,L4*1000/F4)</f>
        <v>156.243902439024</v>
      </c>
      <c r="T4" s="40" t="n">
        <f aca="false">INDEX('NSAA Margins'!$B$6:$E$14,MATCH(B4,'NSAA Margins'!$A$6:$A$14,0),MATCH(D4,'NSAA Margins'!$B$5:$E$5,0))</f>
        <v>0.335</v>
      </c>
      <c r="U4" s="38" t="n">
        <f aca="false">L4*T4*Assumptions!$B$16</f>
        <v>99.1696714029201</v>
      </c>
      <c r="V4" s="41" t="n">
        <f aca="false">IF(L4=0,0,U4/L4)</f>
        <v>0.30961495910996</v>
      </c>
      <c r="W4" s="42" t="n">
        <v>0.75</v>
      </c>
      <c r="X4" s="43" t="n">
        <f aca="false">L4*W4</f>
        <v>240.225</v>
      </c>
      <c r="Y4" s="43" t="n">
        <f aca="false">U4*W4</f>
        <v>74.3772535521901</v>
      </c>
      <c r="Z4" s="2" t="s">
        <v>142</v>
      </c>
    </row>
    <row r="5" customFormat="false" ht="15" hidden="false" customHeight="false" outlineLevel="0" collapsed="false">
      <c r="A5" s="21" t="s">
        <v>143</v>
      </c>
      <c r="B5" s="21" t="s">
        <v>81</v>
      </c>
      <c r="C5" s="21" t="s">
        <v>144</v>
      </c>
      <c r="D5" s="32" t="s">
        <v>74</v>
      </c>
      <c r="E5" s="24" t="n">
        <v>2908</v>
      </c>
      <c r="F5" s="33" t="n">
        <v>1750</v>
      </c>
      <c r="G5" s="34" t="n">
        <v>1</v>
      </c>
      <c r="H5" s="35" t="n">
        <f aca="false">VLOOKUP(D5,'NSAA Benchmarks'!$A$6:$F$9,4,FALSE())</f>
        <v>94.3</v>
      </c>
      <c r="I5" s="35" t="n">
        <f aca="false">VLOOKUP(D5,'NSAA Benchmarks'!$A$6:$F$9,5,FALSE())</f>
        <v>77.59</v>
      </c>
      <c r="J5" s="24" t="n">
        <f aca="false">F5*(H5+I5)*G5</f>
        <v>300807.5</v>
      </c>
      <c r="K5" s="44" t="n">
        <v>0</v>
      </c>
      <c r="L5" s="37" t="n">
        <f aca="false">IF(K5&gt;0,K5,J5/SUMIF($K$4:$K$43,0,$J$4:$J$43)*(Assumptions!$B$10-SUM($K$4:$K$43)))</f>
        <v>288.568562119902</v>
      </c>
      <c r="M5" s="37" t="n">
        <f aca="false">L5*H5/(H5+I5)*Assumptions!$B$12</f>
        <v>168.329302422425</v>
      </c>
      <c r="N5" s="37" t="n">
        <f aca="false">L5-M5</f>
        <v>120.239259697477</v>
      </c>
      <c r="O5" s="38" t="n">
        <f aca="false">N5*Assumptions!$B$6/Assumptions!$B$11</f>
        <v>33.829631067809</v>
      </c>
      <c r="P5" s="38" t="n">
        <f aca="false">N5*Assumptions!$B$7/Assumptions!$B$11</f>
        <v>25.5056208997045</v>
      </c>
      <c r="Q5" s="38" t="n">
        <f aca="false">N5*Assumptions!$B$8/Assumptions!$B$11</f>
        <v>30.9482429326959</v>
      </c>
      <c r="R5" s="38" t="n">
        <f aca="false">N5*Assumptions!$B$9/Assumptions!$B$11</f>
        <v>29.9557647972681</v>
      </c>
      <c r="S5" s="39" t="n">
        <f aca="false">IF(F5=0,0,L5*1000/F5)</f>
        <v>164.896321211373</v>
      </c>
      <c r="T5" s="40" t="n">
        <f aca="false">INDEX('NSAA Margins'!$B$6:$E$14,MATCH(B5,'NSAA Margins'!$A$6:$A$14,0),MATCH(D5,'NSAA Margins'!$B$5:$E$5,0))</f>
        <v>0.419</v>
      </c>
      <c r="U5" s="38" t="n">
        <f aca="false">L5*T5*Assumptions!$B$16</f>
        <v>111.748104931736</v>
      </c>
      <c r="V5" s="41" t="n">
        <f aca="false">IF(L5=0,0,U5/L5)</f>
        <v>0.387249754827084</v>
      </c>
      <c r="W5" s="42" t="n">
        <v>1</v>
      </c>
      <c r="X5" s="43" t="n">
        <f aca="false">L5*W5</f>
        <v>288.568562119902</v>
      </c>
      <c r="Y5" s="43" t="n">
        <f aca="false">U5*W5</f>
        <v>111.748104931736</v>
      </c>
      <c r="Z5" s="2" t="s">
        <v>145</v>
      </c>
    </row>
    <row r="6" customFormat="false" ht="15" hidden="false" customHeight="false" outlineLevel="0" collapsed="false">
      <c r="A6" s="21" t="s">
        <v>146</v>
      </c>
      <c r="B6" s="21" t="s">
        <v>81</v>
      </c>
      <c r="C6" s="21" t="s">
        <v>144</v>
      </c>
      <c r="D6" s="32" t="s">
        <v>74</v>
      </c>
      <c r="E6" s="24" t="n">
        <v>5317</v>
      </c>
      <c r="F6" s="33" t="n">
        <v>1650</v>
      </c>
      <c r="G6" s="34" t="n">
        <v>1</v>
      </c>
      <c r="H6" s="35" t="n">
        <f aca="false">VLOOKUP(D6,'NSAA Benchmarks'!$A$6:$F$9,4,FALSE())</f>
        <v>94.3</v>
      </c>
      <c r="I6" s="35" t="n">
        <f aca="false">VLOOKUP(D6,'NSAA Benchmarks'!$A$6:$F$9,5,FALSE())</f>
        <v>77.59</v>
      </c>
      <c r="J6" s="24" t="n">
        <f aca="false">F6*(H6+I6)*G6</f>
        <v>283618.5</v>
      </c>
      <c r="K6" s="44" t="n">
        <v>0</v>
      </c>
      <c r="L6" s="37" t="n">
        <f aca="false">IF(K6&gt;0,K6,J6/SUMIF($K$4:$K$43,0,$J$4:$J$43)*(Assumptions!$B$10-SUM($K$4:$K$43)))</f>
        <v>272.078929998765</v>
      </c>
      <c r="M6" s="37" t="n">
        <f aca="false">L6*H6/(H6+I6)*Assumptions!$B$12</f>
        <v>158.710485141144</v>
      </c>
      <c r="N6" s="37" t="n">
        <f aca="false">L6-M6</f>
        <v>113.368444857622</v>
      </c>
      <c r="O6" s="38" t="n">
        <f aca="false">N6*Assumptions!$B$6/Assumptions!$B$11</f>
        <v>31.8965092925056</v>
      </c>
      <c r="P6" s="38" t="n">
        <f aca="false">N6*Assumptions!$B$7/Assumptions!$B$11</f>
        <v>24.0481568482929</v>
      </c>
      <c r="Q6" s="38" t="n">
        <f aca="false">N6*Assumptions!$B$8/Assumptions!$B$11</f>
        <v>29.1797719079704</v>
      </c>
      <c r="R6" s="38" t="n">
        <f aca="false">N6*Assumptions!$B$9/Assumptions!$B$11</f>
        <v>28.2440068088527</v>
      </c>
      <c r="S6" s="39" t="n">
        <f aca="false">IF(F6=0,0,L6*1000/F6)</f>
        <v>164.896321211373</v>
      </c>
      <c r="T6" s="40" t="n">
        <f aca="false">INDEX('NSAA Margins'!$B$6:$E$14,MATCH(B6,'NSAA Margins'!$A$6:$A$14,0),MATCH(D6,'NSAA Margins'!$B$5:$E$5,0))</f>
        <v>0.419</v>
      </c>
      <c r="U6" s="38" t="n">
        <f aca="false">L6*T6*Assumptions!$B$16</f>
        <v>105.362498935637</v>
      </c>
      <c r="V6" s="41" t="n">
        <f aca="false">IF(L6=0,0,U6/L6)</f>
        <v>0.387249754827084</v>
      </c>
      <c r="W6" s="42" t="n">
        <v>1</v>
      </c>
      <c r="X6" s="43" t="n">
        <f aca="false">L6*W6</f>
        <v>272.078929998765</v>
      </c>
      <c r="Y6" s="43" t="n">
        <f aca="false">U6*W6</f>
        <v>105.362498935637</v>
      </c>
      <c r="Z6" s="2" t="s">
        <v>147</v>
      </c>
    </row>
    <row r="7" customFormat="false" ht="15" hidden="false" customHeight="false" outlineLevel="0" collapsed="false">
      <c r="A7" s="21" t="s">
        <v>148</v>
      </c>
      <c r="B7" s="21" t="s">
        <v>81</v>
      </c>
      <c r="C7" s="21" t="s">
        <v>144</v>
      </c>
      <c r="D7" s="32" t="s">
        <v>74</v>
      </c>
      <c r="E7" s="24" t="n">
        <v>7300</v>
      </c>
      <c r="F7" s="33" t="n">
        <v>1550</v>
      </c>
      <c r="G7" s="34" t="n">
        <v>1</v>
      </c>
      <c r="H7" s="35" t="n">
        <f aca="false">VLOOKUP(D7,'NSAA Benchmarks'!$A$6:$F$9,4,FALSE())</f>
        <v>94.3</v>
      </c>
      <c r="I7" s="35" t="n">
        <f aca="false">VLOOKUP(D7,'NSAA Benchmarks'!$A$6:$F$9,5,FALSE())</f>
        <v>77.59</v>
      </c>
      <c r="J7" s="24" t="n">
        <f aca="false">F7*(H7+I7)*G7</f>
        <v>266429.5</v>
      </c>
      <c r="K7" s="44" t="n">
        <v>0</v>
      </c>
      <c r="L7" s="37" t="n">
        <f aca="false">IF(K7&gt;0,K7,J7/SUMIF($K$4:$K$43,0,$J$4:$J$43)*(Assumptions!$B$10-SUM($K$4:$K$43)))</f>
        <v>255.589297877628</v>
      </c>
      <c r="M7" s="37" t="n">
        <f aca="false">L7*H7/(H7+I7)*Assumptions!$B$12</f>
        <v>149.091667859862</v>
      </c>
      <c r="N7" s="37" t="n">
        <f aca="false">L7-M7</f>
        <v>106.497630017766</v>
      </c>
      <c r="O7" s="38" t="n">
        <f aca="false">N7*Assumptions!$B$6/Assumptions!$B$11</f>
        <v>29.9633875172022</v>
      </c>
      <c r="P7" s="38" t="n">
        <f aca="false">N7*Assumptions!$B$7/Assumptions!$B$11</f>
        <v>22.5906927968812</v>
      </c>
      <c r="Q7" s="38" t="n">
        <f aca="false">N7*Assumptions!$B$8/Assumptions!$B$11</f>
        <v>27.4113008832449</v>
      </c>
      <c r="R7" s="38" t="n">
        <f aca="false">N7*Assumptions!$B$9/Assumptions!$B$11</f>
        <v>26.5322488204374</v>
      </c>
      <c r="S7" s="39" t="n">
        <f aca="false">IF(F7=0,0,L7*1000/F7)</f>
        <v>164.896321211373</v>
      </c>
      <c r="T7" s="40" t="n">
        <f aca="false">INDEX('NSAA Margins'!$B$6:$E$14,MATCH(B7,'NSAA Margins'!$A$6:$A$14,0),MATCH(D7,'NSAA Margins'!$B$5:$E$5,0))</f>
        <v>0.419</v>
      </c>
      <c r="U7" s="38" t="n">
        <f aca="false">L7*T7*Assumptions!$B$16</f>
        <v>98.9768929395379</v>
      </c>
      <c r="V7" s="41" t="n">
        <f aca="false">IF(L7=0,0,U7/L7)</f>
        <v>0.387249754827084</v>
      </c>
      <c r="W7" s="42" t="n">
        <v>1</v>
      </c>
      <c r="X7" s="43" t="n">
        <f aca="false">L7*W7</f>
        <v>255.589297877628</v>
      </c>
      <c r="Y7" s="43" t="n">
        <f aca="false">U7*W7</f>
        <v>98.9768929395379</v>
      </c>
      <c r="Z7" s="2" t="s">
        <v>149</v>
      </c>
    </row>
    <row r="8" customFormat="false" ht="15" hidden="false" customHeight="false" outlineLevel="0" collapsed="false">
      <c r="A8" s="21" t="s">
        <v>150</v>
      </c>
      <c r="B8" s="21" t="s">
        <v>81</v>
      </c>
      <c r="C8" s="21" t="s">
        <v>144</v>
      </c>
      <c r="D8" s="32" t="s">
        <v>74</v>
      </c>
      <c r="E8" s="24" t="n">
        <v>3149</v>
      </c>
      <c r="F8" s="33" t="n">
        <v>1200</v>
      </c>
      <c r="G8" s="34" t="n">
        <v>1</v>
      </c>
      <c r="H8" s="35" t="n">
        <f aca="false">VLOOKUP(D8,'NSAA Benchmarks'!$A$6:$F$9,4,FALSE())</f>
        <v>94.3</v>
      </c>
      <c r="I8" s="35" t="n">
        <f aca="false">VLOOKUP(D8,'NSAA Benchmarks'!$A$6:$F$9,5,FALSE())</f>
        <v>77.59</v>
      </c>
      <c r="J8" s="24" t="n">
        <f aca="false">F8*(H8+I8)*G8</f>
        <v>206268</v>
      </c>
      <c r="K8" s="44" t="n">
        <v>0</v>
      </c>
      <c r="L8" s="37" t="n">
        <f aca="false">IF(K8&gt;0,K8,J8/SUMIF($K$4:$K$43,0,$J$4:$J$43)*(Assumptions!$B$10-SUM($K$4:$K$43)))</f>
        <v>197.875585453647</v>
      </c>
      <c r="M8" s="37" t="n">
        <f aca="false">L8*H8/(H8+I8)*Assumptions!$B$12</f>
        <v>115.425807375377</v>
      </c>
      <c r="N8" s="37" t="n">
        <f aca="false">L8-M8</f>
        <v>82.4497780782703</v>
      </c>
      <c r="O8" s="38" t="n">
        <f aca="false">N8*Assumptions!$B$6/Assumptions!$B$11</f>
        <v>23.1974613036404</v>
      </c>
      <c r="P8" s="38" t="n">
        <f aca="false">N8*Assumptions!$B$7/Assumptions!$B$11</f>
        <v>17.4895686169403</v>
      </c>
      <c r="Q8" s="38" t="n">
        <f aca="false">N8*Assumptions!$B$8/Assumptions!$B$11</f>
        <v>21.2216522967058</v>
      </c>
      <c r="R8" s="38" t="n">
        <f aca="false">N8*Assumptions!$B$9/Assumptions!$B$11</f>
        <v>20.5410958609838</v>
      </c>
      <c r="S8" s="39" t="n">
        <f aca="false">IF(F8=0,0,L8*1000/F8)</f>
        <v>164.896321211373</v>
      </c>
      <c r="T8" s="40" t="n">
        <f aca="false">INDEX('NSAA Margins'!$B$6:$E$14,MATCH(B8,'NSAA Margins'!$A$6:$A$14,0),MATCH(D8,'NSAA Margins'!$B$5:$E$5,0))</f>
        <v>0.419</v>
      </c>
      <c r="U8" s="38" t="n">
        <f aca="false">L8*T8*Assumptions!$B$16</f>
        <v>76.6272719531906</v>
      </c>
      <c r="V8" s="41" t="n">
        <f aca="false">IF(L8=0,0,U8/L8)</f>
        <v>0.387249754827084</v>
      </c>
      <c r="W8" s="42" t="n">
        <v>1</v>
      </c>
      <c r="X8" s="43" t="n">
        <f aca="false">L8*W8</f>
        <v>197.875585453647</v>
      </c>
      <c r="Y8" s="43" t="n">
        <f aca="false">U8*W8</f>
        <v>76.6272719531906</v>
      </c>
      <c r="Z8" s="2" t="s">
        <v>147</v>
      </c>
    </row>
    <row r="9" customFormat="false" ht="15" hidden="false" customHeight="false" outlineLevel="0" collapsed="false">
      <c r="A9" s="21" t="s">
        <v>151</v>
      </c>
      <c r="B9" s="21" t="s">
        <v>81</v>
      </c>
      <c r="C9" s="21" t="s">
        <v>144</v>
      </c>
      <c r="D9" s="32" t="s">
        <v>74</v>
      </c>
      <c r="E9" s="24" t="n">
        <v>2082</v>
      </c>
      <c r="F9" s="33" t="n">
        <v>1000</v>
      </c>
      <c r="G9" s="34" t="n">
        <v>1</v>
      </c>
      <c r="H9" s="35" t="n">
        <f aca="false">VLOOKUP(D9,'NSAA Benchmarks'!$A$6:$F$9,4,FALSE())</f>
        <v>94.3</v>
      </c>
      <c r="I9" s="35" t="n">
        <f aca="false">VLOOKUP(D9,'NSAA Benchmarks'!$A$6:$F$9,5,FALSE())</f>
        <v>77.59</v>
      </c>
      <c r="J9" s="24" t="n">
        <f aca="false">F9*(H9+I9)*G9</f>
        <v>171890</v>
      </c>
      <c r="K9" s="44" t="n">
        <v>0</v>
      </c>
      <c r="L9" s="37" t="n">
        <f aca="false">IF(K9&gt;0,K9,J9/SUMIF($K$4:$K$43,0,$J$4:$J$43)*(Assumptions!$B$10-SUM($K$4:$K$43)))</f>
        <v>164.896321211373</v>
      </c>
      <c r="M9" s="37" t="n">
        <f aca="false">L9*H9/(H9+I9)*Assumptions!$B$12</f>
        <v>96.1881728128142</v>
      </c>
      <c r="N9" s="37" t="n">
        <f aca="false">L9-M9</f>
        <v>68.7081483985586</v>
      </c>
      <c r="O9" s="38" t="n">
        <f aca="false">N9*Assumptions!$B$6/Assumptions!$B$11</f>
        <v>19.3312177530337</v>
      </c>
      <c r="P9" s="38" t="n">
        <f aca="false">N9*Assumptions!$B$7/Assumptions!$B$11</f>
        <v>14.5746405141169</v>
      </c>
      <c r="Q9" s="38" t="n">
        <f aca="false">N9*Assumptions!$B$8/Assumptions!$B$11</f>
        <v>17.6847102472548</v>
      </c>
      <c r="R9" s="38" t="n">
        <f aca="false">N9*Assumptions!$B$9/Assumptions!$B$11</f>
        <v>17.1175798841532</v>
      </c>
      <c r="S9" s="39" t="n">
        <f aca="false">IF(F9=0,0,L9*1000/F9)</f>
        <v>164.896321211373</v>
      </c>
      <c r="T9" s="40" t="n">
        <f aca="false">INDEX('NSAA Margins'!$B$6:$E$14,MATCH(B9,'NSAA Margins'!$A$6:$A$14,0),MATCH(D9,'NSAA Margins'!$B$5:$E$5,0))</f>
        <v>0.419</v>
      </c>
      <c r="U9" s="38" t="n">
        <f aca="false">L9*T9*Assumptions!$B$16</f>
        <v>63.8560599609922</v>
      </c>
      <c r="V9" s="41" t="n">
        <f aca="false">IF(L9=0,0,U9/L9)</f>
        <v>0.387249754827084</v>
      </c>
      <c r="W9" s="42" t="n">
        <v>1</v>
      </c>
      <c r="X9" s="43" t="n">
        <f aca="false">L9*W9</f>
        <v>164.896321211373</v>
      </c>
      <c r="Y9" s="43" t="n">
        <f aca="false">U9*W9</f>
        <v>63.8560599609922</v>
      </c>
      <c r="Z9" s="2" t="s">
        <v>147</v>
      </c>
    </row>
    <row r="10" customFormat="false" ht="15" hidden="false" customHeight="false" outlineLevel="0" collapsed="false">
      <c r="A10" s="21" t="s">
        <v>152</v>
      </c>
      <c r="B10" s="21" t="s">
        <v>84</v>
      </c>
      <c r="C10" s="21" t="s">
        <v>144</v>
      </c>
      <c r="D10" s="32" t="s">
        <v>74</v>
      </c>
      <c r="E10" s="24" t="n">
        <v>4800</v>
      </c>
      <c r="F10" s="33" t="n">
        <v>870</v>
      </c>
      <c r="G10" s="34" t="n">
        <v>1</v>
      </c>
      <c r="H10" s="35" t="n">
        <f aca="false">VLOOKUP(D10,'NSAA Benchmarks'!$A$6:$F$9,4,FALSE())</f>
        <v>94.3</v>
      </c>
      <c r="I10" s="35" t="n">
        <f aca="false">VLOOKUP(D10,'NSAA Benchmarks'!$A$6:$F$9,5,FALSE())</f>
        <v>77.59</v>
      </c>
      <c r="J10" s="24" t="n">
        <f aca="false">F10*(H10+I10)*G10</f>
        <v>149544.3</v>
      </c>
      <c r="K10" s="44" t="n">
        <v>0</v>
      </c>
      <c r="L10" s="37" t="n">
        <f aca="false">IF(K10&gt;0,K10,J10/SUMIF($K$4:$K$43,0,$J$4:$J$43)*(Assumptions!$B$10-SUM($K$4:$K$43)))</f>
        <v>143.459799453894</v>
      </c>
      <c r="M10" s="37" t="n">
        <f aca="false">L10*H10/(H10+I10)*Assumptions!$B$12</f>
        <v>83.6837103471484</v>
      </c>
      <c r="N10" s="37" t="n">
        <f aca="false">L10-M10</f>
        <v>59.7760891067459</v>
      </c>
      <c r="O10" s="38" t="n">
        <f aca="false">N10*Assumptions!$B$6/Assumptions!$B$11</f>
        <v>16.8181594451393</v>
      </c>
      <c r="P10" s="38" t="n">
        <f aca="false">N10*Assumptions!$B$7/Assumptions!$B$11</f>
        <v>12.6799372472817</v>
      </c>
      <c r="Q10" s="38" t="n">
        <f aca="false">N10*Assumptions!$B$8/Assumptions!$B$11</f>
        <v>15.3856979151117</v>
      </c>
      <c r="R10" s="38" t="n">
        <f aca="false">N10*Assumptions!$B$9/Assumptions!$B$11</f>
        <v>14.8922944992133</v>
      </c>
      <c r="S10" s="39" t="n">
        <f aca="false">IF(F10=0,0,L10*1000/F10)</f>
        <v>164.896321211373</v>
      </c>
      <c r="T10" s="40" t="n">
        <f aca="false">INDEX('NSAA Margins'!$B$6:$E$14,MATCH(B10,'NSAA Margins'!$A$6:$A$14,0),MATCH(D10,'NSAA Margins'!$B$5:$E$5,0))</f>
        <v>0.294</v>
      </c>
      <c r="U10" s="38" t="n">
        <f aca="false">L10*T10*Assumptions!$B$16</f>
        <v>38.9811527847794</v>
      </c>
      <c r="V10" s="41" t="n">
        <f aca="false">IF(L10=0,0,U10/L10)</f>
        <v>0.271721785009935</v>
      </c>
      <c r="W10" s="42" t="n">
        <v>1</v>
      </c>
      <c r="X10" s="43" t="n">
        <f aca="false">L10*W10</f>
        <v>143.459799453894</v>
      </c>
      <c r="Y10" s="43" t="n">
        <f aca="false">U10*W10</f>
        <v>38.9811527847794</v>
      </c>
      <c r="Z10" s="2" t="s">
        <v>147</v>
      </c>
    </row>
    <row r="11" customFormat="false" ht="15" hidden="false" customHeight="false" outlineLevel="0" collapsed="false">
      <c r="A11" s="21" t="s">
        <v>153</v>
      </c>
      <c r="B11" s="21" t="s">
        <v>84</v>
      </c>
      <c r="C11" s="21" t="s">
        <v>144</v>
      </c>
      <c r="D11" s="32" t="s">
        <v>74</v>
      </c>
      <c r="E11" s="24" t="n">
        <v>3170</v>
      </c>
      <c r="F11" s="33" t="n">
        <v>680</v>
      </c>
      <c r="G11" s="34" t="n">
        <v>1</v>
      </c>
      <c r="H11" s="35" t="n">
        <f aca="false">VLOOKUP(D11,'NSAA Benchmarks'!$A$6:$F$9,4,FALSE())</f>
        <v>94.3</v>
      </c>
      <c r="I11" s="35" t="n">
        <f aca="false">VLOOKUP(D11,'NSAA Benchmarks'!$A$6:$F$9,5,FALSE())</f>
        <v>77.59</v>
      </c>
      <c r="J11" s="24" t="n">
        <f aca="false">F11*(H11+I11)*G11</f>
        <v>116885.2</v>
      </c>
      <c r="K11" s="44" t="n">
        <v>0</v>
      </c>
      <c r="L11" s="37" t="n">
        <f aca="false">IF(K11&gt;0,K11,J11/SUMIF($K$4:$K$43,0,$J$4:$J$43)*(Assumptions!$B$10-SUM($K$4:$K$43)))</f>
        <v>112.129498423734</v>
      </c>
      <c r="M11" s="37" t="n">
        <f aca="false">L11*H11/(H11+I11)*Assumptions!$B$12</f>
        <v>65.4079575127137</v>
      </c>
      <c r="N11" s="37" t="n">
        <f aca="false">L11-M11</f>
        <v>46.7215409110198</v>
      </c>
      <c r="O11" s="38" t="n">
        <f aca="false">N11*Assumptions!$B$6/Assumptions!$B$11</f>
        <v>13.1452280720629</v>
      </c>
      <c r="P11" s="38" t="n">
        <f aca="false">N11*Assumptions!$B$7/Assumptions!$B$11</f>
        <v>9.91075554959948</v>
      </c>
      <c r="Q11" s="38" t="n">
        <f aca="false">N11*Assumptions!$B$8/Assumptions!$B$11</f>
        <v>12.0256029681333</v>
      </c>
      <c r="R11" s="38" t="n">
        <f aca="false">N11*Assumptions!$B$9/Assumptions!$B$11</f>
        <v>11.6399543212242</v>
      </c>
      <c r="S11" s="39" t="n">
        <f aca="false">IF(F11=0,0,L11*1000/F11)</f>
        <v>164.896321211373</v>
      </c>
      <c r="T11" s="40" t="n">
        <f aca="false">INDEX('NSAA Margins'!$B$6:$E$14,MATCH(B11,'NSAA Margins'!$A$6:$A$14,0),MATCH(D11,'NSAA Margins'!$B$5:$E$5,0))</f>
        <v>0.294</v>
      </c>
      <c r="U11" s="38" t="n">
        <f aca="false">L11*T11*Assumptions!$B$16</f>
        <v>30.4680274639655</v>
      </c>
      <c r="V11" s="41" t="n">
        <f aca="false">IF(L11=0,0,U11/L11)</f>
        <v>0.271721785009935</v>
      </c>
      <c r="W11" s="42" t="n">
        <v>1</v>
      </c>
      <c r="X11" s="43" t="n">
        <f aca="false">L11*W11</f>
        <v>112.129498423734</v>
      </c>
      <c r="Y11" s="43" t="n">
        <f aca="false">U11*W11</f>
        <v>30.4680274639655</v>
      </c>
      <c r="Z11" s="2" t="s">
        <v>147</v>
      </c>
    </row>
    <row r="12" customFormat="false" ht="15" hidden="false" customHeight="false" outlineLevel="0" collapsed="false">
      <c r="A12" s="21" t="s">
        <v>154</v>
      </c>
      <c r="B12" s="21" t="s">
        <v>81</v>
      </c>
      <c r="C12" s="21" t="s">
        <v>144</v>
      </c>
      <c r="D12" s="32" t="s">
        <v>72</v>
      </c>
      <c r="E12" s="24" t="n">
        <v>1547</v>
      </c>
      <c r="F12" s="33" t="n">
        <v>470</v>
      </c>
      <c r="G12" s="34" t="n">
        <v>1</v>
      </c>
      <c r="H12" s="35" t="n">
        <f aca="false">VLOOKUP(D12,'NSAA Benchmarks'!$A$6:$F$9,4,FALSE())</f>
        <v>66.74</v>
      </c>
      <c r="I12" s="35" t="n">
        <f aca="false">VLOOKUP(D12,'NSAA Benchmarks'!$A$6:$F$9,5,FALSE())</f>
        <v>52.76</v>
      </c>
      <c r="J12" s="24" t="n">
        <f aca="false">F12*(H12+I12)*G12</f>
        <v>56165</v>
      </c>
      <c r="K12" s="44" t="n">
        <v>0</v>
      </c>
      <c r="L12" s="37" t="n">
        <f aca="false">IF(K12&gt;0,K12,J12/SUMIF($K$4:$K$43,0,$J$4:$J$43)*(Assumptions!$B$10-SUM($K$4:$K$43)))</f>
        <v>53.8798177953153</v>
      </c>
      <c r="M12" s="37" t="n">
        <f aca="false">L12*H12/(H12+I12)*Assumptions!$B$12</f>
        <v>31.9958787609522</v>
      </c>
      <c r="N12" s="37" t="n">
        <f aca="false">L12-M12</f>
        <v>21.8839390343631</v>
      </c>
      <c r="O12" s="38" t="n">
        <f aca="false">N12*Assumptions!$B$6/Assumptions!$B$11</f>
        <v>6.15710364240091</v>
      </c>
      <c r="P12" s="38" t="n">
        <f aca="false">N12*Assumptions!$B$7/Assumptions!$B$11</f>
        <v>4.64210653165242</v>
      </c>
      <c r="Q12" s="38" t="n">
        <f aca="false">N12*Assumptions!$B$8/Assumptions!$B$11</f>
        <v>5.63268156560336</v>
      </c>
      <c r="R12" s="38" t="n">
        <f aca="false">N12*Assumptions!$B$9/Assumptions!$B$11</f>
        <v>5.45204729470642</v>
      </c>
      <c r="S12" s="39" t="n">
        <f aca="false">IF(F12=0,0,L12*1000/F12)</f>
        <v>114.637910202799</v>
      </c>
      <c r="T12" s="40" t="n">
        <f aca="false">INDEX('NSAA Margins'!$B$6:$E$14,MATCH(B12,'NSAA Margins'!$A$6:$A$14,0),MATCH(D12,'NSAA Margins'!$B$5:$E$5,0))</f>
        <v>0.317</v>
      </c>
      <c r="U12" s="38" t="n">
        <f aca="false">L12*T12*Assumptions!$B$16</f>
        <v>15.7856514447311</v>
      </c>
      <c r="V12" s="41" t="n">
        <f aca="false">IF(L12=0,0,U12/L12)</f>
        <v>0.29297893145629</v>
      </c>
      <c r="W12" s="42" t="n">
        <v>1</v>
      </c>
      <c r="X12" s="43" t="n">
        <f aca="false">L12*W12</f>
        <v>53.8798177953153</v>
      </c>
      <c r="Y12" s="43" t="n">
        <f aca="false">U12*W12</f>
        <v>15.7856514447311</v>
      </c>
      <c r="Z12" s="2" t="s">
        <v>155</v>
      </c>
    </row>
    <row r="13" customFormat="false" ht="15" hidden="false" customHeight="false" outlineLevel="0" collapsed="false">
      <c r="A13" s="21" t="s">
        <v>156</v>
      </c>
      <c r="B13" s="21" t="s">
        <v>84</v>
      </c>
      <c r="C13" s="21" t="s">
        <v>144</v>
      </c>
      <c r="D13" s="32" t="s">
        <v>72</v>
      </c>
      <c r="E13" s="24" t="n">
        <v>2300</v>
      </c>
      <c r="F13" s="33" t="n">
        <v>310</v>
      </c>
      <c r="G13" s="34" t="n">
        <v>1</v>
      </c>
      <c r="H13" s="35" t="n">
        <f aca="false">VLOOKUP(D13,'NSAA Benchmarks'!$A$6:$F$9,4,FALSE())</f>
        <v>66.74</v>
      </c>
      <c r="I13" s="35" t="n">
        <f aca="false">VLOOKUP(D13,'NSAA Benchmarks'!$A$6:$F$9,5,FALSE())</f>
        <v>52.76</v>
      </c>
      <c r="J13" s="24" t="n">
        <f aca="false">F13*(H13+I13)*G13</f>
        <v>37045</v>
      </c>
      <c r="K13" s="44" t="n">
        <v>0</v>
      </c>
      <c r="L13" s="37" t="n">
        <f aca="false">IF(K13&gt;0,K13,J13/SUMIF($K$4:$K$43,0,$J$4:$J$43)*(Assumptions!$B$10-SUM($K$4:$K$43)))</f>
        <v>35.5377521628676</v>
      </c>
      <c r="M13" s="37" t="n">
        <f aca="false">L13*H13/(H13+I13)*Assumptions!$B$12</f>
        <v>21.1036647146706</v>
      </c>
      <c r="N13" s="37" t="n">
        <f aca="false">L13-M13</f>
        <v>14.4340874481969</v>
      </c>
      <c r="O13" s="38" t="n">
        <f aca="false">N13*Assumptions!$B$6/Assumptions!$B$11</f>
        <v>4.06106835988145</v>
      </c>
      <c r="P13" s="38" t="n">
        <f aca="false">N13*Assumptions!$B$7/Assumptions!$B$11</f>
        <v>3.06181494640904</v>
      </c>
      <c r="Q13" s="38" t="n">
        <f aca="false">N13*Assumptions!$B$8/Assumptions!$B$11</f>
        <v>3.71517294752562</v>
      </c>
      <c r="R13" s="38" t="n">
        <f aca="false">N13*Assumptions!$B$9/Assumptions!$B$11</f>
        <v>3.59603119438083</v>
      </c>
      <c r="S13" s="39" t="n">
        <f aca="false">IF(F13=0,0,L13*1000/F13)</f>
        <v>114.637910202799</v>
      </c>
      <c r="T13" s="40" t="n">
        <f aca="false">INDEX('NSAA Margins'!$B$6:$E$14,MATCH(B13,'NSAA Margins'!$A$6:$A$14,0),MATCH(D13,'NSAA Margins'!$B$5:$E$5,0))</f>
        <v>0.18</v>
      </c>
      <c r="U13" s="38" t="n">
        <f aca="false">L13*T13*Assumptions!$B$16</f>
        <v>5.91207027730717</v>
      </c>
      <c r="V13" s="41" t="n">
        <f aca="false">IF(L13=0,0,U13/L13)</f>
        <v>0.166360276536695</v>
      </c>
      <c r="W13" s="42" t="n">
        <v>1</v>
      </c>
      <c r="X13" s="43" t="n">
        <f aca="false">L13*W13</f>
        <v>35.5377521628676</v>
      </c>
      <c r="Y13" s="43" t="n">
        <f aca="false">U13*W13</f>
        <v>5.91207027730717</v>
      </c>
      <c r="Z13" s="2" t="s">
        <v>157</v>
      </c>
    </row>
    <row r="14" customFormat="false" ht="15" hidden="false" customHeight="false" outlineLevel="0" collapsed="false">
      <c r="A14" s="21" t="s">
        <v>158</v>
      </c>
      <c r="B14" s="21" t="s">
        <v>88</v>
      </c>
      <c r="C14" s="21" t="s">
        <v>144</v>
      </c>
      <c r="D14" s="32" t="s">
        <v>72</v>
      </c>
      <c r="E14" s="24" t="n">
        <v>485</v>
      </c>
      <c r="F14" s="33" t="n">
        <v>560</v>
      </c>
      <c r="G14" s="34" t="n">
        <v>1</v>
      </c>
      <c r="H14" s="35" t="n">
        <f aca="false">VLOOKUP(D14,'NSAA Benchmarks'!$A$6:$F$9,4,FALSE())</f>
        <v>66.74</v>
      </c>
      <c r="I14" s="35" t="n">
        <f aca="false">VLOOKUP(D14,'NSAA Benchmarks'!$A$6:$F$9,5,FALSE())</f>
        <v>52.76</v>
      </c>
      <c r="J14" s="24" t="n">
        <f aca="false">F14*(H14+I14)*G14</f>
        <v>66920</v>
      </c>
      <c r="K14" s="44" t="n">
        <v>0</v>
      </c>
      <c r="L14" s="37" t="n">
        <f aca="false">IF(K14&gt;0,K14,J14/SUMIF($K$4:$K$43,0,$J$4:$J$43)*(Assumptions!$B$10-SUM($K$4:$K$43)))</f>
        <v>64.1972297135672</v>
      </c>
      <c r="M14" s="37" t="n">
        <f aca="false">L14*H14/(H14+I14)*Assumptions!$B$12</f>
        <v>38.1227491619856</v>
      </c>
      <c r="N14" s="37" t="n">
        <f aca="false">L14-M14</f>
        <v>26.0744805515816</v>
      </c>
      <c r="O14" s="38" t="n">
        <f aca="false">N14*Assumptions!$B$6/Assumptions!$B$11</f>
        <v>7.33612348881811</v>
      </c>
      <c r="P14" s="38" t="n">
        <f aca="false">N14*Assumptions!$B$7/Assumptions!$B$11</f>
        <v>5.53102054835182</v>
      </c>
      <c r="Q14" s="38" t="n">
        <f aca="false">N14*Assumptions!$B$8/Assumptions!$B$11</f>
        <v>6.71128016327209</v>
      </c>
      <c r="R14" s="38" t="n">
        <f aca="false">N14*Assumptions!$B$9/Assumptions!$B$11</f>
        <v>6.49605635113957</v>
      </c>
      <c r="S14" s="39" t="n">
        <f aca="false">IF(F14=0,0,L14*1000/F14)</f>
        <v>114.637910202799</v>
      </c>
      <c r="T14" s="40" t="n">
        <f aca="false">INDEX('NSAA Margins'!$B$6:$E$14,MATCH(B14,'NSAA Margins'!$A$6:$A$14,0),MATCH(D14,'NSAA Margins'!$B$5:$E$5,0))</f>
        <v>0.235</v>
      </c>
      <c r="U14" s="38" t="n">
        <f aca="false">L14*T14*Assumptions!$B$16</f>
        <v>13.9431621593839</v>
      </c>
      <c r="V14" s="41" t="n">
        <f aca="false">IF(L14=0,0,U14/L14)</f>
        <v>0.21719258325624</v>
      </c>
      <c r="W14" s="42" t="n">
        <v>1</v>
      </c>
      <c r="X14" s="43" t="n">
        <f aca="false">L14*W14</f>
        <v>64.1972297135672</v>
      </c>
      <c r="Y14" s="43" t="n">
        <f aca="false">U14*W14</f>
        <v>13.9431621593839</v>
      </c>
      <c r="Z14" s="2" t="s">
        <v>159</v>
      </c>
    </row>
    <row r="15" customFormat="false" ht="15" hidden="false" customHeight="false" outlineLevel="0" collapsed="false">
      <c r="A15" s="21" t="s">
        <v>160</v>
      </c>
      <c r="B15" s="21" t="s">
        <v>88</v>
      </c>
      <c r="C15" s="21" t="s">
        <v>144</v>
      </c>
      <c r="D15" s="32" t="s">
        <v>72</v>
      </c>
      <c r="E15" s="24" t="n">
        <v>667</v>
      </c>
      <c r="F15" s="33" t="n">
        <v>510</v>
      </c>
      <c r="G15" s="34" t="n">
        <v>1</v>
      </c>
      <c r="H15" s="35" t="n">
        <f aca="false">VLOOKUP(D15,'NSAA Benchmarks'!$A$6:$F$9,4,FALSE())</f>
        <v>66.74</v>
      </c>
      <c r="I15" s="35" t="n">
        <f aca="false">VLOOKUP(D15,'NSAA Benchmarks'!$A$6:$F$9,5,FALSE())</f>
        <v>52.76</v>
      </c>
      <c r="J15" s="24" t="n">
        <f aca="false">F15*(H15+I15)*G15</f>
        <v>60945</v>
      </c>
      <c r="K15" s="44" t="n">
        <v>0</v>
      </c>
      <c r="L15" s="37" t="n">
        <f aca="false">IF(K15&gt;0,K15,J15/SUMIF($K$4:$K$43,0,$J$4:$J$43)*(Assumptions!$B$10-SUM($K$4:$K$43)))</f>
        <v>58.4653342034273</v>
      </c>
      <c r="M15" s="37" t="n">
        <f aca="false">L15*H15/(H15+I15)*Assumptions!$B$12</f>
        <v>34.7189322725226</v>
      </c>
      <c r="N15" s="37" t="n">
        <f aca="false">L15-M15</f>
        <v>23.7464019309047</v>
      </c>
      <c r="O15" s="38" t="n">
        <f aca="false">N15*Assumptions!$B$6/Assumptions!$B$11</f>
        <v>6.68111246303078</v>
      </c>
      <c r="P15" s="38" t="n">
        <f aca="false">N15*Assumptions!$B$7/Assumptions!$B$11</f>
        <v>5.03717942796327</v>
      </c>
      <c r="Q15" s="38" t="n">
        <f aca="false">N15*Assumptions!$B$8/Assumptions!$B$11</f>
        <v>6.11205872012279</v>
      </c>
      <c r="R15" s="38" t="n">
        <f aca="false">N15*Assumptions!$B$9/Assumptions!$B$11</f>
        <v>5.91605131978782</v>
      </c>
      <c r="S15" s="39" t="n">
        <f aca="false">IF(F15=0,0,L15*1000/F15)</f>
        <v>114.637910202799</v>
      </c>
      <c r="T15" s="40" t="n">
        <f aca="false">INDEX('NSAA Margins'!$B$6:$E$14,MATCH(B15,'NSAA Margins'!$A$6:$A$14,0),MATCH(D15,'NSAA Margins'!$B$5:$E$5,0))</f>
        <v>0.235</v>
      </c>
      <c r="U15" s="38" t="n">
        <f aca="false">L15*T15*Assumptions!$B$16</f>
        <v>12.6982369665818</v>
      </c>
      <c r="V15" s="41" t="n">
        <f aca="false">IF(L15=0,0,U15/L15)</f>
        <v>0.21719258325624</v>
      </c>
      <c r="W15" s="42" t="n">
        <v>1</v>
      </c>
      <c r="X15" s="43" t="n">
        <f aca="false">L15*W15</f>
        <v>58.4653342034273</v>
      </c>
      <c r="Y15" s="43" t="n">
        <f aca="false">U15*W15</f>
        <v>12.6982369665818</v>
      </c>
      <c r="Z15" s="2" t="s">
        <v>161</v>
      </c>
    </row>
    <row r="16" customFormat="false" ht="15" hidden="false" customHeight="false" outlineLevel="0" collapsed="false">
      <c r="A16" s="21" t="s">
        <v>162</v>
      </c>
      <c r="B16" s="21" t="s">
        <v>88</v>
      </c>
      <c r="C16" s="21" t="s">
        <v>144</v>
      </c>
      <c r="D16" s="32" t="s">
        <v>72</v>
      </c>
      <c r="E16" s="24" t="n">
        <v>588</v>
      </c>
      <c r="F16" s="33" t="n">
        <v>470</v>
      </c>
      <c r="G16" s="34" t="n">
        <v>1</v>
      </c>
      <c r="H16" s="35" t="n">
        <f aca="false">VLOOKUP(D16,'NSAA Benchmarks'!$A$6:$F$9,4,FALSE())</f>
        <v>66.74</v>
      </c>
      <c r="I16" s="35" t="n">
        <f aca="false">VLOOKUP(D16,'NSAA Benchmarks'!$A$6:$F$9,5,FALSE())</f>
        <v>52.76</v>
      </c>
      <c r="J16" s="24" t="n">
        <f aca="false">F16*(H16+I16)*G16</f>
        <v>56165</v>
      </c>
      <c r="K16" s="44" t="n">
        <v>0</v>
      </c>
      <c r="L16" s="37" t="n">
        <f aca="false">IF(K16&gt;0,K16,J16/SUMIF($K$4:$K$43,0,$J$4:$J$43)*(Assumptions!$B$10-SUM($K$4:$K$43)))</f>
        <v>53.8798177953153</v>
      </c>
      <c r="M16" s="37" t="n">
        <f aca="false">L16*H16/(H16+I16)*Assumptions!$B$12</f>
        <v>31.9958787609522</v>
      </c>
      <c r="N16" s="37" t="n">
        <f aca="false">L16-M16</f>
        <v>21.8839390343631</v>
      </c>
      <c r="O16" s="38" t="n">
        <f aca="false">N16*Assumptions!$B$6/Assumptions!$B$11</f>
        <v>6.15710364240091</v>
      </c>
      <c r="P16" s="38" t="n">
        <f aca="false">N16*Assumptions!$B$7/Assumptions!$B$11</f>
        <v>4.64210653165242</v>
      </c>
      <c r="Q16" s="38" t="n">
        <f aca="false">N16*Assumptions!$B$8/Assumptions!$B$11</f>
        <v>5.63268156560336</v>
      </c>
      <c r="R16" s="38" t="n">
        <f aca="false">N16*Assumptions!$B$9/Assumptions!$B$11</f>
        <v>5.45204729470642</v>
      </c>
      <c r="S16" s="39" t="n">
        <f aca="false">IF(F16=0,0,L16*1000/F16)</f>
        <v>114.637910202799</v>
      </c>
      <c r="T16" s="40" t="n">
        <f aca="false">INDEX('NSAA Margins'!$B$6:$E$14,MATCH(B16,'NSAA Margins'!$A$6:$A$14,0),MATCH(D16,'NSAA Margins'!$B$5:$E$5,0))</f>
        <v>0.235</v>
      </c>
      <c r="U16" s="38" t="n">
        <f aca="false">L16*T16*Assumptions!$B$16</f>
        <v>11.7022968123401</v>
      </c>
      <c r="V16" s="41" t="n">
        <f aca="false">IF(L16=0,0,U16/L16)</f>
        <v>0.21719258325624</v>
      </c>
      <c r="W16" s="42" t="n">
        <v>1</v>
      </c>
      <c r="X16" s="43" t="n">
        <f aca="false">L16*W16</f>
        <v>53.8798177953153</v>
      </c>
      <c r="Y16" s="43" t="n">
        <f aca="false">U16*W16</f>
        <v>11.7022968123401</v>
      </c>
      <c r="Z16" s="2" t="s">
        <v>161</v>
      </c>
    </row>
    <row r="17" customFormat="false" ht="15" hidden="false" customHeight="false" outlineLevel="0" collapsed="false">
      <c r="A17" s="21" t="s">
        <v>163</v>
      </c>
      <c r="B17" s="21" t="s">
        <v>86</v>
      </c>
      <c r="C17" s="21" t="s">
        <v>144</v>
      </c>
      <c r="D17" s="32" t="s">
        <v>72</v>
      </c>
      <c r="E17" s="24" t="n">
        <v>1125</v>
      </c>
      <c r="F17" s="33" t="n">
        <v>420</v>
      </c>
      <c r="G17" s="34" t="n">
        <v>1</v>
      </c>
      <c r="H17" s="35" t="n">
        <f aca="false">VLOOKUP(D17,'NSAA Benchmarks'!$A$6:$F$9,4,FALSE())</f>
        <v>66.74</v>
      </c>
      <c r="I17" s="35" t="n">
        <f aca="false">VLOOKUP(D17,'NSAA Benchmarks'!$A$6:$F$9,5,FALSE())</f>
        <v>52.76</v>
      </c>
      <c r="J17" s="24" t="n">
        <f aca="false">F17*(H17+I17)*G17</f>
        <v>50190</v>
      </c>
      <c r="K17" s="44" t="n">
        <v>0</v>
      </c>
      <c r="L17" s="37" t="n">
        <f aca="false">IF(K17&gt;0,K17,J17/SUMIF($K$4:$K$43,0,$J$4:$J$43)*(Assumptions!$B$10-SUM($K$4:$K$43)))</f>
        <v>48.1479222851754</v>
      </c>
      <c r="M17" s="37" t="n">
        <f aca="false">L17*H17/(H17+I17)*Assumptions!$B$12</f>
        <v>28.5920618714892</v>
      </c>
      <c r="N17" s="37" t="n">
        <f aca="false">L17-M17</f>
        <v>19.5558604136862</v>
      </c>
      <c r="O17" s="38" t="n">
        <f aca="false">N17*Assumptions!$B$6/Assumptions!$B$11</f>
        <v>5.50209261661358</v>
      </c>
      <c r="P17" s="38" t="n">
        <f aca="false">N17*Assumptions!$B$7/Assumptions!$B$11</f>
        <v>4.14826541126387</v>
      </c>
      <c r="Q17" s="38" t="n">
        <f aca="false">N17*Assumptions!$B$8/Assumptions!$B$11</f>
        <v>5.03346012245406</v>
      </c>
      <c r="R17" s="38" t="n">
        <f aca="false">N17*Assumptions!$B$9/Assumptions!$B$11</f>
        <v>4.87204226335468</v>
      </c>
      <c r="S17" s="39" t="n">
        <f aca="false">IF(F17=0,0,L17*1000/F17)</f>
        <v>114.637910202799</v>
      </c>
      <c r="T17" s="40" t="n">
        <f aca="false">INDEX('NSAA Margins'!$B$6:$E$14,MATCH(B17,'NSAA Margins'!$A$6:$A$14,0),MATCH(D17,'NSAA Margins'!$B$5:$E$5,0))</f>
        <v>0.233</v>
      </c>
      <c r="U17" s="38" t="n">
        <f aca="false">L17*T17*Assumptions!$B$16</f>
        <v>10.3683727121376</v>
      </c>
      <c r="V17" s="41" t="n">
        <f aca="false">IF(L17=0,0,U17/L17)</f>
        <v>0.215344135739166</v>
      </c>
      <c r="W17" s="42" t="n">
        <v>1</v>
      </c>
      <c r="X17" s="43" t="n">
        <f aca="false">L17*W17</f>
        <v>48.1479222851754</v>
      </c>
      <c r="Y17" s="43" t="n">
        <f aca="false">U17*W17</f>
        <v>10.3683727121376</v>
      </c>
      <c r="Z17" s="2" t="s">
        <v>164</v>
      </c>
    </row>
    <row r="18" customFormat="false" ht="15" hidden="false" customHeight="false" outlineLevel="0" collapsed="false">
      <c r="A18" s="21" t="s">
        <v>165</v>
      </c>
      <c r="B18" s="21" t="s">
        <v>110</v>
      </c>
      <c r="C18" s="21" t="s">
        <v>166</v>
      </c>
      <c r="D18" s="32" t="s">
        <v>72</v>
      </c>
      <c r="E18" s="24" t="n">
        <v>3700</v>
      </c>
      <c r="F18" s="33" t="n">
        <v>350</v>
      </c>
      <c r="G18" s="34" t="n">
        <v>1</v>
      </c>
      <c r="H18" s="35" t="n">
        <f aca="false">VLOOKUP(D18,'NSAA Benchmarks'!$A$6:$F$9,4,FALSE())</f>
        <v>66.74</v>
      </c>
      <c r="I18" s="35" t="n">
        <f aca="false">VLOOKUP(D18,'NSAA Benchmarks'!$A$6:$F$9,5,FALSE())</f>
        <v>52.76</v>
      </c>
      <c r="J18" s="24" t="n">
        <f aca="false">F18*(H18+I18)*G18</f>
        <v>41825</v>
      </c>
      <c r="K18" s="44" t="n">
        <v>0</v>
      </c>
      <c r="L18" s="37" t="n">
        <f aca="false">IF(K18&gt;0,K18,J18/SUMIF($K$4:$K$43,0,$J$4:$J$43)*(Assumptions!$B$10-SUM($K$4:$K$43)))</f>
        <v>40.1232685709795</v>
      </c>
      <c r="M18" s="37" t="n">
        <f aca="false">L18*H18/(H18+I18)*Assumptions!$B$12</f>
        <v>23.826718226241</v>
      </c>
      <c r="N18" s="37" t="n">
        <f aca="false">L18-M18</f>
        <v>16.2965503447385</v>
      </c>
      <c r="O18" s="38" t="n">
        <f aca="false">N18*Assumptions!$B$6/Assumptions!$B$11</f>
        <v>4.58507718051132</v>
      </c>
      <c r="P18" s="38" t="n">
        <f aca="false">N18*Assumptions!$B$7/Assumptions!$B$11</f>
        <v>3.45688784271989</v>
      </c>
      <c r="Q18" s="38" t="n">
        <f aca="false">N18*Assumptions!$B$8/Assumptions!$B$11</f>
        <v>4.19455010204505</v>
      </c>
      <c r="R18" s="38" t="n">
        <f aca="false">N18*Assumptions!$B$9/Assumptions!$B$11</f>
        <v>4.06003521946223</v>
      </c>
      <c r="S18" s="39" t="n">
        <f aca="false">IF(F18=0,0,L18*1000/F18)</f>
        <v>114.637910202799</v>
      </c>
      <c r="T18" s="40" t="n">
        <f aca="false">INDEX('NSAA Margins'!$B$6:$E$14,MATCH(B18,'NSAA Margins'!$A$6:$A$14,0),MATCH(D18,'NSAA Margins'!$B$5:$E$5,0))</f>
        <v>0.24</v>
      </c>
      <c r="U18" s="38" t="n">
        <f aca="false">L18*T18*Assumptions!$B$16</f>
        <v>8.8998907400323</v>
      </c>
      <c r="V18" s="41" t="n">
        <f aca="false">IF(L18=0,0,U18/L18)</f>
        <v>0.221813702048926</v>
      </c>
      <c r="W18" s="42" t="n">
        <v>1</v>
      </c>
      <c r="X18" s="43" t="n">
        <f aca="false">L18*W18</f>
        <v>40.1232685709795</v>
      </c>
      <c r="Y18" s="43" t="n">
        <f aca="false">U18*W18</f>
        <v>8.8998907400323</v>
      </c>
      <c r="Z18" s="2" t="s">
        <v>167</v>
      </c>
    </row>
    <row r="19" customFormat="false" ht="15" hidden="false" customHeight="false" outlineLevel="0" collapsed="false">
      <c r="A19" s="21" t="s">
        <v>168</v>
      </c>
      <c r="B19" s="21" t="s">
        <v>110</v>
      </c>
      <c r="C19" s="21" t="s">
        <v>166</v>
      </c>
      <c r="D19" s="32" t="s">
        <v>72</v>
      </c>
      <c r="E19" s="24" t="n">
        <v>4000</v>
      </c>
      <c r="F19" s="33" t="n">
        <v>300</v>
      </c>
      <c r="G19" s="34" t="n">
        <v>1</v>
      </c>
      <c r="H19" s="35" t="n">
        <f aca="false">VLOOKUP(D19,'NSAA Benchmarks'!$A$6:$F$9,4,FALSE())</f>
        <v>66.74</v>
      </c>
      <c r="I19" s="35" t="n">
        <f aca="false">VLOOKUP(D19,'NSAA Benchmarks'!$A$6:$F$9,5,FALSE())</f>
        <v>52.76</v>
      </c>
      <c r="J19" s="24" t="n">
        <f aca="false">F19*(H19+I19)*G19</f>
        <v>35850</v>
      </c>
      <c r="K19" s="44" t="n">
        <v>0</v>
      </c>
      <c r="L19" s="37" t="n">
        <f aca="false">IF(K19&gt;0,K19,J19/SUMIF($K$4:$K$43,0,$J$4:$J$43)*(Assumptions!$B$10-SUM($K$4:$K$43)))</f>
        <v>34.3913730608396</v>
      </c>
      <c r="M19" s="37" t="n">
        <f aca="false">L19*H19/(H19+I19)*Assumptions!$B$12</f>
        <v>20.422901336778</v>
      </c>
      <c r="N19" s="37" t="n">
        <f aca="false">L19-M19</f>
        <v>13.9684717240616</v>
      </c>
      <c r="O19" s="38" t="n">
        <f aca="false">N19*Assumptions!$B$6/Assumptions!$B$11</f>
        <v>3.93006615472399</v>
      </c>
      <c r="P19" s="38" t="n">
        <f aca="false">N19*Assumptions!$B$7/Assumptions!$B$11</f>
        <v>2.96304672233133</v>
      </c>
      <c r="Q19" s="38" t="n">
        <f aca="false">N19*Assumptions!$B$8/Assumptions!$B$11</f>
        <v>3.59532865889576</v>
      </c>
      <c r="R19" s="38" t="n">
        <f aca="false">N19*Assumptions!$B$9/Assumptions!$B$11</f>
        <v>3.48003018811048</v>
      </c>
      <c r="S19" s="39" t="n">
        <f aca="false">IF(F19=0,0,L19*1000/F19)</f>
        <v>114.637910202799</v>
      </c>
      <c r="T19" s="40" t="n">
        <f aca="false">INDEX('NSAA Margins'!$B$6:$E$14,MATCH(B19,'NSAA Margins'!$A$6:$A$14,0),MATCH(D19,'NSAA Margins'!$B$5:$E$5,0))</f>
        <v>0.24</v>
      </c>
      <c r="U19" s="38" t="n">
        <f aca="false">L19*T19*Assumptions!$B$16</f>
        <v>7.62847777717054</v>
      </c>
      <c r="V19" s="41" t="n">
        <f aca="false">IF(L19=0,0,U19/L19)</f>
        <v>0.221813702048926</v>
      </c>
      <c r="W19" s="42" t="n">
        <v>1</v>
      </c>
      <c r="X19" s="43" t="n">
        <f aca="false">L19*W19</f>
        <v>34.3913730608396</v>
      </c>
      <c r="Y19" s="43" t="n">
        <f aca="false">U19*W19</f>
        <v>7.62847777717054</v>
      </c>
      <c r="Z19" s="2" t="s">
        <v>167</v>
      </c>
    </row>
    <row r="20" customFormat="false" ht="15" hidden="false" customHeight="false" outlineLevel="0" collapsed="false">
      <c r="A20" s="21" t="s">
        <v>169</v>
      </c>
      <c r="B20" s="21" t="s">
        <v>112</v>
      </c>
      <c r="C20" s="21" t="s">
        <v>112</v>
      </c>
      <c r="D20" s="32" t="s">
        <v>72</v>
      </c>
      <c r="E20" s="24" t="n">
        <v>3076</v>
      </c>
      <c r="F20" s="33" t="n">
        <v>550</v>
      </c>
      <c r="G20" s="34" t="n">
        <v>1</v>
      </c>
      <c r="H20" s="35" t="n">
        <f aca="false">VLOOKUP(D20,'NSAA Benchmarks'!$A$6:$F$9,4,FALSE())</f>
        <v>66.74</v>
      </c>
      <c r="I20" s="35" t="n">
        <f aca="false">VLOOKUP(D20,'NSAA Benchmarks'!$A$6:$F$9,5,FALSE())</f>
        <v>52.76</v>
      </c>
      <c r="J20" s="24" t="n">
        <f aca="false">F20*(H20+I20)*G20</f>
        <v>65725</v>
      </c>
      <c r="K20" s="44" t="n">
        <v>0</v>
      </c>
      <c r="L20" s="37" t="n">
        <f aca="false">IF(K20&gt;0,K20,J20/SUMIF($K$4:$K$43,0,$J$4:$J$43)*(Assumptions!$B$10-SUM($K$4:$K$43)))</f>
        <v>63.0508506115392</v>
      </c>
      <c r="M20" s="37" t="n">
        <f aca="false">L20*H20/(H20+I20)*Assumptions!$B$12</f>
        <v>37.441985784093</v>
      </c>
      <c r="N20" s="37" t="n">
        <f aca="false">L20-M20</f>
        <v>25.6088648274462</v>
      </c>
      <c r="O20" s="38" t="n">
        <f aca="false">N20*Assumptions!$B$6/Assumptions!$B$11</f>
        <v>7.20512128366064</v>
      </c>
      <c r="P20" s="38" t="n">
        <f aca="false">N20*Assumptions!$B$7/Assumptions!$B$11</f>
        <v>5.43225232427411</v>
      </c>
      <c r="Q20" s="38" t="n">
        <f aca="false">N20*Assumptions!$B$8/Assumptions!$B$11</f>
        <v>6.59143587464223</v>
      </c>
      <c r="R20" s="38" t="n">
        <f aca="false">N20*Assumptions!$B$9/Assumptions!$B$11</f>
        <v>6.38005534486922</v>
      </c>
      <c r="S20" s="39" t="n">
        <f aca="false">IF(F20=0,0,L20*1000/F20)</f>
        <v>114.637910202799</v>
      </c>
      <c r="T20" s="40" t="n">
        <f aca="false">INDEX('NSAA Margins'!$B$6:$E$14,MATCH(B20,'NSAA Margins'!$A$6:$A$14,0),MATCH(D20,'NSAA Margins'!$B$5:$E$5,0))</f>
        <v>0.24</v>
      </c>
      <c r="U20" s="38" t="n">
        <f aca="false">L20*T20*Assumptions!$B$16</f>
        <v>13.9855425914793</v>
      </c>
      <c r="V20" s="41" t="n">
        <f aca="false">IF(L20=0,0,U20/L20)</f>
        <v>0.221813702048926</v>
      </c>
      <c r="W20" s="42" t="n">
        <v>1</v>
      </c>
      <c r="X20" s="43" t="n">
        <f aca="false">L20*W20</f>
        <v>63.0508506115392</v>
      </c>
      <c r="Y20" s="43" t="n">
        <f aca="false">U20*W20</f>
        <v>13.9855425914793</v>
      </c>
      <c r="Z20" s="2" t="s">
        <v>170</v>
      </c>
    </row>
    <row r="21" customFormat="false" ht="15" hidden="false" customHeight="false" outlineLevel="0" collapsed="false">
      <c r="A21" s="21" t="s">
        <v>171</v>
      </c>
      <c r="B21" s="21" t="s">
        <v>88</v>
      </c>
      <c r="C21" s="21" t="s">
        <v>144</v>
      </c>
      <c r="D21" s="32" t="s">
        <v>70</v>
      </c>
      <c r="E21" s="24" t="n">
        <v>320</v>
      </c>
      <c r="F21" s="33" t="n">
        <v>290</v>
      </c>
      <c r="G21" s="34" t="n">
        <v>1</v>
      </c>
      <c r="H21" s="35" t="n">
        <f aca="false">VLOOKUP(D21,'NSAA Benchmarks'!$A$6:$F$9,4,FALSE())</f>
        <v>59.56</v>
      </c>
      <c r="I21" s="35" t="n">
        <f aca="false">VLOOKUP(D21,'NSAA Benchmarks'!$A$6:$F$9,5,FALSE())</f>
        <v>57.37</v>
      </c>
      <c r="J21" s="24" t="n">
        <f aca="false">F21*(H21+I21)*G21</f>
        <v>33909.7</v>
      </c>
      <c r="K21" s="44" t="n">
        <v>0</v>
      </c>
      <c r="L21" s="37" t="n">
        <f aca="false">IF(K21&gt;0,K21,J21/SUMIF($K$4:$K$43,0,$J$4:$J$43)*(Assumptions!$B$10-SUM($K$4:$K$43)))</f>
        <v>32.5300179381075</v>
      </c>
      <c r="M21" s="37" t="n">
        <f aca="false">L21*H21/(H21+I21)*Assumptions!$B$12</f>
        <v>17.6182459818882</v>
      </c>
      <c r="N21" s="37" t="n">
        <f aca="false">L21-M21</f>
        <v>14.9117719562193</v>
      </c>
      <c r="O21" s="38" t="n">
        <f aca="false">N21*Assumptions!$B$6/Assumptions!$B$11</f>
        <v>4.19546614903836</v>
      </c>
      <c r="P21" s="38" t="n">
        <f aca="false">N21*Assumptions!$B$7/Assumptions!$B$11</f>
        <v>3.16314324801315</v>
      </c>
      <c r="Q21" s="38" t="n">
        <f aca="false">N21*Assumptions!$B$8/Assumptions!$B$11</f>
        <v>3.83812360637578</v>
      </c>
      <c r="R21" s="38" t="n">
        <f aca="false">N21*Assumptions!$B$9/Assumptions!$B$11</f>
        <v>3.71503895279201</v>
      </c>
      <c r="S21" s="39" t="n">
        <f aca="false">IF(F21=0,0,L21*1000/F21)</f>
        <v>112.172475648646</v>
      </c>
      <c r="T21" s="40" t="n">
        <f aca="false">INDEX('NSAA Margins'!$B$6:$E$14,MATCH(B21,'NSAA Margins'!$A$6:$A$14,0),MATCH(D21,'NSAA Margins'!$B$5:$E$5,0))</f>
        <v>0.199</v>
      </c>
      <c r="U21" s="38" t="n">
        <f aca="false">L21*T21*Assumptions!$B$16</f>
        <v>5.98293807336396</v>
      </c>
      <c r="V21" s="41" t="n">
        <f aca="false">IF(L21=0,0,U21/L21)</f>
        <v>0.183920527948901</v>
      </c>
      <c r="W21" s="42" t="n">
        <v>1</v>
      </c>
      <c r="X21" s="43" t="n">
        <f aca="false">L21*W21</f>
        <v>32.5300179381075</v>
      </c>
      <c r="Y21" s="43" t="n">
        <f aca="false">U21*W21</f>
        <v>5.98293807336396</v>
      </c>
      <c r="Z21" s="2" t="s">
        <v>172</v>
      </c>
    </row>
    <row r="22" customFormat="false" ht="15" hidden="false" customHeight="false" outlineLevel="0" collapsed="false">
      <c r="A22" s="21" t="s">
        <v>173</v>
      </c>
      <c r="B22" s="21" t="s">
        <v>92</v>
      </c>
      <c r="C22" s="21" t="s">
        <v>144</v>
      </c>
      <c r="D22" s="32" t="s">
        <v>70</v>
      </c>
      <c r="E22" s="24" t="n">
        <v>285</v>
      </c>
      <c r="F22" s="33" t="n">
        <v>250</v>
      </c>
      <c r="G22" s="34" t="n">
        <v>1</v>
      </c>
      <c r="H22" s="35" t="n">
        <f aca="false">VLOOKUP(D22,'NSAA Benchmarks'!$A$6:$F$9,4,FALSE())</f>
        <v>59.56</v>
      </c>
      <c r="I22" s="35" t="n">
        <f aca="false">VLOOKUP(D22,'NSAA Benchmarks'!$A$6:$F$9,5,FALSE())</f>
        <v>57.37</v>
      </c>
      <c r="J22" s="24" t="n">
        <f aca="false">F22*(H22+I22)*G22</f>
        <v>29232.5</v>
      </c>
      <c r="K22" s="44" t="n">
        <v>0</v>
      </c>
      <c r="L22" s="37" t="n">
        <f aca="false">IF(K22&gt;0,K22,J22/SUMIF($K$4:$K$43,0,$J$4:$J$43)*(Assumptions!$B$10-SUM($K$4:$K$43)))</f>
        <v>28.0431189121616</v>
      </c>
      <c r="M22" s="37" t="n">
        <f aca="false">L22*H22/(H22+I22)*Assumptions!$B$12</f>
        <v>15.1881430878346</v>
      </c>
      <c r="N22" s="37" t="n">
        <f aca="false">L22-M22</f>
        <v>12.854975824327</v>
      </c>
      <c r="O22" s="38" t="n">
        <f aca="false">N22*Assumptions!$B$6/Assumptions!$B$11</f>
        <v>3.6167811629641</v>
      </c>
      <c r="P22" s="38" t="n">
        <f aca="false">N22*Assumptions!$B$7/Assumptions!$B$11</f>
        <v>2.72684762759754</v>
      </c>
      <c r="Q22" s="38" t="n">
        <f aca="false">N22*Assumptions!$B$8/Assumptions!$B$11</f>
        <v>3.30872724687567</v>
      </c>
      <c r="R22" s="38" t="n">
        <f aca="false">N22*Assumptions!$B$9/Assumptions!$B$11</f>
        <v>3.20261978688966</v>
      </c>
      <c r="S22" s="39" t="n">
        <f aca="false">IF(F22=0,0,L22*1000/F22)</f>
        <v>112.172475648646</v>
      </c>
      <c r="T22" s="40" t="n">
        <f aca="false">INDEX('NSAA Margins'!$B$6:$E$14,MATCH(B22,'NSAA Margins'!$A$6:$A$14,0),MATCH(D22,'NSAA Margins'!$B$5:$E$5,0))</f>
        <v>0.253</v>
      </c>
      <c r="U22" s="38" t="n">
        <f aca="false">L22*T22*Assumptions!$B$16</f>
        <v>6.55728354081217</v>
      </c>
      <c r="V22" s="41" t="n">
        <f aca="false">IF(L22=0,0,U22/L22)</f>
        <v>0.23382861090991</v>
      </c>
      <c r="W22" s="42" t="n">
        <v>1</v>
      </c>
      <c r="X22" s="43" t="n">
        <f aca="false">L22*W22</f>
        <v>28.0431189121616</v>
      </c>
      <c r="Y22" s="43" t="n">
        <f aca="false">U22*W22</f>
        <v>6.55728354081217</v>
      </c>
      <c r="Z22" s="2" t="s">
        <v>174</v>
      </c>
    </row>
    <row r="23" customFormat="false" ht="15" hidden="false" customHeight="false" outlineLevel="0" collapsed="false">
      <c r="A23" s="21" t="s">
        <v>175</v>
      </c>
      <c r="B23" s="21" t="s">
        <v>88</v>
      </c>
      <c r="C23" s="21" t="s">
        <v>144</v>
      </c>
      <c r="D23" s="32" t="s">
        <v>70</v>
      </c>
      <c r="E23" s="24" t="n">
        <v>311</v>
      </c>
      <c r="F23" s="33" t="n">
        <v>200</v>
      </c>
      <c r="G23" s="34" t="n">
        <v>1</v>
      </c>
      <c r="H23" s="35" t="n">
        <f aca="false">VLOOKUP(D23,'NSAA Benchmarks'!$A$6:$F$9,4,FALSE())</f>
        <v>59.56</v>
      </c>
      <c r="I23" s="35" t="n">
        <f aca="false">VLOOKUP(D23,'NSAA Benchmarks'!$A$6:$F$9,5,FALSE())</f>
        <v>57.37</v>
      </c>
      <c r="J23" s="24" t="n">
        <f aca="false">F23*(H23+I23)*G23</f>
        <v>23386</v>
      </c>
      <c r="K23" s="44" t="n">
        <v>0</v>
      </c>
      <c r="L23" s="37" t="n">
        <f aca="false">IF(K23&gt;0,K23,J23/SUMIF($K$4:$K$43,0,$J$4:$J$43)*(Assumptions!$B$10-SUM($K$4:$K$43)))</f>
        <v>22.4344951297293</v>
      </c>
      <c r="M23" s="37" t="n">
        <f aca="false">L23*H23/(H23+I23)*Assumptions!$B$12</f>
        <v>12.1505144702677</v>
      </c>
      <c r="N23" s="37" t="n">
        <f aca="false">L23-M23</f>
        <v>10.2839806594616</v>
      </c>
      <c r="O23" s="38" t="n">
        <f aca="false">N23*Assumptions!$B$6/Assumptions!$B$11</f>
        <v>2.89342493037128</v>
      </c>
      <c r="P23" s="38" t="n">
        <f aca="false">N23*Assumptions!$B$7/Assumptions!$B$11</f>
        <v>2.18147810207803</v>
      </c>
      <c r="Q23" s="38" t="n">
        <f aca="false">N23*Assumptions!$B$8/Assumptions!$B$11</f>
        <v>2.64698179750054</v>
      </c>
      <c r="R23" s="38" t="n">
        <f aca="false">N23*Assumptions!$B$9/Assumptions!$B$11</f>
        <v>2.56209582951173</v>
      </c>
      <c r="S23" s="39" t="n">
        <f aca="false">IF(F23=0,0,L23*1000/F23)</f>
        <v>112.172475648646</v>
      </c>
      <c r="T23" s="40" t="n">
        <f aca="false">INDEX('NSAA Margins'!$B$6:$E$14,MATCH(B23,'NSAA Margins'!$A$6:$A$14,0),MATCH(D23,'NSAA Margins'!$B$5:$E$5,0))</f>
        <v>0.199</v>
      </c>
      <c r="U23" s="38" t="n">
        <f aca="false">L23*T23*Assumptions!$B$16</f>
        <v>4.12616418852687</v>
      </c>
      <c r="V23" s="41" t="n">
        <f aca="false">IF(L23=0,0,U23/L23)</f>
        <v>0.183920527948901</v>
      </c>
      <c r="W23" s="42" t="n">
        <v>1</v>
      </c>
      <c r="X23" s="43" t="n">
        <f aca="false">L23*W23</f>
        <v>22.4344951297293</v>
      </c>
      <c r="Y23" s="43" t="n">
        <f aca="false">U23*W23</f>
        <v>4.12616418852687</v>
      </c>
      <c r="Z23" s="2" t="s">
        <v>176</v>
      </c>
    </row>
    <row r="24" customFormat="false" ht="15" hidden="false" customHeight="false" outlineLevel="0" collapsed="false">
      <c r="A24" s="21" t="s">
        <v>177</v>
      </c>
      <c r="B24" s="21" t="s">
        <v>88</v>
      </c>
      <c r="C24" s="21" t="s">
        <v>144</v>
      </c>
      <c r="D24" s="32" t="s">
        <v>70</v>
      </c>
      <c r="E24" s="24" t="n">
        <v>233</v>
      </c>
      <c r="F24" s="33" t="n">
        <v>200</v>
      </c>
      <c r="G24" s="34" t="n">
        <v>1</v>
      </c>
      <c r="H24" s="35" t="n">
        <f aca="false">VLOOKUP(D24,'NSAA Benchmarks'!$A$6:$F$9,4,FALSE())</f>
        <v>59.56</v>
      </c>
      <c r="I24" s="35" t="n">
        <f aca="false">VLOOKUP(D24,'NSAA Benchmarks'!$A$6:$F$9,5,FALSE())</f>
        <v>57.37</v>
      </c>
      <c r="J24" s="24" t="n">
        <f aca="false">F24*(H24+I24)*G24</f>
        <v>23386</v>
      </c>
      <c r="K24" s="44" t="n">
        <v>0</v>
      </c>
      <c r="L24" s="37" t="n">
        <f aca="false">IF(K24&gt;0,K24,J24/SUMIF($K$4:$K$43,0,$J$4:$J$43)*(Assumptions!$B$10-SUM($K$4:$K$43)))</f>
        <v>22.4344951297293</v>
      </c>
      <c r="M24" s="37" t="n">
        <f aca="false">L24*H24/(H24+I24)*Assumptions!$B$12</f>
        <v>12.1505144702677</v>
      </c>
      <c r="N24" s="37" t="n">
        <f aca="false">L24-M24</f>
        <v>10.2839806594616</v>
      </c>
      <c r="O24" s="38" t="n">
        <f aca="false">N24*Assumptions!$B$6/Assumptions!$B$11</f>
        <v>2.89342493037128</v>
      </c>
      <c r="P24" s="38" t="n">
        <f aca="false">N24*Assumptions!$B$7/Assumptions!$B$11</f>
        <v>2.18147810207803</v>
      </c>
      <c r="Q24" s="38" t="n">
        <f aca="false">N24*Assumptions!$B$8/Assumptions!$B$11</f>
        <v>2.64698179750054</v>
      </c>
      <c r="R24" s="38" t="n">
        <f aca="false">N24*Assumptions!$B$9/Assumptions!$B$11</f>
        <v>2.56209582951173</v>
      </c>
      <c r="S24" s="39" t="n">
        <f aca="false">IF(F24=0,0,L24*1000/F24)</f>
        <v>112.172475648646</v>
      </c>
      <c r="T24" s="40" t="n">
        <f aca="false">INDEX('NSAA Margins'!$B$6:$E$14,MATCH(B24,'NSAA Margins'!$A$6:$A$14,0),MATCH(D24,'NSAA Margins'!$B$5:$E$5,0))</f>
        <v>0.199</v>
      </c>
      <c r="U24" s="38" t="n">
        <f aca="false">L24*T24*Assumptions!$B$16</f>
        <v>4.12616418852687</v>
      </c>
      <c r="V24" s="41" t="n">
        <f aca="false">IF(L24=0,0,U24/L24)</f>
        <v>0.183920527948901</v>
      </c>
      <c r="W24" s="42" t="n">
        <v>1</v>
      </c>
      <c r="X24" s="43" t="n">
        <f aca="false">L24*W24</f>
        <v>22.4344951297293</v>
      </c>
      <c r="Y24" s="43" t="n">
        <f aca="false">U24*W24</f>
        <v>4.12616418852687</v>
      </c>
      <c r="Z24" s="2" t="s">
        <v>176</v>
      </c>
    </row>
    <row r="25" customFormat="false" ht="15" hidden="false" customHeight="false" outlineLevel="0" collapsed="false">
      <c r="A25" s="21" t="s">
        <v>178</v>
      </c>
      <c r="B25" s="21" t="s">
        <v>112</v>
      </c>
      <c r="C25" s="21" t="s">
        <v>112</v>
      </c>
      <c r="D25" s="32" t="s">
        <v>70</v>
      </c>
      <c r="E25" s="24" t="n">
        <v>791</v>
      </c>
      <c r="F25" s="33" t="n">
        <v>250</v>
      </c>
      <c r="G25" s="34" t="n">
        <v>1</v>
      </c>
      <c r="H25" s="35" t="n">
        <f aca="false">VLOOKUP(D25,'NSAA Benchmarks'!$A$6:$F$9,4,FALSE())</f>
        <v>59.56</v>
      </c>
      <c r="I25" s="35" t="n">
        <f aca="false">VLOOKUP(D25,'NSAA Benchmarks'!$A$6:$F$9,5,FALSE())</f>
        <v>57.37</v>
      </c>
      <c r="J25" s="24" t="n">
        <f aca="false">F25*(H25+I25)*G25</f>
        <v>29232.5</v>
      </c>
      <c r="K25" s="44" t="n">
        <v>0</v>
      </c>
      <c r="L25" s="37" t="n">
        <f aca="false">IF(K25&gt;0,K25,J25/SUMIF($K$4:$K$43,0,$J$4:$J$43)*(Assumptions!$B$10-SUM($K$4:$K$43)))</f>
        <v>28.0431189121616</v>
      </c>
      <c r="M25" s="37" t="n">
        <f aca="false">L25*H25/(H25+I25)*Assumptions!$B$12</f>
        <v>15.1881430878346</v>
      </c>
      <c r="N25" s="37" t="n">
        <f aca="false">L25-M25</f>
        <v>12.854975824327</v>
      </c>
      <c r="O25" s="38" t="n">
        <f aca="false">N25*Assumptions!$B$6/Assumptions!$B$11</f>
        <v>3.6167811629641</v>
      </c>
      <c r="P25" s="38" t="n">
        <f aca="false">N25*Assumptions!$B$7/Assumptions!$B$11</f>
        <v>2.72684762759754</v>
      </c>
      <c r="Q25" s="38" t="n">
        <f aca="false">N25*Assumptions!$B$8/Assumptions!$B$11</f>
        <v>3.30872724687567</v>
      </c>
      <c r="R25" s="38" t="n">
        <f aca="false">N25*Assumptions!$B$9/Assumptions!$B$11</f>
        <v>3.20261978688966</v>
      </c>
      <c r="S25" s="39" t="n">
        <f aca="false">IF(F25=0,0,L25*1000/F25)</f>
        <v>112.172475648646</v>
      </c>
      <c r="T25" s="40" t="n">
        <f aca="false">INDEX('NSAA Margins'!$B$6:$E$14,MATCH(B25,'NSAA Margins'!$A$6:$A$14,0),MATCH(D25,'NSAA Margins'!$B$5:$E$5,0))</f>
        <v>0.24</v>
      </c>
      <c r="U25" s="38" t="n">
        <f aca="false">L25*T25*Assumptions!$B$16</f>
        <v>6.22034802290482</v>
      </c>
      <c r="V25" s="41" t="n">
        <f aca="false">IF(L25=0,0,U25/L25)</f>
        <v>0.221813702048926</v>
      </c>
      <c r="W25" s="42" t="n">
        <v>1</v>
      </c>
      <c r="X25" s="43" t="n">
        <f aca="false">L25*W25</f>
        <v>28.0431189121616</v>
      </c>
      <c r="Y25" s="43" t="n">
        <f aca="false">U25*W25</f>
        <v>6.22034802290482</v>
      </c>
      <c r="Z25" s="2" t="s">
        <v>167</v>
      </c>
    </row>
    <row r="26" customFormat="false" ht="15" hidden="false" customHeight="false" outlineLevel="0" collapsed="false">
      <c r="A26" s="21" t="s">
        <v>179</v>
      </c>
      <c r="B26" s="21" t="s">
        <v>112</v>
      </c>
      <c r="C26" s="21" t="s">
        <v>112</v>
      </c>
      <c r="D26" s="32" t="s">
        <v>70</v>
      </c>
      <c r="E26" s="24" t="n">
        <v>1126</v>
      </c>
      <c r="F26" s="33" t="n">
        <v>250</v>
      </c>
      <c r="G26" s="34" t="n">
        <v>1</v>
      </c>
      <c r="H26" s="35" t="n">
        <f aca="false">VLOOKUP(D26,'NSAA Benchmarks'!$A$6:$F$9,4,FALSE())</f>
        <v>59.56</v>
      </c>
      <c r="I26" s="35" t="n">
        <f aca="false">VLOOKUP(D26,'NSAA Benchmarks'!$A$6:$F$9,5,FALSE())</f>
        <v>57.37</v>
      </c>
      <c r="J26" s="24" t="n">
        <f aca="false">F26*(H26+I26)*G26</f>
        <v>29232.5</v>
      </c>
      <c r="K26" s="44" t="n">
        <v>0</v>
      </c>
      <c r="L26" s="37" t="n">
        <f aca="false">IF(K26&gt;0,K26,J26/SUMIF($K$4:$K$43,0,$J$4:$J$43)*(Assumptions!$B$10-SUM($K$4:$K$43)))</f>
        <v>28.0431189121616</v>
      </c>
      <c r="M26" s="37" t="n">
        <f aca="false">L26*H26/(H26+I26)*Assumptions!$B$12</f>
        <v>15.1881430878346</v>
      </c>
      <c r="N26" s="37" t="n">
        <f aca="false">L26-M26</f>
        <v>12.854975824327</v>
      </c>
      <c r="O26" s="38" t="n">
        <f aca="false">N26*Assumptions!$B$6/Assumptions!$B$11</f>
        <v>3.6167811629641</v>
      </c>
      <c r="P26" s="38" t="n">
        <f aca="false">N26*Assumptions!$B$7/Assumptions!$B$11</f>
        <v>2.72684762759754</v>
      </c>
      <c r="Q26" s="38" t="n">
        <f aca="false">N26*Assumptions!$B$8/Assumptions!$B$11</f>
        <v>3.30872724687567</v>
      </c>
      <c r="R26" s="38" t="n">
        <f aca="false">N26*Assumptions!$B$9/Assumptions!$B$11</f>
        <v>3.20261978688966</v>
      </c>
      <c r="S26" s="39" t="n">
        <f aca="false">IF(F26=0,0,L26*1000/F26)</f>
        <v>112.172475648646</v>
      </c>
      <c r="T26" s="40" t="n">
        <f aca="false">INDEX('NSAA Margins'!$B$6:$E$14,MATCH(B26,'NSAA Margins'!$A$6:$A$14,0),MATCH(D26,'NSAA Margins'!$B$5:$E$5,0))</f>
        <v>0.24</v>
      </c>
      <c r="U26" s="38" t="n">
        <f aca="false">L26*T26*Assumptions!$B$16</f>
        <v>6.22034802290482</v>
      </c>
      <c r="V26" s="41" t="n">
        <f aca="false">IF(L26=0,0,U26/L26)</f>
        <v>0.221813702048926</v>
      </c>
      <c r="W26" s="42" t="n">
        <v>1</v>
      </c>
      <c r="X26" s="43" t="n">
        <f aca="false">L26*W26</f>
        <v>28.0431189121616</v>
      </c>
      <c r="Y26" s="43" t="n">
        <f aca="false">U26*W26</f>
        <v>6.22034802290482</v>
      </c>
      <c r="Z26" s="2" t="s">
        <v>167</v>
      </c>
    </row>
    <row r="27" customFormat="false" ht="15" hidden="false" customHeight="false" outlineLevel="0" collapsed="false">
      <c r="A27" s="21" t="s">
        <v>180</v>
      </c>
      <c r="B27" s="21" t="s">
        <v>88</v>
      </c>
      <c r="C27" s="21" t="s">
        <v>144</v>
      </c>
      <c r="D27" s="32" t="s">
        <v>70</v>
      </c>
      <c r="E27" s="24" t="n">
        <v>225</v>
      </c>
      <c r="F27" s="33" t="n">
        <v>130</v>
      </c>
      <c r="G27" s="34" t="n">
        <v>1</v>
      </c>
      <c r="H27" s="35" t="n">
        <f aca="false">VLOOKUP(D27,'NSAA Benchmarks'!$A$6:$F$9,4,FALSE())</f>
        <v>59.56</v>
      </c>
      <c r="I27" s="35" t="n">
        <f aca="false">VLOOKUP(D27,'NSAA Benchmarks'!$A$6:$F$9,5,FALSE())</f>
        <v>57.37</v>
      </c>
      <c r="J27" s="24" t="n">
        <f aca="false">F27*(H27+I27)*G27</f>
        <v>15200.9</v>
      </c>
      <c r="K27" s="44" t="n">
        <v>0</v>
      </c>
      <c r="L27" s="37" t="n">
        <f aca="false">IF(K27&gt;0,K27,J27/SUMIF($K$4:$K$43,0,$J$4:$J$43)*(Assumptions!$B$10-SUM($K$4:$K$43)))</f>
        <v>14.582421834324</v>
      </c>
      <c r="M27" s="37" t="n">
        <f aca="false">L27*H27/(H27+I27)*Assumptions!$B$12</f>
        <v>7.897834405674</v>
      </c>
      <c r="N27" s="37" t="n">
        <f aca="false">L27-M27</f>
        <v>6.68458742865003</v>
      </c>
      <c r="O27" s="38" t="n">
        <f aca="false">N27*Assumptions!$B$6/Assumptions!$B$11</f>
        <v>1.88072620474133</v>
      </c>
      <c r="P27" s="38" t="n">
        <f aca="false">N27*Assumptions!$B$7/Assumptions!$B$11</f>
        <v>1.41796076635072</v>
      </c>
      <c r="Q27" s="38" t="n">
        <f aca="false">N27*Assumptions!$B$8/Assumptions!$B$11</f>
        <v>1.72053816837535</v>
      </c>
      <c r="R27" s="38" t="n">
        <f aca="false">N27*Assumptions!$B$9/Assumptions!$B$11</f>
        <v>1.66536228918262</v>
      </c>
      <c r="S27" s="39" t="n">
        <f aca="false">IF(F27=0,0,L27*1000/F27)</f>
        <v>112.172475648646</v>
      </c>
      <c r="T27" s="40" t="n">
        <f aca="false">INDEX('NSAA Margins'!$B$6:$E$14,MATCH(B27,'NSAA Margins'!$A$6:$A$14,0),MATCH(D27,'NSAA Margins'!$B$5:$E$5,0))</f>
        <v>0.199</v>
      </c>
      <c r="U27" s="38" t="n">
        <f aca="false">L27*T27*Assumptions!$B$16</f>
        <v>2.68200672254246</v>
      </c>
      <c r="V27" s="41" t="n">
        <f aca="false">IF(L27=0,0,U27/L27)</f>
        <v>0.183920527948901</v>
      </c>
      <c r="W27" s="42" t="n">
        <v>1</v>
      </c>
      <c r="X27" s="43" t="n">
        <f aca="false">L27*W27</f>
        <v>14.582421834324</v>
      </c>
      <c r="Y27" s="43" t="n">
        <f aca="false">U27*W27</f>
        <v>2.68200672254246</v>
      </c>
      <c r="Z27" s="2" t="s">
        <v>181</v>
      </c>
    </row>
    <row r="28" customFormat="false" ht="15" hidden="false" customHeight="false" outlineLevel="0" collapsed="false">
      <c r="A28" s="21" t="s">
        <v>182</v>
      </c>
      <c r="B28" s="21" t="s">
        <v>94</v>
      </c>
      <c r="C28" s="21" t="s">
        <v>144</v>
      </c>
      <c r="D28" s="32" t="s">
        <v>68</v>
      </c>
      <c r="E28" s="24" t="n">
        <v>300</v>
      </c>
      <c r="F28" s="33" t="n">
        <v>260</v>
      </c>
      <c r="G28" s="34" t="n">
        <v>1</v>
      </c>
      <c r="H28" s="35" t="n">
        <f aca="false">VLOOKUP(D28,'NSAA Benchmarks'!$A$6:$F$9,4,FALSE())</f>
        <v>48.88</v>
      </c>
      <c r="I28" s="35" t="n">
        <f aca="false">VLOOKUP(D28,'NSAA Benchmarks'!$A$6:$F$9,5,FALSE())</f>
        <v>61.96</v>
      </c>
      <c r="J28" s="24" t="n">
        <f aca="false">F28*(H28+I28)*G28</f>
        <v>28818.4</v>
      </c>
      <c r="K28" s="44" t="n">
        <v>0</v>
      </c>
      <c r="L28" s="37" t="n">
        <f aca="false">IF(K28&gt;0,K28,J28/SUMIF($K$4:$K$43,0,$J$4:$J$43)*(Assumptions!$B$10-SUM($K$4:$K$43)))</f>
        <v>27.6458673756346</v>
      </c>
      <c r="M28" s="37" t="n">
        <f aca="false">L28*H28/(H28+I28)*Assumptions!$B$12</f>
        <v>12.9632688297295</v>
      </c>
      <c r="N28" s="37" t="n">
        <f aca="false">L28-M28</f>
        <v>14.6825985459051</v>
      </c>
      <c r="O28" s="38" t="n">
        <f aca="false">N28*Assumptions!$B$6/Assumptions!$B$11</f>
        <v>4.13098760899255</v>
      </c>
      <c r="P28" s="38" t="n">
        <f aca="false">N28*Assumptions!$B$7/Assumptions!$B$11</f>
        <v>3.11453009006063</v>
      </c>
      <c r="Q28" s="38" t="n">
        <f aca="false">N28*Assumptions!$B$8/Assumptions!$B$11</f>
        <v>3.77913692936227</v>
      </c>
      <c r="R28" s="38" t="n">
        <f aca="false">N28*Assumptions!$B$9/Assumptions!$B$11</f>
        <v>3.65794391748961</v>
      </c>
      <c r="S28" s="39" t="n">
        <f aca="false">IF(F28=0,0,L28*1000/F28)</f>
        <v>106.330259137056</v>
      </c>
      <c r="T28" s="40" t="n">
        <f aca="false">INDEX('NSAA Margins'!$B$6:$E$14,MATCH(B28,'NSAA Margins'!$A$6:$A$14,0),MATCH(D28,'NSAA Margins'!$B$5:$E$5,0))</f>
        <v>0.278</v>
      </c>
      <c r="U28" s="38" t="n">
        <f aca="false">L28*T28*Assumptions!$B$16</f>
        <v>7.10316895219247</v>
      </c>
      <c r="V28" s="41" t="n">
        <f aca="false">IF(L28=0,0,U28/L28)</f>
        <v>0.25693420487334</v>
      </c>
      <c r="W28" s="42" t="n">
        <v>1</v>
      </c>
      <c r="X28" s="43" t="n">
        <f aca="false">L28*W28</f>
        <v>27.6458673756346</v>
      </c>
      <c r="Y28" s="43" t="n">
        <f aca="false">U28*W28</f>
        <v>7.10316895219247</v>
      </c>
      <c r="Z28" s="2" t="s">
        <v>183</v>
      </c>
    </row>
    <row r="29" customFormat="false" ht="15" hidden="false" customHeight="false" outlineLevel="0" collapsed="false">
      <c r="A29" s="21" t="s">
        <v>184</v>
      </c>
      <c r="B29" s="21" t="s">
        <v>94</v>
      </c>
      <c r="C29" s="21" t="s">
        <v>144</v>
      </c>
      <c r="D29" s="32" t="s">
        <v>68</v>
      </c>
      <c r="E29" s="24" t="n">
        <v>130</v>
      </c>
      <c r="F29" s="33" t="n">
        <v>165</v>
      </c>
      <c r="G29" s="34" t="n">
        <v>1</v>
      </c>
      <c r="H29" s="35" t="n">
        <f aca="false">VLOOKUP(D29,'NSAA Benchmarks'!$A$6:$F$9,4,FALSE())</f>
        <v>48.88</v>
      </c>
      <c r="I29" s="35" t="n">
        <f aca="false">VLOOKUP(D29,'NSAA Benchmarks'!$A$6:$F$9,5,FALSE())</f>
        <v>61.96</v>
      </c>
      <c r="J29" s="24" t="n">
        <f aca="false">F29*(H29+I29)*G29</f>
        <v>18288.6</v>
      </c>
      <c r="K29" s="44" t="n">
        <v>0</v>
      </c>
      <c r="L29" s="37" t="n">
        <f aca="false">IF(K29&gt;0,K29,J29/SUMIF($K$4:$K$43,0,$J$4:$J$43)*(Assumptions!$B$10-SUM($K$4:$K$43)))</f>
        <v>17.5444927576142</v>
      </c>
      <c r="M29" s="37" t="n">
        <f aca="false">L29*H29/(H29+I29)*Assumptions!$B$12</f>
        <v>8.22668983425143</v>
      </c>
      <c r="N29" s="37" t="n">
        <f aca="false">L29-M29</f>
        <v>9.31780292336282</v>
      </c>
      <c r="O29" s="38" t="n">
        <f aca="false">N29*Assumptions!$B$6/Assumptions!$B$11</f>
        <v>2.62158829032219</v>
      </c>
      <c r="P29" s="38" t="n">
        <f aca="false">N29*Assumptions!$B$7/Assumptions!$B$11</f>
        <v>1.97652871100001</v>
      </c>
      <c r="Q29" s="38" t="n">
        <f aca="false">N29*Assumptions!$B$8/Assumptions!$B$11</f>
        <v>2.39829843594144</v>
      </c>
      <c r="R29" s="38" t="n">
        <f aca="false">N29*Assumptions!$B$9/Assumptions!$B$11</f>
        <v>2.32138748609918</v>
      </c>
      <c r="S29" s="39" t="n">
        <f aca="false">IF(F29=0,0,L29*1000/F29)</f>
        <v>106.330259137056</v>
      </c>
      <c r="T29" s="40" t="n">
        <f aca="false">INDEX('NSAA Margins'!$B$6:$E$14,MATCH(B29,'NSAA Margins'!$A$6:$A$14,0),MATCH(D29,'NSAA Margins'!$B$5:$E$5,0))</f>
        <v>0.278</v>
      </c>
      <c r="U29" s="38" t="n">
        <f aca="false">L29*T29*Assumptions!$B$16</f>
        <v>4.50778029658368</v>
      </c>
      <c r="V29" s="41" t="n">
        <f aca="false">IF(L29=0,0,U29/L29)</f>
        <v>0.25693420487334</v>
      </c>
      <c r="W29" s="42" t="n">
        <v>1</v>
      </c>
      <c r="X29" s="43" t="n">
        <f aca="false">L29*W29</f>
        <v>17.5444927576142</v>
      </c>
      <c r="Y29" s="43" t="n">
        <f aca="false">U29*W29</f>
        <v>4.50778029658368</v>
      </c>
      <c r="Z29" s="2" t="s">
        <v>183</v>
      </c>
    </row>
    <row r="30" customFormat="false" ht="15" hidden="false" customHeight="false" outlineLevel="0" collapsed="false">
      <c r="A30" s="21" t="s">
        <v>185</v>
      </c>
      <c r="B30" s="21" t="s">
        <v>94</v>
      </c>
      <c r="C30" s="21" t="s">
        <v>144</v>
      </c>
      <c r="D30" s="32" t="s">
        <v>68</v>
      </c>
      <c r="E30" s="24" t="n">
        <v>135</v>
      </c>
      <c r="F30" s="33" t="n">
        <v>165</v>
      </c>
      <c r="G30" s="34" t="n">
        <v>1</v>
      </c>
      <c r="H30" s="35" t="n">
        <f aca="false">VLOOKUP(D30,'NSAA Benchmarks'!$A$6:$F$9,4,FALSE())</f>
        <v>48.88</v>
      </c>
      <c r="I30" s="35" t="n">
        <f aca="false">VLOOKUP(D30,'NSAA Benchmarks'!$A$6:$F$9,5,FALSE())</f>
        <v>61.96</v>
      </c>
      <c r="J30" s="24" t="n">
        <f aca="false">F30*(H30+I30)*G30</f>
        <v>18288.6</v>
      </c>
      <c r="K30" s="44" t="n">
        <v>0</v>
      </c>
      <c r="L30" s="37" t="n">
        <f aca="false">IF(K30&gt;0,K30,J30/SUMIF($K$4:$K$43,0,$J$4:$J$43)*(Assumptions!$B$10-SUM($K$4:$K$43)))</f>
        <v>17.5444927576142</v>
      </c>
      <c r="M30" s="37" t="n">
        <f aca="false">L30*H30/(H30+I30)*Assumptions!$B$12</f>
        <v>8.22668983425143</v>
      </c>
      <c r="N30" s="37" t="n">
        <f aca="false">L30-M30</f>
        <v>9.31780292336282</v>
      </c>
      <c r="O30" s="38" t="n">
        <f aca="false">N30*Assumptions!$B$6/Assumptions!$B$11</f>
        <v>2.62158829032219</v>
      </c>
      <c r="P30" s="38" t="n">
        <f aca="false">N30*Assumptions!$B$7/Assumptions!$B$11</f>
        <v>1.97652871100001</v>
      </c>
      <c r="Q30" s="38" t="n">
        <f aca="false">N30*Assumptions!$B$8/Assumptions!$B$11</f>
        <v>2.39829843594144</v>
      </c>
      <c r="R30" s="38" t="n">
        <f aca="false">N30*Assumptions!$B$9/Assumptions!$B$11</f>
        <v>2.32138748609918</v>
      </c>
      <c r="S30" s="39" t="n">
        <f aca="false">IF(F30=0,0,L30*1000/F30)</f>
        <v>106.330259137056</v>
      </c>
      <c r="T30" s="40" t="n">
        <f aca="false">INDEX('NSAA Margins'!$B$6:$E$14,MATCH(B30,'NSAA Margins'!$A$6:$A$14,0),MATCH(D30,'NSAA Margins'!$B$5:$E$5,0))</f>
        <v>0.278</v>
      </c>
      <c r="U30" s="38" t="n">
        <f aca="false">L30*T30*Assumptions!$B$16</f>
        <v>4.50778029658368</v>
      </c>
      <c r="V30" s="41" t="n">
        <f aca="false">IF(L30=0,0,U30/L30)</f>
        <v>0.25693420487334</v>
      </c>
      <c r="W30" s="42" t="n">
        <v>1</v>
      </c>
      <c r="X30" s="43" t="n">
        <f aca="false">L30*W30</f>
        <v>17.5444927576142</v>
      </c>
      <c r="Y30" s="43" t="n">
        <f aca="false">U30*W30</f>
        <v>4.50778029658368</v>
      </c>
      <c r="Z30" s="2" t="s">
        <v>183</v>
      </c>
    </row>
    <row r="31" customFormat="false" ht="15" hidden="false" customHeight="false" outlineLevel="0" collapsed="false">
      <c r="A31" s="21" t="s">
        <v>186</v>
      </c>
      <c r="B31" s="21" t="s">
        <v>92</v>
      </c>
      <c r="C31" s="21" t="s">
        <v>144</v>
      </c>
      <c r="D31" s="32" t="s">
        <v>68</v>
      </c>
      <c r="E31" s="24" t="n">
        <v>120</v>
      </c>
      <c r="F31" s="33" t="n">
        <v>200</v>
      </c>
      <c r="G31" s="34" t="n">
        <v>1</v>
      </c>
      <c r="H31" s="35" t="n">
        <f aca="false">VLOOKUP(D31,'NSAA Benchmarks'!$A$6:$F$9,4,FALSE())</f>
        <v>48.88</v>
      </c>
      <c r="I31" s="35" t="n">
        <f aca="false">VLOOKUP(D31,'NSAA Benchmarks'!$A$6:$F$9,5,FALSE())</f>
        <v>61.96</v>
      </c>
      <c r="J31" s="24" t="n">
        <f aca="false">F31*(H31+I31)*G31</f>
        <v>22168</v>
      </c>
      <c r="K31" s="44" t="n">
        <v>0</v>
      </c>
      <c r="L31" s="37" t="n">
        <f aca="false">IF(K31&gt;0,K31,J31/SUMIF($K$4:$K$43,0,$J$4:$J$43)*(Assumptions!$B$10-SUM($K$4:$K$43)))</f>
        <v>21.2660518274112</v>
      </c>
      <c r="M31" s="37" t="n">
        <f aca="false">L31*H31/(H31+I31)*Assumptions!$B$12</f>
        <v>9.97174525363809</v>
      </c>
      <c r="N31" s="37" t="n">
        <f aca="false">L31-M31</f>
        <v>11.2943065737731</v>
      </c>
      <c r="O31" s="38" t="n">
        <f aca="false">N31*Assumptions!$B$6/Assumptions!$B$11</f>
        <v>3.17768277614811</v>
      </c>
      <c r="P31" s="38" t="n">
        <f aca="false">N31*Assumptions!$B$7/Assumptions!$B$11</f>
        <v>2.39579237696971</v>
      </c>
      <c r="Q31" s="38" t="n">
        <f aca="false">N31*Assumptions!$B$8/Assumptions!$B$11</f>
        <v>2.90702840720174</v>
      </c>
      <c r="R31" s="38" t="n">
        <f aca="false">N31*Assumptions!$B$9/Assumptions!$B$11</f>
        <v>2.81380301345355</v>
      </c>
      <c r="S31" s="39" t="n">
        <f aca="false">IF(F31=0,0,L31*1000/F31)</f>
        <v>106.330259137056</v>
      </c>
      <c r="T31" s="40" t="n">
        <f aca="false">INDEX('NSAA Margins'!$B$6:$E$14,MATCH(B31,'NSAA Margins'!$A$6:$A$14,0),MATCH(D31,'NSAA Margins'!$B$5:$E$5,0))</f>
        <v>0.253</v>
      </c>
      <c r="U31" s="38" t="n">
        <f aca="false">L31*T31*Assumptions!$B$16</f>
        <v>4.97261135834171</v>
      </c>
      <c r="V31" s="41" t="n">
        <f aca="false">IF(L31=0,0,U31/L31)</f>
        <v>0.23382861090991</v>
      </c>
      <c r="W31" s="42" t="n">
        <v>1</v>
      </c>
      <c r="X31" s="43" t="n">
        <f aca="false">L31*W31</f>
        <v>21.2660518274112</v>
      </c>
      <c r="Y31" s="43" t="n">
        <f aca="false">U31*W31</f>
        <v>4.97261135834171</v>
      </c>
      <c r="Z31" s="2" t="s">
        <v>187</v>
      </c>
    </row>
    <row r="32" customFormat="false" ht="15" hidden="false" customHeight="false" outlineLevel="0" collapsed="false">
      <c r="A32" s="21" t="s">
        <v>188</v>
      </c>
      <c r="B32" s="21" t="s">
        <v>92</v>
      </c>
      <c r="C32" s="21" t="s">
        <v>144</v>
      </c>
      <c r="D32" s="32" t="s">
        <v>68</v>
      </c>
      <c r="E32" s="24" t="n">
        <v>100</v>
      </c>
      <c r="F32" s="33" t="n">
        <v>180</v>
      </c>
      <c r="G32" s="34" t="n">
        <v>1</v>
      </c>
      <c r="H32" s="35" t="n">
        <f aca="false">VLOOKUP(D32,'NSAA Benchmarks'!$A$6:$F$9,4,FALSE())</f>
        <v>48.88</v>
      </c>
      <c r="I32" s="35" t="n">
        <f aca="false">VLOOKUP(D32,'NSAA Benchmarks'!$A$6:$F$9,5,FALSE())</f>
        <v>61.96</v>
      </c>
      <c r="J32" s="24" t="n">
        <f aca="false">F32*(H32+I32)*G32</f>
        <v>19951.2</v>
      </c>
      <c r="K32" s="44" t="n">
        <v>0</v>
      </c>
      <c r="L32" s="37" t="n">
        <f aca="false">IF(K32&gt;0,K32,J32/SUMIF($K$4:$K$43,0,$J$4:$J$43)*(Assumptions!$B$10-SUM($K$4:$K$43)))</f>
        <v>19.1394466446701</v>
      </c>
      <c r="M32" s="37" t="n">
        <f aca="false">L32*H32/(H32+I32)*Assumptions!$B$12</f>
        <v>8.97457072827428</v>
      </c>
      <c r="N32" s="37" t="n">
        <f aca="false">L32-M32</f>
        <v>10.1648759163958</v>
      </c>
      <c r="O32" s="38" t="n">
        <f aca="false">N32*Assumptions!$B$6/Assumptions!$B$11</f>
        <v>2.8599144985333</v>
      </c>
      <c r="P32" s="38" t="n">
        <f aca="false">N32*Assumptions!$B$7/Assumptions!$B$11</f>
        <v>2.15621313927274</v>
      </c>
      <c r="Q32" s="38" t="n">
        <f aca="false">N32*Assumptions!$B$8/Assumptions!$B$11</f>
        <v>2.61632556648157</v>
      </c>
      <c r="R32" s="38" t="n">
        <f aca="false">N32*Assumptions!$B$9/Assumptions!$B$11</f>
        <v>2.53242271210819</v>
      </c>
      <c r="S32" s="39" t="n">
        <f aca="false">IF(F32=0,0,L32*1000/F32)</f>
        <v>106.330259137056</v>
      </c>
      <c r="T32" s="40" t="n">
        <f aca="false">INDEX('NSAA Margins'!$B$6:$E$14,MATCH(B32,'NSAA Margins'!$A$6:$A$14,0),MATCH(D32,'NSAA Margins'!$B$5:$E$5,0))</f>
        <v>0.253</v>
      </c>
      <c r="U32" s="38" t="n">
        <f aca="false">L32*T32*Assumptions!$B$16</f>
        <v>4.47535022250754</v>
      </c>
      <c r="V32" s="41" t="n">
        <f aca="false">IF(L32=0,0,U32/L32)</f>
        <v>0.23382861090991</v>
      </c>
      <c r="W32" s="42" t="n">
        <v>1</v>
      </c>
      <c r="X32" s="43" t="n">
        <f aca="false">L32*W32</f>
        <v>19.1394466446701</v>
      </c>
      <c r="Y32" s="43" t="n">
        <f aca="false">U32*W32</f>
        <v>4.47535022250754</v>
      </c>
      <c r="Z32" s="2" t="s">
        <v>187</v>
      </c>
    </row>
    <row r="33" customFormat="false" ht="15" hidden="false" customHeight="false" outlineLevel="0" collapsed="false">
      <c r="A33" s="21" t="s">
        <v>189</v>
      </c>
      <c r="B33" s="21" t="s">
        <v>88</v>
      </c>
      <c r="C33" s="21" t="s">
        <v>144</v>
      </c>
      <c r="D33" s="32" t="s">
        <v>68</v>
      </c>
      <c r="E33" s="24" t="n">
        <v>165</v>
      </c>
      <c r="F33" s="33" t="n">
        <v>175</v>
      </c>
      <c r="G33" s="34" t="n">
        <v>1</v>
      </c>
      <c r="H33" s="35" t="n">
        <f aca="false">VLOOKUP(D33,'NSAA Benchmarks'!$A$6:$F$9,4,FALSE())</f>
        <v>48.88</v>
      </c>
      <c r="I33" s="35" t="n">
        <f aca="false">VLOOKUP(D33,'NSAA Benchmarks'!$A$6:$F$9,5,FALSE())</f>
        <v>61.96</v>
      </c>
      <c r="J33" s="24" t="n">
        <f aca="false">F33*(H33+I33)*G33</f>
        <v>19397</v>
      </c>
      <c r="K33" s="44" t="n">
        <v>0</v>
      </c>
      <c r="L33" s="37" t="n">
        <f aca="false">IF(K33&gt;0,K33,J33/SUMIF($K$4:$K$43,0,$J$4:$J$43)*(Assumptions!$B$10-SUM($K$4:$K$43)))</f>
        <v>18.6077953489848</v>
      </c>
      <c r="M33" s="37" t="n">
        <f aca="false">L33*H33/(H33+I33)*Assumptions!$B$12</f>
        <v>8.72527709693333</v>
      </c>
      <c r="N33" s="37" t="n">
        <f aca="false">L33-M33</f>
        <v>9.88251825205147</v>
      </c>
      <c r="O33" s="38" t="n">
        <f aca="false">N33*Assumptions!$B$6/Assumptions!$B$11</f>
        <v>2.7804724291296</v>
      </c>
      <c r="P33" s="38" t="n">
        <f aca="false">N33*Assumptions!$B$7/Assumptions!$B$11</f>
        <v>2.0963183298485</v>
      </c>
      <c r="Q33" s="38" t="n">
        <f aca="false">N33*Assumptions!$B$8/Assumptions!$B$11</f>
        <v>2.54364985630152</v>
      </c>
      <c r="R33" s="38" t="n">
        <f aca="false">N33*Assumptions!$B$9/Assumptions!$B$11</f>
        <v>2.46207763677185</v>
      </c>
      <c r="S33" s="39" t="n">
        <f aca="false">IF(F33=0,0,L33*1000/F33)</f>
        <v>106.330259137056</v>
      </c>
      <c r="T33" s="40" t="n">
        <f aca="false">INDEX('NSAA Margins'!$B$6:$E$14,MATCH(B33,'NSAA Margins'!$A$6:$A$14,0),MATCH(D33,'NSAA Margins'!$B$5:$E$5,0))</f>
        <v>0.199</v>
      </c>
      <c r="U33" s="38" t="n">
        <f aca="false">L33*T33*Assumptions!$B$16</f>
        <v>3.4223555445504</v>
      </c>
      <c r="V33" s="41" t="n">
        <f aca="false">IF(L33=0,0,U33/L33)</f>
        <v>0.183920527948901</v>
      </c>
      <c r="W33" s="42" t="n">
        <v>1</v>
      </c>
      <c r="X33" s="43" t="n">
        <f aca="false">L33*W33</f>
        <v>18.6077953489848</v>
      </c>
      <c r="Y33" s="43" t="n">
        <f aca="false">U33*W33</f>
        <v>3.4223555445504</v>
      </c>
      <c r="Z33" s="2" t="s">
        <v>181</v>
      </c>
    </row>
    <row r="34" customFormat="false" ht="15" hidden="false" customHeight="false" outlineLevel="0" collapsed="false">
      <c r="A34" s="21" t="s">
        <v>190</v>
      </c>
      <c r="B34" s="21" t="s">
        <v>92</v>
      </c>
      <c r="C34" s="21" t="s">
        <v>144</v>
      </c>
      <c r="D34" s="32" t="s">
        <v>68</v>
      </c>
      <c r="E34" s="24" t="n">
        <v>100</v>
      </c>
      <c r="F34" s="33" t="n">
        <v>165</v>
      </c>
      <c r="G34" s="34" t="n">
        <v>1</v>
      </c>
      <c r="H34" s="35" t="n">
        <f aca="false">VLOOKUP(D34,'NSAA Benchmarks'!$A$6:$F$9,4,FALSE())</f>
        <v>48.88</v>
      </c>
      <c r="I34" s="35" t="n">
        <f aca="false">VLOOKUP(D34,'NSAA Benchmarks'!$A$6:$F$9,5,FALSE())</f>
        <v>61.96</v>
      </c>
      <c r="J34" s="24" t="n">
        <f aca="false">F34*(H34+I34)*G34</f>
        <v>18288.6</v>
      </c>
      <c r="K34" s="44" t="n">
        <v>0</v>
      </c>
      <c r="L34" s="37" t="n">
        <f aca="false">IF(K34&gt;0,K34,J34/SUMIF($K$4:$K$43,0,$J$4:$J$43)*(Assumptions!$B$10-SUM($K$4:$K$43)))</f>
        <v>17.5444927576142</v>
      </c>
      <c r="M34" s="37" t="n">
        <f aca="false">L34*H34/(H34+I34)*Assumptions!$B$12</f>
        <v>8.22668983425143</v>
      </c>
      <c r="N34" s="37" t="n">
        <f aca="false">L34-M34</f>
        <v>9.31780292336282</v>
      </c>
      <c r="O34" s="38" t="n">
        <f aca="false">N34*Assumptions!$B$6/Assumptions!$B$11</f>
        <v>2.62158829032219</v>
      </c>
      <c r="P34" s="38" t="n">
        <f aca="false">N34*Assumptions!$B$7/Assumptions!$B$11</f>
        <v>1.97652871100001</v>
      </c>
      <c r="Q34" s="38" t="n">
        <f aca="false">N34*Assumptions!$B$8/Assumptions!$B$11</f>
        <v>2.39829843594144</v>
      </c>
      <c r="R34" s="38" t="n">
        <f aca="false">N34*Assumptions!$B$9/Assumptions!$B$11</f>
        <v>2.32138748609918</v>
      </c>
      <c r="S34" s="39" t="n">
        <f aca="false">IF(F34=0,0,L34*1000/F34)</f>
        <v>106.330259137056</v>
      </c>
      <c r="T34" s="40" t="n">
        <f aca="false">INDEX('NSAA Margins'!$B$6:$E$14,MATCH(B34,'NSAA Margins'!$A$6:$A$14,0),MATCH(D34,'NSAA Margins'!$B$5:$E$5,0))</f>
        <v>0.253</v>
      </c>
      <c r="U34" s="38" t="n">
        <f aca="false">L34*T34*Assumptions!$B$16</f>
        <v>4.10240437063191</v>
      </c>
      <c r="V34" s="41" t="n">
        <f aca="false">IF(L34=0,0,U34/L34)</f>
        <v>0.23382861090991</v>
      </c>
      <c r="W34" s="42" t="n">
        <v>1</v>
      </c>
      <c r="X34" s="43" t="n">
        <f aca="false">L34*W34</f>
        <v>17.5444927576142</v>
      </c>
      <c r="Y34" s="43" t="n">
        <f aca="false">U34*W34</f>
        <v>4.10240437063191</v>
      </c>
      <c r="Z34" s="2" t="s">
        <v>191</v>
      </c>
    </row>
    <row r="35" customFormat="false" ht="15" hidden="false" customHeight="false" outlineLevel="0" collapsed="false">
      <c r="A35" s="21" t="s">
        <v>192</v>
      </c>
      <c r="B35" s="21" t="s">
        <v>94</v>
      </c>
      <c r="C35" s="21" t="s">
        <v>144</v>
      </c>
      <c r="D35" s="32" t="s">
        <v>68</v>
      </c>
      <c r="E35" s="24" t="n">
        <v>88</v>
      </c>
      <c r="F35" s="33" t="n">
        <v>155</v>
      </c>
      <c r="G35" s="34" t="n">
        <v>1</v>
      </c>
      <c r="H35" s="35" t="n">
        <f aca="false">VLOOKUP(D35,'NSAA Benchmarks'!$A$6:$F$9,4,FALSE())</f>
        <v>48.88</v>
      </c>
      <c r="I35" s="35" t="n">
        <f aca="false">VLOOKUP(D35,'NSAA Benchmarks'!$A$6:$F$9,5,FALSE())</f>
        <v>61.96</v>
      </c>
      <c r="J35" s="24" t="n">
        <f aca="false">F35*(H35+I35)*G35</f>
        <v>17180.2</v>
      </c>
      <c r="K35" s="44" t="n">
        <v>0</v>
      </c>
      <c r="L35" s="37" t="n">
        <f aca="false">IF(K35&gt;0,K35,J35/SUMIF($K$4:$K$43,0,$J$4:$J$43)*(Assumptions!$B$10-SUM($K$4:$K$43)))</f>
        <v>16.4811901662437</v>
      </c>
      <c r="M35" s="37" t="n">
        <f aca="false">L35*H35/(H35+I35)*Assumptions!$B$12</f>
        <v>7.72810257156952</v>
      </c>
      <c r="N35" s="37" t="n">
        <f aca="false">L35-M35</f>
        <v>8.75308759467416</v>
      </c>
      <c r="O35" s="38" t="n">
        <f aca="false">N35*Assumptions!$B$6/Assumptions!$B$11</f>
        <v>2.46270415151479</v>
      </c>
      <c r="P35" s="38" t="n">
        <f aca="false">N35*Assumptions!$B$7/Assumptions!$B$11</f>
        <v>1.85673909215153</v>
      </c>
      <c r="Q35" s="38" t="n">
        <f aca="false">N35*Assumptions!$B$8/Assumptions!$B$11</f>
        <v>2.25294701558135</v>
      </c>
      <c r="R35" s="38" t="n">
        <f aca="false">N35*Assumptions!$B$9/Assumptions!$B$11</f>
        <v>2.1806973354265</v>
      </c>
      <c r="S35" s="39" t="n">
        <f aca="false">IF(F35=0,0,L35*1000/F35)</f>
        <v>106.330259137056</v>
      </c>
      <c r="T35" s="40" t="n">
        <f aca="false">INDEX('NSAA Margins'!$B$6:$E$14,MATCH(B35,'NSAA Margins'!$A$6:$A$14,0),MATCH(D35,'NSAA Margins'!$B$5:$E$5,0))</f>
        <v>0.278</v>
      </c>
      <c r="U35" s="38" t="n">
        <f aca="false">L35*T35*Assumptions!$B$16</f>
        <v>4.23458149073013</v>
      </c>
      <c r="V35" s="41" t="n">
        <f aca="false">IF(L35=0,0,U35/L35)</f>
        <v>0.25693420487334</v>
      </c>
      <c r="W35" s="42" t="n">
        <v>1</v>
      </c>
      <c r="X35" s="43" t="n">
        <f aca="false">L35*W35</f>
        <v>16.4811901662437</v>
      </c>
      <c r="Y35" s="43" t="n">
        <f aca="false">U35*W35</f>
        <v>4.23458149073013</v>
      </c>
      <c r="Z35" s="2" t="s">
        <v>193</v>
      </c>
    </row>
    <row r="36" customFormat="false" ht="15" hidden="false" customHeight="false" outlineLevel="0" collapsed="false">
      <c r="A36" s="21" t="s">
        <v>194</v>
      </c>
      <c r="B36" s="21" t="s">
        <v>92</v>
      </c>
      <c r="C36" s="21" t="s">
        <v>144</v>
      </c>
      <c r="D36" s="32" t="s">
        <v>68</v>
      </c>
      <c r="E36" s="24" t="n">
        <v>110</v>
      </c>
      <c r="F36" s="33" t="n">
        <v>150</v>
      </c>
      <c r="G36" s="34" t="n">
        <v>1</v>
      </c>
      <c r="H36" s="35" t="n">
        <f aca="false">VLOOKUP(D36,'NSAA Benchmarks'!$A$6:$F$9,4,FALSE())</f>
        <v>48.88</v>
      </c>
      <c r="I36" s="35" t="n">
        <f aca="false">VLOOKUP(D36,'NSAA Benchmarks'!$A$6:$F$9,5,FALSE())</f>
        <v>61.96</v>
      </c>
      <c r="J36" s="24" t="n">
        <f aca="false">F36*(H36+I36)*G36</f>
        <v>16626</v>
      </c>
      <c r="K36" s="44" t="n">
        <v>0</v>
      </c>
      <c r="L36" s="37" t="n">
        <f aca="false">IF(K36&gt;0,K36,J36/SUMIF($K$4:$K$43,0,$J$4:$J$43)*(Assumptions!$B$10-SUM($K$4:$K$43)))</f>
        <v>15.9495388705584</v>
      </c>
      <c r="M36" s="37" t="n">
        <f aca="false">L36*H36/(H36+I36)*Assumptions!$B$12</f>
        <v>7.47880894022857</v>
      </c>
      <c r="N36" s="37" t="n">
        <f aca="false">L36-M36</f>
        <v>8.47072993032984</v>
      </c>
      <c r="O36" s="38" t="n">
        <f aca="false">N36*Assumptions!$B$6/Assumptions!$B$11</f>
        <v>2.38326208211108</v>
      </c>
      <c r="P36" s="38" t="n">
        <f aca="false">N36*Assumptions!$B$7/Assumptions!$B$11</f>
        <v>1.79684428272728</v>
      </c>
      <c r="Q36" s="38" t="n">
        <f aca="false">N36*Assumptions!$B$8/Assumptions!$B$11</f>
        <v>2.18027130540131</v>
      </c>
      <c r="R36" s="38" t="n">
        <f aca="false">N36*Assumptions!$B$9/Assumptions!$B$11</f>
        <v>2.11035226009016</v>
      </c>
      <c r="S36" s="39" t="n">
        <f aca="false">IF(F36=0,0,L36*1000/F36)</f>
        <v>106.330259137056</v>
      </c>
      <c r="T36" s="40" t="n">
        <f aca="false">INDEX('NSAA Margins'!$B$6:$E$14,MATCH(B36,'NSAA Margins'!$A$6:$A$14,0),MATCH(D36,'NSAA Margins'!$B$5:$E$5,0))</f>
        <v>0.253</v>
      </c>
      <c r="U36" s="38" t="n">
        <f aca="false">L36*T36*Assumptions!$B$16</f>
        <v>3.72945851875628</v>
      </c>
      <c r="V36" s="41" t="n">
        <f aca="false">IF(L36=0,0,U36/L36)</f>
        <v>0.23382861090991</v>
      </c>
      <c r="W36" s="42" t="n">
        <v>1</v>
      </c>
      <c r="X36" s="43" t="n">
        <f aca="false">L36*W36</f>
        <v>15.9495388705584</v>
      </c>
      <c r="Y36" s="43" t="n">
        <f aca="false">U36*W36</f>
        <v>3.72945851875628</v>
      </c>
      <c r="Z36" s="2" t="s">
        <v>191</v>
      </c>
    </row>
    <row r="37" customFormat="false" ht="15" hidden="false" customHeight="false" outlineLevel="0" collapsed="false">
      <c r="A37" s="21" t="s">
        <v>195</v>
      </c>
      <c r="B37" s="21" t="s">
        <v>94</v>
      </c>
      <c r="C37" s="21" t="s">
        <v>144</v>
      </c>
      <c r="D37" s="32" t="s">
        <v>68</v>
      </c>
      <c r="E37" s="24" t="n">
        <v>144</v>
      </c>
      <c r="F37" s="33" t="n">
        <v>110</v>
      </c>
      <c r="G37" s="34" t="n">
        <v>1</v>
      </c>
      <c r="H37" s="35" t="n">
        <f aca="false">VLOOKUP(D37,'NSAA Benchmarks'!$A$6:$F$9,4,FALSE())</f>
        <v>48.88</v>
      </c>
      <c r="I37" s="35" t="n">
        <f aca="false">VLOOKUP(D37,'NSAA Benchmarks'!$A$6:$F$9,5,FALSE())</f>
        <v>61.96</v>
      </c>
      <c r="J37" s="24" t="n">
        <f aca="false">F37*(H37+I37)*G37</f>
        <v>12192.4</v>
      </c>
      <c r="K37" s="44" t="n">
        <v>0</v>
      </c>
      <c r="L37" s="37" t="n">
        <f aca="false">IF(K37&gt;0,K37,J37/SUMIF($K$4:$K$43,0,$J$4:$J$43)*(Assumptions!$B$10-SUM($K$4:$K$43)))</f>
        <v>11.6963285050762</v>
      </c>
      <c r="M37" s="37" t="n">
        <f aca="false">L37*H37/(H37+I37)*Assumptions!$B$12</f>
        <v>5.48445988950095</v>
      </c>
      <c r="N37" s="37" t="n">
        <f aca="false">L37-M37</f>
        <v>6.21186861557521</v>
      </c>
      <c r="O37" s="38" t="n">
        <f aca="false">N37*Assumptions!$B$6/Assumptions!$B$11</f>
        <v>1.74772552688146</v>
      </c>
      <c r="P37" s="38" t="n">
        <f aca="false">N37*Assumptions!$B$7/Assumptions!$B$11</f>
        <v>1.31768580733334</v>
      </c>
      <c r="Q37" s="38" t="n">
        <f aca="false">N37*Assumptions!$B$8/Assumptions!$B$11</f>
        <v>1.59886562396096</v>
      </c>
      <c r="R37" s="38" t="n">
        <f aca="false">N37*Assumptions!$B$9/Assumptions!$B$11</f>
        <v>1.54759165739945</v>
      </c>
      <c r="S37" s="39" t="n">
        <f aca="false">IF(F37=0,0,L37*1000/F37)</f>
        <v>106.330259137056</v>
      </c>
      <c r="T37" s="40" t="n">
        <f aca="false">INDEX('NSAA Margins'!$B$6:$E$14,MATCH(B37,'NSAA Margins'!$A$6:$A$14,0),MATCH(D37,'NSAA Margins'!$B$5:$E$5,0))</f>
        <v>0.278</v>
      </c>
      <c r="U37" s="38" t="n">
        <f aca="false">L37*T37*Assumptions!$B$16</f>
        <v>3.00518686438912</v>
      </c>
      <c r="V37" s="41" t="n">
        <f aca="false">IF(L37=0,0,U37/L37)</f>
        <v>0.25693420487334</v>
      </c>
      <c r="W37" s="42" t="n">
        <v>1</v>
      </c>
      <c r="X37" s="43" t="n">
        <f aca="false">L37*W37</f>
        <v>11.6963285050762</v>
      </c>
      <c r="Y37" s="43" t="n">
        <f aca="false">U37*W37</f>
        <v>3.00518686438912</v>
      </c>
      <c r="Z37" s="2" t="s">
        <v>196</v>
      </c>
    </row>
    <row r="38" customFormat="false" ht="15" hidden="false" customHeight="false" outlineLevel="0" collapsed="false">
      <c r="A38" s="21" t="s">
        <v>197</v>
      </c>
      <c r="B38" s="21" t="s">
        <v>94</v>
      </c>
      <c r="C38" s="21" t="s">
        <v>144</v>
      </c>
      <c r="D38" s="32" t="s">
        <v>68</v>
      </c>
      <c r="E38" s="24" t="n">
        <v>60</v>
      </c>
      <c r="F38" s="33" t="n">
        <v>110</v>
      </c>
      <c r="G38" s="34" t="n">
        <v>1</v>
      </c>
      <c r="H38" s="35" t="n">
        <f aca="false">VLOOKUP(D38,'NSAA Benchmarks'!$A$6:$F$9,4,FALSE())</f>
        <v>48.88</v>
      </c>
      <c r="I38" s="35" t="n">
        <f aca="false">VLOOKUP(D38,'NSAA Benchmarks'!$A$6:$F$9,5,FALSE())</f>
        <v>61.96</v>
      </c>
      <c r="J38" s="24" t="n">
        <f aca="false">F38*(H38+I38)*G38</f>
        <v>12192.4</v>
      </c>
      <c r="K38" s="44" t="n">
        <v>0</v>
      </c>
      <c r="L38" s="37" t="n">
        <f aca="false">IF(K38&gt;0,K38,J38/SUMIF($K$4:$K$43,0,$J$4:$J$43)*(Assumptions!$B$10-SUM($K$4:$K$43)))</f>
        <v>11.6963285050762</v>
      </c>
      <c r="M38" s="37" t="n">
        <f aca="false">L38*H38/(H38+I38)*Assumptions!$B$12</f>
        <v>5.48445988950095</v>
      </c>
      <c r="N38" s="37" t="n">
        <f aca="false">L38-M38</f>
        <v>6.21186861557521</v>
      </c>
      <c r="O38" s="38" t="n">
        <f aca="false">N38*Assumptions!$B$6/Assumptions!$B$11</f>
        <v>1.74772552688146</v>
      </c>
      <c r="P38" s="38" t="n">
        <f aca="false">N38*Assumptions!$B$7/Assumptions!$B$11</f>
        <v>1.31768580733334</v>
      </c>
      <c r="Q38" s="38" t="n">
        <f aca="false">N38*Assumptions!$B$8/Assumptions!$B$11</f>
        <v>1.59886562396096</v>
      </c>
      <c r="R38" s="38" t="n">
        <f aca="false">N38*Assumptions!$B$9/Assumptions!$B$11</f>
        <v>1.54759165739945</v>
      </c>
      <c r="S38" s="39" t="n">
        <f aca="false">IF(F38=0,0,L38*1000/F38)</f>
        <v>106.330259137056</v>
      </c>
      <c r="T38" s="40" t="n">
        <f aca="false">INDEX('NSAA Margins'!$B$6:$E$14,MATCH(B38,'NSAA Margins'!$A$6:$A$14,0),MATCH(D38,'NSAA Margins'!$B$5:$E$5,0))</f>
        <v>0.278</v>
      </c>
      <c r="U38" s="38" t="n">
        <f aca="false">L38*T38*Assumptions!$B$16</f>
        <v>3.00518686438912</v>
      </c>
      <c r="V38" s="41" t="n">
        <f aca="false">IF(L38=0,0,U38/L38)</f>
        <v>0.25693420487334</v>
      </c>
      <c r="W38" s="42" t="n">
        <v>1</v>
      </c>
      <c r="X38" s="43" t="n">
        <f aca="false">L38*W38</f>
        <v>11.6963285050762</v>
      </c>
      <c r="Y38" s="43" t="n">
        <f aca="false">U38*W38</f>
        <v>3.00518686438912</v>
      </c>
      <c r="Z38" s="2" t="s">
        <v>196</v>
      </c>
    </row>
    <row r="39" customFormat="false" ht="15" hidden="false" customHeight="false" outlineLevel="0" collapsed="false">
      <c r="A39" s="21" t="s">
        <v>198</v>
      </c>
      <c r="B39" s="21" t="s">
        <v>88</v>
      </c>
      <c r="C39" s="21" t="s">
        <v>144</v>
      </c>
      <c r="D39" s="32" t="s">
        <v>68</v>
      </c>
      <c r="E39" s="24" t="n">
        <v>100</v>
      </c>
      <c r="F39" s="33" t="n">
        <v>130</v>
      </c>
      <c r="G39" s="34" t="n">
        <v>1</v>
      </c>
      <c r="H39" s="35" t="n">
        <f aca="false">VLOOKUP(D39,'NSAA Benchmarks'!$A$6:$F$9,4,FALSE())</f>
        <v>48.88</v>
      </c>
      <c r="I39" s="35" t="n">
        <f aca="false">VLOOKUP(D39,'NSAA Benchmarks'!$A$6:$F$9,5,FALSE())</f>
        <v>61.96</v>
      </c>
      <c r="J39" s="24" t="n">
        <f aca="false">F39*(H39+I39)*G39</f>
        <v>14409.2</v>
      </c>
      <c r="K39" s="44" t="n">
        <v>0</v>
      </c>
      <c r="L39" s="37" t="n">
        <f aca="false">IF(K39&gt;0,K39,J39/SUMIF($K$4:$K$43,0,$J$4:$J$43)*(Assumptions!$B$10-SUM($K$4:$K$43)))</f>
        <v>13.8229336878173</v>
      </c>
      <c r="M39" s="37" t="n">
        <f aca="false">L39*H39/(H39+I39)*Assumptions!$B$12</f>
        <v>6.48163441486476</v>
      </c>
      <c r="N39" s="37" t="n">
        <f aca="false">L39-M39</f>
        <v>7.34129927295253</v>
      </c>
      <c r="O39" s="38" t="n">
        <f aca="false">N39*Assumptions!$B$6/Assumptions!$B$11</f>
        <v>2.06549380449627</v>
      </c>
      <c r="P39" s="38" t="n">
        <f aca="false">N39*Assumptions!$B$7/Assumptions!$B$11</f>
        <v>1.55726504503031</v>
      </c>
      <c r="Q39" s="38" t="n">
        <f aca="false">N39*Assumptions!$B$8/Assumptions!$B$11</f>
        <v>1.88956846468113</v>
      </c>
      <c r="R39" s="38" t="n">
        <f aca="false">N39*Assumptions!$B$9/Assumptions!$B$11</f>
        <v>1.82897195874481</v>
      </c>
      <c r="S39" s="39" t="n">
        <f aca="false">IF(F39=0,0,L39*1000/F39)</f>
        <v>106.330259137056</v>
      </c>
      <c r="T39" s="40" t="n">
        <f aca="false">INDEX('NSAA Margins'!$B$6:$E$14,MATCH(B39,'NSAA Margins'!$A$6:$A$14,0),MATCH(D39,'NSAA Margins'!$B$5:$E$5,0))</f>
        <v>0.199</v>
      </c>
      <c r="U39" s="38" t="n">
        <f aca="false">L39*T39*Assumptions!$B$16</f>
        <v>2.54232126166601</v>
      </c>
      <c r="V39" s="41" t="n">
        <f aca="false">IF(L39=0,0,U39/L39)</f>
        <v>0.183920527948901</v>
      </c>
      <c r="W39" s="42" t="n">
        <v>1</v>
      </c>
      <c r="X39" s="43" t="n">
        <f aca="false">L39*W39</f>
        <v>13.8229336878173</v>
      </c>
      <c r="Y39" s="43" t="n">
        <f aca="false">U39*W39</f>
        <v>2.54232126166601</v>
      </c>
      <c r="Z39" s="2" t="s">
        <v>181</v>
      </c>
    </row>
    <row r="40" customFormat="false" ht="15" hidden="false" customHeight="false" outlineLevel="0" collapsed="false">
      <c r="A40" s="21" t="s">
        <v>199</v>
      </c>
      <c r="B40" s="21" t="s">
        <v>94</v>
      </c>
      <c r="C40" s="21" t="s">
        <v>144</v>
      </c>
      <c r="D40" s="32" t="s">
        <v>68</v>
      </c>
      <c r="E40" s="24" t="n">
        <v>80</v>
      </c>
      <c r="F40" s="33" t="n">
        <v>110</v>
      </c>
      <c r="G40" s="34" t="n">
        <v>1</v>
      </c>
      <c r="H40" s="35" t="n">
        <f aca="false">VLOOKUP(D40,'NSAA Benchmarks'!$A$6:$F$9,4,FALSE())</f>
        <v>48.88</v>
      </c>
      <c r="I40" s="35" t="n">
        <f aca="false">VLOOKUP(D40,'NSAA Benchmarks'!$A$6:$F$9,5,FALSE())</f>
        <v>61.96</v>
      </c>
      <c r="J40" s="24" t="n">
        <f aca="false">F40*(H40+I40)*G40</f>
        <v>12192.4</v>
      </c>
      <c r="K40" s="44" t="n">
        <v>0</v>
      </c>
      <c r="L40" s="37" t="n">
        <f aca="false">IF(K40&gt;0,K40,J40/SUMIF($K$4:$K$43,0,$J$4:$J$43)*(Assumptions!$B$10-SUM($K$4:$K$43)))</f>
        <v>11.6963285050762</v>
      </c>
      <c r="M40" s="37" t="n">
        <f aca="false">L40*H40/(H40+I40)*Assumptions!$B$12</f>
        <v>5.48445988950095</v>
      </c>
      <c r="N40" s="37" t="n">
        <f aca="false">L40-M40</f>
        <v>6.21186861557521</v>
      </c>
      <c r="O40" s="38" t="n">
        <f aca="false">N40*Assumptions!$B$6/Assumptions!$B$11</f>
        <v>1.74772552688146</v>
      </c>
      <c r="P40" s="38" t="n">
        <f aca="false">N40*Assumptions!$B$7/Assumptions!$B$11</f>
        <v>1.31768580733334</v>
      </c>
      <c r="Q40" s="38" t="n">
        <f aca="false">N40*Assumptions!$B$8/Assumptions!$B$11</f>
        <v>1.59886562396096</v>
      </c>
      <c r="R40" s="38" t="n">
        <f aca="false">N40*Assumptions!$B$9/Assumptions!$B$11</f>
        <v>1.54759165739945</v>
      </c>
      <c r="S40" s="39" t="n">
        <f aca="false">IF(F40=0,0,L40*1000/F40)</f>
        <v>106.330259137056</v>
      </c>
      <c r="T40" s="40" t="n">
        <f aca="false">INDEX('NSAA Margins'!$B$6:$E$14,MATCH(B40,'NSAA Margins'!$A$6:$A$14,0),MATCH(D40,'NSAA Margins'!$B$5:$E$5,0))</f>
        <v>0.278</v>
      </c>
      <c r="U40" s="38" t="n">
        <f aca="false">L40*T40*Assumptions!$B$16</f>
        <v>3.00518686438912</v>
      </c>
      <c r="V40" s="41" t="n">
        <f aca="false">IF(L40=0,0,U40/L40)</f>
        <v>0.25693420487334</v>
      </c>
      <c r="W40" s="42" t="n">
        <v>1</v>
      </c>
      <c r="X40" s="43" t="n">
        <f aca="false">L40*W40</f>
        <v>11.6963285050762</v>
      </c>
      <c r="Y40" s="43" t="n">
        <f aca="false">U40*W40</f>
        <v>3.00518686438912</v>
      </c>
      <c r="Z40" s="2" t="s">
        <v>196</v>
      </c>
    </row>
    <row r="41" customFormat="false" ht="15" hidden="false" customHeight="false" outlineLevel="0" collapsed="false">
      <c r="A41" s="21" t="s">
        <v>200</v>
      </c>
      <c r="B41" s="21" t="s">
        <v>94</v>
      </c>
      <c r="C41" s="21" t="s">
        <v>144</v>
      </c>
      <c r="D41" s="32" t="s">
        <v>68</v>
      </c>
      <c r="E41" s="24" t="n">
        <v>65</v>
      </c>
      <c r="F41" s="33" t="n">
        <v>100</v>
      </c>
      <c r="G41" s="34" t="n">
        <v>1</v>
      </c>
      <c r="H41" s="35" t="n">
        <f aca="false">VLOOKUP(D41,'NSAA Benchmarks'!$A$6:$F$9,4,FALSE())</f>
        <v>48.88</v>
      </c>
      <c r="I41" s="35" t="n">
        <f aca="false">VLOOKUP(D41,'NSAA Benchmarks'!$A$6:$F$9,5,FALSE())</f>
        <v>61.96</v>
      </c>
      <c r="J41" s="24" t="n">
        <f aca="false">F41*(H41+I41)*G41</f>
        <v>11084</v>
      </c>
      <c r="K41" s="44" t="n">
        <v>0</v>
      </c>
      <c r="L41" s="37" t="n">
        <f aca="false">IF(K41&gt;0,K41,J41/SUMIF($K$4:$K$43,0,$J$4:$J$43)*(Assumptions!$B$10-SUM($K$4:$K$43)))</f>
        <v>10.6330259137056</v>
      </c>
      <c r="M41" s="37" t="n">
        <f aca="false">L41*H41/(H41+I41)*Assumptions!$B$12</f>
        <v>4.98587262681905</v>
      </c>
      <c r="N41" s="37" t="n">
        <f aca="false">L41-M41</f>
        <v>5.64715328688656</v>
      </c>
      <c r="O41" s="38" t="n">
        <f aca="false">N41*Assumptions!$B$6/Assumptions!$B$11</f>
        <v>1.58884138807406</v>
      </c>
      <c r="P41" s="38" t="n">
        <f aca="false">N41*Assumptions!$B$7/Assumptions!$B$11</f>
        <v>1.19789618848486</v>
      </c>
      <c r="Q41" s="38" t="n">
        <f aca="false">N41*Assumptions!$B$8/Assumptions!$B$11</f>
        <v>1.45351420360087</v>
      </c>
      <c r="R41" s="38" t="n">
        <f aca="false">N41*Assumptions!$B$9/Assumptions!$B$11</f>
        <v>1.40690150672677</v>
      </c>
      <c r="S41" s="39" t="n">
        <f aca="false">IF(F41=0,0,L41*1000/F41)</f>
        <v>106.330259137056</v>
      </c>
      <c r="T41" s="40" t="n">
        <f aca="false">INDEX('NSAA Margins'!$B$6:$E$14,MATCH(B41,'NSAA Margins'!$A$6:$A$14,0),MATCH(D41,'NSAA Margins'!$B$5:$E$5,0))</f>
        <v>0.278</v>
      </c>
      <c r="U41" s="38" t="n">
        <f aca="false">L41*T41*Assumptions!$B$16</f>
        <v>2.73198805853557</v>
      </c>
      <c r="V41" s="41" t="n">
        <f aca="false">IF(L41=0,0,U41/L41)</f>
        <v>0.25693420487334</v>
      </c>
      <c r="W41" s="42" t="n">
        <v>1</v>
      </c>
      <c r="X41" s="43" t="n">
        <f aca="false">L41*W41</f>
        <v>10.6330259137056</v>
      </c>
      <c r="Y41" s="43" t="n">
        <f aca="false">U41*W41</f>
        <v>2.73198805853557</v>
      </c>
      <c r="Z41" s="2" t="s">
        <v>196</v>
      </c>
    </row>
    <row r="42" customFormat="false" ht="15" hidden="false" customHeight="false" outlineLevel="0" collapsed="false">
      <c r="A42" s="21" t="s">
        <v>201</v>
      </c>
      <c r="B42" s="21" t="s">
        <v>94</v>
      </c>
      <c r="C42" s="21" t="s">
        <v>144</v>
      </c>
      <c r="D42" s="32" t="s">
        <v>68</v>
      </c>
      <c r="E42" s="24" t="n">
        <v>50</v>
      </c>
      <c r="F42" s="33" t="n">
        <v>80</v>
      </c>
      <c r="G42" s="34" t="n">
        <v>1</v>
      </c>
      <c r="H42" s="35" t="n">
        <f aca="false">VLOOKUP(D42,'NSAA Benchmarks'!$A$6:$F$9,4,FALSE())</f>
        <v>48.88</v>
      </c>
      <c r="I42" s="35" t="n">
        <f aca="false">VLOOKUP(D42,'NSAA Benchmarks'!$A$6:$F$9,5,FALSE())</f>
        <v>61.96</v>
      </c>
      <c r="J42" s="24" t="n">
        <f aca="false">F42*(H42+I42)*G42</f>
        <v>8867.2</v>
      </c>
      <c r="K42" s="44" t="n">
        <v>0</v>
      </c>
      <c r="L42" s="37" t="n">
        <f aca="false">IF(K42&gt;0,K42,J42/SUMIF($K$4:$K$43,0,$J$4:$J$43)*(Assumptions!$B$10-SUM($K$4:$K$43)))</f>
        <v>8.50642073096448</v>
      </c>
      <c r="M42" s="37" t="n">
        <f aca="false">L42*H42/(H42+I42)*Assumptions!$B$12</f>
        <v>3.98869810145524</v>
      </c>
      <c r="N42" s="37" t="n">
        <f aca="false">L42-M42</f>
        <v>4.51772262950925</v>
      </c>
      <c r="O42" s="38" t="n">
        <f aca="false">N42*Assumptions!$B$6/Assumptions!$B$11</f>
        <v>1.27107311045924</v>
      </c>
      <c r="P42" s="38" t="n">
        <f aca="false">N42*Assumptions!$B$7/Assumptions!$B$11</f>
        <v>0.958316950787885</v>
      </c>
      <c r="Q42" s="38" t="n">
        <f aca="false">N42*Assumptions!$B$8/Assumptions!$B$11</f>
        <v>1.1628113628807</v>
      </c>
      <c r="R42" s="38" t="n">
        <f aca="false">N42*Assumptions!$B$9/Assumptions!$B$11</f>
        <v>1.12552120538142</v>
      </c>
      <c r="S42" s="39" t="n">
        <f aca="false">IF(F42=0,0,L42*1000/F42)</f>
        <v>106.330259137056</v>
      </c>
      <c r="T42" s="40" t="n">
        <f aca="false">INDEX('NSAA Margins'!$B$6:$E$14,MATCH(B42,'NSAA Margins'!$A$6:$A$14,0),MATCH(D42,'NSAA Margins'!$B$5:$E$5,0))</f>
        <v>0.278</v>
      </c>
      <c r="U42" s="38" t="n">
        <f aca="false">L42*T42*Assumptions!$B$16</f>
        <v>2.18559044682845</v>
      </c>
      <c r="V42" s="41" t="n">
        <f aca="false">IF(L42=0,0,U42/L42)</f>
        <v>0.25693420487334</v>
      </c>
      <c r="W42" s="42" t="n">
        <v>1</v>
      </c>
      <c r="X42" s="43" t="n">
        <f aca="false">L42*W42</f>
        <v>8.50642073096448</v>
      </c>
      <c r="Y42" s="43" t="n">
        <f aca="false">U42*W42</f>
        <v>2.18559044682845</v>
      </c>
      <c r="Z42" s="2" t="s">
        <v>196</v>
      </c>
    </row>
    <row r="43" customFormat="false" ht="15" hidden="false" customHeight="false" outlineLevel="0" collapsed="false">
      <c r="A43" s="21" t="s">
        <v>202</v>
      </c>
      <c r="B43" s="21" t="s">
        <v>92</v>
      </c>
      <c r="C43" s="21" t="s">
        <v>144</v>
      </c>
      <c r="D43" s="32" t="s">
        <v>68</v>
      </c>
      <c r="E43" s="24" t="n">
        <v>70</v>
      </c>
      <c r="F43" s="33" t="n">
        <v>70</v>
      </c>
      <c r="G43" s="34" t="n">
        <v>1</v>
      </c>
      <c r="H43" s="35" t="n">
        <f aca="false">VLOOKUP(D43,'NSAA Benchmarks'!$A$6:$F$9,4,FALSE())</f>
        <v>48.88</v>
      </c>
      <c r="I43" s="35" t="n">
        <f aca="false">VLOOKUP(D43,'NSAA Benchmarks'!$A$6:$F$9,5,FALSE())</f>
        <v>61.96</v>
      </c>
      <c r="J43" s="24" t="n">
        <f aca="false">F43*(H43+I43)*G43</f>
        <v>7758.8</v>
      </c>
      <c r="K43" s="44" t="n">
        <v>0</v>
      </c>
      <c r="L43" s="37" t="n">
        <f aca="false">IF(K43&gt;0,K43,J43/SUMIF($K$4:$K$43,0,$J$4:$J$43)*(Assumptions!$B$10-SUM($K$4:$K$43)))</f>
        <v>7.44311813959392</v>
      </c>
      <c r="M43" s="37" t="n">
        <f aca="false">L43*H43/(H43+I43)*Assumptions!$B$12</f>
        <v>3.49011083877333</v>
      </c>
      <c r="N43" s="37" t="n">
        <f aca="false">L43-M43</f>
        <v>3.95300730082059</v>
      </c>
      <c r="O43" s="38" t="n">
        <f aca="false">N43*Assumptions!$B$6/Assumptions!$B$11</f>
        <v>1.11218897165184</v>
      </c>
      <c r="P43" s="38" t="n">
        <f aca="false">N43*Assumptions!$B$7/Assumptions!$B$11</f>
        <v>0.838527331939399</v>
      </c>
      <c r="Q43" s="38" t="n">
        <f aca="false">N43*Assumptions!$B$8/Assumptions!$B$11</f>
        <v>1.01745994252061</v>
      </c>
      <c r="R43" s="38" t="n">
        <f aca="false">N43*Assumptions!$B$9/Assumptions!$B$11</f>
        <v>0.984831054708742</v>
      </c>
      <c r="S43" s="39" t="n">
        <f aca="false">IF(F43=0,0,L43*1000/F43)</f>
        <v>106.330259137056</v>
      </c>
      <c r="T43" s="40" t="n">
        <f aca="false">INDEX('NSAA Margins'!$B$6:$E$14,MATCH(B43,'NSAA Margins'!$A$6:$A$14,0),MATCH(D43,'NSAA Margins'!$B$5:$E$5,0))</f>
        <v>0.253</v>
      </c>
      <c r="U43" s="38" t="n">
        <f aca="false">L43*T43*Assumptions!$B$16</f>
        <v>1.7404139754196</v>
      </c>
      <c r="V43" s="41" t="n">
        <f aca="false">IF(L43=0,0,U43/L43)</f>
        <v>0.23382861090991</v>
      </c>
      <c r="W43" s="42" t="n">
        <v>1</v>
      </c>
      <c r="X43" s="43" t="n">
        <f aca="false">L43*W43</f>
        <v>7.44311813959392</v>
      </c>
      <c r="Y43" s="43" t="n">
        <f aca="false">U43*W43</f>
        <v>1.7404139754196</v>
      </c>
      <c r="Z43" s="2" t="s">
        <v>191</v>
      </c>
    </row>
    <row r="44" customFormat="false" ht="15" hidden="false" customHeight="false" outlineLevel="0" collapsed="false">
      <c r="A44" s="11" t="s">
        <v>203</v>
      </c>
      <c r="B44" s="45"/>
      <c r="C44" s="45"/>
      <c r="D44" s="45"/>
      <c r="E44" s="46" t="n">
        <f aca="false">SUM(E4:E43)</f>
        <v>59493</v>
      </c>
      <c r="F44" s="46" t="n">
        <f aca="false">SUM(F4:F43)</f>
        <v>18585</v>
      </c>
      <c r="G44" s="45"/>
      <c r="H44" s="45"/>
      <c r="I44" s="45"/>
      <c r="J44" s="46" t="n">
        <f aca="false">SUM(J4:J43)</f>
        <v>2759930.6</v>
      </c>
      <c r="K44" s="47" t="n">
        <f aca="false">SUM(K4:K43)</f>
        <v>320.3</v>
      </c>
      <c r="L44" s="47" t="n">
        <f aca="false">SUM(L4:L43)</f>
        <v>2629.9</v>
      </c>
      <c r="M44" s="47" t="n">
        <f aca="false">SUM(M4:M43)</f>
        <v>1503.2</v>
      </c>
      <c r="N44" s="47" t="n">
        <f aca="false">SUM(N4:N43)</f>
        <v>1126.7</v>
      </c>
      <c r="O44" s="47" t="n">
        <f aca="false">SUM(O4:O43)</f>
        <v>317</v>
      </c>
      <c r="P44" s="47" t="n">
        <f aca="false">SUM(P4:P43)</f>
        <v>239</v>
      </c>
      <c r="Q44" s="47" t="n">
        <f aca="false">SUM(Q4:Q43)</f>
        <v>290</v>
      </c>
      <c r="R44" s="47" t="n">
        <f aca="false">SUM(R4:R43)</f>
        <v>280.7</v>
      </c>
      <c r="S44" s="48" t="n">
        <f aca="false">L44*1000/F44</f>
        <v>141.5065913371</v>
      </c>
      <c r="T44" s="49" t="n">
        <f aca="false">U44/L44</f>
        <v>0.312293243089091</v>
      </c>
      <c r="U44" s="47" t="n">
        <f aca="false">SUM(U4:U43)</f>
        <v>821.3</v>
      </c>
      <c r="V44" s="49" t="n">
        <f aca="false">U44/L44</f>
        <v>0.312293243089091</v>
      </c>
      <c r="W44" s="45"/>
      <c r="X44" s="47" t="n">
        <f aca="false">SUM(X4:X43)</f>
        <v>2549.825</v>
      </c>
      <c r="Y44" s="47" t="n">
        <f aca="false">SUM(Y4:Y43)</f>
        <v>796.50758214927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204</v>
      </c>
    </row>
    <row r="3" customFormat="false" ht="23.85" hidden="false" customHeight="false" outlineLevel="0" collapsed="false">
      <c r="A3" s="8" t="s">
        <v>205</v>
      </c>
      <c r="B3" s="8"/>
      <c r="C3" s="8"/>
      <c r="D3" s="8"/>
    </row>
    <row r="4" customFormat="false" ht="15" hidden="false" customHeight="false" outlineLevel="0" collapsed="false">
      <c r="A4" s="6" t="s">
        <v>206</v>
      </c>
      <c r="B4" s="50" t="s">
        <v>207</v>
      </c>
      <c r="C4" s="50" t="s">
        <v>208</v>
      </c>
      <c r="D4" s="50" t="s">
        <v>209</v>
      </c>
    </row>
    <row r="5" customFormat="false" ht="15" hidden="false" customHeight="false" outlineLevel="0" collapsed="false">
      <c r="A5" s="4" t="s">
        <v>36</v>
      </c>
      <c r="B5" s="51" t="n">
        <f aca="false">Assumptions!$B$10</f>
        <v>2629.9</v>
      </c>
      <c r="C5" s="51" t="n">
        <f aca="false">SUM('Resort Model'!L4:L43)</f>
        <v>2629.9</v>
      </c>
      <c r="D5" s="14" t="n">
        <f aca="false">C5-B5</f>
        <v>0</v>
      </c>
    </row>
    <row r="6" customFormat="false" ht="15" hidden="false" customHeight="false" outlineLevel="0" collapsed="false">
      <c r="A6" s="4" t="s">
        <v>210</v>
      </c>
      <c r="B6" s="51" t="n">
        <f aca="false">Assumptions!$B$14</f>
        <v>821.3</v>
      </c>
      <c r="C6" s="51" t="n">
        <f aca="false">SUM('Resort Model'!U4:U43)</f>
        <v>821.3</v>
      </c>
      <c r="D6" s="14" t="n">
        <f aca="false">C6-B6</f>
        <v>0</v>
      </c>
    </row>
    <row r="7" customFormat="false" ht="15" hidden="false" customHeight="false" outlineLevel="0" collapsed="false">
      <c r="A7" s="4" t="s">
        <v>211</v>
      </c>
      <c r="B7" s="51" t="n">
        <f aca="false">Assumptions!$B$5</f>
        <v>1503.2</v>
      </c>
      <c r="C7" s="51" t="n">
        <f aca="false">SUM('Resort Model'!M4:M43)</f>
        <v>1503.2</v>
      </c>
      <c r="D7" s="14" t="n">
        <f aca="false">C7-B7</f>
        <v>0</v>
      </c>
    </row>
    <row r="8" customFormat="false" ht="32.8" hidden="false" customHeight="false" outlineLevel="0" collapsed="false">
      <c r="A8" s="2" t="s">
        <v>212</v>
      </c>
    </row>
    <row r="10" customFormat="false" ht="23.85" hidden="false" customHeight="false" outlineLevel="0" collapsed="false">
      <c r="A10" s="17" t="s">
        <v>213</v>
      </c>
      <c r="B10" s="17"/>
      <c r="C10" s="17"/>
      <c r="D10" s="17"/>
    </row>
    <row r="11" customFormat="false" ht="15" hidden="false" customHeight="false" outlineLevel="0" collapsed="false">
      <c r="A11" s="6" t="s">
        <v>214</v>
      </c>
      <c r="B11" s="50" t="s">
        <v>215</v>
      </c>
      <c r="C11" s="50" t="s">
        <v>216</v>
      </c>
      <c r="D11" s="6" t="s">
        <v>217</v>
      </c>
    </row>
    <row r="12" customFormat="false" ht="22.35" hidden="false" customHeight="false" outlineLevel="0" collapsed="false">
      <c r="A12" s="4" t="s">
        <v>218</v>
      </c>
      <c r="B12" s="14" t="n">
        <f aca="false">SUMIF('Resort Model'!$C$4:$C$43,"USA",'Resort Model'!$L$4:$L$43)</f>
        <v>2115.94826993232</v>
      </c>
      <c r="C12" s="51" t="n">
        <f aca="false">Assumptions!$B$20</f>
        <v>2423.2</v>
      </c>
      <c r="D12" s="2" t="s">
        <v>219</v>
      </c>
    </row>
    <row r="13" customFormat="false" ht="22.35" hidden="false" customHeight="false" outlineLevel="0" collapsed="false">
      <c r="A13" s="4" t="s">
        <v>220</v>
      </c>
      <c r="B13" s="14" t="n">
        <f aca="false">SUMIF('Resort Model'!$C$4:$C$43,"Canada",'Resort Model'!$L$4:$L$43)</f>
        <v>320.3</v>
      </c>
      <c r="C13" s="51" t="n">
        <f aca="false">Assumptions!$B$22</f>
        <v>335.3</v>
      </c>
      <c r="D13" s="2" t="s">
        <v>221</v>
      </c>
    </row>
    <row r="14" customFormat="false" ht="22.35" hidden="false" customHeight="false" outlineLevel="0" collapsed="false">
      <c r="A14" s="4" t="s">
        <v>112</v>
      </c>
      <c r="B14" s="14" t="n">
        <f aca="false">SUMIF('Resort Model'!$C$4:$C$43,"Australia",'Resort Model'!$L$4:$L$43)</f>
        <v>119.137088435862</v>
      </c>
      <c r="D14" s="2" t="s">
        <v>222</v>
      </c>
    </row>
    <row r="15" customFormat="false" ht="22.35" hidden="false" customHeight="false" outlineLevel="0" collapsed="false">
      <c r="A15" s="4" t="s">
        <v>223</v>
      </c>
      <c r="B15" s="14" t="n">
        <f aca="false">SUMIF('Resort Model'!$C$4:$C$43,"Switzerland",'Resort Model'!$L$4:$L$43)</f>
        <v>74.5146416318191</v>
      </c>
      <c r="D15" s="2" t="s">
        <v>222</v>
      </c>
    </row>
    <row r="16" customFormat="false" ht="22.35" hidden="false" customHeight="false" outlineLevel="0" collapsed="false">
      <c r="A16" s="4" t="s">
        <v>224</v>
      </c>
      <c r="B16" s="14" t="n">
        <f aca="false">B14+B15</f>
        <v>193.651730067681</v>
      </c>
      <c r="C16" s="51" t="n">
        <f aca="false">Assumptions!$B$23</f>
        <v>205.8</v>
      </c>
      <c r="D16" s="2" t="s">
        <v>225</v>
      </c>
    </row>
    <row r="18" customFormat="false" ht="15" hidden="false" customHeight="false" outlineLevel="0" collapsed="false">
      <c r="A18" s="17" t="s">
        <v>226</v>
      </c>
      <c r="B18" s="17"/>
      <c r="C18" s="17"/>
      <c r="D18" s="17"/>
    </row>
    <row r="19" customFormat="false" ht="32.8" hidden="false" customHeight="false" outlineLevel="0" collapsed="false">
      <c r="A19" s="4" t="s">
        <v>227</v>
      </c>
      <c r="B19" s="52" t="n">
        <f aca="false">SUMIF('Resort Model'!$C$4:$C$43,"USA",'Resort Model'!$F$4:$F$43)+SUMIF('Resort Model'!$C$4:$C$43,"Canada",'Resort Model'!$F$4:$F$43)</f>
        <v>16885</v>
      </c>
      <c r="C19" s="52" t="n">
        <v>16900</v>
      </c>
      <c r="D19" s="2" t="s">
        <v>228</v>
      </c>
    </row>
    <row r="20" customFormat="false" ht="32.8" hidden="false" customHeight="false" outlineLevel="0" collapsed="false">
      <c r="A20" s="4" t="s">
        <v>229</v>
      </c>
      <c r="B20" s="52" t="n">
        <f aca="false">SUM('Resort Model'!$F$4:$F$43)-B19</f>
        <v>1700</v>
      </c>
      <c r="D20" s="2" t="s">
        <v>230</v>
      </c>
    </row>
    <row r="22" customFormat="false" ht="23.85" hidden="false" customHeight="false" outlineLevel="0" collapsed="false">
      <c r="A22" s="8" t="s">
        <v>231</v>
      </c>
      <c r="B22" s="8"/>
      <c r="C22" s="8"/>
      <c r="D22" s="8"/>
      <c r="E22" s="8"/>
    </row>
    <row r="23" customFormat="false" ht="15" hidden="false" customHeight="false" outlineLevel="0" collapsed="false">
      <c r="A23" s="6" t="s">
        <v>232</v>
      </c>
      <c r="B23" s="6" t="s">
        <v>233</v>
      </c>
      <c r="C23" s="50" t="s">
        <v>234</v>
      </c>
      <c r="D23" s="6" t="s">
        <v>235</v>
      </c>
      <c r="E23" s="50" t="s">
        <v>236</v>
      </c>
    </row>
    <row r="24" customFormat="false" ht="23.85" hidden="false" customHeight="false" outlineLevel="0" collapsed="false">
      <c r="A24" s="53" t="n">
        <v>1</v>
      </c>
      <c r="B24" s="4" t="str">
        <f aca="false">INDEX('Resort Model'!$A$4:$A$43,MATCH(LARGE('Resort Model'!$L$4:$L$43,1),'Resort Model'!$L$4:$L$43,0))</f>
        <v>Whistler Blackcomb</v>
      </c>
      <c r="C24" s="14" t="n">
        <f aca="false">LARGE('Resort Model'!$L$4:$L$43,1)</f>
        <v>320.3</v>
      </c>
      <c r="D24" s="54" t="str">
        <f aca="false">INDEX('Resort Model'!$A$4:$A$43,MATCH(LARGE('Resort Model'!$X$4:$X$43,1),'Resort Model'!$X$4:$X$43,0))</f>
        <v>Breckenridge</v>
      </c>
      <c r="E24" s="55" t="n">
        <f aca="false">LARGE('Resort Model'!$X$4:$X$43,1)</f>
        <v>288.568562119902</v>
      </c>
    </row>
    <row r="25" customFormat="false" ht="15" hidden="false" customHeight="false" outlineLevel="0" collapsed="false">
      <c r="A25" s="53" t="n">
        <v>2</v>
      </c>
      <c r="B25" s="4" t="str">
        <f aca="false">INDEX('Resort Model'!$A$4:$A$43,MATCH(LARGE('Resort Model'!$L$4:$L$43,2),'Resort Model'!$L$4:$L$43,0))</f>
        <v>Breckenridge</v>
      </c>
      <c r="C25" s="14" t="n">
        <f aca="false">LARGE('Resort Model'!$L$4:$L$43,2)</f>
        <v>288.568562119902</v>
      </c>
      <c r="D25" s="54" t="str">
        <f aca="false">INDEX('Resort Model'!$A$4:$A$43,MATCH(LARGE('Resort Model'!$X$4:$X$43,2),'Resort Model'!$X$4:$X$43,0))</f>
        <v>Vail Mountain</v>
      </c>
      <c r="E25" s="55" t="n">
        <f aca="false">LARGE('Resort Model'!$X$4:$X$43,2)</f>
        <v>272.078929998765</v>
      </c>
    </row>
    <row r="26" customFormat="false" ht="23.85" hidden="false" customHeight="false" outlineLevel="0" collapsed="false">
      <c r="A26" s="53" t="n">
        <v>3</v>
      </c>
      <c r="B26" s="4" t="str">
        <f aca="false">INDEX('Resort Model'!$A$4:$A$43,MATCH(LARGE('Resort Model'!$L$4:$L$43,3),'Resort Model'!$L$4:$L$43,0))</f>
        <v>Vail Mountain</v>
      </c>
      <c r="C26" s="14" t="n">
        <f aca="false">LARGE('Resort Model'!$L$4:$L$43,3)</f>
        <v>272.078929998765</v>
      </c>
      <c r="D26" s="54" t="str">
        <f aca="false">INDEX('Resort Model'!$A$4:$A$43,MATCH(LARGE('Resort Model'!$X$4:$X$43,3),'Resort Model'!$X$4:$X$43,0))</f>
        <v>Park City Mountain</v>
      </c>
      <c r="E26" s="55" t="n">
        <f aca="false">LARGE('Resort Model'!$X$4:$X$43,3)</f>
        <v>255.589297877628</v>
      </c>
    </row>
    <row r="27" customFormat="false" ht="23.85" hidden="false" customHeight="false" outlineLevel="0" collapsed="false">
      <c r="A27" s="53" t="n">
        <v>4</v>
      </c>
      <c r="B27" s="4" t="str">
        <f aca="false">INDEX('Resort Model'!$A$4:$A$43,MATCH(LARGE('Resort Model'!$L$4:$L$43,4),'Resort Model'!$L$4:$L$43,0))</f>
        <v>Park City Mountain</v>
      </c>
      <c r="C27" s="14" t="n">
        <f aca="false">LARGE('Resort Model'!$L$4:$L$43,4)</f>
        <v>255.589297877628</v>
      </c>
      <c r="D27" s="54" t="str">
        <f aca="false">INDEX('Resort Model'!$A$4:$A$43,MATCH(LARGE('Resort Model'!$X$4:$X$43,4),'Resort Model'!$X$4:$X$43,0))</f>
        <v>Whistler Blackcomb</v>
      </c>
      <c r="E27" s="55" t="n">
        <f aca="false">LARGE('Resort Model'!$X$4:$X$43,4)</f>
        <v>240.225</v>
      </c>
    </row>
    <row r="28" customFormat="false" ht="15" hidden="false" customHeight="false" outlineLevel="0" collapsed="false">
      <c r="A28" s="53" t="n">
        <v>5</v>
      </c>
      <c r="B28" s="4" t="str">
        <f aca="false">INDEX('Resort Model'!$A$4:$A$43,MATCH(LARGE('Resort Model'!$L$4:$L$43,5),'Resort Model'!$L$4:$L$43,0))</f>
        <v>Keystone</v>
      </c>
      <c r="C28" s="14" t="n">
        <f aca="false">LARGE('Resort Model'!$L$4:$L$43,5)</f>
        <v>197.875585453647</v>
      </c>
      <c r="D28" s="54" t="str">
        <f aca="false">INDEX('Resort Model'!$A$4:$A$43,MATCH(LARGE('Resort Model'!$X$4:$X$43,5),'Resort Model'!$X$4:$X$43,0))</f>
        <v>Keystone</v>
      </c>
      <c r="E28" s="55" t="n">
        <f aca="false">LARGE('Resort Model'!$X$4:$X$43,5)</f>
        <v>197.875585453647</v>
      </c>
    </row>
    <row r="29" customFormat="false" ht="15" hidden="false" customHeight="false" outlineLevel="0" collapsed="false">
      <c r="A29" s="53" t="n">
        <v>6</v>
      </c>
      <c r="B29" s="4" t="str">
        <f aca="false">INDEX('Resort Model'!$A$4:$A$43,MATCH(LARGE('Resort Model'!$L$4:$L$43,6),'Resort Model'!$L$4:$L$43,0))</f>
        <v>Beaver Creek</v>
      </c>
      <c r="C29" s="14" t="n">
        <f aca="false">LARGE('Resort Model'!$L$4:$L$43,6)</f>
        <v>164.896321211373</v>
      </c>
      <c r="D29" s="54" t="str">
        <f aca="false">INDEX('Resort Model'!$A$4:$A$43,MATCH(LARGE('Resort Model'!$X$4:$X$43,6),'Resort Model'!$X$4:$X$43,0))</f>
        <v>Beaver Creek</v>
      </c>
      <c r="E29" s="55" t="n">
        <f aca="false">LARGE('Resort Model'!$X$4:$X$43,6)</f>
        <v>164.896321211373</v>
      </c>
    </row>
    <row r="30" customFormat="false" ht="15" hidden="false" customHeight="false" outlineLevel="0" collapsed="false">
      <c r="A30" s="53" t="n">
        <v>7</v>
      </c>
      <c r="B30" s="4" t="str">
        <f aca="false">INDEX('Resort Model'!$A$4:$A$43,MATCH(LARGE('Resort Model'!$L$4:$L$43,7),'Resort Model'!$L$4:$L$43,0))</f>
        <v>Heavenly</v>
      </c>
      <c r="C30" s="14" t="n">
        <f aca="false">LARGE('Resort Model'!$L$4:$L$43,7)</f>
        <v>143.459799453894</v>
      </c>
      <c r="D30" s="54" t="str">
        <f aca="false">INDEX('Resort Model'!$A$4:$A$43,MATCH(LARGE('Resort Model'!$X$4:$X$43,7),'Resort Model'!$X$4:$X$43,0))</f>
        <v>Heavenly</v>
      </c>
      <c r="E30" s="55" t="n">
        <f aca="false">LARGE('Resort Model'!$X$4:$X$43,7)</f>
        <v>143.459799453894</v>
      </c>
    </row>
    <row r="31" customFormat="false" ht="15" hidden="false" customHeight="false" outlineLevel="0" collapsed="false">
      <c r="A31" s="53" t="n">
        <v>8</v>
      </c>
      <c r="B31" s="4" t="str">
        <f aca="false">INDEX('Resort Model'!$A$4:$A$43,MATCH(LARGE('Resort Model'!$L$4:$L$43,8),'Resort Model'!$L$4:$L$43,0))</f>
        <v>Northstar</v>
      </c>
      <c r="C31" s="14" t="n">
        <f aca="false">LARGE('Resort Model'!$L$4:$L$43,8)</f>
        <v>112.129498423734</v>
      </c>
      <c r="D31" s="54" t="str">
        <f aca="false">INDEX('Resort Model'!$A$4:$A$43,MATCH(LARGE('Resort Model'!$X$4:$X$43,8),'Resort Model'!$X$4:$X$43,0))</f>
        <v>Northstar</v>
      </c>
      <c r="E31" s="55" t="n">
        <f aca="false">LARGE('Resort Model'!$X$4:$X$43,8)</f>
        <v>112.129498423734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2026-06-16T21:51:34Z</dcterms:created>
  <dc:creator>openpyxl</dc:creator>
  <dc:description/>
  <dc:language>en-US</dc:language>
  <cp:lastModifiedBy/>
  <dcterms:modified xsi:type="dcterms:W3CDTF">2026-06-16T21:51:34Z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