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fan_Com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<sst xmlns="http://schemas.openxmlformats.org/spreadsheetml/2006/main" count="34" uniqueCount="19">
  <si>
    <t xml:space="preserve">K-pop concertgoers are superfans: pay more, sell out</t>
  </si>
  <si>
    <t xml:space="preserve">2025 Pollstar. Metrics derived from totals (avg/show = total/shows; ticket price = gross/tickets). The like-for-like block controls for venue by restricting both sets to Arena + Stadium.</t>
  </si>
  <si>
    <t xml:space="preserve">Metric</t>
  </si>
  <si>
    <t xml:space="preserve">All shows</t>
  </si>
  <si>
    <t xml:space="preserve">Arena + Stadium</t>
  </si>
  <si>
    <t xml:space="preserve">All shows vs K-pop (2025, all venue types)</t>
  </si>
  <si>
    <t xml:space="preserve">Avg gross / show</t>
  </si>
  <si>
    <t xml:space="preserve">K-pop</t>
  </si>
  <si>
    <t xml:space="preserve">K-pop vs all</t>
  </si>
  <si>
    <t xml:space="preserve">Avg tickets / show</t>
  </si>
  <si>
    <t xml:space="preserve">Shows</t>
  </si>
  <si>
    <t xml:space="preserve">Avg ticket price</t>
  </si>
  <si>
    <t xml:space="preserve">Tickets sold</t>
  </si>
  <si>
    <t xml:space="preserve">Capacity sold</t>
  </si>
  <si>
    <t xml:space="preserve">Gross (USD)</t>
  </si>
  <si>
    <t xml:space="preserve">Avg gross / show (USD)</t>
  </si>
  <si>
    <t xml:space="preserve">Avg ticket price (USD)</t>
  </si>
  <si>
    <t xml:space="preserve">Like-for-like: Arena + Stadium only (2025)</t>
  </si>
  <si>
    <t xml:space="preserve">Read: controlling for venue (arena/stadium only), the scale multiples compress (gross/show 6.6x -&gt; 2.1x, tickets/show 4.5x -&gt; 1.7x), but the superfan signals survive: K-pop tickets cost +27% vs the average arena/stadium show ($132 vs $104) and sell 95% of capacity vs 86%. K-pop is also still ~1.5x larger room on average and fills it fuller. Net: 3% of arena/stadium shows, 6.5% of the gross.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</si>
</sst>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#,##0"/>
    <numFmt numFmtId="167" formatCode="0.0%"/>
    <numFmt numFmtId="168" formatCode="\$#,##0"/>
    <numFmt numFmtId="169" formatCode="0.0\x"/>
    <numFmt numFmtId="170" formatCode="\$#,##0.00"/>
    <numFmt numFmtId="171" formatCode="\+0%;\-0%"/>
    <numFmt numFmtId="172" formatCode="0%"/>
    <numFmt numFmtId="173" formatCode="\+0&quot; pts&quot;;\-0&quot; pts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1EF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1EF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K-pop premium vs all shows: all venues vs arena/stadium (multiple)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b4b2a9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185fa5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12862938"/>
        <c:axId val="22400545"/>
      </c:barChart>
      <c:catAx>
        <c:axId val="1286293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multiple of all-genre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00545"/>
        <c:crosses val="autoZero"/>
        <c:auto val="1"/>
        <c:lblAlgn val="ctr"/>
        <c:lblOffset val="100"/>
        <c:noMultiLvlLbl val="0"/>
      </c:catAx>
      <c:valAx>
        <c:axId val="224005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629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18360</xdr:rowOff>
    </xdr:from>
    <xdr:to>
      <xdr:col>12</xdr:col>
      <xdr:colOff>423720</xdr:colOff>
      <xdr:row>37</xdr:row>
      <xdr:rowOff>40680</xdr:rowOff>
    </xdr:to>
    <xdr:graphicFrame>
      <xdr:nvGraphicFramePr>
        <xdr:cNvPr id="0" name="Chart 1"/>
        <xdr:cNvGraphicFramePr/>
      </xdr:nvGraphicFramePr>
      <xdr:xfrm>
        <a:off x="0" y="4381560"/>
        <a:ext cx="68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true" outlineLevel="0" max="7" min="6" style="0" width="13"/>
    <col collapsed="false" customWidth="true" hidden="true" outlineLevel="0" max="12" min="10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J3" s="3" t="s">
        <v>2</v>
      </c>
      <c r="K3" s="3" t="s">
        <v>3</v>
      </c>
      <c r="L3" s="3" t="s">
        <v>4</v>
      </c>
    </row>
    <row r="4" customFormat="false" ht="15" hidden="false" customHeight="false" outlineLevel="0" collapsed="false">
      <c r="A4" s="4" t="s">
        <v>5</v>
      </c>
      <c r="J4" s="5" t="s">
        <v>6</v>
      </c>
      <c r="K4" s="6" t="n">
        <f aca="false">C10/B10</f>
        <v>6.55791771404215</v>
      </c>
      <c r="L4" s="6" t="n">
        <f aca="false">C20/B20</f>
        <v>2.10687123660082</v>
      </c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7</v>
      </c>
      <c r="D5" s="3" t="s">
        <v>8</v>
      </c>
      <c r="J5" s="5" t="s">
        <v>9</v>
      </c>
      <c r="K5" s="6" t="n">
        <f aca="false">C9/B9</f>
        <v>4.54604090617692</v>
      </c>
      <c r="L5" s="6" t="n">
        <f aca="false">C19/B19</f>
        <v>1.65266850098024</v>
      </c>
    </row>
    <row r="6" customFormat="false" ht="15" hidden="false" customHeight="false" outlineLevel="0" collapsed="false">
      <c r="A6" s="7" t="s">
        <v>10</v>
      </c>
      <c r="B6" s="8" t="n">
        <f aca="false">F6</f>
        <v>68803</v>
      </c>
      <c r="C6" s="8" t="n">
        <f aca="false">G6</f>
        <v>514</v>
      </c>
      <c r="D6" s="9" t="n">
        <f aca="false">G6/F6</f>
        <v>0.00747060447945584</v>
      </c>
      <c r="F6" s="0" t="n">
        <v>68803</v>
      </c>
      <c r="G6" s="0" t="n">
        <v>514</v>
      </c>
      <c r="J6" s="5" t="s">
        <v>11</v>
      </c>
      <c r="K6" s="6" t="n">
        <f aca="false">C11/B11</f>
        <v>1.44255580831479</v>
      </c>
      <c r="L6" s="6" t="n">
        <f aca="false">C21/B21</f>
        <v>1.27482991014301</v>
      </c>
    </row>
    <row r="7" customFormat="false" ht="15" hidden="false" customHeight="false" outlineLevel="0" collapsed="false">
      <c r="A7" s="10" t="s">
        <v>12</v>
      </c>
      <c r="B7" s="11" t="n">
        <f aca="false">F7</f>
        <v>217900422</v>
      </c>
      <c r="C7" s="11" t="n">
        <f aca="false">G7</f>
        <v>7400263</v>
      </c>
      <c r="D7" s="12" t="n">
        <f aca="false">G7/F7</f>
        <v>0.0339616735574748</v>
      </c>
      <c r="F7" s="0" t="n">
        <v>217900422</v>
      </c>
      <c r="G7" s="0" t="n">
        <v>7400263</v>
      </c>
      <c r="J7" s="5" t="s">
        <v>13</v>
      </c>
      <c r="K7" s="6" t="n">
        <f aca="false">C12/B12</f>
        <v>1.16049382716049</v>
      </c>
      <c r="L7" s="6" t="n">
        <f aca="false">C22/B22</f>
        <v>1.1046511627907</v>
      </c>
    </row>
    <row r="8" customFormat="false" ht="15" hidden="false" customHeight="false" outlineLevel="0" collapsed="false">
      <c r="A8" s="7" t="s">
        <v>14</v>
      </c>
      <c r="B8" s="13" t="n">
        <f aca="false">F8</f>
        <v>19836205898.55</v>
      </c>
      <c r="C8" s="13" t="n">
        <f aca="false">G8</f>
        <v>971807652.36</v>
      </c>
      <c r="D8" s="9" t="n">
        <f aca="false">G8/F8</f>
        <v>0.0489916094504261</v>
      </c>
      <c r="F8" s="0" t="n">
        <v>19836205898.55</v>
      </c>
      <c r="G8" s="0" t="n">
        <v>971807652.36</v>
      </c>
    </row>
    <row r="9" customFormat="false" ht="15" hidden="false" customHeight="false" outlineLevel="0" collapsed="false">
      <c r="A9" s="10" t="s">
        <v>9</v>
      </c>
      <c r="B9" s="11" t="n">
        <f aca="false">F7/F6</f>
        <v>3167.0191997442</v>
      </c>
      <c r="C9" s="11" t="n">
        <f aca="false">G7/G6</f>
        <v>14397.3988326848</v>
      </c>
      <c r="D9" s="14" t="n">
        <f aca="false">C9/B9</f>
        <v>4.54604090617692</v>
      </c>
    </row>
    <row r="10" customFormat="false" ht="15" hidden="false" customHeight="false" outlineLevel="0" collapsed="false">
      <c r="A10" s="7" t="s">
        <v>15</v>
      </c>
      <c r="B10" s="13" t="n">
        <f aca="false">F8/F6</f>
        <v>288304.374788163</v>
      </c>
      <c r="C10" s="13" t="n">
        <f aca="false">G8/G6</f>
        <v>1890676.36645914</v>
      </c>
      <c r="D10" s="15" t="n">
        <f aca="false">C10/B10</f>
        <v>6.55791771404215</v>
      </c>
    </row>
    <row r="11" customFormat="false" ht="15" hidden="false" customHeight="false" outlineLevel="0" collapsed="false">
      <c r="A11" s="10" t="s">
        <v>16</v>
      </c>
      <c r="B11" s="16" t="n">
        <f aca="false">F8/F7</f>
        <v>91.0333523748293</v>
      </c>
      <c r="C11" s="16" t="n">
        <f aca="false">G8/G7</f>
        <v>131.320691218677</v>
      </c>
      <c r="D11" s="17" t="n">
        <f aca="false">C11/B11-1</f>
        <v>0.44255580831479</v>
      </c>
    </row>
    <row r="12" customFormat="false" ht="15" hidden="false" customHeight="false" outlineLevel="0" collapsed="false">
      <c r="A12" s="7" t="s">
        <v>13</v>
      </c>
      <c r="B12" s="18" t="n">
        <f aca="false">F12</f>
        <v>0.81</v>
      </c>
      <c r="C12" s="18" t="n">
        <f aca="false">G12</f>
        <v>0.94</v>
      </c>
      <c r="D12" s="19" t="n">
        <f aca="false">(C12-B12)*100</f>
        <v>13</v>
      </c>
      <c r="F12" s="0" t="n">
        <v>0.81</v>
      </c>
      <c r="G12" s="0" t="n">
        <v>0.94</v>
      </c>
    </row>
    <row r="14" customFormat="false" ht="15" hidden="false" customHeight="false" outlineLevel="0" collapsed="false">
      <c r="A14" s="4" t="s">
        <v>17</v>
      </c>
    </row>
    <row r="15" customFormat="false" ht="15" hidden="false" customHeight="false" outlineLevel="0" collapsed="false">
      <c r="A15" s="3" t="s">
        <v>2</v>
      </c>
      <c r="B15" s="3" t="s">
        <v>3</v>
      </c>
      <c r="C15" s="3" t="s">
        <v>7</v>
      </c>
      <c r="D15" s="3" t="s">
        <v>8</v>
      </c>
    </row>
    <row r="16" customFormat="false" ht="15" hidden="false" customHeight="false" outlineLevel="0" collapsed="false">
      <c r="A16" s="7" t="s">
        <v>10</v>
      </c>
      <c r="B16" s="8" t="n">
        <f aca="false">F16</f>
        <v>12514</v>
      </c>
      <c r="C16" s="8" t="n">
        <f aca="false">G16</f>
        <v>388</v>
      </c>
      <c r="D16" s="9" t="n">
        <f aca="false">G16/F16</f>
        <v>0.0310052740930158</v>
      </c>
      <c r="F16" s="0" t="n">
        <v>12514</v>
      </c>
      <c r="G16" s="0" t="n">
        <v>388</v>
      </c>
    </row>
    <row r="17" customFormat="false" ht="15" hidden="false" customHeight="false" outlineLevel="0" collapsed="false">
      <c r="A17" s="10" t="s">
        <v>12</v>
      </c>
      <c r="B17" s="11" t="n">
        <f aca="false">F17</f>
        <v>137237498</v>
      </c>
      <c r="C17" s="11" t="n">
        <f aca="false">G17</f>
        <v>7032247</v>
      </c>
      <c r="D17" s="12" t="n">
        <f aca="false">G17/F17</f>
        <v>0.0512414398577858</v>
      </c>
      <c r="F17" s="0" t="n">
        <v>137237498</v>
      </c>
      <c r="G17" s="0" t="n">
        <v>7032247</v>
      </c>
    </row>
    <row r="18" customFormat="false" ht="15" hidden="false" customHeight="false" outlineLevel="0" collapsed="false">
      <c r="A18" s="7" t="s">
        <v>14</v>
      </c>
      <c r="B18" s="13" t="n">
        <f aca="false">F18</f>
        <v>14254866778.21</v>
      </c>
      <c r="C18" s="13" t="n">
        <f aca="false">G18</f>
        <v>931186630.42</v>
      </c>
      <c r="D18" s="9" t="n">
        <f aca="false">G18/F18</f>
        <v>0.0653241201694998</v>
      </c>
      <c r="F18" s="0" t="n">
        <v>14254866778.21</v>
      </c>
      <c r="G18" s="0" t="n">
        <v>931186630.42</v>
      </c>
    </row>
    <row r="19" customFormat="false" ht="15" hidden="false" customHeight="false" outlineLevel="0" collapsed="false">
      <c r="A19" s="10" t="s">
        <v>9</v>
      </c>
      <c r="B19" s="11" t="n">
        <f aca="false">F17/F16</f>
        <v>10966.7171168292</v>
      </c>
      <c r="C19" s="11" t="n">
        <f aca="false">G17/G16</f>
        <v>18124.3479381443</v>
      </c>
      <c r="D19" s="14" t="n">
        <f aca="false">C19/B19</f>
        <v>1.65266850098024</v>
      </c>
    </row>
    <row r="20" customFormat="false" ht="15" hidden="false" customHeight="false" outlineLevel="0" collapsed="false">
      <c r="A20" s="7" t="s">
        <v>15</v>
      </c>
      <c r="B20" s="13" t="n">
        <f aca="false">F18/F16</f>
        <v>1139113.53509749</v>
      </c>
      <c r="C20" s="13" t="n">
        <f aca="false">G18/G16</f>
        <v>2399965.54231959</v>
      </c>
      <c r="D20" s="15" t="n">
        <f aca="false">C20/B20</f>
        <v>2.10687123660082</v>
      </c>
    </row>
    <row r="21" customFormat="false" ht="15" hidden="false" customHeight="false" outlineLevel="0" collapsed="false">
      <c r="A21" s="10" t="s">
        <v>16</v>
      </c>
      <c r="B21" s="16" t="n">
        <f aca="false">F18/F17</f>
        <v>103.870057279899</v>
      </c>
      <c r="C21" s="16" t="n">
        <f aca="false">G18/G17</f>
        <v>132.416655788683</v>
      </c>
      <c r="D21" s="17" t="n">
        <f aca="false">C21/B21-1</f>
        <v>0.274829910143015</v>
      </c>
    </row>
    <row r="22" customFormat="false" ht="15" hidden="false" customHeight="false" outlineLevel="0" collapsed="false">
      <c r="A22" s="7" t="s">
        <v>13</v>
      </c>
      <c r="B22" s="18" t="n">
        <f aca="false">F22</f>
        <v>0.86</v>
      </c>
      <c r="C22" s="18" t="n">
        <f aca="false">G22</f>
        <v>0.95</v>
      </c>
      <c r="D22" s="19" t="n">
        <f aca="false">(C22-B22)*100</f>
        <v>9</v>
      </c>
      <c r="F22" s="0" t="n">
        <v>0.86</v>
      </c>
      <c r="G22" s="0" t="n">
        <v>0.95</v>
      </c>
    </row>
    <row r="40" customFormat="false" ht="15" hidden="false" customHeight="true" outlineLevel="0" collapsed="false">
      <c r="A40" s="20" t="s">
        <v>18</v>
      </c>
      <c r="B40" s="20"/>
      <c r="C40" s="20"/>
      <c r="D40" s="20"/>
    </row>
    <row r="41" customFormat="false" ht="15" hidden="false" customHeight="false" outlineLevel="0" collapsed="false">
      <c r="A41" s="20"/>
      <c r="B41" s="20"/>
      <c r="C41" s="20"/>
      <c r="D41" s="20"/>
    </row>
    <row r="42" customFormat="false" ht="15" hidden="false" customHeight="false" outlineLevel="0" collapsed="false">
      <c r="A42" s="20"/>
      <c r="B42" s="20"/>
      <c r="C42" s="20"/>
      <c r="D42" s="20"/>
    </row>
    <row r="43" customFormat="false" ht="15" hidden="false" customHeight="false" outlineLevel="0" collapsed="false">
      <c r="A43" s="20"/>
      <c r="B43" s="20"/>
      <c r="C43" s="20"/>
      <c r="D43" s="20"/>
    </row>
    <row r="44" customFormat="false" ht="15" hidden="false" customHeight="false" outlineLevel="0" collapsed="false">
      <c r="A44" s="20"/>
      <c r="B44" s="20"/>
      <c r="C44" s="20"/>
      <c r="D44" s="20"/>
    </row>
  </sheetData>
  <mergeCells count="1">
    <mergeCell ref="A40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2026-06-03T15:00:15Z</dcterms:created>
  <dc:creator>openpyxl</dc:creator>
  <dc:description/>
  <dc:language>en-US</dc:language>
  <cp:lastModifiedBy/>
  <dcterms:modified xsi:type="dcterms:W3CDTF">2026-06-03T15:00:19Z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