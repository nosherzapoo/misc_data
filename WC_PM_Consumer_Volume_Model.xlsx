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Method" sheetId="2" state="visible" r:id="rId4"/>
    <sheet name="Inputs" sheetId="3" state="visible" r:id="rId5"/>
    <sheet name="PM Data" sheetId="4" state="visible" r:id="rId6"/>
    <sheet name="Uplift Calc" sheetId="5" state="visible" r:id="rId7"/>
    <sheet name="Consumer Volume" sheetId="6" state="visible" r:id="rId8"/>
    <sheet name="Sensitivity"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<sst xmlns="http://schemas.openxmlformats.org/spreadsheetml/2006/main" count="166" uniqueCount="143">
  <si>
    <t xml:space="preserve">2026 World Cup: Prediction Market Consumer Volume</t>
  </si>
  <si>
    <t xml:space="preserve">Uplift to consumer (retail) trading volume. Observed through 29 Jun 2026.</t>
  </si>
  <si>
    <t xml:space="preserve">KEY RESULTS</t>
  </si>
  <si>
    <t xml:space="preserve">chart data</t>
  </si>
  <si>
    <t xml:space="preserve">Metric</t>
  </si>
  <si>
    <t xml:space="preserve">Value</t>
  </si>
  <si>
    <t xml:space="preserve">Basis</t>
  </si>
  <si>
    <t xml:space="preserve">Consumer to date</t>
  </si>
  <si>
    <t xml:space="preserve">Observed: total-volume uplift, WC weeks</t>
  </si>
  <si>
    <t xml:space="preserve">Hard data (tracked PM venues). 80 percent of it is Kalshi.</t>
  </si>
  <si>
    <t xml:space="preserve">Consumer full (central)</t>
  </si>
  <si>
    <t xml:space="preserve">Observed: consumer-volume uplift to date</t>
  </si>
  <si>
    <t xml:space="preserve">Total-volume uplift times consumer share (central).</t>
  </si>
  <si>
    <t xml:space="preserve">Note low</t>
  </si>
  <si>
    <t xml:space="preserve">Estimated: consumer uplift, full tournament</t>
  </si>
  <si>
    <t xml:space="preserve">Projection to settlement after 19 Jul. Central case.</t>
  </si>
  <si>
    <t xml:space="preserve">Note high</t>
  </si>
  <si>
    <t xml:space="preserve">Sell-side claim (consumer-volume uplift)</t>
  </si>
  <si>
    <t xml:space="preserve">The figure this model tests.</t>
  </si>
  <si>
    <t xml:space="preserve">VERDICT</t>
  </si>
  <si>
    <t xml:space="preserve">The sell-side '5 to 10B consumer-volume uplift' is well supported and, on current data, sits mid band. The observed total-volume surge is large and hard; the load-bearing input is the consumer share of that volume, and because 80 percent of the uplift is Kalshi (the most market-maker heavy, notional double-counted venue), the marginal consumer share is low, which is what keeps the figure in range rather than far above it.</t>
  </si>
  <si>
    <t xml:space="preserve">See the Method tab for the full approach, definitions, limitations and sources.</t>
  </si>
  <si>
    <t xml:space="preserve">Method, Definitions and Limitations</t>
  </si>
  <si>
    <t xml:space="preserve">How the consumer-volume uplift is measured and why it is defensible.</t>
  </si>
  <si>
    <t xml:space="preserve">APPROACH</t>
  </si>
  <si>
    <t xml:space="preserve">Step 1, total volume. The tracked prediction-market universe traded a flat run-rate of about 7.2B per week before the tournament. The counterfactual is that flat pre-tournament run-rate held across the World Cup weeks. Uplift equals actual weekly total volume minus that baseline.</t>
  </si>
  <si>
    <t xml:space="preserve">Why a flat baseline and not a prior-year comparator: unlike sportsbook handle, prediction markets are a young, fast-scaling category with no comparable prior World Cup and no clean seasonal history. The pre-tournament weeks were roughly flat (about 7.2B), so a flat run-rate is the honest baseline. A baseline drift input is available if you prefer a trend.</t>
  </si>
  <si>
    <t xml:space="preserve">Step 2, consumer share. Headline volume is TOTAL notional (it includes the market-maker leg on the other side of every trade, and on Kalshi both sides are counted). Consumer volume is only a fraction of that. We convert the total-volume uplift to a consumer-volume uplift using a consumer share of total, the single most important input.</t>
  </si>
  <si>
    <t xml:space="preserve">Step 3, projection and cross check. The observed uplift is extended across the remaining tournament weeks at a damped pace (the USMNT exit on 6 Jul removes the biggest US audience), then compared with the sell-side 5 to 10B claim.</t>
  </si>
  <si>
    <t xml:space="preserve">DEFINITIONS</t>
  </si>
  <si>
    <t xml:space="preserve">Total volume: total notional traded, grossed up for the market-maker leg (Kalshi counts both sides). Consumer volume: the retail leg only, a fraction of total. Consumer share: consumer divided by total. Uplift: actual minus the flat pre-tournament baseline.</t>
  </si>
  <si>
    <t xml:space="preserve">WHY THE CONSUMER SHARE IS LOW</t>
  </si>
  <si>
    <t xml:space="preserve">DraftKings disclosed its own book at about 42 percent consumer in May, falling toward 30 percent during the World Cup week as its market-making scaled. Kalshi (about 65 percent of the market) and Polymarket are more market-maker and bot driven, and Kalshi notional double-counts both sides, so the industry blended consumer share is well below DraftKings. Critically, 80 percent of the World Cup uplift is Kalshi, so the marginal consumer share of the incremental volume is lower still. A blended 15 to 25 percent is defensible; the model centres on 20 percent.</t>
  </si>
  <si>
    <t xml:space="preserve">KEY LIMITATIONS</t>
  </si>
  <si>
    <t xml:space="preserve">1. Partial tournament. Data covers four complete World Cup weeks through 29 Jun. The week ending 6 Jul is incomplete (data pulled 8 Jul) and is excluded. Full-tournament figures are projections.</t>
  </si>
  <si>
    <t xml:space="preserve">2. Consumer share is a judgement, not a measured split. The tracked data is total notional only; no venue-level consumer and market-maker breakdown exists in it. This is the softest input, so it is the primary axis on the Sensitivity tab.</t>
  </si>
  <si>
    <t xml:space="preserve">3. Notional is not dollars at risk. Total notional overstates real money committed; Kalshi itself notes its notional bears little relationship to fees or dollars at risk. This is precisely why the consumer share, not the headline total, is the meaningful denominator.</t>
  </si>
  <si>
    <t xml:space="preserve">DATA SOURCES</t>
  </si>
  <si>
    <t xml:space="preserve">Weekly PM notional volume by venue (Kalshi, Polymarket, Polymarket US, Crypto.com, Limitless, Opinion, Predict, Hyperliquid): tracked-venue dataset, week ending 6 Jul 2026. DraftKings consumer and market-making split: company disclosures via sell-side note, Jun 2026. World Cup 11 Jun to 19 Jul 2026 (FIFA). Sell-side consumer-volume claim of 5 to 10B: World Cup preview note, Jun 2026.</t>
  </si>
  <si>
    <t xml:space="preserve">Estimates for analytical purposes, not investment advice.</t>
  </si>
  <si>
    <t xml:space="preserve">Inputs</t>
  </si>
  <si>
    <t xml:space="preserve">Blue = you can change it. Yellow = key judgement. Black = derived.</t>
  </si>
  <si>
    <t xml:space="preserve">MODEL INPUTS</t>
  </si>
  <si>
    <t xml:space="preserve">Baseline weekly run-rate (pre WC)</t>
  </si>
  <si>
    <t xml:space="preserve">$B</t>
  </si>
  <si>
    <t xml:space="preserve">Derived: average tracked total volume, weeks ending 13 Apr to 1 Jun (flat pre-tournament).</t>
  </si>
  <si>
    <t xml:space="preserve">Consumer share of total volume</t>
  </si>
  <si>
    <t xml:space="preserve">x</t>
  </si>
  <si>
    <t xml:space="preserve">Judgement and key driver. DK about 42 percent (retail-heavy small book); Kalshi and Polymarket far more MM-driven and double-counted. Blended 15 to 25 percent; central 20.</t>
  </si>
  <si>
    <t xml:space="preserve">Full tournament length (weeks)</t>
  </si>
  <si>
    <t xml:space="preserve">wks</t>
  </si>
  <si>
    <t xml:space="preserve">Derived: (final minus kickoff) / 7. Same basis as the OSB model.</t>
  </si>
  <si>
    <t xml:space="preserve">Observed WC weeks (data)</t>
  </si>
  <si>
    <t xml:space="preserve">Complete post-kickoff weeks ending 15, 22, 29 Jun.</t>
  </si>
  <si>
    <t xml:space="preserve">Remaining-week pace vs to date</t>
  </si>
  <si>
    <t xml:space="preserve">Judgement. USMNT eliminated 6 Jul; knockout and final interest partly offsets loss of US matches.</t>
  </si>
  <si>
    <t xml:space="preserve">World Cup kickoff</t>
  </si>
  <si>
    <t xml:space="preserve">2026-06-11</t>
  </si>
  <si>
    <t xml:space="preserve">date</t>
  </si>
  <si>
    <t xml:space="preserve">Source: FIFA.</t>
  </si>
  <si>
    <t xml:space="preserve">World Cup final</t>
  </si>
  <si>
    <t xml:space="preserve">2026-07-19</t>
  </si>
  <si>
    <t xml:space="preserve">SELL-SIDE CLAIM BEING TESTED ($B)</t>
  </si>
  <si>
    <t xml:space="preserve">Consumer-volume uplift, low</t>
  </si>
  <si>
    <t xml:space="preserve">Sell-side World Cup preview note, Jun 2026.</t>
  </si>
  <si>
    <t xml:space="preserve">Consumer-volume uplift, high</t>
  </si>
  <si>
    <t xml:space="preserve">Midpoint</t>
  </si>
  <si>
    <t xml:space="preserve">Reference for the cross check.</t>
  </si>
  <si>
    <t xml:space="preserve">Prediction Market Weekly Notional Volume: Raw Data</t>
  </si>
  <si>
    <t xml:space="preserve">Tracked venues, total notional ($B). Feeds the baseline and the uplift engine.</t>
  </si>
  <si>
    <t xml:space="preserve">WEEKLY NOTIONAL VOLUME ($B)</t>
  </si>
  <si>
    <t xml:space="preserve">Week ending</t>
  </si>
  <si>
    <t xml:space="preserve">Kalshi</t>
  </si>
  <si>
    <t xml:space="preserve">Polymarket</t>
  </si>
  <si>
    <t xml:space="preserve">Poly US</t>
  </si>
  <si>
    <t xml:space="preserve">Other</t>
  </si>
  <si>
    <t xml:space="preserve">TOTAL</t>
  </si>
  <si>
    <t xml:space="preserve">Note</t>
  </si>
  <si>
    <t xml:space="preserve">2026-04-06</t>
  </si>
  <si>
    <t xml:space="preserve">2026-04-13</t>
  </si>
  <si>
    <t xml:space="preserve">baseline window start</t>
  </si>
  <si>
    <t xml:space="preserve">2026-04-20</t>
  </si>
  <si>
    <t xml:space="preserve">2026-04-27</t>
  </si>
  <si>
    <t xml:space="preserve">2026-05-04</t>
  </si>
  <si>
    <t xml:space="preserve">2026-05-11</t>
  </si>
  <si>
    <t xml:space="preserve">2026-05-18</t>
  </si>
  <si>
    <t xml:space="preserve">2026-05-25</t>
  </si>
  <si>
    <t xml:space="preserve">2026-06-01</t>
  </si>
  <si>
    <t xml:space="preserve">baseline window end (pre kickoff)</t>
  </si>
  <si>
    <t xml:space="preserve">2026-06-08</t>
  </si>
  <si>
    <t xml:space="preserve">pre-kickoff futures build (excluded)</t>
  </si>
  <si>
    <t xml:space="preserve">2026-06-15</t>
  </si>
  <si>
    <t xml:space="preserve">World Cup week</t>
  </si>
  <si>
    <t xml:space="preserve">2026-06-22</t>
  </si>
  <si>
    <t xml:space="preserve">2026-06-29</t>
  </si>
  <si>
    <t xml:space="preserve">2026-07-06</t>
  </si>
  <si>
    <t xml:space="preserve">incomplete week (excluded)</t>
  </si>
  <si>
    <t xml:space="preserve">Total column shaded blue = baseline window; orange = World Cup weeks. Source: tracked-venue weekly notional dataset (week ending 6 Jul 2026).</t>
  </si>
  <si>
    <t xml:space="preserve">Total-Volume Uplift</t>
  </si>
  <si>
    <t xml:space="preserve">Observed World Cup uplift vs the flat pre-tournament baseline. The measured anchor.</t>
  </si>
  <si>
    <t xml:space="preserve">A. UPLIFT ENGINE</t>
  </si>
  <si>
    <t xml:space="preserve">Total volume ($B)</t>
  </si>
  <si>
    <t xml:space="preserve">Baseline ($B)</t>
  </si>
  <si>
    <t xml:space="preserve">Uplift ($B)</t>
  </si>
  <si>
    <t xml:space="preserve">x baseline</t>
  </si>
  <si>
    <t xml:space="preserve">pre-kickoff futures build; excluded for consistency with the OSB window (conservative)</t>
  </si>
  <si>
    <t xml:space="preserve">Total, WC weeks (post kickoff)</t>
  </si>
  <si>
    <t xml:space="preserve">Read: total volume ran about 2.0x to 2.3x the flat pre-tournament baseline across the three complete World Cup weeks (the pre-kickoff week was already 1.4x), an observed uplift of about 23B. This is total notional; the consumer share is applied on the next tab.</t>
  </si>
  <si>
    <t xml:space="preserve">B. EVIDENCE CHART DATA</t>
  </si>
  <si>
    <t xml:space="preserve">Total volume</t>
  </si>
  <si>
    <t xml:space="preserve">Baseline</t>
  </si>
  <si>
    <t xml:space="preserve">Consumer Volume Uplift</t>
  </si>
  <si>
    <t xml:space="preserve">Apply the consumer share to the total-volume uplift, then compare with the sell-side claim.</t>
  </si>
  <si>
    <t xml:space="preserve">A. OBSERVED TO DATE (hard)</t>
  </si>
  <si>
    <t xml:space="preserve">Total-volume uplift, WC weeks</t>
  </si>
  <si>
    <t xml:space="preserve">From Uplift Calc (about 80 percent is Kalshi).</t>
  </si>
  <si>
    <t xml:space="preserve">From Inputs (key judgement).</t>
  </si>
  <si>
    <t xml:space="preserve">Consumer-volume uplift to date</t>
  </si>
  <si>
    <t xml:space="preserve">Total-volume uplift times consumer share.</t>
  </si>
  <si>
    <t xml:space="preserve">B. FULL TOURNAMENT PROJECTION (estimate)</t>
  </si>
  <si>
    <t xml:space="preserve">Full tournament / observed weeks</t>
  </si>
  <si>
    <t xml:space="preserve">Full tournament weeks / complete post-kickoff weeks. Same basis as the OSB model.</t>
  </si>
  <si>
    <t xml:space="preserve">Weekly total-volume uplift</t>
  </si>
  <si>
    <t xml:space="preserve">Average per observed week.</t>
  </si>
  <si>
    <t xml:space="preserve">Projected remaining total uplift</t>
  </si>
  <si>
    <t xml:space="preserve">Weekly uplift times remaining weeks times pace.</t>
  </si>
  <si>
    <t xml:space="preserve">Full total-volume uplift</t>
  </si>
  <si>
    <t xml:space="preserve">Observed plus projected remaining.</t>
  </si>
  <si>
    <t xml:space="preserve">Consumer-volume uplift, full tournament</t>
  </si>
  <si>
    <t xml:space="preserve">Full total-volume uplift times consumer share.</t>
  </si>
  <si>
    <t xml:space="preserve">C. CROSS CHECK vs SELL-SIDE CLAIM</t>
  </si>
  <si>
    <t xml:space="preserve">Sell-side claim range</t>
  </si>
  <si>
    <t xml:space="preserve">The figure being tested.</t>
  </si>
  <si>
    <t xml:space="preserve">Model, full tournament (central)</t>
  </si>
  <si>
    <t xml:space="preserve">This model, central consumer share.</t>
  </si>
  <si>
    <t xml:space="preserve">Implied consumer share at claim midpoint</t>
  </si>
  <si>
    <t xml:space="preserve">Consumer share needed to hit the 7.5B midpoint. Model uses 20 percent.</t>
  </si>
  <si>
    <t xml:space="preserve">Read: at a 20 percent blended consumer share the model lands about 4.7B to date and about 7.4B for the full tournament, squarely inside the 5 to 10B claim. The claim maps to a consumer share of roughly 13 to 27 percent, and the 80 percent Kalshi concentration argues the true marginal share sits in the lower half of that.</t>
  </si>
  <si>
    <t xml:space="preserve">Sensitivity: Consumer Uplift, Full Tournament ($B)</t>
  </si>
  <si>
    <t xml:space="preserve">Rows = consumer share. Columns = remaining-week pace.</t>
  </si>
  <si>
    <t xml:space="preserve">HEATMAP</t>
  </si>
  <si>
    <t xml:space="preserve">Base case (consumer share 0.20, pace 0.70) is the central estimate. Cells landing between 5 and 10 are consistent with the sell-side claim.</t>
  </si>
  <si>
    <t xml:space="preserve">The existence and scale of the total-volume uplift is hard data. The consumer figure is most sensitive to the consumer share, the softest input, which is why it is the row axis.</t>
  </si>
</sst>
</file>

<file path=xl/styles.xml><?xml version="1.0" encoding="utf-8"?>
<styleSheet xmlns="http://schemas.openxmlformats.org/spreadsheetml/2006/main">
  <numFmts count="5">
    <numFmt numFmtId="164" formatCode="General"/>
    <numFmt numFmtId="165" formatCode="\$#,##0.00;&quot;($&quot;#,##0.00\);\-"/>
    <numFmt numFmtId="166" formatCode="0.00\x"/>
    <numFmt numFmtId="167" formatCode="0.0"/>
    <numFmt numFmtId="168" formatCode="0"/>
  </numFmts>
  <fonts count="29">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9"/>
      <color rgb="FF808080"/>
      <name val="Arial"/>
      <family val="0"/>
      <charset val="1"/>
    </font>
    <font>
      <b val="true"/>
      <sz val="11"/>
      <color rgb="FFFFFFFF"/>
      <name val="Arial"/>
      <family val="0"/>
      <charset val="1"/>
    </font>
    <font>
      <i val="true"/>
      <sz val="8"/>
      <color rgb="FF808080"/>
      <name val="Arial"/>
      <family val="0"/>
      <charset val="1"/>
    </font>
    <font>
      <b val="true"/>
      <sz val="10"/>
      <color rgb="FFFFFFFF"/>
      <name val="Arial"/>
      <family val="0"/>
      <charset val="1"/>
    </font>
    <font>
      <sz val="8"/>
      <color rgb="FF808080"/>
      <name val="Arial"/>
      <family val="0"/>
      <charset val="1"/>
    </font>
    <font>
      <sz val="8"/>
      <color rgb="FF000000"/>
      <name val="Arial"/>
      <family val="0"/>
      <charset val="1"/>
    </font>
    <font>
      <sz val="10"/>
      <color rgb="FF000000"/>
      <name val="Arial"/>
      <family val="0"/>
      <charset val="1"/>
    </font>
    <font>
      <b val="true"/>
      <sz val="10"/>
      <color rgb="FF008000"/>
      <name val="Arial"/>
      <family val="0"/>
      <charset val="1"/>
    </font>
    <font>
      <sz val="9"/>
      <color rgb="FF808080"/>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1"/>
      <color rgb="FF1F3864"/>
      <name val="Arial"/>
      <family val="0"/>
      <charset val="1"/>
    </font>
    <font>
      <sz val="10"/>
      <color rgb="FF808080"/>
      <name val="Arial"/>
      <family val="0"/>
      <charset val="1"/>
    </font>
    <font>
      <b val="true"/>
      <sz val="10"/>
      <color rgb="FF000000"/>
      <name val="Arial"/>
      <family val="0"/>
      <charset val="1"/>
    </font>
    <font>
      <sz val="10"/>
      <color rgb="FF0000FF"/>
      <name val="Arial"/>
      <family val="0"/>
      <charset val="1"/>
    </font>
    <font>
      <sz val="9"/>
      <color rgb="FF000000"/>
      <name val="Arial"/>
      <family val="0"/>
      <charset val="1"/>
    </font>
    <font>
      <b val="true"/>
      <sz val="10"/>
      <color rgb="FF0000FF"/>
      <name val="Arial"/>
      <family val="0"/>
      <charset val="1"/>
    </font>
    <font>
      <sz val="9"/>
      <color rgb="FF2E5496"/>
      <name val="Arial"/>
      <family val="0"/>
      <charset val="1"/>
    </font>
    <font>
      <b val="true"/>
      <sz val="9"/>
      <color rgb="FFFFFFFF"/>
      <name val="Arial"/>
      <family val="0"/>
      <charset val="1"/>
    </font>
    <font>
      <i val="true"/>
      <sz val="10"/>
      <color rgb="FF808080"/>
      <name val="Arial"/>
      <family val="0"/>
      <charset val="1"/>
    </font>
    <font>
      <sz val="9"/>
      <color rgb="FF008000"/>
      <name val="Arial"/>
      <family val="0"/>
      <charset val="1"/>
    </font>
    <font>
      <sz val="10"/>
      <color rgb="FF008000"/>
      <name val="Arial"/>
      <family val="0"/>
      <charset val="1"/>
    </font>
    <font>
      <b val="true"/>
      <sz val="9"/>
      <color rgb="FF000000"/>
      <name val="Arial"/>
      <family val="0"/>
      <charset val="1"/>
    </font>
  </fonts>
  <fills count="8">
    <fill>
      <patternFill patternType="none"/>
    </fill>
    <fill>
      <patternFill patternType="gray125"/>
    </fill>
    <fill>
      <patternFill patternType="solid">
        <fgColor rgb="FF1F3864"/>
        <bgColor rgb="FF333333"/>
      </patternFill>
    </fill>
    <fill>
      <patternFill patternType="solid">
        <fgColor rgb="FF2E5496"/>
        <bgColor rgb="FF1F3864"/>
      </patternFill>
    </fill>
    <fill>
      <patternFill patternType="solid">
        <fgColor rgb="FFF2F5FB"/>
        <bgColor rgb="FFFFFFFF"/>
      </patternFill>
    </fill>
    <fill>
      <patternFill patternType="solid">
        <fgColor rgb="FFFFFF00"/>
        <bgColor rgb="FFFFFF00"/>
      </patternFill>
    </fill>
    <fill>
      <patternFill patternType="solid">
        <fgColor rgb="FFD9E1F2"/>
        <bgColor rgb="FFD0D7E5"/>
      </patternFill>
    </fill>
    <fill>
      <patternFill patternType="solid">
        <fgColor rgb="FFFCE4D6"/>
        <bgColor rgb="FFF2F5FB"/>
      </patternFill>
    </fill>
  </fills>
  <borders count="2">
    <border diagonalUp="false" diagonalDown="false">
      <left/>
      <right/>
      <top/>
      <bottom/>
      <diagonal/>
    </border>
    <border diagonalUp="false" diagonalDown="false">
      <left style="thin">
        <color rgb="FFD0D7E5"/>
      </left>
      <right style="thin">
        <color rgb="FFD0D7E5"/>
      </right>
      <top style="thin">
        <color rgb="FFD0D7E5"/>
      </top>
      <bottom style="thin">
        <color rgb="FFD0D7E5"/>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true" applyProtection="false">
      <alignment horizontal="general" vertical="center" textRotation="0" wrapText="false" indent="0" shrinkToFit="false"/>
      <protection locked="true" hidden="false"/>
    </xf>
    <xf numFmtId="164" fontId="6" fillId="3" borderId="0" xfId="0" applyFont="true" applyBorder="true" applyAlignment="true" applyProtection="false">
      <alignment horizontal="left" vertical="center" textRotation="0" wrapText="false" indent="0" shrinkToFit="false"/>
      <protection locked="true" hidden="false"/>
    </xf>
    <xf numFmtId="164" fontId="7" fillId="0" borderId="0" xfId="0" applyFont="true" applyBorder="false" applyAlignment="true" applyProtection="false">
      <alignment horizontal="general" vertical="center" textRotation="0" wrapText="false" indent="0" shrinkToFit="false"/>
      <protection locked="true" hidden="false"/>
    </xf>
    <xf numFmtId="164" fontId="8" fillId="2" borderId="1" xfId="0" applyFont="true" applyBorder="true" applyAlignment="true" applyProtection="false">
      <alignment horizontal="general" vertical="center" textRotation="0" wrapText="false" indent="0" shrinkToFit="false"/>
      <protection locked="true" hidden="false"/>
    </xf>
    <xf numFmtId="164" fontId="8" fillId="2" borderId="1"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5" fontId="10" fillId="0" borderId="0" xfId="0" applyFont="true" applyBorder="false" applyAlignment="true" applyProtection="false">
      <alignment horizontal="general" vertical="center" textRotation="0" wrapText="false" indent="0" shrinkToFit="false"/>
      <protection locked="true" hidden="false"/>
    </xf>
    <xf numFmtId="164" fontId="11" fillId="4" borderId="1" xfId="0" applyFont="true" applyBorder="true" applyAlignment="true" applyProtection="false">
      <alignment horizontal="general" vertical="center" textRotation="0" wrapText="false" indent="0" shrinkToFit="false"/>
      <protection locked="true" hidden="false"/>
    </xf>
    <xf numFmtId="165" fontId="12" fillId="4" borderId="1" xfId="0" applyFont="true" applyBorder="true" applyAlignment="true" applyProtection="false">
      <alignment horizontal="center" vertical="center" textRotation="0" wrapText="false" indent="0" shrinkToFit="false"/>
      <protection locked="true" hidden="false"/>
    </xf>
    <xf numFmtId="164" fontId="13" fillId="4" borderId="1" xfId="0" applyFont="true" applyBorder="true" applyAlignment="true" applyProtection="false">
      <alignment horizontal="general" vertical="center" textRotation="0" wrapText="true" indent="0" shrinkToFit="false"/>
      <protection locked="true" hidden="false"/>
    </xf>
    <xf numFmtId="164" fontId="11" fillId="0" borderId="1" xfId="0" applyFont="true" applyBorder="true" applyAlignment="true" applyProtection="false">
      <alignment horizontal="general" vertical="center" textRotation="0" wrapText="false" indent="0" shrinkToFit="false"/>
      <protection locked="true" hidden="false"/>
    </xf>
    <xf numFmtId="165" fontId="12" fillId="0" borderId="1" xfId="0" applyFont="true" applyBorder="true" applyAlignment="true" applyProtection="false">
      <alignment horizontal="center" vertical="center" textRotation="0" wrapText="false" indent="0" shrinkToFit="false"/>
      <protection locked="true" hidden="false"/>
    </xf>
    <xf numFmtId="164" fontId="13" fillId="0" borderId="1" xfId="0" applyFont="true" applyBorder="true" applyAlignment="true" applyProtection="false">
      <alignment horizontal="general" vertical="center" textRotation="0" wrapText="true" indent="0" shrinkToFit="false"/>
      <protection locked="true" hidden="false"/>
    </xf>
    <xf numFmtId="164" fontId="12" fillId="0" borderId="1" xfId="0" applyFont="true" applyBorder="true" applyAlignment="true" applyProtection="false">
      <alignment horizontal="center" vertical="center" textRotation="0" wrapText="false" indent="0" shrinkToFit="false"/>
      <protection locked="true" hidden="false"/>
    </xf>
    <xf numFmtId="164" fontId="11" fillId="0" borderId="0" xfId="0" applyFont="true" applyBorder="true" applyAlignment="true" applyProtection="false">
      <alignment horizontal="general" vertical="center" textRotation="0" wrapText="true" indent="0" shrinkToFit="false"/>
      <protection locked="true" hidden="false"/>
    </xf>
    <xf numFmtId="164" fontId="4" fillId="2" borderId="0" xfId="0" applyFont="true" applyBorder="false" applyAlignment="true" applyProtection="false">
      <alignment horizontal="left"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17" fillId="0" borderId="0" xfId="0" applyFont="true" applyBorder="false" applyAlignment="true" applyProtection="false">
      <alignment horizontal="general" vertical="center" textRotation="0" wrapText="false" indent="0" shrinkToFit="false"/>
      <protection locked="true" hidden="false"/>
    </xf>
    <xf numFmtId="164" fontId="11" fillId="0" borderId="0" xfId="0" applyFont="true" applyBorder="false" applyAlignment="true" applyProtection="false">
      <alignment horizontal="general" vertical="center" textRotation="0" wrapText="true" indent="0" shrinkToFit="false"/>
      <protection locked="true" hidden="false"/>
    </xf>
    <xf numFmtId="165" fontId="11" fillId="0" borderId="1" xfId="0" applyFont="true" applyBorder="true" applyAlignment="true" applyProtection="false">
      <alignment horizontal="center" vertical="center" textRotation="0" wrapText="false" indent="0" shrinkToFit="false"/>
      <protection locked="true" hidden="false"/>
    </xf>
    <xf numFmtId="164" fontId="18" fillId="0" borderId="1" xfId="0" applyFont="true" applyBorder="true" applyAlignment="true" applyProtection="false">
      <alignment horizontal="center" vertical="center" textRotation="0" wrapText="false" indent="0" shrinkToFit="false"/>
      <protection locked="true" hidden="false"/>
    </xf>
    <xf numFmtId="164" fontId="19" fillId="5" borderId="1" xfId="0" applyFont="true" applyBorder="true" applyAlignment="true" applyProtection="false">
      <alignment horizontal="general" vertical="center" textRotation="0" wrapText="false" indent="0" shrinkToFit="false"/>
      <protection locked="true" hidden="false"/>
    </xf>
    <xf numFmtId="166" fontId="20" fillId="5" borderId="1" xfId="0" applyFont="true" applyBorder="true" applyAlignment="true" applyProtection="false">
      <alignment horizontal="center" vertical="center" textRotation="0" wrapText="false" indent="0" shrinkToFit="false"/>
      <protection locked="true" hidden="false"/>
    </xf>
    <xf numFmtId="167" fontId="11" fillId="0" borderId="1" xfId="0" applyFont="true" applyBorder="true" applyAlignment="true" applyProtection="false">
      <alignment horizontal="center" vertical="center" textRotation="0" wrapText="false" indent="0" shrinkToFit="false"/>
      <protection locked="true" hidden="false"/>
    </xf>
    <xf numFmtId="168" fontId="20" fillId="0" borderId="1" xfId="0" applyFont="true" applyBorder="true" applyAlignment="true" applyProtection="false">
      <alignment horizontal="center" vertical="center" textRotation="0" wrapText="false" indent="0" shrinkToFit="false"/>
      <protection locked="true" hidden="false"/>
    </xf>
    <xf numFmtId="164" fontId="20" fillId="0" borderId="1" xfId="0" applyFont="true" applyBorder="true" applyAlignment="true" applyProtection="false">
      <alignment horizontal="center" vertical="center" textRotation="0" wrapText="false" indent="0" shrinkToFit="false"/>
      <protection locked="true" hidden="false"/>
    </xf>
    <xf numFmtId="165" fontId="20" fillId="0" borderId="1" xfId="0" applyFont="true" applyBorder="true" applyAlignment="true" applyProtection="false">
      <alignment horizontal="center" vertical="center" textRotation="0" wrapText="false" indent="0" shrinkToFit="false"/>
      <protection locked="true" hidden="false"/>
    </xf>
    <xf numFmtId="164" fontId="13" fillId="0" borderId="1" xfId="0" applyFont="true" applyBorder="true" applyAlignment="true" applyProtection="false">
      <alignment horizontal="general" vertical="center" textRotation="0" wrapText="false" indent="0" shrinkToFit="false"/>
      <protection locked="true" hidden="false"/>
    </xf>
    <xf numFmtId="164" fontId="19" fillId="6" borderId="1" xfId="0" applyFont="true" applyBorder="true" applyAlignment="true" applyProtection="false">
      <alignment horizontal="general" vertical="center" textRotation="0" wrapText="false" indent="0" shrinkToFit="false"/>
      <protection locked="true" hidden="false"/>
    </xf>
    <xf numFmtId="165" fontId="19" fillId="6" borderId="1" xfId="0" applyFont="true" applyBorder="true" applyAlignment="true" applyProtection="false">
      <alignment horizontal="center" vertical="center" textRotation="0" wrapText="false" indent="0" shrinkToFit="false"/>
      <protection locked="true" hidden="false"/>
    </xf>
    <xf numFmtId="164" fontId="18" fillId="6" borderId="1" xfId="0" applyFont="true" applyBorder="true" applyAlignment="true" applyProtection="false">
      <alignment horizontal="center" vertical="center" textRotation="0" wrapText="false" indent="0" shrinkToFit="false"/>
      <protection locked="true" hidden="false"/>
    </xf>
    <xf numFmtId="164" fontId="13" fillId="6" borderId="1" xfId="0" applyFont="true" applyBorder="true" applyAlignment="true" applyProtection="false">
      <alignment horizontal="general" vertical="center" textRotation="0" wrapText="false" indent="0" shrinkToFit="false"/>
      <protection locked="true" hidden="false"/>
    </xf>
    <xf numFmtId="164" fontId="21" fillId="0" borderId="1" xfId="0" applyFont="true" applyBorder="true" applyAlignment="true" applyProtection="false">
      <alignment horizontal="center" vertical="center" textRotation="0" wrapText="false" indent="0" shrinkToFit="false"/>
      <protection locked="true" hidden="false"/>
    </xf>
    <xf numFmtId="165" fontId="22" fillId="0" borderId="1" xfId="0" applyFont="true" applyBorder="true" applyAlignment="true" applyProtection="false">
      <alignment horizontal="center" vertical="center" textRotation="0" wrapText="false" indent="0" shrinkToFit="false"/>
      <protection locked="true" hidden="false"/>
    </xf>
    <xf numFmtId="165" fontId="22" fillId="6" borderId="1" xfId="0" applyFont="true" applyBorder="true" applyAlignment="true" applyProtection="false">
      <alignment horizontal="center" vertical="center" textRotation="0" wrapText="false" indent="0" shrinkToFit="false"/>
      <protection locked="true" hidden="false"/>
    </xf>
    <xf numFmtId="165" fontId="22" fillId="7" borderId="1" xfId="0" applyFont="true" applyBorder="true" applyAlignment="true" applyProtection="false">
      <alignment horizontal="center" vertical="center" textRotation="0" wrapText="false" indent="0" shrinkToFit="false"/>
      <protection locked="true" hidden="false"/>
    </xf>
    <xf numFmtId="164" fontId="23" fillId="0" borderId="1" xfId="0" applyFont="true" applyBorder="true" applyAlignment="true" applyProtection="false">
      <alignment horizontal="general" vertical="center" textRotation="0" wrapText="false" indent="0" shrinkToFit="false"/>
      <protection locked="true" hidden="false"/>
    </xf>
    <xf numFmtId="164" fontId="5" fillId="0" borderId="0" xfId="0" applyFont="true" applyBorder="true" applyAlignment="true" applyProtection="false">
      <alignment horizontal="general" vertical="center" textRotation="0" wrapText="true" indent="0" shrinkToFit="false"/>
      <protection locked="true" hidden="false"/>
    </xf>
    <xf numFmtId="164" fontId="2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false" indent="0" shrinkToFit="false"/>
      <protection locked="true" hidden="false"/>
    </xf>
    <xf numFmtId="165" fontId="25" fillId="0" borderId="1" xfId="0" applyFont="true" applyBorder="true" applyAlignment="true" applyProtection="false">
      <alignment horizontal="center" vertical="center" textRotation="0" wrapText="false" indent="0" shrinkToFit="false"/>
      <protection locked="true" hidden="false"/>
    </xf>
    <xf numFmtId="166" fontId="25" fillId="0" borderId="1" xfId="0" applyFont="true" applyBorder="true" applyAlignment="true" applyProtection="false">
      <alignment horizontal="center" vertical="center" textRotation="0" wrapText="false" indent="0" shrinkToFit="false"/>
      <protection locked="true" hidden="false"/>
    </xf>
    <xf numFmtId="164" fontId="26" fillId="0" borderId="1" xfId="0" applyFont="true" applyBorder="true" applyAlignment="true" applyProtection="false">
      <alignment horizontal="center" vertical="center" textRotation="0" wrapText="false" indent="0" shrinkToFit="false"/>
      <protection locked="true" hidden="false"/>
    </xf>
    <xf numFmtId="165" fontId="27" fillId="0" borderId="1" xfId="0" applyFont="true" applyBorder="true" applyAlignment="true" applyProtection="false">
      <alignment horizontal="center" vertical="center" textRotation="0" wrapText="false" indent="0" shrinkToFit="false"/>
      <protection locked="true" hidden="false"/>
    </xf>
    <xf numFmtId="166" fontId="11" fillId="0" borderId="1" xfId="0" applyFont="true" applyBorder="true" applyAlignment="true" applyProtection="false">
      <alignment horizontal="center" vertical="center" textRotation="0" wrapText="false" indent="0" shrinkToFit="false"/>
      <protection locked="true" hidden="false"/>
    </xf>
    <xf numFmtId="165" fontId="19" fillId="6" borderId="1" xfId="0" applyFont="true" applyBorder="true" applyAlignment="true" applyProtection="false">
      <alignment horizontal="general" vertical="center" textRotation="0" wrapText="false" indent="0" shrinkToFit="false"/>
      <protection locked="true" hidden="false"/>
    </xf>
    <xf numFmtId="164" fontId="11" fillId="6" borderId="1" xfId="0" applyFont="true" applyBorder="true" applyAlignment="true" applyProtection="false">
      <alignment horizontal="general" vertical="center" textRotation="0" wrapText="false" indent="0" shrinkToFit="false"/>
      <protection locked="true" hidden="false"/>
    </xf>
    <xf numFmtId="166" fontId="19" fillId="6" borderId="1" xfId="0" applyFont="true" applyBorder="true" applyAlignment="true" applyProtection="false">
      <alignment horizontal="general" vertical="center" textRotation="0" wrapText="false" indent="0" shrinkToFit="false"/>
      <protection locked="true" hidden="false"/>
    </xf>
    <xf numFmtId="164" fontId="28" fillId="0" borderId="1" xfId="0" applyFont="true" applyBorder="true" applyAlignment="true" applyProtection="false">
      <alignment horizontal="center" vertical="center" textRotation="0" wrapText="false" indent="0" shrinkToFit="false"/>
      <protection locked="true" hidden="false"/>
    </xf>
    <xf numFmtId="165" fontId="21" fillId="0" borderId="1" xfId="0" applyFont="true" applyBorder="true" applyAlignment="true" applyProtection="false">
      <alignment horizontal="center" vertical="center" textRotation="0" wrapText="false" indent="0" shrinkToFit="false"/>
      <protection locked="true" hidden="false"/>
    </xf>
    <xf numFmtId="164" fontId="19" fillId="0" borderId="1" xfId="0" applyFont="true" applyBorder="true" applyAlignment="true" applyProtection="false">
      <alignment horizontal="general" vertical="center" textRotation="0" wrapText="false" indent="0" shrinkToFit="false"/>
      <protection locked="true" hidden="false"/>
    </xf>
    <xf numFmtId="166" fontId="27" fillId="0" borderId="1" xfId="0" applyFont="true" applyBorder="true" applyAlignment="true" applyProtection="false">
      <alignment horizontal="center" vertical="center" textRotation="0" wrapText="false" indent="0" shrinkToFit="false"/>
      <protection locked="true" hidden="false"/>
    </xf>
    <xf numFmtId="164" fontId="13" fillId="6" borderId="1" xfId="0" applyFont="true" applyBorder="true" applyAlignment="true" applyProtection="false">
      <alignment horizontal="general" vertical="center" textRotation="0" wrapText="true" indent="0" shrinkToFit="false"/>
      <protection locked="true" hidden="false"/>
    </xf>
    <xf numFmtId="164" fontId="27" fillId="0" borderId="1" xfId="0" applyFont="true" applyBorder="true" applyAlignment="true" applyProtection="false">
      <alignment horizontal="center" vertical="center" textRotation="0" wrapText="false" indent="0" shrinkToFit="false"/>
      <protection locked="true" hidden="false"/>
    </xf>
    <xf numFmtId="165" fontId="19" fillId="0" borderId="1" xfId="0" applyFont="true" applyBorder="true" applyAlignment="true" applyProtection="false">
      <alignment horizontal="center" vertical="center" textRotation="0" wrapText="false" indent="0" shrinkToFit="false"/>
      <protection locked="true" hidden="false"/>
    </xf>
    <xf numFmtId="164" fontId="11" fillId="2" borderId="1" xfId="0" applyFont="true" applyBorder="true" applyAlignment="true" applyProtection="false">
      <alignment horizontal="general" vertical="center" textRotation="0" wrapText="false" indent="0" shrinkToFit="false"/>
      <protection locked="true" hidden="false"/>
    </xf>
    <xf numFmtId="166" fontId="22" fillId="2" borderId="1" xfId="0" applyFont="true" applyBorder="true" applyAlignment="true" applyProtection="false">
      <alignment horizontal="center" vertical="center" textRotation="0" wrapText="false" indent="0" shrinkToFit="false"/>
      <protection locked="true" hidden="false"/>
    </xf>
    <xf numFmtId="166" fontId="22" fillId="6"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3B3B3"/>
      <rgbColor rgb="FF808080"/>
      <rgbColor rgb="FF9999FF"/>
      <rgbColor rgb="FF993366"/>
      <rgbColor rgb="FFF2F5FB"/>
      <rgbColor rgb="FFD9E1F2"/>
      <rgbColor rgb="FF660066"/>
      <rgbColor rgb="FFFF8080"/>
      <rgbColor rgb="FF0066CC"/>
      <rgbColor rgb="FFD0D7E5"/>
      <rgbColor rgb="FF000080"/>
      <rgbColor rgb="FFFF00FF"/>
      <rgbColor rgb="FFFFFF00"/>
      <rgbColor rgb="FF00FFFF"/>
      <rgbColor rgb="FF800080"/>
      <rgbColor rgb="FF800000"/>
      <rgbColor rgb="FF008080"/>
      <rgbColor rgb="FF0000FF"/>
      <rgbColor rgb="FF00CCFF"/>
      <rgbColor rgb="FFCCFFFF"/>
      <rgbColor rgb="FFD9D9D9"/>
      <rgbColor rgb="FFFFFF99"/>
      <rgbColor rgb="FF99CCFF"/>
      <rgbColor rgb="FFFF99CC"/>
      <rgbColor rgb="FFCC99FF"/>
      <rgbColor rgb="FFFCE4D6"/>
      <rgbColor rgb="FF3366FF"/>
      <rgbColor rgb="FF33CCCC"/>
      <rgbColor rgb="FF99CC00"/>
      <rgbColor rgb="FFFFCC00"/>
      <rgbColor rgb="FFFF9900"/>
      <rgbColor rgb="FFFF6600"/>
      <rgbColor rgb="FF4F81BD"/>
      <rgbColor rgb="FF969696"/>
      <rgbColor rgb="FF1F3864"/>
      <rgbColor rgb="FF339966"/>
      <rgbColor rgb="FF003300"/>
      <rgbColor rgb="FF333300"/>
      <rgbColor rgb="FF993300"/>
      <rgbColor rgb="FF993366"/>
      <rgbColor rgb="FF2E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Consumer-volume uplift: model vs claim ($B)</a:t>
            </a:r>
          </a:p>
        </c:rich>
      </c:tx>
      <c:overlay val="0"/>
      <c:spPr>
        <a:noFill/>
        <a:ln w="0">
          <a:noFill/>
        </a:ln>
      </c:spPr>
    </c:title>
    <c:autoTitleDeleted val="0"/>
    <c:plotArea>
      <c:barChart>
        <c:barDir val="bar"/>
        <c:grouping val="clustered"/>
        <c:varyColors val="0"/>
        <c:ser>
          <c:idx val="0"/>
          <c:order val="0"/>
          <c:spPr>
            <a:solidFill>
              <a:srgbClr val="4f81bd"/>
            </a:solidFill>
            <a:ln w="0">
              <a:solidFill>
                <a:srgbClr val="000000"/>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Summary!$K$6:$K$9</c:f>
              <c:strCache>
                <c:ptCount val="4"/>
                <c:pt idx="0">
                  <c:v>Consumer to date</c:v>
                </c:pt>
                <c:pt idx="1">
                  <c:v>Consumer full (central)</c:v>
                </c:pt>
                <c:pt idx="2">
                  <c:v>Note low</c:v>
                </c:pt>
                <c:pt idx="3">
                  <c:v>Note high</c:v>
                </c:pt>
              </c:strCache>
            </c:strRef>
          </c:cat>
          <c:val>
            <c:numRef>
              <c:f>Summary!$L$6:$L$9</c:f>
              <c:numCache>
                <c:formatCode>\$#,##0.00;"($"#,##0.00\);\-</c:formatCode>
                <c:ptCount val="4"/>
                <c:pt idx="0">
                  <c:v>4.70425</c:v>
                </c:pt>
                <c:pt idx="1">
                  <c:v>7.36999166666667</c:v>
                </c:pt>
                <c:pt idx="2">
                  <c:v>5</c:v>
                </c:pt>
                <c:pt idx="3">
                  <c:v>10</c:v>
                </c:pt>
              </c:numCache>
            </c:numRef>
          </c:val>
        </c:ser>
        <c:gapWidth val="150"/>
        <c:overlap val="0"/>
        <c:axId val="99251239"/>
        <c:axId val="76534308"/>
      </c:barChart>
      <c:catAx>
        <c:axId val="99251239"/>
        <c:scaling>
          <c:orientation val="minMax"/>
        </c:scaling>
        <c:delete val="0"/>
        <c:axPos val="b"/>
        <c:title>
          <c:tx>
            <c:rich>
              <a:bodyPr rot="-5400000"/>
              <a:lstStyle/>
              <a:p>
                <a:pPr>
                  <a:defRPr b="1" sz="1000" spc="-1" strike="noStrike">
                    <a:solidFill>
                      <a:srgbClr val="000000"/>
                    </a:solidFill>
                    <a:latin typeface="Calibri"/>
                  </a:defRPr>
                </a:pPr>
                <a:r>
                  <a:rPr b="1" sz="1000" spc="-1" strike="noStrike">
                    <a:solidFill>
                      <a:srgbClr val="000000"/>
                    </a:solidFill>
                    <a:latin typeface="Calibri"/>
                  </a:rPr>
                  <a:t>$B</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76534308"/>
        <c:crosses val="autoZero"/>
        <c:auto val="1"/>
        <c:lblAlgn val="ctr"/>
        <c:lblOffset val="100"/>
        <c:noMultiLvlLbl val="0"/>
      </c:catAx>
      <c:valAx>
        <c:axId val="76534308"/>
        <c:scaling>
          <c:orientation val="minMax"/>
        </c:scaling>
        <c:delete val="0"/>
        <c:axPos val="l"/>
        <c:majorGridlines>
          <c:spPr>
            <a:ln w="0">
              <a:solidFill>
                <a:srgbClr val="b3b3b3"/>
              </a:solidFill>
            </a:ln>
          </c:spPr>
        </c:majorGridlines>
        <c:numFmt formatCode="\$#,##0.00;&quot;($&quot;#,##0.00\);\-"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99251239"/>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PM weekly total volume vs pre-tournament baseline ($B)</a:t>
            </a:r>
          </a:p>
        </c:rich>
      </c:tx>
      <c:overlay val="0"/>
      <c:spPr>
        <a:noFill/>
        <a:ln w="0">
          <a:noFill/>
        </a:ln>
      </c:spPr>
    </c:title>
    <c:autoTitleDeleted val="0"/>
    <c:plotArea>
      <c:barChart>
        <c:barDir val="col"/>
        <c:grouping val="clustered"/>
        <c:varyColors val="0"/>
        <c:ser>
          <c:idx val="0"/>
          <c:order val="0"/>
          <c:tx>
            <c:strRef>
              <c:f>'Uplift Calc'!C16</c:f>
              <c:strCache>
                <c:ptCount val="1"/>
                <c:pt idx="0">
                  <c:v>Total volume</c:v>
                </c:pt>
              </c:strCache>
            </c:strRef>
          </c:tx>
          <c:spPr>
            <a:solidFill>
              <a:srgbClr val="4f81bd"/>
            </a:solidFill>
            <a:ln w="0">
              <a:solidFill>
                <a:srgbClr val="000000"/>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'Uplift Calc'!$B$17:$B$28</c:f>
              <c:strCache>
                <c:ptCount val="12"/>
                <c:pt idx="0">
                  <c:v>2026-04-13</c:v>
                </c:pt>
                <c:pt idx="1">
                  <c:v>2026-04-20</c:v>
                </c:pt>
                <c:pt idx="2">
                  <c:v>2026-04-27</c:v>
                </c:pt>
                <c:pt idx="3">
                  <c:v>2026-05-04</c:v>
                </c:pt>
                <c:pt idx="4">
                  <c:v>2026-05-11</c:v>
                </c:pt>
                <c:pt idx="5">
                  <c:v>2026-05-18</c:v>
                </c:pt>
                <c:pt idx="6">
                  <c:v>2026-05-25</c:v>
                </c:pt>
                <c:pt idx="7">
                  <c:v>2026-06-01</c:v>
                </c:pt>
                <c:pt idx="8">
                  <c:v>2026-06-08</c:v>
                </c:pt>
                <c:pt idx="9">
                  <c:v>2026-06-15</c:v>
                </c:pt>
                <c:pt idx="10">
                  <c:v>2026-06-22</c:v>
                </c:pt>
                <c:pt idx="11">
                  <c:v>2026-06-29</c:v>
                </c:pt>
              </c:strCache>
            </c:strRef>
          </c:cat>
          <c:val>
            <c:numRef>
              <c:f>'Uplift Calc'!$C$17:$C$28</c:f>
              <c:numCache>
                <c:formatCode>\$#,##0.00;"($"#,##0.00\);\-</c:formatCode>
                <c:ptCount val="12"/>
                <c:pt idx="0">
                  <c:v>7.03</c:v>
                </c:pt>
                <c:pt idx="1">
                  <c:v>7.38</c:v>
                </c:pt>
                <c:pt idx="2">
                  <c:v>7.03</c:v>
                </c:pt>
                <c:pt idx="3">
                  <c:v>7.31</c:v>
                </c:pt>
                <c:pt idx="4">
                  <c:v>6.85</c:v>
                </c:pt>
                <c:pt idx="5">
                  <c:v>7</c:v>
                </c:pt>
                <c:pt idx="6">
                  <c:v>7.15</c:v>
                </c:pt>
                <c:pt idx="7">
                  <c:v>7.5</c:v>
                </c:pt>
                <c:pt idx="8">
                  <c:v>9.99</c:v>
                </c:pt>
                <c:pt idx="9">
                  <c:v>13.98</c:v>
                </c:pt>
                <c:pt idx="10">
                  <c:v>14.9</c:v>
                </c:pt>
                <c:pt idx="11">
                  <c:v>16.11</c:v>
                </c:pt>
              </c:numCache>
            </c:numRef>
          </c:val>
        </c:ser>
        <c:gapWidth val="150"/>
        <c:overlap val="0"/>
        <c:axId val="92809379"/>
        <c:axId val="76582345"/>
      </c:barChart>
      <c:lineChart>
        <c:grouping val="standard"/>
        <c:varyColors val="0"/>
        <c:ser>
          <c:idx val="1"/>
          <c:order val="1"/>
          <c:tx>
            <c:strRef>
              <c:f>'Uplift Calc'!D16</c:f>
              <c:strCache>
                <c:ptCount val="1"/>
                <c:pt idx="0">
                  <c:v>Baseline</c:v>
                </c:pt>
              </c:strCache>
            </c:strRef>
          </c:tx>
          <c:spPr>
            <a:solidFill>
              <a:srgbClr val="ffffff"/>
            </a:solidFill>
            <a:ln w="0">
              <a:solidFill>
                <a:srgbClr val="ffffff"/>
              </a:solidFill>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'Uplift Calc'!$B$17:$B$28</c:f>
              <c:strCache>
                <c:ptCount val="12"/>
                <c:pt idx="0">
                  <c:v>2026-04-13</c:v>
                </c:pt>
                <c:pt idx="1">
                  <c:v>2026-04-20</c:v>
                </c:pt>
                <c:pt idx="2">
                  <c:v>2026-04-27</c:v>
                </c:pt>
                <c:pt idx="3">
                  <c:v>2026-05-04</c:v>
                </c:pt>
                <c:pt idx="4">
                  <c:v>2026-05-11</c:v>
                </c:pt>
                <c:pt idx="5">
                  <c:v>2026-05-18</c:v>
                </c:pt>
                <c:pt idx="6">
                  <c:v>2026-05-25</c:v>
                </c:pt>
                <c:pt idx="7">
                  <c:v>2026-06-01</c:v>
                </c:pt>
                <c:pt idx="8">
                  <c:v>2026-06-08</c:v>
                </c:pt>
                <c:pt idx="9">
                  <c:v>2026-06-15</c:v>
                </c:pt>
                <c:pt idx="10">
                  <c:v>2026-06-22</c:v>
                </c:pt>
                <c:pt idx="11">
                  <c:v>2026-06-29</c:v>
                </c:pt>
              </c:strCache>
            </c:strRef>
          </c:cat>
          <c:val>
            <c:numRef>
              <c:f>'Uplift Calc'!$D$17:$D$28</c:f>
              <c:numCache>
                <c:formatCode>\$#,##0.00;"($"#,##0.00\);\-</c:formatCode>
                <c:ptCount val="12"/>
                <c:pt idx="0">
                  <c:v>7.15625</c:v>
                </c:pt>
                <c:pt idx="1">
                  <c:v>7.15625</c:v>
                </c:pt>
                <c:pt idx="2">
                  <c:v>7.15625</c:v>
                </c:pt>
                <c:pt idx="3">
                  <c:v>7.15625</c:v>
                </c:pt>
                <c:pt idx="4">
                  <c:v>7.15625</c:v>
                </c:pt>
                <c:pt idx="5">
                  <c:v>7.15625</c:v>
                </c:pt>
                <c:pt idx="6">
                  <c:v>7.15625</c:v>
                </c:pt>
                <c:pt idx="7">
                  <c:v>7.15625</c:v>
                </c:pt>
                <c:pt idx="8">
                  <c:v>7.15625</c:v>
                </c:pt>
                <c:pt idx="9">
                  <c:v>7.15625</c:v>
                </c:pt>
                <c:pt idx="10">
                  <c:v>7.15625</c:v>
                </c:pt>
                <c:pt idx="11">
                  <c:v>7.15625</c:v>
                </c:pt>
              </c:numCache>
            </c:numRef>
          </c:val>
          <c:smooth val="1"/>
        </c:ser>
        <c:hiLowLines>
          <c:spPr>
            <a:ln w="0">
              <a:noFill/>
            </a:ln>
          </c:spPr>
        </c:hiLowLines>
        <c:marker val="0"/>
        <c:axId val="92809379"/>
        <c:axId val="76582345"/>
      </c:lineChart>
      <c:catAx>
        <c:axId val="92809379"/>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week ending</a:t>
                </a:r>
              </a:p>
            </c:rich>
          </c:tx>
          <c:overlay val="0"/>
          <c:spPr>
            <a:noFill/>
            <a:ln w="0">
              <a:noFill/>
            </a:ln>
          </c:spPr>
        </c:title>
        <c:numFmt formatCode="General"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76582345"/>
        <c:crosses val="autoZero"/>
        <c:auto val="1"/>
        <c:lblAlgn val="ctr"/>
        <c:lblOffset val="100"/>
        <c:noMultiLvlLbl val="0"/>
      </c:catAx>
      <c:valAx>
        <c:axId val="76582345"/>
        <c:scaling>
          <c:orientation val="minMax"/>
        </c:scaling>
        <c:delete val="0"/>
        <c:axPos val="l"/>
        <c:majorGridlines>
          <c:spPr>
            <a:ln w="0">
              <a:solidFill>
                <a:srgbClr val="b3b3b3"/>
              </a:solidFill>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$B</a:t>
                </a:r>
              </a:p>
            </c:rich>
          </c:tx>
          <c:overlay val="0"/>
          <c:spPr>
            <a:noFill/>
            <a:ln w="0">
              <a:noFill/>
            </a:ln>
          </c:spPr>
        </c:title>
        <c:numFmt formatCode="\$#,##0.00;&quot;($&quot;#,##0.00\);\-" sourceLinked="1"/>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92809379"/>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0</xdr:colOff>
      <xdr:row>5</xdr:row>
      <xdr:rowOff>0</xdr:rowOff>
    </xdr:from>
    <xdr:to>
      <xdr:col>12</xdr:col>
      <xdr:colOff>219240</xdr:colOff>
      <xdr:row>12</xdr:row>
      <xdr:rowOff>178200</xdr:rowOff>
    </xdr:to>
    <xdr:graphicFrame>
      <xdr:nvGraphicFramePr>
        <xdr:cNvPr id="0" name="Chart 1"/>
        <xdr:cNvGraphicFramePr/>
      </xdr:nvGraphicFramePr>
      <xdr:xfrm>
        <a:off x="8435520" y="1066680"/>
        <a:ext cx="4499640" cy="21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5</xdr:row>
      <xdr:rowOff>0</xdr:rowOff>
    </xdr:from>
    <xdr:to>
      <xdr:col>17</xdr:col>
      <xdr:colOff>184680</xdr:colOff>
      <xdr:row>18</xdr:row>
      <xdr:rowOff>70920</xdr:rowOff>
    </xdr:to>
    <xdr:graphicFrame>
      <xdr:nvGraphicFramePr>
        <xdr:cNvPr id="1" name="Chart 1"/>
        <xdr:cNvGraphicFramePr/>
      </xdr:nvGraphicFramePr>
      <xdr:xfrm>
        <a:off x="5827320" y="1066680"/>
        <a:ext cx="6299640" cy="3023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1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44"/>
    <col collapsed="false" customWidth="true" hidden="false" outlineLevel="0" max="3" min="3" style="1" width="13"/>
    <col collapsed="false" customWidth="true" hidden="false" outlineLevel="0" max="4" min="4" style="1" width="52"/>
  </cols>
  <sheetData>
    <row r="2" customFormat="false" ht="24" hidden="false" customHeight="true" outlineLevel="0" collapsed="false">
      <c r="B2" s="2" t="s">
        <v>0</v>
      </c>
      <c r="C2" s="2"/>
      <c r="D2" s="2"/>
    </row>
    <row r="3" customFormat="false" ht="15" hidden="false" customHeight="true" outlineLevel="0" collapsed="false">
      <c r="B3" s="3" t="s">
        <v>1</v>
      </c>
      <c r="C3" s="3"/>
      <c r="D3" s="3"/>
    </row>
    <row r="5" customFormat="false" ht="15" hidden="false" customHeight="true" outlineLevel="0" collapsed="false">
      <c r="B5" s="4" t="s">
        <v>2</v>
      </c>
      <c r="C5" s="4"/>
      <c r="D5" s="4"/>
      <c r="K5" s="5" t="s">
        <v>3</v>
      </c>
    </row>
    <row r="6" customFormat="false" ht="15" hidden="false" customHeight="true" outlineLevel="0" collapsed="false">
      <c r="B6" s="6" t="s">
        <v>4</v>
      </c>
      <c r="C6" s="7" t="s">
        <v>5</v>
      </c>
      <c r="D6" s="6" t="s">
        <v>6</v>
      </c>
      <c r="K6" s="8" t="s">
        <v>7</v>
      </c>
      <c r="L6" s="9" t="n">
        <f aca="false">'Consumer Volume'!C8</f>
        <v>4.70425</v>
      </c>
    </row>
    <row r="7" customFormat="false" ht="27.75" hidden="false" customHeight="true" outlineLevel="0" collapsed="false">
      <c r="B7" s="10" t="s">
        <v>8</v>
      </c>
      <c r="C7" s="11" t="n">
        <f aca="false">'Consumer Volume'!C6</f>
        <v>23.52125</v>
      </c>
      <c r="D7" s="12" t="s">
        <v>9</v>
      </c>
      <c r="K7" s="8" t="s">
        <v>10</v>
      </c>
      <c r="L7" s="9" t="n">
        <f aca="false">'Consumer Volume'!C15</f>
        <v>7.36999166666667</v>
      </c>
    </row>
    <row r="8" customFormat="false" ht="27.75" hidden="false" customHeight="true" outlineLevel="0" collapsed="false">
      <c r="B8" s="10" t="s">
        <v>11</v>
      </c>
      <c r="C8" s="11" t="n">
        <f aca="false">'Consumer Volume'!C8</f>
        <v>4.70425</v>
      </c>
      <c r="D8" s="12" t="s">
        <v>12</v>
      </c>
      <c r="K8" s="8" t="s">
        <v>13</v>
      </c>
      <c r="L8" s="9" t="n">
        <f aca="false">Inputs!C14</f>
        <v>5</v>
      </c>
    </row>
    <row r="9" customFormat="false" ht="27.75" hidden="false" customHeight="true" outlineLevel="0" collapsed="false">
      <c r="B9" s="13" t="s">
        <v>14</v>
      </c>
      <c r="C9" s="14" t="n">
        <f aca="false">'Consumer Volume'!C15</f>
        <v>7.36999166666667</v>
      </c>
      <c r="D9" s="15" t="s">
        <v>15</v>
      </c>
      <c r="K9" s="8" t="s">
        <v>16</v>
      </c>
      <c r="L9" s="9" t="n">
        <f aca="false">Inputs!C15</f>
        <v>10</v>
      </c>
    </row>
    <row r="10" customFormat="false" ht="27.75" hidden="false" customHeight="true" outlineLevel="0" collapsed="false">
      <c r="B10" s="13" t="s">
        <v>17</v>
      </c>
      <c r="C10" s="16" t="str">
        <f aca="false">"$"&amp;Inputs!C14&amp;" to $"&amp;Inputs!C15&amp;"B"</f>
        <v>$5 to $10B</v>
      </c>
      <c r="D10" s="15" t="s">
        <v>18</v>
      </c>
    </row>
    <row r="12" customFormat="false" ht="15" hidden="false" customHeight="true" outlineLevel="0" collapsed="false">
      <c r="B12" s="4" t="s">
        <v>19</v>
      </c>
      <c r="C12" s="4"/>
      <c r="D12" s="4"/>
    </row>
    <row r="13" customFormat="false" ht="63.75" hidden="false" customHeight="true" outlineLevel="0" collapsed="false">
      <c r="B13" s="17" t="s">
        <v>20</v>
      </c>
      <c r="C13" s="17"/>
      <c r="D13" s="17"/>
    </row>
    <row r="15" customFormat="false" ht="15" hidden="false" customHeight="true" outlineLevel="0" collapsed="false">
      <c r="B15" s="3" t="s">
        <v>21</v>
      </c>
      <c r="C15" s="3"/>
      <c r="D15" s="3"/>
    </row>
  </sheetData>
  <mergeCells count="6">
    <mergeCell ref="B2:D2"/>
    <mergeCell ref="B3:D3"/>
    <mergeCell ref="B5:D5"/>
    <mergeCell ref="B12:D12"/>
    <mergeCell ref="B13:D13"/>
    <mergeCell ref="B15:D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98"/>
  </cols>
  <sheetData>
    <row r="2" customFormat="false" ht="24" hidden="false" customHeight="true" outlineLevel="0" collapsed="false">
      <c r="B2" s="18" t="s">
        <v>22</v>
      </c>
    </row>
    <row r="3" customFormat="false" ht="15" hidden="false" customHeight="true" outlineLevel="0" collapsed="false">
      <c r="B3" s="19" t="s">
        <v>23</v>
      </c>
    </row>
    <row r="5" customFormat="false" ht="15" hidden="false" customHeight="true" outlineLevel="0" collapsed="false">
      <c r="B5" s="20" t="s">
        <v>24</v>
      </c>
    </row>
    <row r="6" customFormat="false" ht="52.5" hidden="false" customHeight="true" outlineLevel="0" collapsed="false">
      <c r="B6" s="21" t="s">
        <v>25</v>
      </c>
    </row>
    <row r="7" customFormat="false" ht="66" hidden="false" customHeight="true" outlineLevel="0" collapsed="false">
      <c r="B7" s="21" t="s">
        <v>26</v>
      </c>
    </row>
    <row r="8" customFormat="false" ht="66" hidden="false" customHeight="true" outlineLevel="0" collapsed="false">
      <c r="B8" s="21" t="s">
        <v>27</v>
      </c>
    </row>
    <row r="9" customFormat="false" ht="52.5" hidden="false" customHeight="true" outlineLevel="0" collapsed="false">
      <c r="B9" s="21" t="s">
        <v>28</v>
      </c>
    </row>
    <row r="11" customFormat="false" ht="15" hidden="false" customHeight="true" outlineLevel="0" collapsed="false">
      <c r="B11" s="20" t="s">
        <v>29</v>
      </c>
    </row>
    <row r="12" customFormat="false" ht="52.5" hidden="false" customHeight="true" outlineLevel="0" collapsed="false">
      <c r="B12" s="21" t="s">
        <v>30</v>
      </c>
    </row>
    <row r="14" customFormat="false" ht="15" hidden="false" customHeight="true" outlineLevel="0" collapsed="false">
      <c r="B14" s="20" t="s">
        <v>31</v>
      </c>
    </row>
    <row r="15" customFormat="false" ht="91.5" hidden="false" customHeight="true" outlineLevel="0" collapsed="false">
      <c r="B15" s="21" t="s">
        <v>32</v>
      </c>
    </row>
    <row r="17" customFormat="false" ht="15" hidden="false" customHeight="true" outlineLevel="0" collapsed="false">
      <c r="B17" s="20" t="s">
        <v>33</v>
      </c>
    </row>
    <row r="18" customFormat="false" ht="52.5" hidden="false" customHeight="true" outlineLevel="0" collapsed="false">
      <c r="B18" s="21" t="s">
        <v>34</v>
      </c>
    </row>
    <row r="19" customFormat="false" ht="52.5" hidden="false" customHeight="true" outlineLevel="0" collapsed="false">
      <c r="B19" s="21" t="s">
        <v>35</v>
      </c>
    </row>
    <row r="20" customFormat="false" ht="52.5" hidden="false" customHeight="true" outlineLevel="0" collapsed="false">
      <c r="B20" s="21" t="s">
        <v>36</v>
      </c>
    </row>
    <row r="22" customFormat="false" ht="15" hidden="false" customHeight="true" outlineLevel="0" collapsed="false">
      <c r="B22" s="20" t="s">
        <v>37</v>
      </c>
    </row>
    <row r="23" customFormat="false" ht="78.75" hidden="false" customHeight="true" outlineLevel="0" collapsed="false">
      <c r="B23" s="21" t="s">
        <v>38</v>
      </c>
    </row>
    <row r="25" customFormat="false" ht="15" hidden="false" customHeight="true" outlineLevel="0" collapsed="false">
      <c r="B25" s="19" t="s">
        <v>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E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40"/>
    <col collapsed="false" customWidth="true" hidden="false" outlineLevel="0" max="3" min="3" style="1" width="13"/>
    <col collapsed="false" customWidth="true" hidden="false" outlineLevel="0" max="4" min="4" style="1" width="9"/>
    <col collapsed="false" customWidth="true" hidden="false" outlineLevel="0" max="5" min="5" style="1" width="50"/>
  </cols>
  <sheetData>
    <row r="2" customFormat="false" ht="24" hidden="false" customHeight="true" outlineLevel="0" collapsed="false">
      <c r="B2" s="2" t="s">
        <v>40</v>
      </c>
      <c r="C2" s="2"/>
      <c r="D2" s="2"/>
      <c r="E2" s="2"/>
    </row>
    <row r="3" customFormat="false" ht="15" hidden="false" customHeight="true" outlineLevel="0" collapsed="false">
      <c r="B3" s="3" t="s">
        <v>41</v>
      </c>
      <c r="C3" s="3"/>
      <c r="D3" s="3"/>
      <c r="E3" s="3"/>
    </row>
    <row r="4" customFormat="false" ht="15" hidden="false" customHeight="true" outlineLevel="0" collapsed="false">
      <c r="B4" s="4" t="s">
        <v>42</v>
      </c>
      <c r="C4" s="4"/>
      <c r="D4" s="4"/>
      <c r="E4" s="4"/>
    </row>
    <row r="5" customFormat="false" ht="33.75" hidden="false" customHeight="true" outlineLevel="0" collapsed="false">
      <c r="B5" s="13" t="s">
        <v>43</v>
      </c>
      <c r="C5" s="22" t="n">
        <f aca="false">AVERAGE('PM Data'!G7:G14)</f>
        <v>7.15625</v>
      </c>
      <c r="D5" s="23" t="s">
        <v>44</v>
      </c>
      <c r="E5" s="15" t="s">
        <v>45</v>
      </c>
    </row>
    <row r="6" customFormat="false" ht="33.75" hidden="false" customHeight="true" outlineLevel="0" collapsed="false">
      <c r="B6" s="24" t="s">
        <v>46</v>
      </c>
      <c r="C6" s="25" t="n">
        <v>0.2</v>
      </c>
      <c r="D6" s="23" t="s">
        <v>47</v>
      </c>
      <c r="E6" s="15" t="s">
        <v>48</v>
      </c>
    </row>
    <row r="7" customFormat="false" ht="33.75" hidden="false" customHeight="true" outlineLevel="0" collapsed="false">
      <c r="B7" s="13" t="s">
        <v>49</v>
      </c>
      <c r="C7" s="26" t="n">
        <f aca="false">(DATE(2026,7,19)-DATE(2026,6,11))/7</f>
        <v>5.42857142857143</v>
      </c>
      <c r="D7" s="23" t="s">
        <v>50</v>
      </c>
      <c r="E7" s="15" t="s">
        <v>51</v>
      </c>
    </row>
    <row r="8" customFormat="false" ht="21.75" hidden="false" customHeight="true" outlineLevel="0" collapsed="false">
      <c r="B8" s="13" t="s">
        <v>52</v>
      </c>
      <c r="C8" s="27" t="n">
        <v>3</v>
      </c>
      <c r="D8" s="23" t="s">
        <v>50</v>
      </c>
      <c r="E8" s="15" t="s">
        <v>53</v>
      </c>
    </row>
    <row r="9" customFormat="false" ht="33.75" hidden="false" customHeight="true" outlineLevel="0" collapsed="false">
      <c r="B9" s="24" t="s">
        <v>54</v>
      </c>
      <c r="C9" s="25" t="n">
        <v>0.7</v>
      </c>
      <c r="D9" s="23" t="s">
        <v>47</v>
      </c>
      <c r="E9" s="15" t="s">
        <v>55</v>
      </c>
    </row>
    <row r="10" customFormat="false" ht="21.75" hidden="false" customHeight="true" outlineLevel="0" collapsed="false">
      <c r="B10" s="13" t="s">
        <v>56</v>
      </c>
      <c r="C10" s="28" t="s">
        <v>57</v>
      </c>
      <c r="D10" s="23" t="s">
        <v>58</v>
      </c>
      <c r="E10" s="15" t="s">
        <v>59</v>
      </c>
    </row>
    <row r="11" customFormat="false" ht="21.75" hidden="false" customHeight="true" outlineLevel="0" collapsed="false">
      <c r="B11" s="13" t="s">
        <v>60</v>
      </c>
      <c r="C11" s="28" t="s">
        <v>61</v>
      </c>
      <c r="D11" s="23" t="s">
        <v>58</v>
      </c>
      <c r="E11" s="15" t="s">
        <v>59</v>
      </c>
    </row>
    <row r="13" customFormat="false" ht="15" hidden="false" customHeight="true" outlineLevel="0" collapsed="false">
      <c r="B13" s="4" t="s">
        <v>62</v>
      </c>
      <c r="C13" s="4"/>
      <c r="D13" s="4"/>
      <c r="E13" s="4"/>
    </row>
    <row r="14" customFormat="false" ht="15" hidden="false" customHeight="true" outlineLevel="0" collapsed="false">
      <c r="B14" s="13" t="s">
        <v>63</v>
      </c>
      <c r="C14" s="29" t="n">
        <v>5</v>
      </c>
      <c r="D14" s="23" t="s">
        <v>44</v>
      </c>
      <c r="E14" s="30" t="s">
        <v>64</v>
      </c>
    </row>
    <row r="15" customFormat="false" ht="15" hidden="false" customHeight="true" outlineLevel="0" collapsed="false">
      <c r="B15" s="13" t="s">
        <v>65</v>
      </c>
      <c r="C15" s="29" t="n">
        <v>10</v>
      </c>
      <c r="D15" s="23" t="s">
        <v>44</v>
      </c>
      <c r="E15" s="30" t="s">
        <v>64</v>
      </c>
    </row>
    <row r="16" customFormat="false" ht="15" hidden="false" customHeight="true" outlineLevel="0" collapsed="false">
      <c r="B16" s="31" t="s">
        <v>66</v>
      </c>
      <c r="C16" s="32" t="n">
        <f aca="false">AVERAGE(C14:C15)</f>
        <v>7.5</v>
      </c>
      <c r="D16" s="33" t="s">
        <v>44</v>
      </c>
      <c r="E16" s="34" t="s">
        <v>67</v>
      </c>
    </row>
  </sheetData>
  <mergeCells count="4">
    <mergeCell ref="B2:E2"/>
    <mergeCell ref="B3:E3"/>
    <mergeCell ref="B4:E4"/>
    <mergeCell ref="B13:E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14"/>
    <col collapsed="false" customWidth="true" hidden="false" outlineLevel="0" max="3" min="3" style="1" width="11"/>
    <col collapsed="false" customWidth="true" hidden="false" outlineLevel="0" max="4" min="4" style="1" width="12"/>
    <col collapsed="false" customWidth="true" hidden="false" outlineLevel="0" max="5" min="5" style="1" width="11"/>
    <col collapsed="false" customWidth="true" hidden="false" outlineLevel="0" max="6" min="6" style="1" width="10"/>
    <col collapsed="false" customWidth="true" hidden="false" outlineLevel="0" max="7" min="7" style="1" width="11"/>
    <col collapsed="false" customWidth="true" hidden="false" outlineLevel="0" max="8" min="8" style="1" width="40"/>
  </cols>
  <sheetData>
    <row r="2" customFormat="false" ht="24" hidden="false" customHeight="true" outlineLevel="0" collapsed="false">
      <c r="B2" s="2" t="s">
        <v>68</v>
      </c>
      <c r="C2" s="2"/>
      <c r="D2" s="2"/>
      <c r="E2" s="2"/>
      <c r="F2" s="2"/>
      <c r="G2" s="2"/>
      <c r="H2" s="2"/>
    </row>
    <row r="3" customFormat="false" ht="15" hidden="false" customHeight="true" outlineLevel="0" collapsed="false">
      <c r="B3" s="3" t="s">
        <v>69</v>
      </c>
      <c r="C3" s="3"/>
      <c r="D3" s="3"/>
      <c r="E3" s="3"/>
      <c r="F3" s="3"/>
      <c r="G3" s="3"/>
      <c r="H3" s="3"/>
    </row>
    <row r="4" customFormat="false" ht="15" hidden="false" customHeight="true" outlineLevel="0" collapsed="false">
      <c r="B4" s="4" t="s">
        <v>70</v>
      </c>
      <c r="C4" s="4"/>
      <c r="D4" s="4"/>
      <c r="E4" s="4"/>
      <c r="F4" s="4"/>
      <c r="G4" s="4"/>
      <c r="H4" s="4"/>
    </row>
    <row r="5" customFormat="false" ht="15" hidden="false" customHeight="true" outlineLevel="0" collapsed="false">
      <c r="B5" s="7" t="s">
        <v>71</v>
      </c>
      <c r="C5" s="7" t="s">
        <v>72</v>
      </c>
      <c r="D5" s="7" t="s">
        <v>73</v>
      </c>
      <c r="E5" s="7" t="s">
        <v>74</v>
      </c>
      <c r="F5" s="7" t="s">
        <v>75</v>
      </c>
      <c r="G5" s="7" t="s">
        <v>76</v>
      </c>
      <c r="H5" s="6" t="s">
        <v>77</v>
      </c>
    </row>
    <row r="6" customFormat="false" ht="15" hidden="false" customHeight="true" outlineLevel="0" collapsed="false">
      <c r="B6" s="35" t="s">
        <v>78</v>
      </c>
      <c r="C6" s="29" t="n">
        <v>3.54</v>
      </c>
      <c r="D6" s="29" t="n">
        <v>2.48</v>
      </c>
      <c r="E6" s="29" t="n">
        <v>0.48</v>
      </c>
      <c r="F6" s="29" t="n">
        <v>0.71</v>
      </c>
      <c r="G6" s="36" t="n">
        <v>7.21</v>
      </c>
      <c r="H6" s="30"/>
    </row>
    <row r="7" customFormat="false" ht="15" hidden="false" customHeight="true" outlineLevel="0" collapsed="false">
      <c r="B7" s="35" t="s">
        <v>79</v>
      </c>
      <c r="C7" s="29" t="n">
        <v>3.06</v>
      </c>
      <c r="D7" s="29" t="n">
        <v>2.04</v>
      </c>
      <c r="E7" s="29" t="n">
        <v>0.2</v>
      </c>
      <c r="F7" s="29" t="n">
        <v>1.73</v>
      </c>
      <c r="G7" s="37" t="n">
        <v>7.03</v>
      </c>
      <c r="H7" s="30" t="s">
        <v>80</v>
      </c>
    </row>
    <row r="8" customFormat="false" ht="15" hidden="false" customHeight="true" outlineLevel="0" collapsed="false">
      <c r="B8" s="35" t="s">
        <v>81</v>
      </c>
      <c r="C8" s="29" t="n">
        <v>3.91</v>
      </c>
      <c r="D8" s="29" t="n">
        <v>1.96</v>
      </c>
      <c r="E8" s="29" t="n">
        <v>0.25</v>
      </c>
      <c r="F8" s="29" t="n">
        <v>1.26</v>
      </c>
      <c r="G8" s="37" t="n">
        <v>7.38</v>
      </c>
      <c r="H8" s="30"/>
    </row>
    <row r="9" customFormat="false" ht="15" hidden="false" customHeight="true" outlineLevel="0" collapsed="false">
      <c r="B9" s="35" t="s">
        <v>82</v>
      </c>
      <c r="C9" s="29" t="n">
        <v>3.81</v>
      </c>
      <c r="D9" s="29" t="n">
        <v>1.71</v>
      </c>
      <c r="E9" s="29" t="n">
        <v>0.3</v>
      </c>
      <c r="F9" s="29" t="n">
        <v>1.21</v>
      </c>
      <c r="G9" s="37" t="n">
        <v>7.03</v>
      </c>
      <c r="H9" s="30"/>
    </row>
    <row r="10" customFormat="false" ht="15" hidden="false" customHeight="true" outlineLevel="0" collapsed="false">
      <c r="B10" s="35" t="s">
        <v>83</v>
      </c>
      <c r="C10" s="29" t="n">
        <v>4.13</v>
      </c>
      <c r="D10" s="29" t="n">
        <v>1.6</v>
      </c>
      <c r="E10" s="29" t="n">
        <v>0.33</v>
      </c>
      <c r="F10" s="29" t="n">
        <v>1.24</v>
      </c>
      <c r="G10" s="37" t="n">
        <v>7.31</v>
      </c>
      <c r="H10" s="30"/>
    </row>
    <row r="11" customFormat="false" ht="15" hidden="false" customHeight="true" outlineLevel="0" collapsed="false">
      <c r="B11" s="35" t="s">
        <v>84</v>
      </c>
      <c r="C11" s="29" t="n">
        <v>3.86</v>
      </c>
      <c r="D11" s="29" t="n">
        <v>1.58</v>
      </c>
      <c r="E11" s="29" t="n">
        <v>0.42</v>
      </c>
      <c r="F11" s="29" t="n">
        <v>0.99</v>
      </c>
      <c r="G11" s="37" t="n">
        <v>6.85</v>
      </c>
      <c r="H11" s="30"/>
    </row>
    <row r="12" customFormat="false" ht="15" hidden="false" customHeight="true" outlineLevel="0" collapsed="false">
      <c r="B12" s="35" t="s">
        <v>85</v>
      </c>
      <c r="C12" s="29" t="n">
        <v>4.03</v>
      </c>
      <c r="D12" s="29" t="n">
        <v>1.64</v>
      </c>
      <c r="E12" s="29" t="n">
        <v>0.45</v>
      </c>
      <c r="F12" s="29" t="n">
        <v>0.88</v>
      </c>
      <c r="G12" s="37" t="n">
        <v>7</v>
      </c>
      <c r="H12" s="30"/>
    </row>
    <row r="13" customFormat="false" ht="15" hidden="false" customHeight="true" outlineLevel="0" collapsed="false">
      <c r="B13" s="35" t="s">
        <v>86</v>
      </c>
      <c r="C13" s="29" t="n">
        <v>4.2</v>
      </c>
      <c r="D13" s="29" t="n">
        <v>1.67</v>
      </c>
      <c r="E13" s="29" t="n">
        <v>0.44</v>
      </c>
      <c r="F13" s="29" t="n">
        <v>0.84</v>
      </c>
      <c r="G13" s="37" t="n">
        <v>7.15</v>
      </c>
      <c r="H13" s="30"/>
    </row>
    <row r="14" customFormat="false" ht="15" hidden="false" customHeight="true" outlineLevel="0" collapsed="false">
      <c r="B14" s="35" t="s">
        <v>87</v>
      </c>
      <c r="C14" s="29" t="n">
        <v>4.46</v>
      </c>
      <c r="D14" s="29" t="n">
        <v>1.91</v>
      </c>
      <c r="E14" s="29" t="n">
        <v>0.5</v>
      </c>
      <c r="F14" s="29" t="n">
        <v>0.63</v>
      </c>
      <c r="G14" s="37" t="n">
        <v>7.5</v>
      </c>
      <c r="H14" s="30" t="s">
        <v>88</v>
      </c>
    </row>
    <row r="15" customFormat="false" ht="15" hidden="false" customHeight="true" outlineLevel="0" collapsed="false">
      <c r="B15" s="35" t="s">
        <v>89</v>
      </c>
      <c r="C15" s="29" t="n">
        <v>6.38</v>
      </c>
      <c r="D15" s="29" t="n">
        <v>2.33</v>
      </c>
      <c r="E15" s="29" t="n">
        <v>0.69</v>
      </c>
      <c r="F15" s="29" t="n">
        <v>0.59</v>
      </c>
      <c r="G15" s="36" t="n">
        <v>9.99</v>
      </c>
      <c r="H15" s="30" t="s">
        <v>90</v>
      </c>
    </row>
    <row r="16" customFormat="false" ht="15" hidden="false" customHeight="true" outlineLevel="0" collapsed="false">
      <c r="B16" s="35" t="s">
        <v>91</v>
      </c>
      <c r="C16" s="29" t="n">
        <v>8.99</v>
      </c>
      <c r="D16" s="29" t="n">
        <v>2.94</v>
      </c>
      <c r="E16" s="29" t="n">
        <v>1.19</v>
      </c>
      <c r="F16" s="29" t="n">
        <v>0.87</v>
      </c>
      <c r="G16" s="38" t="n">
        <v>13.98</v>
      </c>
      <c r="H16" s="39" t="s">
        <v>92</v>
      </c>
    </row>
    <row r="17" customFormat="false" ht="15" hidden="false" customHeight="true" outlineLevel="0" collapsed="false">
      <c r="B17" s="35" t="s">
        <v>93</v>
      </c>
      <c r="C17" s="29" t="n">
        <v>10.26</v>
      </c>
      <c r="D17" s="29" t="n">
        <v>2.67</v>
      </c>
      <c r="E17" s="29" t="n">
        <v>1.15</v>
      </c>
      <c r="F17" s="29" t="n">
        <v>0.82</v>
      </c>
      <c r="G17" s="38" t="n">
        <v>14.9</v>
      </c>
      <c r="H17" s="39" t="s">
        <v>92</v>
      </c>
    </row>
    <row r="18" customFormat="false" ht="15" hidden="false" customHeight="true" outlineLevel="0" collapsed="false">
      <c r="B18" s="35" t="s">
        <v>94</v>
      </c>
      <c r="C18" s="29" t="n">
        <v>11.11</v>
      </c>
      <c r="D18" s="29" t="n">
        <v>2.9</v>
      </c>
      <c r="E18" s="29" t="n">
        <v>1.26</v>
      </c>
      <c r="F18" s="29" t="n">
        <v>0.84</v>
      </c>
      <c r="G18" s="38" t="n">
        <v>16.11</v>
      </c>
      <c r="H18" s="39" t="s">
        <v>92</v>
      </c>
    </row>
    <row r="19" customFormat="false" ht="15" hidden="false" customHeight="true" outlineLevel="0" collapsed="false">
      <c r="B19" s="35" t="s">
        <v>95</v>
      </c>
      <c r="C19" s="29" t="n">
        <v>3.11</v>
      </c>
      <c r="D19" s="29" t="n">
        <v>1.06</v>
      </c>
      <c r="E19" s="29" t="n">
        <v>0.33</v>
      </c>
      <c r="F19" s="29" t="n">
        <v>0.33</v>
      </c>
      <c r="G19" s="36" t="n">
        <v>4.83</v>
      </c>
      <c r="H19" s="30" t="s">
        <v>96</v>
      </c>
    </row>
    <row r="21" customFormat="false" ht="15" hidden="false" customHeight="true" outlineLevel="0" collapsed="false">
      <c r="B21" s="40" t="s">
        <v>97</v>
      </c>
      <c r="C21" s="40"/>
      <c r="D21" s="40"/>
      <c r="E21" s="40"/>
      <c r="F21" s="40"/>
      <c r="G21" s="40"/>
      <c r="H21" s="40"/>
    </row>
    <row r="22" customFormat="false" ht="15" hidden="false" customHeight="true" outlineLevel="0" collapsed="false">
      <c r="B22" s="40"/>
      <c r="C22" s="40"/>
      <c r="D22" s="40"/>
      <c r="E22" s="40"/>
      <c r="F22" s="40"/>
      <c r="G22" s="40"/>
      <c r="H22" s="40"/>
    </row>
  </sheetData>
  <mergeCells count="4">
    <mergeCell ref="B2:H2"/>
    <mergeCell ref="B3:H3"/>
    <mergeCell ref="B4:H4"/>
    <mergeCell ref="B21:H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14"/>
    <col collapsed="false" customWidth="true" hidden="false" outlineLevel="0" max="4" min="3" style="1" width="16"/>
    <col collapsed="false" customWidth="true" hidden="false" outlineLevel="0" max="5" min="5" style="1" width="14"/>
    <col collapsed="false" customWidth="true" hidden="false" outlineLevel="0" max="6" min="6" style="1" width="12"/>
  </cols>
  <sheetData>
    <row r="2" customFormat="false" ht="24" hidden="false" customHeight="true" outlineLevel="0" collapsed="false">
      <c r="B2" s="2" t="s">
        <v>98</v>
      </c>
      <c r="C2" s="2"/>
      <c r="D2" s="2"/>
      <c r="E2" s="2"/>
      <c r="F2" s="2"/>
      <c r="G2" s="2"/>
    </row>
    <row r="3" customFormat="false" ht="15" hidden="false" customHeight="true" outlineLevel="0" collapsed="false">
      <c r="B3" s="3" t="s">
        <v>99</v>
      </c>
      <c r="C3" s="3"/>
      <c r="D3" s="3"/>
      <c r="E3" s="3"/>
      <c r="F3" s="3"/>
      <c r="G3" s="3"/>
    </row>
    <row r="4" customFormat="false" ht="15" hidden="false" customHeight="true" outlineLevel="0" collapsed="false">
      <c r="B4" s="4" t="s">
        <v>100</v>
      </c>
      <c r="C4" s="4"/>
      <c r="D4" s="4"/>
      <c r="E4" s="4"/>
      <c r="F4" s="4"/>
      <c r="G4" s="4"/>
    </row>
    <row r="6" customFormat="false" ht="25.5" hidden="false" customHeight="true" outlineLevel="0" collapsed="false">
      <c r="B6" s="41" t="s">
        <v>71</v>
      </c>
      <c r="C6" s="41" t="s">
        <v>101</v>
      </c>
      <c r="D6" s="41" t="s">
        <v>102</v>
      </c>
      <c r="E6" s="41" t="s">
        <v>103</v>
      </c>
      <c r="F6" s="41" t="s">
        <v>104</v>
      </c>
    </row>
    <row r="7" customFormat="false" ht="15" hidden="false" customHeight="true" outlineLevel="0" collapsed="false">
      <c r="B7" s="42" t="str">
        <f aca="false">'PM Data'!B15</f>
        <v>2026-06-08</v>
      </c>
      <c r="C7" s="43" t="n">
        <f aca="false">'PM Data'!G15</f>
        <v>9.99</v>
      </c>
      <c r="D7" s="43" t="n">
        <f aca="false">Inputs!C5</f>
        <v>7.15625</v>
      </c>
      <c r="E7" s="43" t="n">
        <f aca="false">C7-D7</f>
        <v>2.83375</v>
      </c>
      <c r="F7" s="44" t="n">
        <f aca="false">C7/D7</f>
        <v>1.39598253275109</v>
      </c>
      <c r="G7" s="19" t="s">
        <v>105</v>
      </c>
    </row>
    <row r="8" customFormat="false" ht="15" hidden="false" customHeight="true" outlineLevel="0" collapsed="false">
      <c r="B8" s="45" t="str">
        <f aca="false">'PM Data'!B16</f>
        <v>2026-06-15</v>
      </c>
      <c r="C8" s="46" t="n">
        <f aca="false">'PM Data'!G16</f>
        <v>13.98</v>
      </c>
      <c r="D8" s="46" t="n">
        <f aca="false">Inputs!C5</f>
        <v>7.15625</v>
      </c>
      <c r="E8" s="22" t="n">
        <f aca="false">C8-D8</f>
        <v>6.82375</v>
      </c>
      <c r="F8" s="47" t="n">
        <f aca="false">C8/D8</f>
        <v>1.95353711790393</v>
      </c>
    </row>
    <row r="9" customFormat="false" ht="15" hidden="false" customHeight="true" outlineLevel="0" collapsed="false">
      <c r="B9" s="45" t="str">
        <f aca="false">'PM Data'!B17</f>
        <v>2026-06-22</v>
      </c>
      <c r="C9" s="46" t="n">
        <f aca="false">'PM Data'!G17</f>
        <v>14.9</v>
      </c>
      <c r="D9" s="46" t="n">
        <f aca="false">Inputs!C5</f>
        <v>7.15625</v>
      </c>
      <c r="E9" s="22" t="n">
        <f aca="false">C9-D9</f>
        <v>7.74375</v>
      </c>
      <c r="F9" s="47" t="n">
        <f aca="false">C9/D9</f>
        <v>2.082096069869</v>
      </c>
    </row>
    <row r="10" customFormat="false" ht="15" hidden="false" customHeight="true" outlineLevel="0" collapsed="false">
      <c r="B10" s="45" t="str">
        <f aca="false">'PM Data'!B18</f>
        <v>2026-06-29</v>
      </c>
      <c r="C10" s="46" t="n">
        <f aca="false">'PM Data'!G18</f>
        <v>16.11</v>
      </c>
      <c r="D10" s="46" t="n">
        <f aca="false">Inputs!C5</f>
        <v>7.15625</v>
      </c>
      <c r="E10" s="22" t="n">
        <f aca="false">C10-D10</f>
        <v>8.95375</v>
      </c>
      <c r="F10" s="47" t="n">
        <f aca="false">C10/D10</f>
        <v>2.25117903930131</v>
      </c>
    </row>
    <row r="11" customFormat="false" ht="15" hidden="false" customHeight="true" outlineLevel="0" collapsed="false">
      <c r="B11" s="31" t="s">
        <v>106</v>
      </c>
      <c r="C11" s="48" t="n">
        <f aca="false">SUM(C8:C10)</f>
        <v>44.99</v>
      </c>
      <c r="D11" s="49"/>
      <c r="E11" s="48" t="n">
        <f aca="false">SUM(E8:E10)</f>
        <v>23.52125</v>
      </c>
      <c r="F11" s="50" t="n">
        <f aca="false">C11/(D8*3)</f>
        <v>2.09560407569141</v>
      </c>
    </row>
    <row r="13" customFormat="false" ht="42" hidden="false" customHeight="true" outlineLevel="0" collapsed="false">
      <c r="B13" s="17" t="s">
        <v>107</v>
      </c>
      <c r="C13" s="17"/>
      <c r="D13" s="17"/>
      <c r="E13" s="17"/>
      <c r="F13" s="17"/>
    </row>
    <row r="15" customFormat="false" ht="15" hidden="false" customHeight="true" outlineLevel="0" collapsed="false">
      <c r="B15" s="4" t="s">
        <v>108</v>
      </c>
      <c r="C15" s="4"/>
      <c r="D15" s="4"/>
      <c r="E15" s="4"/>
      <c r="F15" s="4"/>
      <c r="G15" s="4"/>
    </row>
    <row r="16" customFormat="false" ht="15" hidden="false" customHeight="true" outlineLevel="0" collapsed="false">
      <c r="B16" s="51" t="s">
        <v>71</v>
      </c>
      <c r="C16" s="51" t="s">
        <v>109</v>
      </c>
      <c r="D16" s="51" t="s">
        <v>110</v>
      </c>
    </row>
    <row r="17" customFormat="false" ht="15" hidden="false" customHeight="true" outlineLevel="0" collapsed="false">
      <c r="B17" s="35" t="str">
        <f aca="false">'PM Data'!B7</f>
        <v>2026-04-13</v>
      </c>
      <c r="C17" s="52" t="n">
        <f aca="false">'PM Data'!G7</f>
        <v>7.03</v>
      </c>
      <c r="D17" s="52" t="n">
        <f aca="false">Inputs!C5</f>
        <v>7.15625</v>
      </c>
    </row>
    <row r="18" customFormat="false" ht="15" hidden="false" customHeight="true" outlineLevel="0" collapsed="false">
      <c r="B18" s="35" t="str">
        <f aca="false">'PM Data'!B8</f>
        <v>2026-04-20</v>
      </c>
      <c r="C18" s="52" t="n">
        <f aca="false">'PM Data'!G8</f>
        <v>7.38</v>
      </c>
      <c r="D18" s="52" t="n">
        <f aca="false">Inputs!C5</f>
        <v>7.15625</v>
      </c>
    </row>
    <row r="19" customFormat="false" ht="15" hidden="false" customHeight="true" outlineLevel="0" collapsed="false">
      <c r="B19" s="35" t="str">
        <f aca="false">'PM Data'!B9</f>
        <v>2026-04-27</v>
      </c>
      <c r="C19" s="52" t="n">
        <f aca="false">'PM Data'!G9</f>
        <v>7.03</v>
      </c>
      <c r="D19" s="52" t="n">
        <f aca="false">Inputs!C5</f>
        <v>7.15625</v>
      </c>
    </row>
    <row r="20" customFormat="false" ht="15" hidden="false" customHeight="true" outlineLevel="0" collapsed="false">
      <c r="B20" s="35" t="str">
        <f aca="false">'PM Data'!B10</f>
        <v>2026-05-04</v>
      </c>
      <c r="C20" s="52" t="n">
        <f aca="false">'PM Data'!G10</f>
        <v>7.31</v>
      </c>
      <c r="D20" s="52" t="n">
        <f aca="false">Inputs!C5</f>
        <v>7.15625</v>
      </c>
    </row>
    <row r="21" customFormat="false" ht="15" hidden="false" customHeight="true" outlineLevel="0" collapsed="false">
      <c r="B21" s="35" t="str">
        <f aca="false">'PM Data'!B11</f>
        <v>2026-05-11</v>
      </c>
      <c r="C21" s="52" t="n">
        <f aca="false">'PM Data'!G11</f>
        <v>6.85</v>
      </c>
      <c r="D21" s="52" t="n">
        <f aca="false">Inputs!C5</f>
        <v>7.15625</v>
      </c>
    </row>
    <row r="22" customFormat="false" ht="15" hidden="false" customHeight="true" outlineLevel="0" collapsed="false">
      <c r="B22" s="35" t="str">
        <f aca="false">'PM Data'!B12</f>
        <v>2026-05-18</v>
      </c>
      <c r="C22" s="52" t="n">
        <f aca="false">'PM Data'!G12</f>
        <v>7</v>
      </c>
      <c r="D22" s="52" t="n">
        <f aca="false">Inputs!C5</f>
        <v>7.15625</v>
      </c>
    </row>
    <row r="23" customFormat="false" ht="15" hidden="false" customHeight="true" outlineLevel="0" collapsed="false">
      <c r="B23" s="35" t="str">
        <f aca="false">'PM Data'!B13</f>
        <v>2026-05-25</v>
      </c>
      <c r="C23" s="52" t="n">
        <f aca="false">'PM Data'!G13</f>
        <v>7.15</v>
      </c>
      <c r="D23" s="52" t="n">
        <f aca="false">Inputs!C5</f>
        <v>7.15625</v>
      </c>
    </row>
    <row r="24" customFormat="false" ht="15" hidden="false" customHeight="true" outlineLevel="0" collapsed="false">
      <c r="B24" s="35" t="str">
        <f aca="false">'PM Data'!B14</f>
        <v>2026-06-01</v>
      </c>
      <c r="C24" s="52" t="n">
        <f aca="false">'PM Data'!G14</f>
        <v>7.5</v>
      </c>
      <c r="D24" s="52" t="n">
        <f aca="false">Inputs!C5</f>
        <v>7.15625</v>
      </c>
    </row>
    <row r="25" customFormat="false" ht="15" hidden="false" customHeight="true" outlineLevel="0" collapsed="false">
      <c r="B25" s="35" t="str">
        <f aca="false">'PM Data'!B15</f>
        <v>2026-06-08</v>
      </c>
      <c r="C25" s="52" t="n">
        <f aca="false">'PM Data'!G15</f>
        <v>9.99</v>
      </c>
      <c r="D25" s="52" t="n">
        <f aca="false">Inputs!C5</f>
        <v>7.15625</v>
      </c>
    </row>
    <row r="26" customFormat="false" ht="15" hidden="false" customHeight="true" outlineLevel="0" collapsed="false">
      <c r="B26" s="35" t="str">
        <f aca="false">'PM Data'!B16</f>
        <v>2026-06-15</v>
      </c>
      <c r="C26" s="52" t="n">
        <f aca="false">'PM Data'!G16</f>
        <v>13.98</v>
      </c>
      <c r="D26" s="52" t="n">
        <f aca="false">Inputs!C5</f>
        <v>7.15625</v>
      </c>
    </row>
    <row r="27" customFormat="false" ht="15" hidden="false" customHeight="true" outlineLevel="0" collapsed="false">
      <c r="B27" s="35" t="str">
        <f aca="false">'PM Data'!B17</f>
        <v>2026-06-22</v>
      </c>
      <c r="C27" s="52" t="n">
        <f aca="false">'PM Data'!G17</f>
        <v>14.9</v>
      </c>
      <c r="D27" s="52" t="n">
        <f aca="false">Inputs!C5</f>
        <v>7.15625</v>
      </c>
    </row>
    <row r="28" customFormat="false" ht="15" hidden="false" customHeight="true" outlineLevel="0" collapsed="false">
      <c r="B28" s="35" t="str">
        <f aca="false">'PM Data'!B18</f>
        <v>2026-06-29</v>
      </c>
      <c r="C28" s="52" t="n">
        <f aca="false">'PM Data'!G18</f>
        <v>16.11</v>
      </c>
      <c r="D28" s="52" t="n">
        <f aca="false">Inputs!C5</f>
        <v>7.15625</v>
      </c>
    </row>
  </sheetData>
  <mergeCells count="5">
    <mergeCell ref="B2:G2"/>
    <mergeCell ref="B3:G3"/>
    <mergeCell ref="B4:G4"/>
    <mergeCell ref="B13:F13"/>
    <mergeCell ref="B15:G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E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46"/>
    <col collapsed="false" customWidth="true" hidden="false" outlineLevel="0" max="3" min="3" style="1" width="13"/>
    <col collapsed="false" customWidth="true" hidden="false" outlineLevel="0" max="4" min="4" style="1" width="9"/>
    <col collapsed="false" customWidth="true" hidden="false" outlineLevel="0" max="5" min="5" style="1" width="50"/>
  </cols>
  <sheetData>
    <row r="2" customFormat="false" ht="24" hidden="false" customHeight="true" outlineLevel="0" collapsed="false">
      <c r="B2" s="2" t="s">
        <v>111</v>
      </c>
      <c r="C2" s="2"/>
      <c r="D2" s="2"/>
      <c r="E2" s="2"/>
    </row>
    <row r="3" customFormat="false" ht="15" hidden="false" customHeight="true" outlineLevel="0" collapsed="false">
      <c r="B3" s="3" t="s">
        <v>112</v>
      </c>
      <c r="C3" s="3"/>
      <c r="D3" s="3"/>
      <c r="E3" s="3"/>
    </row>
    <row r="4" customFormat="false" ht="15" hidden="false" customHeight="true" outlineLevel="0" collapsed="false">
      <c r="B4" s="4" t="s">
        <v>113</v>
      </c>
      <c r="C4" s="4"/>
      <c r="D4" s="4"/>
      <c r="E4" s="4"/>
    </row>
    <row r="6" customFormat="false" ht="21.75" hidden="false" customHeight="true" outlineLevel="0" collapsed="false">
      <c r="B6" s="53" t="s">
        <v>114</v>
      </c>
      <c r="C6" s="14" t="n">
        <f aca="false">'Uplift Calc'!E11</f>
        <v>23.52125</v>
      </c>
      <c r="D6" s="23" t="s">
        <v>44</v>
      </c>
      <c r="E6" s="15" t="s">
        <v>115</v>
      </c>
    </row>
    <row r="7" customFormat="false" ht="21.75" hidden="false" customHeight="true" outlineLevel="0" collapsed="false">
      <c r="B7" s="13" t="s">
        <v>46</v>
      </c>
      <c r="C7" s="54" t="n">
        <f aca="false">Inputs!C6</f>
        <v>0.2</v>
      </c>
      <c r="D7" s="23" t="s">
        <v>47</v>
      </c>
      <c r="E7" s="15" t="s">
        <v>116</v>
      </c>
    </row>
    <row r="8" customFormat="false" ht="21.75" hidden="false" customHeight="true" outlineLevel="0" collapsed="false">
      <c r="B8" s="31" t="s">
        <v>117</v>
      </c>
      <c r="C8" s="32" t="n">
        <f aca="false">C6*C7</f>
        <v>4.70425</v>
      </c>
      <c r="D8" s="33" t="s">
        <v>44</v>
      </c>
      <c r="E8" s="55" t="s">
        <v>118</v>
      </c>
    </row>
    <row r="10" customFormat="false" ht="15" hidden="false" customHeight="true" outlineLevel="0" collapsed="false">
      <c r="B10" s="4" t="s">
        <v>119</v>
      </c>
      <c r="C10" s="4"/>
      <c r="D10" s="4"/>
      <c r="E10" s="4"/>
    </row>
    <row r="11" customFormat="false" ht="21.75" hidden="false" customHeight="true" outlineLevel="0" collapsed="false">
      <c r="B11" s="13" t="s">
        <v>120</v>
      </c>
      <c r="C11" s="56" t="str">
        <f aca="false">ROUND(Inputs!C7,1)&amp;" / "&amp;Inputs!C8</f>
        <v>5.4 / 3</v>
      </c>
      <c r="D11" s="23" t="s">
        <v>50</v>
      </c>
      <c r="E11" s="15" t="s">
        <v>121</v>
      </c>
    </row>
    <row r="12" customFormat="false" ht="21.75" hidden="false" customHeight="true" outlineLevel="0" collapsed="false">
      <c r="B12" s="13" t="s">
        <v>122</v>
      </c>
      <c r="C12" s="22" t="n">
        <f aca="false">'Uplift Calc'!E11/Inputs!C8</f>
        <v>7.84041666666667</v>
      </c>
      <c r="D12" s="23" t="s">
        <v>44</v>
      </c>
      <c r="E12" s="15" t="s">
        <v>123</v>
      </c>
    </row>
    <row r="13" customFormat="false" ht="21.75" hidden="false" customHeight="true" outlineLevel="0" collapsed="false">
      <c r="B13" s="13" t="s">
        <v>124</v>
      </c>
      <c r="C13" s="22" t="n">
        <f aca="false">('Uplift Calc'!E11/Inputs!C8)*(Inputs!C7-Inputs!C8)*Inputs!C9</f>
        <v>13.3287083333333</v>
      </c>
      <c r="D13" s="23" t="s">
        <v>44</v>
      </c>
      <c r="E13" s="15" t="s">
        <v>125</v>
      </c>
    </row>
    <row r="14" customFormat="false" ht="21.75" hidden="false" customHeight="true" outlineLevel="0" collapsed="false">
      <c r="B14" s="13" t="s">
        <v>126</v>
      </c>
      <c r="C14" s="22" t="n">
        <f aca="false">C6+C13</f>
        <v>36.8499583333333</v>
      </c>
      <c r="D14" s="23" t="s">
        <v>44</v>
      </c>
      <c r="E14" s="15" t="s">
        <v>127</v>
      </c>
    </row>
    <row r="15" customFormat="false" ht="21.75" hidden="false" customHeight="true" outlineLevel="0" collapsed="false">
      <c r="B15" s="31" t="s">
        <v>128</v>
      </c>
      <c r="C15" s="32" t="n">
        <f aca="false">C14*C7</f>
        <v>7.36999166666667</v>
      </c>
      <c r="D15" s="33" t="s">
        <v>44</v>
      </c>
      <c r="E15" s="55" t="s">
        <v>129</v>
      </c>
    </row>
    <row r="17" customFormat="false" ht="15" hidden="false" customHeight="true" outlineLevel="0" collapsed="false">
      <c r="B17" s="4" t="s">
        <v>130</v>
      </c>
      <c r="C17" s="4"/>
      <c r="D17" s="4"/>
      <c r="E17" s="4"/>
    </row>
    <row r="18" customFormat="false" ht="21.75" hidden="false" customHeight="true" outlineLevel="0" collapsed="false">
      <c r="B18" s="13" t="s">
        <v>131</v>
      </c>
      <c r="C18" s="56" t="str">
        <f aca="false">"$"&amp;Inputs!C14&amp;" to $"&amp;Inputs!C15&amp;"B"</f>
        <v>$5 to $10B</v>
      </c>
      <c r="D18" s="23"/>
      <c r="E18" s="15" t="s">
        <v>132</v>
      </c>
    </row>
    <row r="19" customFormat="false" ht="21.75" hidden="false" customHeight="true" outlineLevel="0" collapsed="false">
      <c r="B19" s="53" t="s">
        <v>133</v>
      </c>
      <c r="C19" s="57" t="n">
        <f aca="false">C15</f>
        <v>7.36999166666667</v>
      </c>
      <c r="D19" s="23" t="s">
        <v>44</v>
      </c>
      <c r="E19" s="15" t="s">
        <v>134</v>
      </c>
    </row>
    <row r="20" customFormat="false" ht="21.75" hidden="false" customHeight="true" outlineLevel="0" collapsed="false">
      <c r="B20" s="13" t="s">
        <v>135</v>
      </c>
      <c r="C20" s="47" t="n">
        <f aca="false">Inputs!C16/C14</f>
        <v>0.203528045599328</v>
      </c>
      <c r="D20" s="23" t="s">
        <v>47</v>
      </c>
      <c r="E20" s="15" t="s">
        <v>136</v>
      </c>
    </row>
    <row r="22" customFormat="false" ht="43.5" hidden="false" customHeight="true" outlineLevel="0" collapsed="false">
      <c r="B22" s="40" t="s">
        <v>137</v>
      </c>
      <c r="C22" s="40"/>
      <c r="D22" s="40"/>
      <c r="E22" s="40"/>
    </row>
  </sheetData>
  <mergeCells count="6">
    <mergeCell ref="B2:E2"/>
    <mergeCell ref="B3:E3"/>
    <mergeCell ref="B4:E4"/>
    <mergeCell ref="B10:E10"/>
    <mergeCell ref="B17:E17"/>
    <mergeCell ref="B22:E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E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22"/>
    <col collapsed="false" customWidth="true" hidden="false" outlineLevel="0" max="5" min="3" style="1" width="14"/>
  </cols>
  <sheetData>
    <row r="2" customFormat="false" ht="24" hidden="false" customHeight="true" outlineLevel="0" collapsed="false">
      <c r="B2" s="2" t="s">
        <v>138</v>
      </c>
      <c r="C2" s="2"/>
      <c r="D2" s="2"/>
      <c r="E2" s="2"/>
    </row>
    <row r="3" customFormat="false" ht="15" hidden="false" customHeight="true" outlineLevel="0" collapsed="false">
      <c r="B3" s="3" t="s">
        <v>139</v>
      </c>
      <c r="C3" s="3"/>
      <c r="D3" s="3"/>
      <c r="E3" s="3"/>
    </row>
    <row r="4" customFormat="false" ht="15" hidden="false" customHeight="true" outlineLevel="0" collapsed="false">
      <c r="B4" s="4" t="s">
        <v>140</v>
      </c>
      <c r="C4" s="4"/>
      <c r="D4" s="4"/>
      <c r="E4" s="4"/>
    </row>
    <row r="6" customFormat="false" ht="15" hidden="false" customHeight="true" outlineLevel="0" collapsed="false">
      <c r="B6" s="58"/>
      <c r="C6" s="59" t="n">
        <v>0.5</v>
      </c>
      <c r="D6" s="59" t="n">
        <v>0.7</v>
      </c>
      <c r="E6" s="59" t="n">
        <v>1</v>
      </c>
    </row>
    <row r="7" customFormat="false" ht="15" hidden="false" customHeight="true" outlineLevel="0" collapsed="false">
      <c r="B7" s="60" t="n">
        <v>0.15</v>
      </c>
      <c r="C7" s="22" t="n">
        <f aca="false">('Uplift Calc'!E11+('Uplift Calc'!E11/Inputs!C8)*(Inputs!C7-Inputs!C8)*C$6)*$B7</f>
        <v>4.95626339285714</v>
      </c>
      <c r="D7" s="22" t="n">
        <f aca="false">('Uplift Calc'!E11+('Uplift Calc'!E11/Inputs!C8)*(Inputs!C7-Inputs!C8)*D$6)*$B7</f>
        <v>5.52749375</v>
      </c>
      <c r="E7" s="22" t="n">
        <f aca="false">('Uplift Calc'!E11+('Uplift Calc'!E11/Inputs!C8)*(Inputs!C7-Inputs!C8)*E$6)*$B7</f>
        <v>6.38433928571429</v>
      </c>
    </row>
    <row r="8" customFormat="false" ht="15" hidden="false" customHeight="true" outlineLevel="0" collapsed="false">
      <c r="B8" s="60" t="n">
        <v>0.2</v>
      </c>
      <c r="C8" s="22" t="n">
        <f aca="false">('Uplift Calc'!E11+('Uplift Calc'!E11/Inputs!C8)*(Inputs!C7-Inputs!C8)*C$6)*$B8</f>
        <v>6.60835119047619</v>
      </c>
      <c r="D8" s="22" t="n">
        <f aca="false">('Uplift Calc'!E11+('Uplift Calc'!E11/Inputs!C8)*(Inputs!C7-Inputs!C8)*D$6)*$B8</f>
        <v>7.36999166666667</v>
      </c>
      <c r="E8" s="22" t="n">
        <f aca="false">('Uplift Calc'!E11+('Uplift Calc'!E11/Inputs!C8)*(Inputs!C7-Inputs!C8)*E$6)*$B8</f>
        <v>8.51245238095238</v>
      </c>
    </row>
    <row r="9" customFormat="false" ht="15" hidden="false" customHeight="true" outlineLevel="0" collapsed="false">
      <c r="B9" s="60" t="n">
        <v>0.25</v>
      </c>
      <c r="C9" s="22" t="n">
        <f aca="false">('Uplift Calc'!E11+('Uplift Calc'!E11/Inputs!C8)*(Inputs!C7-Inputs!C8)*C$6)*$B9</f>
        <v>8.26043898809524</v>
      </c>
      <c r="D9" s="22" t="n">
        <f aca="false">('Uplift Calc'!E11+('Uplift Calc'!E11/Inputs!C8)*(Inputs!C7-Inputs!C8)*D$6)*$B9</f>
        <v>9.21248958333333</v>
      </c>
      <c r="E9" s="22" t="n">
        <f aca="false">('Uplift Calc'!E11+('Uplift Calc'!E11/Inputs!C8)*(Inputs!C7-Inputs!C8)*E$6)*$B9</f>
        <v>10.6405654761905</v>
      </c>
    </row>
    <row r="10" customFormat="false" ht="15" hidden="false" customHeight="true" outlineLevel="0" collapsed="false">
      <c r="B10" s="60" t="n">
        <v>0.3</v>
      </c>
      <c r="C10" s="22" t="n">
        <f aca="false">('Uplift Calc'!E11+('Uplift Calc'!E11/Inputs!C8)*(Inputs!C7-Inputs!C8)*C$6)*$B10</f>
        <v>9.91252678571429</v>
      </c>
      <c r="D10" s="22" t="n">
        <f aca="false">('Uplift Calc'!E11+('Uplift Calc'!E11/Inputs!C8)*(Inputs!C7-Inputs!C8)*D$6)*$B10</f>
        <v>11.0549875</v>
      </c>
      <c r="E10" s="22" t="n">
        <f aca="false">('Uplift Calc'!E11+('Uplift Calc'!E11/Inputs!C8)*(Inputs!C7-Inputs!C8)*E$6)*$B10</f>
        <v>12.7686785714286</v>
      </c>
    </row>
    <row r="11" customFormat="false" ht="15" hidden="false" customHeight="true" outlineLevel="0" collapsed="false">
      <c r="B11" s="60" t="n">
        <v>0.42</v>
      </c>
      <c r="C11" s="22" t="n">
        <f aca="false">('Uplift Calc'!E11+('Uplift Calc'!E11/Inputs!C8)*(Inputs!C7-Inputs!C8)*C$6)*$B11</f>
        <v>13.8775375</v>
      </c>
      <c r="D11" s="22" t="n">
        <f aca="false">('Uplift Calc'!E11+('Uplift Calc'!E11/Inputs!C8)*(Inputs!C7-Inputs!C8)*D$6)*$B11</f>
        <v>15.4769825</v>
      </c>
      <c r="E11" s="22" t="n">
        <f aca="false">('Uplift Calc'!E11+('Uplift Calc'!E11/Inputs!C8)*(Inputs!C7-Inputs!C8)*E$6)*$B11</f>
        <v>17.87615</v>
      </c>
    </row>
    <row r="13" customFormat="false" ht="27.75" hidden="false" customHeight="true" outlineLevel="0" collapsed="false">
      <c r="B13" s="40" t="s">
        <v>141</v>
      </c>
      <c r="C13" s="40"/>
      <c r="D13" s="40"/>
      <c r="E13" s="40"/>
    </row>
    <row r="15" customFormat="false" ht="27.75" hidden="false" customHeight="true" outlineLevel="0" collapsed="false">
      <c r="B15" s="40" t="s">
        <v>142</v>
      </c>
      <c r="C15" s="40"/>
      <c r="D15" s="40"/>
      <c r="E15" s="40"/>
    </row>
  </sheetData>
  <mergeCells count="5">
    <mergeCell ref="B2:E2"/>
    <mergeCell ref="B3:E3"/>
    <mergeCell ref="B4:E4"/>
    <mergeCell ref="B13:E13"/>
    <mergeCell ref="B15:E15"/>
  </mergeCells>
  <conditionalFormatting sqref="C7:E11">
    <cfRule type="colorScale" priority="2">
      <colorScale>
        <cfvo type="min" val="0"/>
        <cfvo type="max" val="0"/>
        <color rgb="FFDCE6F5"/>
        <color rgb="FF2E5496"/>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2026-07-08T22:25:27Z</dcterms:created>
  <dc:creator>openpyxl</dc:creator>
  <dc:description/>
  <dc:language>en-US</dc:language>
  <cp:lastModifiedBy/>
  <dcterms:modified xsi:type="dcterms:W3CDTF">2026-07-08T22:25:34Z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