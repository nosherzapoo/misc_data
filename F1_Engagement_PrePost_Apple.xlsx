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US Viewership (Pre-Apple)" sheetId="2" state="visible" r:id="rId4"/>
    <sheet name="Apple-Era Comparison" sheetId="3" state="visible" r:id="rId5"/>
    <sheet name="Social &amp; Digital Trends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<sst xmlns="http://schemas.openxmlformats.org/spreadsheetml/2006/main" count="313" uniqueCount="216">
  <si>
    <t xml:space="preserve">Formula 1 — U.S. &amp; Global Engagement: Pre- and Post-Apple Transition</t>
  </si>
  <si>
    <t xml:space="preserve">Client briefing pack  |  Prepared July 2026  |  Source period: 2021–2026 YTD</t>
  </si>
  <si>
    <t xml:space="preserve">PURPOSE</t>
  </si>
  <si>
    <t xml:space="preserve">Apple TV replaced ESPN as F1's exclusive U.S. media-rights partner starting the 2026 season (5-year deal, ~$150M/yr vs ESPN's reported ~$90M/yr). This pack anchors Apple's largely qualitative 2026 claims to a hard pre-Apple U.S. per-race baseline, and pairs them with quantified global and social/digital trends.</t>
  </si>
  <si>
    <t xml:space="preserve">TABS</t>
  </si>
  <si>
    <t xml:space="preserve">  US Viewership (Pre-Apple)</t>
  </si>
  <si>
    <t xml:space="preserve">Per-race U.S. average TV audience, 2021–2025 (ESPN era), with year-over-year change. Client-provided data.</t>
  </si>
  <si>
    <t xml:space="preserve">  Apple-Era Comparison</t>
  </si>
  <si>
    <t xml:space="preserve">The four 2026 races aired under Apple so far, each against its prior-year U.S. number, with Apple's directional commentary and sources.</t>
  </si>
  <si>
    <t xml:space="preserve">  Social &amp; Digital Trends</t>
  </si>
  <si>
    <t xml:space="preserve">Social-following and digital-engagement metrics from company disclosure and third-party reporting, fully sourced.</t>
  </si>
  <si>
    <t xml:space="preserve">  Sources</t>
  </si>
  <si>
    <t xml:space="preserve">Master list of every source cited, with publisher, date and URL.</t>
  </si>
  <si>
    <t xml:space="preserve">KEY TAKEAWAYS</t>
  </si>
  <si>
    <t xml:space="preserve">  1.</t>
  </si>
  <si>
    <t xml:space="preserve">Apple inherited a rising U.S. baseline — 2025 was up almost across the board vs 2024, so growth pre-dates Apple and shouldn't be wholly credited to it.</t>
  </si>
  <si>
    <t xml:space="preserve">  2.</t>
  </si>
  <si>
    <t xml:space="preserve">Apple's 2026 claims are directional only — the company has not released U.S. figures; each 'up YoY' is anchored here to a real prior-year number.</t>
  </si>
  <si>
    <t xml:space="preserve">  3.</t>
  </si>
  <si>
    <t xml:space="preserve">Miami is the sharpest read: it softened in 2025 (2.2M, -29% off a 3.1M 2024 peak), so Apple's 'relaunch' lands on a cooled race, not rising momentum.</t>
  </si>
  <si>
    <t xml:space="preserve">  4.</t>
  </si>
  <si>
    <t xml:space="preserve">The strongest quantified proof is global, not U.S.: first three races up ~20–30% YoY across the top 10+ markets.</t>
  </si>
  <si>
    <t xml:space="preserve">CAVEATS</t>
  </si>
  <si>
    <t xml:space="preserve">• Pre-Apple U.S. figures are transcribed from a client-provided screenshot; confirm faint cells (Las Vegas 2024 = 0.905, Brazil 2022 = 1.4, France 2022 = 1.06) against the source before publishing.</t>
  </si>
  <si>
    <t xml:space="preserve">• Company-reported social/digital metrics (Liberty FQ1 2026 call) are management figures, not independently audited.</t>
  </si>
  <si>
    <t xml:space="preserve">• Apple TV's U.S. reach (~18.7M subs) is far below ESPN's ~60M cable base — a standing skeptic's caveat on any 'larger audience' claim.</t>
  </si>
  <si>
    <t xml:space="preserve">U.S. Average TV Audience by Race — ESPN Era (millions)</t>
  </si>
  <si>
    <t xml:space="preserve">Source: Client-provided workbook ('F1 Viewership' tab). Viewership = average U.S. TV audience per Grand Prix (m). Δ = year-over-year % change as reported in source. '-' = no race / no data.</t>
  </si>
  <si>
    <t xml:space="preserve">Race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</si>
  <si>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</si>
  <si>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</si>
  <si>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</si>
  <si>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</si>
  <si>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</si>
  <si>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Δ 2022</t>
  </si>
  <si>
    <t xml:space="preserve">Δ 2023</t>
  </si>
  <si>
    <t xml:space="preserve">Δ 2024</t>
  </si>
  <si>
    <t xml:space="preserve">Δ 2025</t>
  </si>
  <si>
    <t xml:space="preserve">Monaco</t>
  </si>
  <si>
    <t xml:space="preserve">Miami</t>
  </si>
  <si>
    <t xml:space="preserve">-</t>
  </si>
  <si>
    <t xml:space="preserve">Canada</t>
  </si>
  <si>
    <t xml:space="preserve">UK</t>
  </si>
  <si>
    <t xml:space="preserve">US (Austin)</t>
  </si>
  <si>
    <t xml:space="preserve">Mexico</t>
  </si>
  <si>
    <t xml:space="preserve">Las Vegas</t>
  </si>
  <si>
    <t xml:space="preserve">Abu Dhabi</t>
  </si>
  <si>
    <t xml:space="preserve">Saudi Arabia</t>
  </si>
  <si>
    <t xml:space="preserve">Belgium</t>
  </si>
  <si>
    <t xml:space="preserve">Qatar</t>
  </si>
  <si>
    <t xml:space="preserve">Bahrain</t>
  </si>
  <si>
    <t xml:space="preserve">Hungary</t>
  </si>
  <si>
    <t xml:space="preserve">Italy</t>
  </si>
  <si>
    <t xml:space="preserve">Netherlands</t>
  </si>
  <si>
    <t xml:space="preserve">Spain</t>
  </si>
  <si>
    <t xml:space="preserve">Australia</t>
  </si>
  <si>
    <t xml:space="preserve">Austria</t>
  </si>
  <si>
    <t xml:space="preserve">Azerbaijan</t>
  </si>
  <si>
    <t xml:space="preserve">Imola</t>
  </si>
  <si>
    <t xml:space="preserve">Singapore</t>
  </si>
  <si>
    <t xml:space="preserve">China</t>
  </si>
  <si>
    <t xml:space="preserve">Brazil</t>
  </si>
  <si>
    <t xml:space="preserve">Japan</t>
  </si>
  <si>
    <t xml:space="preserve">France</t>
  </si>
  <si>
    <t xml:space="preserve">Styria</t>
  </si>
  <si>
    <t xml:space="preserve">Portugal</t>
  </si>
  <si>
    <t xml:space="preserve">Russia</t>
  </si>
  <si>
    <t xml:space="preserve">Turkey</t>
  </si>
  <si>
    <t xml:space="preserve">2026 Apple-Era Races vs Prior-Year U.S. Baseline</t>
  </si>
  <si>
    <t xml:space="preserve">Apple has not disclosed U.S. viewership figures; all 2026 commentary is directional. Prior-year U.S. numbers link live to the 'US Viewership (Pre-Apple)' tab. Only the four races aired through the FQ1 2026 call (Australia, China, Japan, Miami) are shown.</t>
  </si>
  <si>
    <t xml:space="preserve">Race (2026)</t>
  </si>
  <si>
    <t xml:space="preserve">2025 U.S. avg (ESPN, m)</t>
  </si>
  <si>
    <t xml:space="preserve">Prior-year U.S. context</t>
  </si>
  <si>
    <t xml:space="preserve">Apple / F1 directional commentary (2026)</t>
  </si>
  <si>
    <t xml:space="preserve">Source</t>
  </si>
  <si>
    <t xml:space="preserve">1.1M in 2025 (late-night slot); +105% YoY — the biggest single-race jump on the sheet.</t>
  </si>
  <si>
    <t xml:space="preserve">Opener 'up year over year' vs 2025 ESPN broadcast; 'exceeded both F1 and Apple expectations.' Apple Sports app had its biggest week ever alongside the race.</t>
  </si>
  <si>
    <t xml:space="preserve">Hollywood Reporter; MacRumors (Mar 2026)</t>
  </si>
  <si>
    <t xml:space="preserve">0.8M in 2025 (+32% YoY); Apple's first full China GP under the new deal.</t>
  </si>
  <si>
    <t xml:space="preserve">Among first three races with ratings 'way up… significantly' on linear YoY; more viewers across the whole weekend, not just Sunday.</t>
  </si>
  <si>
    <t xml:space="preserve">Motorsport.com; Yahoo Sports (May 2026)</t>
  </si>
  <si>
    <t xml:space="preserve">0.5M in 2025 (+10% YoY); historically the smallest U.S. audience of the early races.</t>
  </si>
  <si>
    <t xml:space="preserve">Part of the first-three-races surge; Apple emphasised weekend-long viewing (practice, sprint, qualifying) over a Sunday-only model.</t>
  </si>
  <si>
    <t xml:space="preserve">Motorsport.com (May 2026)</t>
  </si>
  <si>
    <t xml:space="preserve">2.2M in 2025 — DOWN 29% off a 3.1M 2024 peak. Apple's flagship lands on a cooled race, not rising momentum.</t>
  </si>
  <si>
    <t xml:space="preserve">Treated as the U.S. 'relaunch' of the season: 30+ live feeds, English/Spanish, Times Square screening, IMAX, Tubi altcasts, Apple Maps/Music/News tie-ins. Expected to surpass the first three races; hard number not disclosed.</t>
  </si>
  <si>
    <t xml:space="preserve">Apple Newsroom; AppleMagazine; Yahoo Sports (May 2026)</t>
  </si>
  <si>
    <t xml:space="preserve">CROSS-CUTTING NOTES (all 2026 races to date)</t>
  </si>
  <si>
    <t xml:space="preserve">Audience mix</t>
  </si>
  <si>
    <t xml:space="preserve">Apple reports a younger and more-female U.S. audience — its two stated growth targets — as an early confirmed result.</t>
  </si>
  <si>
    <t xml:space="preserve">Disclosure</t>
  </si>
  <si>
    <t xml:space="preserve">Apple declined to release specific U.S. viewing figures for any 2026 race; every 'up' is a company statement, not Nielsen data.</t>
  </si>
  <si>
    <t xml:space="preserve">Rights economics</t>
  </si>
  <si>
    <t xml:space="preserve">Apple pays ~$150M/yr for exclusive U.S. rights vs ESPN's reported ~$90M/yr; F1 access is bundled in the $12.99/mo Apple TV subscription.</t>
  </si>
  <si>
    <t xml:space="preserve">Skeptic's caveat</t>
  </si>
  <si>
    <t xml:space="preserve">Apple TV's U.S. reach is ~18.7M subscribers vs ESPN's ~60M cable/satellite base, raising questions about how total audience can be larger without disclosure.</t>
  </si>
  <si>
    <t xml:space="preserve">Reach expansion</t>
  </si>
  <si>
    <t xml:space="preserve">Apple has widened distribution via partners — e.g. a swap bringing 'Drive to Survive' to Apple TV and the Canadian GP to Netflix.</t>
  </si>
  <si>
    <t xml:space="preserve">Social Media &amp; Digital Engagement Trends</t>
  </si>
  <si>
    <t xml:space="preserve">Company-reported figures are Liberty Media / F1 / MotoGP management disclosures (FQ1 2026 call, May 7 2026) and are not independently audited. Third-party figures are cited to their publisher.</t>
  </si>
  <si>
    <t xml:space="preserve">A. FORMULA 1 — COMPANY-REPORTED (Liberty FQ1 2026 call)</t>
  </si>
  <si>
    <t xml:space="preserve">Metric</t>
  </si>
  <si>
    <t xml:space="preserve">Figure</t>
  </si>
  <si>
    <t xml:space="preserve">Change / trend</t>
  </si>
  <si>
    <t xml:space="preserve">Period / basis</t>
  </si>
  <si>
    <t xml:space="preserve">Total social media followers</t>
  </si>
  <si>
    <t xml:space="preserve">120M+</t>
  </si>
  <si>
    <t xml:space="preserve">+~20% YoY</t>
  </si>
  <si>
    <t xml:space="preserve">As of end-April 2026</t>
  </si>
  <si>
    <t xml:space="preserve">Liberty Media FQ1 2026 earnings call</t>
  </si>
  <si>
    <t xml:space="preserve">YouTube views</t>
  </si>
  <si>
    <t xml:space="preserve">~600M</t>
  </si>
  <si>
    <t xml:space="preserve">+46% YoY</t>
  </si>
  <si>
    <t xml:space="preserve">Cumulative through Japanese GP</t>
  </si>
  <si>
    <t xml:space="preserve">F1 TV subscription revenue</t>
  </si>
  <si>
    <t xml:space="preserve">n/d</t>
  </si>
  <si>
    <t xml:space="preserve">+28% YoY</t>
  </si>
  <si>
    <t xml:space="preserve">FQ1 2026</t>
  </si>
  <si>
    <t xml:space="preserve">Retail sales</t>
  </si>
  <si>
    <t xml:space="preserve">+125% overall (China +~80% YoY)</t>
  </si>
  <si>
    <t xml:space="preserve">FQ1 2026 (Disney store launches)</t>
  </si>
  <si>
    <t xml:space="preserve">B. MotoGP — COMPANY-REPORTED (Liberty FQ1 2026 call)</t>
  </si>
  <si>
    <t xml:space="preserve">Social media followers (own platforms)</t>
  </si>
  <si>
    <t xml:space="preserve">~62M</t>
  </si>
  <si>
    <t xml:space="preserve">As of end-FQ1 2026</t>
  </si>
  <si>
    <t xml:space="preserve">Digital video views (ex. video pass)</t>
  </si>
  <si>
    <t xml:space="preserve">+~40% YoY</t>
  </si>
  <si>
    <t xml:space="preserve">U.S. social media followers</t>
  </si>
  <si>
    <t xml:space="preserve">+16%</t>
  </si>
  <si>
    <t xml:space="preserve">Since January 2025</t>
  </si>
  <si>
    <t xml:space="preserve">C. THIRD-PARTY / INDEPENDENT (audience &amp; engagement context)</t>
  </si>
  <si>
    <t xml:space="preserve">Global TV audience — Australia</t>
  </si>
  <si>
    <t xml:space="preserve">+23% YoY</t>
  </si>
  <si>
    <t xml:space="preserve">First 3 races, top 10+ markets</t>
  </si>
  <si>
    <t xml:space="preserve">T. Maher / BlackBook Motorsport (Apr 2026)</t>
  </si>
  <si>
    <t xml:space="preserve">Global TV audience — China</t>
  </si>
  <si>
    <t xml:space="preserve">+30% YoY</t>
  </si>
  <si>
    <t xml:space="preserve">Global TV audience — Japan</t>
  </si>
  <si>
    <t xml:space="preserve">+20% YoY</t>
  </si>
  <si>
    <t xml:space="preserve">Australia broadcast reach (Network 10)</t>
  </si>
  <si>
    <t xml:space="preserve">3.9M unique</t>
  </si>
  <si>
    <t xml:space="preserve">+15% YoY (broadcaster record)</t>
  </si>
  <si>
    <t xml:space="preserve">2026 Australian GP weekend</t>
  </si>
  <si>
    <t xml:space="preserve">Sportcal (Mar 2026)</t>
  </si>
  <si>
    <t xml:space="preserve">Apple Sports app</t>
  </si>
  <si>
    <t xml:space="preserve">Biggest week ever</t>
  </si>
  <si>
    <t xml:space="preserve">since app launch</t>
  </si>
  <si>
    <t xml:space="preserve">Coinciding with 2026 Australian GP</t>
  </si>
  <si>
    <t xml:space="preserve">Hollywood Reporter (Mar 2026)</t>
  </si>
  <si>
    <t xml:space="preserve">n/d = specific value not disclosed / not applicable. See 'Sources' tab for full URLs.</t>
  </si>
  <si>
    <t xml:space="preserve">Master Source List</t>
  </si>
  <si>
    <t xml:space="preserve">#</t>
  </si>
  <si>
    <t xml:space="preserve">Source / headline</t>
  </si>
  <si>
    <t xml:space="preserve">Publisher</t>
  </si>
  <si>
    <t xml:space="preserve">Date</t>
  </si>
  <si>
    <t xml:space="preserve">URL</t>
  </si>
  <si>
    <t xml:space="preserve">FQ1 2026 Earnings Call Transcript (Formula One Group / Liberty Media)</t>
  </si>
  <si>
    <t xml:space="preserve">S&amp;P Global Market Intelligence</t>
  </si>
  <si>
    <t xml:space="preserve">May 7, 2026</t>
  </si>
  <si>
    <t xml:space="preserve">Client-provided PDF (project file)</t>
  </si>
  <si>
    <t xml:space="preserve">ESPN's final F1 viewership numbers are in</t>
  </si>
  <si>
    <t xml:space="preserve">Forbes (Maury Brown)</t>
  </si>
  <si>
    <t xml:space="preserve">Dec 12, 2025</t>
  </si>
  <si>
    <t xml:space="preserve">https://www.forbes.com/sites/maurybrown/2025/12/12/espns-final-f1-viewership-numbers-are-in-and-apple-tv-will-be-happy/</t>
  </si>
  <si>
    <t xml:space="preserve">Apple TV F1 ratings: debut tops ESPN a year ago</t>
  </si>
  <si>
    <t xml:space="preserve">The Hollywood Reporter</t>
  </si>
  <si>
    <t xml:space="preserve">Mar 12, 2026</t>
  </si>
  <si>
    <t xml:space="preserve">https://www.hollywoodreporter.com/tv/tv-news/apple-tv-formula-1-ratings-eddy-cue-strong-start-1236529359/</t>
  </si>
  <si>
    <t xml:space="preserve">Apple TV claims first F1 viewership victory over ESPN</t>
  </si>
  <si>
    <t xml:space="preserve">MacRumors</t>
  </si>
  <si>
    <t xml:space="preserve">Mar 13, 2026</t>
  </si>
  <si>
    <t xml:space="preserve">https://www.macrumors.com/2026/03/13/apple-tv-f1-viewership-victory-over-espn/</t>
  </si>
  <si>
    <t xml:space="preserve">Apple reveals early F1 2026 viewership surge after $150m deal</t>
  </si>
  <si>
    <t xml:space="preserve">Motorsport.com</t>
  </si>
  <si>
    <t xml:space="preserve">May 1, 2026</t>
  </si>
  <si>
    <t xml:space="preserve">https://www.motorsport.com/f1/news/apple-reveals-early-f1-viewership-surge-after-150m-us-broadcast-deal/10816971/</t>
  </si>
  <si>
    <t xml:space="preserve">Apple experiences huge success as F1's U.S. broadcaster</t>
  </si>
  <si>
    <t xml:space="preserve">Yahoo Sports</t>
  </si>
  <si>
    <t xml:space="preserve">https://sports.yahoo.com/articles/apple-experiences-huge-success-formula-170949005.html</t>
  </si>
  <si>
    <t xml:space="preserve">Formula 1 returns to the U.S. — streaming live on Apple TV</t>
  </si>
  <si>
    <t xml:space="preserve">Apple Newsroom</t>
  </si>
  <si>
    <t xml:space="preserve">Apr 2026</t>
  </si>
  <si>
    <t xml:space="preserve">https://www.apple.com/newsroom/2026/04/formula-1-returns-to-the-us-this-weekend-streaming-live-on-apple-tv/</t>
  </si>
  <si>
    <t xml:space="preserve">Miami Grand Prix turns Apple TV into F1's U.S. race hub</t>
  </si>
  <si>
    <t xml:space="preserve">AppleMagazine</t>
  </si>
  <si>
    <t xml:space="preserve">https://applemagazine.com/miami-grand-prix-2026/</t>
  </si>
  <si>
    <t xml:space="preserve">Apple claims to beat ESPN in F1 viewership without proof (skeptic)</t>
  </si>
  <si>
    <t xml:space="preserve">Awful Announcing</t>
  </si>
  <si>
    <t xml:space="preserve">https://awfulannouncing.com/racing/apple-claims-beat-espn-f1-viewership-australian-grand-prix.html</t>
  </si>
  <si>
    <t xml:space="preserve">F1's global TV viewership up over first three races</t>
  </si>
  <si>
    <t xml:space="preserve">BlackBook Motorsport</t>
  </si>
  <si>
    <t xml:space="preserve">Apr 15, 2026</t>
  </si>
  <si>
    <t xml:space="preserve">https://www.blackbookmotorsport.com/news/f1-global-tv-viewership-figures-fia-regulations-domenicali-april-2026/</t>
  </si>
  <si>
    <t xml:space="preserve">First-three-races viewership growth (Aus +23% / China +30% / Japan +20%)</t>
  </si>
  <si>
    <t xml:space="preserve">Thomas Maher (@thomasmaheronf1), X</t>
  </si>
  <si>
    <t xml:space="preserve">Apr 14, 2026</t>
  </si>
  <si>
    <t xml:space="preserve">https://x.com/thomasmaheronf1/status/2044104035687677980</t>
  </si>
  <si>
    <t xml:space="preserve">F1's Australian GP draws record turnout, strong viewership</t>
  </si>
  <si>
    <t xml:space="preserve">Sportcal</t>
  </si>
  <si>
    <t xml:space="preserve">Mar 10, 2026</t>
  </si>
  <si>
    <t xml:space="preserve">https://www.sportcal.com/media/f1s-australian-gp-draws-record-turnout-strong-viewership-around-the-world/</t>
  </si>
  <si>
    <t xml:space="preserve">230,000 attend 2026 Chinese Grand Prix weekend</t>
  </si>
  <si>
    <t xml:space="preserve">GPDestinations.com</t>
  </si>
  <si>
    <t xml:space="preserve">Mar 17, 2026</t>
  </si>
  <si>
    <t xml:space="preserve">https://gpdestinations.com/230000-attend-2026-chinese-grand-prix-weekend/</t>
  </si>
  <si>
    <t xml:space="preserve">F1 attendance figures (2026 records)</t>
  </si>
  <si>
    <t xml:space="preserve">2026</t>
  </si>
  <si>
    <t xml:space="preserve">https://gpdestinations.com/resources/f1-attendance-figures/</t>
  </si>
  <si>
    <t xml:space="preserve">Chinese Grand Prix draws record crowd of over 230,000</t>
  </si>
  <si>
    <t xml:space="preserve">Yicai Global</t>
  </si>
  <si>
    <t xml:space="preserve">Mar 16, 2026</t>
  </si>
  <si>
    <t xml:space="preserve">https://www.yicaiglobal.com/news/chinese-grand-prix-draws-record-crowd-of-over-230000</t>
  </si>
  <si>
    <t xml:space="preserve">Miami GP attracts F1's largest live U.S. TV audience (2024 context)</t>
  </si>
  <si>
    <t xml:space="preserve">Formula1.com</t>
  </si>
  <si>
    <t xml:space="preserve">May 2024</t>
  </si>
  <si>
    <t xml:space="preserve">https://www.formula1.com/en/latest/article/miami-grand-prix-attracts-f1s-largest-live-audience-in-united-states.1TZioGIIUvFHEEsQ7qz304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</si>
</sst>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;[RED]\(0%\)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2E5496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00800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E5496"/>
        <bgColor rgb="FF1F386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forbes.com/sites/maurybrown/2025/12/12/espns-final-f1-viewership-numbers-are-in-and-apple-tv-will-be-happy/" TargetMode="External"/><Relationship Id="rId2" Type="http://schemas.openxmlformats.org/officeDocument/2006/relationships/hyperlink" Target="https://www.hollywoodreporter.com/tv/tv-news/apple-tv-formula-1-ratings-eddy-cue-strong-start-1236529359/" TargetMode="External"/><Relationship Id="rId3" Type="http://schemas.openxmlformats.org/officeDocument/2006/relationships/hyperlink" Target="https://www.macrumors.com/2026/03/13/apple-tv-f1-viewership-victory-over-espn/" TargetMode="External"/><Relationship Id="rId4" Type="http://schemas.openxmlformats.org/officeDocument/2006/relationships/hyperlink" Target="https://www.motorsport.com/f1/news/apple-reveals-early-f1-viewership-surge-after-150m-us-broadcast-deal/10816971/" TargetMode="External"/><Relationship Id="rId5" Type="http://schemas.openxmlformats.org/officeDocument/2006/relationships/hyperlink" Target="https://sports.yahoo.com/articles/apple-experiences-huge-success-formula-170949005.html" TargetMode="External"/><Relationship Id="rId6" Type="http://schemas.openxmlformats.org/officeDocument/2006/relationships/hyperlink" Target="https://www.apple.com/newsroom/2026/04/formula-1-returns-to-the-us-this-weekend-streaming-live-on-apple-tv/" TargetMode="External"/><Relationship Id="rId7" Type="http://schemas.openxmlformats.org/officeDocument/2006/relationships/hyperlink" Target="https://applemagazine.com/miami-grand-prix-2026/" TargetMode="External"/><Relationship Id="rId8" Type="http://schemas.openxmlformats.org/officeDocument/2006/relationships/hyperlink" Target="https://awfulannouncing.com/racing/apple-claims-beat-espn-f1-viewership-australian-grand-prix.html" TargetMode="External"/><Relationship Id="rId9" Type="http://schemas.openxmlformats.org/officeDocument/2006/relationships/hyperlink" Target="https://www.blackbookmotorsport.com/news/f1-global-tv-viewership-figures-fia-regulations-domenicali-april-2026/" TargetMode="External"/><Relationship Id="rId10" Type="http://schemas.openxmlformats.org/officeDocument/2006/relationships/hyperlink" Target="https://x.com/thomasmaheronf1/status/2044104035687677980" TargetMode="External"/><Relationship Id="rId11" Type="http://schemas.openxmlformats.org/officeDocument/2006/relationships/hyperlink" Target="https://www.sportcal.com/media/f1s-australian-gp-draws-record-turnout-strong-viewership-around-the-world/" TargetMode="External"/><Relationship Id="rId12" Type="http://schemas.openxmlformats.org/officeDocument/2006/relationships/hyperlink" Target="https://gpdestinations.com/230000-attend-2026-chinese-grand-prix-weekend/" TargetMode="External"/><Relationship Id="rId13" Type="http://schemas.openxmlformats.org/officeDocument/2006/relationships/hyperlink" Target="https://gpdestinations.com/resources/f1-attendance-figures/" TargetMode="External"/><Relationship Id="rId14" Type="http://schemas.openxmlformats.org/officeDocument/2006/relationships/hyperlink" Target="https://www.yicaiglobal.com/news/chinese-grand-prix-draws-record-crowd-of-over-230000" TargetMode="External"/><Relationship Id="rId15" Type="http://schemas.openxmlformats.org/officeDocument/2006/relationships/hyperlink" Target="https://www.formula1.com/en/latest/article/miami-grand-prix-attracts-f1s-largest-live-audience-in-united-states.1TZioGIIUvFHEEsQ7qz30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15" hidden="false" customHeight="false" outlineLevel="0" collapsed="false">
      <c r="A4" s="5" t="s">
        <v>2</v>
      </c>
      <c r="B4" s="4"/>
    </row>
    <row r="5" customFormat="false" ht="35.05" hidden="false" customHeight="false" outlineLevel="0" collapsed="false">
      <c r="A5" s="3"/>
      <c r="B5" s="4" t="s">
        <v>3</v>
      </c>
    </row>
    <row r="6" customFormat="false" ht="15" hidden="false" customHeight="false" outlineLevel="0" collapsed="false">
      <c r="A6" s="3"/>
      <c r="B6" s="4"/>
    </row>
    <row r="7" customFormat="false" ht="15" hidden="false" customHeight="false" outlineLevel="0" collapsed="false">
      <c r="A7" s="5" t="s">
        <v>4</v>
      </c>
      <c r="B7" s="4"/>
    </row>
    <row r="8" customFormat="false" ht="15" hidden="false" customHeight="false" outlineLevel="0" collapsed="false">
      <c r="A8" s="3" t="s">
        <v>5</v>
      </c>
      <c r="B8" s="4" t="s">
        <v>6</v>
      </c>
    </row>
    <row r="9" customFormat="false" ht="23.85" hidden="false" customHeight="false" outlineLevel="0" collapsed="false">
      <c r="A9" s="3" t="s">
        <v>7</v>
      </c>
      <c r="B9" s="4" t="s">
        <v>8</v>
      </c>
    </row>
    <row r="10" customFormat="false" ht="15" hidden="false" customHeight="false" outlineLevel="0" collapsed="false">
      <c r="A10" s="3" t="s">
        <v>9</v>
      </c>
      <c r="B10" s="4" t="s">
        <v>10</v>
      </c>
    </row>
    <row r="11" customFormat="false" ht="15" hidden="false" customHeight="false" outlineLevel="0" collapsed="false">
      <c r="A11" s="3" t="s">
        <v>11</v>
      </c>
      <c r="B11" s="4" t="s">
        <v>12</v>
      </c>
    </row>
    <row r="12" customFormat="false" ht="15" hidden="false" customHeight="false" outlineLevel="0" collapsed="false">
      <c r="A12" s="3"/>
      <c r="B12" s="4"/>
    </row>
    <row r="13" customFormat="false" ht="15" hidden="false" customHeight="false" outlineLevel="0" collapsed="false">
      <c r="A13" s="5" t="s">
        <v>13</v>
      </c>
      <c r="B13" s="4"/>
    </row>
    <row r="14" customFormat="false" ht="23.85" hidden="false" customHeight="false" outlineLevel="0" collapsed="false">
      <c r="A14" s="3" t="s">
        <v>14</v>
      </c>
      <c r="B14" s="4" t="s">
        <v>15</v>
      </c>
    </row>
    <row r="15" customFormat="false" ht="23.85" hidden="false" customHeight="false" outlineLevel="0" collapsed="false">
      <c r="A15" s="3" t="s">
        <v>16</v>
      </c>
      <c r="B15" s="4" t="s">
        <v>17</v>
      </c>
    </row>
    <row r="16" customFormat="false" ht="23.85" hidden="false" customHeight="false" outlineLevel="0" collapsed="false">
      <c r="A16" s="3" t="s">
        <v>18</v>
      </c>
      <c r="B16" s="4" t="s">
        <v>19</v>
      </c>
    </row>
    <row r="17" customFormat="false" ht="15" hidden="false" customHeight="false" outlineLevel="0" collapsed="false">
      <c r="A17" s="3" t="s">
        <v>20</v>
      </c>
      <c r="B17" s="4" t="s">
        <v>21</v>
      </c>
    </row>
    <row r="18" customFormat="false" ht="15" hidden="false" customHeight="false" outlineLevel="0" collapsed="false">
      <c r="A18" s="3"/>
      <c r="B18" s="4"/>
    </row>
    <row r="19" customFormat="false" ht="15" hidden="false" customHeight="false" outlineLevel="0" collapsed="false">
      <c r="A19" s="5" t="s">
        <v>22</v>
      </c>
      <c r="B19" s="4"/>
    </row>
    <row r="20" customFormat="false" ht="23.85" hidden="false" customHeight="false" outlineLevel="0" collapsed="false">
      <c r="A20" s="3"/>
      <c r="B20" s="4" t="s">
        <v>23</v>
      </c>
    </row>
    <row r="21" customFormat="false" ht="15" hidden="false" customHeight="false" outlineLevel="0" collapsed="false">
      <c r="A21" s="3"/>
      <c r="B21" s="4" t="s">
        <v>24</v>
      </c>
    </row>
    <row r="22" customFormat="false" ht="23.85" hidden="false" customHeight="false" outlineLevel="0" collapsed="false">
      <c r="A22" s="3"/>
      <c r="B22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6" min="2" style="0" width="8"/>
    <col collapsed="false" customWidth="true" hidden="false" outlineLevel="0" max="7" min="7" style="0" width="2"/>
    <col collapsed="false" customWidth="true" hidden="false" outlineLevel="0" max="11" min="8" style="0" width="9"/>
  </cols>
  <sheetData>
    <row r="1" customFormat="false" ht="16.15" hidden="false" customHeight="false" outlineLevel="0" collapsed="false">
      <c r="A1" s="6" t="s">
        <v>26</v>
      </c>
    </row>
    <row r="2" customFormat="false" ht="27.75" hidden="false" customHeight="true" outlineLevel="0" collapsed="false">
      <c r="A2" s="7" t="s">
        <v>27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customFormat="false" ht="15" hidden="false" customHeight="false" outlineLevel="0" collapsed="false">
      <c r="A4" s="8" t="s">
        <v>28</v>
      </c>
      <c r="B4" s="9" t="s">
        <v>29</v>
      </c>
      <c r="C4" s="9" t="s">
        <v>30</v>
      </c>
      <c r="D4" s="9" t="s">
        <v>31</v>
      </c>
      <c r="E4" s="9" t="s">
        <v>32</v>
      </c>
      <c r="F4" s="9" t="s">
        <v>33</v>
      </c>
      <c r="G4" s="10"/>
      <c r="H4" s="9" t="s">
        <v>34</v>
      </c>
      <c r="I4" s="9" t="s">
        <v>35</v>
      </c>
      <c r="J4" s="9" t="s">
        <v>36</v>
      </c>
      <c r="K4" s="9" t="s">
        <v>37</v>
      </c>
    </row>
    <row r="5" customFormat="false" ht="15" hidden="false" customHeight="false" outlineLevel="0" collapsed="false">
      <c r="A5" s="11" t="s">
        <v>38</v>
      </c>
      <c r="B5" s="12" t="n">
        <v>0.9</v>
      </c>
      <c r="C5" s="12" t="n">
        <v>1.4</v>
      </c>
      <c r="D5" s="12" t="n">
        <v>1.8</v>
      </c>
      <c r="E5" s="12" t="n">
        <v>2</v>
      </c>
      <c r="F5" s="12" t="n">
        <v>2.3</v>
      </c>
      <c r="G5" s="13"/>
      <c r="H5" s="14" t="n">
        <v>0.5</v>
      </c>
      <c r="I5" s="14" t="n">
        <v>0.28</v>
      </c>
      <c r="J5" s="14" t="n">
        <v>0.1</v>
      </c>
      <c r="K5" s="14" t="n">
        <v>0.17</v>
      </c>
    </row>
    <row r="6" customFormat="false" ht="15" hidden="false" customHeight="false" outlineLevel="0" collapsed="false">
      <c r="A6" s="15" t="s">
        <v>39</v>
      </c>
      <c r="B6" s="16" t="s">
        <v>40</v>
      </c>
      <c r="C6" s="17" t="n">
        <v>2.6</v>
      </c>
      <c r="D6" s="17" t="n">
        <v>2</v>
      </c>
      <c r="E6" s="17" t="n">
        <v>3.1</v>
      </c>
      <c r="F6" s="17" t="n">
        <v>2.2</v>
      </c>
      <c r="G6" s="13"/>
      <c r="H6" s="16" t="s">
        <v>40</v>
      </c>
      <c r="I6" s="18" t="n">
        <v>-0.24</v>
      </c>
      <c r="J6" s="19" t="n">
        <v>0.58</v>
      </c>
      <c r="K6" s="18" t="n">
        <v>-0.29</v>
      </c>
    </row>
    <row r="7" customFormat="false" ht="15" hidden="false" customHeight="false" outlineLevel="0" collapsed="false">
      <c r="A7" s="11" t="s">
        <v>41</v>
      </c>
      <c r="B7" s="20" t="s">
        <v>40</v>
      </c>
      <c r="C7" s="12" t="n">
        <v>1.7</v>
      </c>
      <c r="D7" s="12" t="n">
        <v>1.8</v>
      </c>
      <c r="E7" s="12" t="n">
        <v>1.8</v>
      </c>
      <c r="F7" s="12" t="n">
        <v>1.9</v>
      </c>
      <c r="G7" s="13"/>
      <c r="H7" s="20" t="s">
        <v>40</v>
      </c>
      <c r="I7" s="14" t="n">
        <v>0.02</v>
      </c>
      <c r="J7" s="14" t="n">
        <v>0.02</v>
      </c>
      <c r="K7" s="14" t="n">
        <v>0.06</v>
      </c>
    </row>
    <row r="8" customFormat="false" ht="15" hidden="false" customHeight="false" outlineLevel="0" collapsed="false">
      <c r="A8" s="15" t="s">
        <v>42</v>
      </c>
      <c r="B8" s="17" t="n">
        <v>1</v>
      </c>
      <c r="C8" s="17" t="n">
        <v>1.2</v>
      </c>
      <c r="D8" s="17" t="n">
        <v>1.2</v>
      </c>
      <c r="E8" s="17" t="n">
        <v>1.3</v>
      </c>
      <c r="F8" s="17" t="n">
        <v>1.5</v>
      </c>
      <c r="G8" s="13"/>
      <c r="H8" s="19" t="n">
        <v>0.2</v>
      </c>
      <c r="I8" s="18" t="n">
        <v>-0.06</v>
      </c>
      <c r="J8" s="19" t="n">
        <v>0.1</v>
      </c>
      <c r="K8" s="19" t="n">
        <v>0.16</v>
      </c>
    </row>
    <row r="9" customFormat="false" ht="15" hidden="false" customHeight="false" outlineLevel="0" collapsed="false">
      <c r="A9" s="11" t="s">
        <v>43</v>
      </c>
      <c r="B9" s="12" t="n">
        <v>1.4</v>
      </c>
      <c r="C9" s="12" t="n">
        <v>1.3</v>
      </c>
      <c r="D9" s="12" t="n">
        <v>1.2</v>
      </c>
      <c r="E9" s="12" t="n">
        <v>1.3</v>
      </c>
      <c r="F9" s="12" t="n">
        <v>1.5</v>
      </c>
      <c r="G9" s="13"/>
      <c r="H9" s="21" t="n">
        <v>-0.05</v>
      </c>
      <c r="I9" s="21" t="n">
        <v>-0.13</v>
      </c>
      <c r="J9" s="14" t="n">
        <v>0.11</v>
      </c>
      <c r="K9" s="14" t="n">
        <v>0.15</v>
      </c>
    </row>
    <row r="10" customFormat="false" ht="15" hidden="false" customHeight="false" outlineLevel="0" collapsed="false">
      <c r="A10" s="15" t="s">
        <v>44</v>
      </c>
      <c r="B10" s="17" t="n">
        <v>1</v>
      </c>
      <c r="C10" s="17" t="n">
        <v>1</v>
      </c>
      <c r="D10" s="17" t="n">
        <v>1.5</v>
      </c>
      <c r="E10" s="17" t="n">
        <v>1.4</v>
      </c>
      <c r="F10" s="17" t="n">
        <v>1.5</v>
      </c>
      <c r="G10" s="13"/>
      <c r="H10" s="19" t="n">
        <v>0.06</v>
      </c>
      <c r="I10" s="19" t="n">
        <v>0.42</v>
      </c>
      <c r="J10" s="18" t="n">
        <v>-0.04</v>
      </c>
      <c r="K10" s="19" t="n">
        <v>0.07</v>
      </c>
    </row>
    <row r="11" customFormat="false" ht="15" hidden="false" customHeight="false" outlineLevel="0" collapsed="false">
      <c r="A11" s="11" t="s">
        <v>45</v>
      </c>
      <c r="B11" s="20" t="s">
        <v>40</v>
      </c>
      <c r="C11" s="20" t="s">
        <v>40</v>
      </c>
      <c r="D11" s="12" t="n">
        <v>1.3</v>
      </c>
      <c r="E11" s="12" t="n">
        <v>0.905</v>
      </c>
      <c r="F11" s="12" t="n">
        <v>1.5</v>
      </c>
      <c r="G11" s="13"/>
      <c r="H11" s="20" t="s">
        <v>40</v>
      </c>
      <c r="I11" s="20" t="s">
        <v>40</v>
      </c>
      <c r="J11" s="21" t="n">
        <v>-0.3</v>
      </c>
      <c r="K11" s="14" t="n">
        <v>0.66</v>
      </c>
    </row>
    <row r="12" customFormat="false" ht="15" hidden="false" customHeight="false" outlineLevel="0" collapsed="false">
      <c r="A12" s="15" t="s">
        <v>46</v>
      </c>
      <c r="B12" s="17" t="n">
        <v>1</v>
      </c>
      <c r="C12" s="17" t="n">
        <v>0.9</v>
      </c>
      <c r="D12" s="17" t="n">
        <v>0.9</v>
      </c>
      <c r="E12" s="17" t="n">
        <v>1</v>
      </c>
      <c r="F12" s="17" t="n">
        <v>1.5</v>
      </c>
      <c r="G12" s="13"/>
      <c r="H12" s="18" t="n">
        <v>-0.03</v>
      </c>
      <c r="I12" s="19" t="n">
        <v>0</v>
      </c>
      <c r="J12" s="19" t="n">
        <v>0.08</v>
      </c>
      <c r="K12" s="19" t="n">
        <v>0.5</v>
      </c>
    </row>
    <row r="13" customFormat="false" ht="15" hidden="false" customHeight="false" outlineLevel="0" collapsed="false">
      <c r="A13" s="11" t="s">
        <v>47</v>
      </c>
      <c r="B13" s="12" t="n">
        <v>0.9</v>
      </c>
      <c r="C13" s="12" t="n">
        <v>1.5</v>
      </c>
      <c r="D13" s="12" t="n">
        <v>1.5</v>
      </c>
      <c r="E13" s="12" t="n">
        <v>0.9</v>
      </c>
      <c r="F13" s="12" t="n">
        <v>1.5</v>
      </c>
      <c r="G13" s="13"/>
      <c r="H13" s="14" t="n">
        <v>0.55</v>
      </c>
      <c r="I13" s="14" t="n">
        <v>0.05</v>
      </c>
      <c r="J13" s="21" t="n">
        <v>-0.39</v>
      </c>
      <c r="K13" s="14" t="n">
        <v>0.53</v>
      </c>
    </row>
    <row r="14" customFormat="false" ht="15" hidden="false" customHeight="false" outlineLevel="0" collapsed="false">
      <c r="A14" s="15" t="s">
        <v>48</v>
      </c>
      <c r="B14" s="17" t="n">
        <v>0.6</v>
      </c>
      <c r="C14" s="17" t="n">
        <v>1.1</v>
      </c>
      <c r="D14" s="17" t="n">
        <v>1.2</v>
      </c>
      <c r="E14" s="17" t="n">
        <v>1.1</v>
      </c>
      <c r="F14" s="17" t="n">
        <v>1.4</v>
      </c>
      <c r="G14" s="13"/>
      <c r="H14" s="19" t="n">
        <v>0.65</v>
      </c>
      <c r="I14" s="19" t="n">
        <v>0.11</v>
      </c>
      <c r="J14" s="18" t="n">
        <v>-0.06</v>
      </c>
      <c r="K14" s="19" t="n">
        <v>0.27</v>
      </c>
    </row>
    <row r="15" customFormat="false" ht="15" hidden="false" customHeight="false" outlineLevel="0" collapsed="false">
      <c r="A15" s="11" t="s">
        <v>49</v>
      </c>
      <c r="B15" s="12" t="n">
        <v>0.8</v>
      </c>
      <c r="C15" s="20" t="s">
        <v>40</v>
      </c>
      <c r="D15" s="12" t="n">
        <v>0.8</v>
      </c>
      <c r="E15" s="12" t="n">
        <v>1</v>
      </c>
      <c r="F15" s="12" t="n">
        <v>1.4</v>
      </c>
      <c r="G15" s="13"/>
      <c r="H15" s="20" t="s">
        <v>40</v>
      </c>
      <c r="I15" s="20" t="s">
        <v>40</v>
      </c>
      <c r="J15" s="14" t="n">
        <v>0.2</v>
      </c>
      <c r="K15" s="14" t="n">
        <v>0.41</v>
      </c>
    </row>
    <row r="16" customFormat="false" ht="15" hidden="false" customHeight="false" outlineLevel="0" collapsed="false">
      <c r="A16" s="15" t="s">
        <v>50</v>
      </c>
      <c r="B16" s="17" t="n">
        <v>0.9</v>
      </c>
      <c r="C16" s="17" t="n">
        <v>1.4</v>
      </c>
      <c r="D16" s="17" t="n">
        <v>1.3</v>
      </c>
      <c r="E16" s="17" t="n">
        <v>1.1</v>
      </c>
      <c r="F16" s="17" t="n">
        <v>1.3</v>
      </c>
      <c r="G16" s="13"/>
      <c r="H16" s="19" t="n">
        <v>0.54</v>
      </c>
      <c r="I16" s="18" t="n">
        <v>-0.03</v>
      </c>
      <c r="J16" s="18" t="n">
        <v>-0.15</v>
      </c>
      <c r="K16" s="19" t="n">
        <v>0.14</v>
      </c>
    </row>
    <row r="17" customFormat="false" ht="15" hidden="false" customHeight="false" outlineLevel="0" collapsed="false">
      <c r="A17" s="11" t="s">
        <v>51</v>
      </c>
      <c r="B17" s="12" t="n">
        <v>1</v>
      </c>
      <c r="C17" s="12" t="n">
        <v>1.3</v>
      </c>
      <c r="D17" s="12" t="n">
        <v>1</v>
      </c>
      <c r="E17" s="12" t="n">
        <v>1.1</v>
      </c>
      <c r="F17" s="12" t="n">
        <v>1.2</v>
      </c>
      <c r="G17" s="13"/>
      <c r="H17" s="14" t="n">
        <v>0.3</v>
      </c>
      <c r="I17" s="21" t="n">
        <v>-0.17</v>
      </c>
      <c r="J17" s="14" t="n">
        <v>0.06</v>
      </c>
      <c r="K17" s="14" t="n">
        <v>0.11</v>
      </c>
    </row>
    <row r="18" customFormat="false" ht="15" hidden="false" customHeight="false" outlineLevel="0" collapsed="false">
      <c r="A18" s="15" t="s">
        <v>52</v>
      </c>
      <c r="B18" s="17" t="n">
        <v>0.9</v>
      </c>
      <c r="C18" s="17" t="n">
        <v>1</v>
      </c>
      <c r="D18" s="17" t="n">
        <v>1.1</v>
      </c>
      <c r="E18" s="17" t="n">
        <v>1.1</v>
      </c>
      <c r="F18" s="17" t="n">
        <v>1.2</v>
      </c>
      <c r="G18" s="13"/>
      <c r="H18" s="19" t="n">
        <v>0.13</v>
      </c>
      <c r="I18" s="19" t="n">
        <v>0.08</v>
      </c>
      <c r="J18" s="19" t="n">
        <v>0.03</v>
      </c>
      <c r="K18" s="19" t="n">
        <v>0.09</v>
      </c>
    </row>
    <row r="19" customFormat="false" ht="15" hidden="false" customHeight="false" outlineLevel="0" collapsed="false">
      <c r="A19" s="11" t="s">
        <v>53</v>
      </c>
      <c r="B19" s="12" t="n">
        <v>0.9</v>
      </c>
      <c r="C19" s="12" t="n">
        <v>1.2</v>
      </c>
      <c r="D19" s="12" t="n">
        <v>1</v>
      </c>
      <c r="E19" s="12" t="n">
        <v>1</v>
      </c>
      <c r="F19" s="12" t="n">
        <v>1.2</v>
      </c>
      <c r="G19" s="13"/>
      <c r="H19" s="14" t="n">
        <v>0.32</v>
      </c>
      <c r="I19" s="21" t="n">
        <v>-0.16</v>
      </c>
      <c r="J19" s="14" t="n">
        <v>0.03</v>
      </c>
      <c r="K19" s="14" t="n">
        <v>0.19</v>
      </c>
    </row>
    <row r="20" customFormat="false" ht="15" hidden="false" customHeight="false" outlineLevel="0" collapsed="false">
      <c r="A20" s="15" t="s">
        <v>54</v>
      </c>
      <c r="B20" s="17" t="n">
        <v>0.9</v>
      </c>
      <c r="C20" s="17" t="n">
        <v>1.1</v>
      </c>
      <c r="D20" s="17" t="n">
        <v>1</v>
      </c>
      <c r="E20" s="17" t="n">
        <v>1.1</v>
      </c>
      <c r="F20" s="17" t="n">
        <v>1.2</v>
      </c>
      <c r="G20" s="13"/>
      <c r="H20" s="19" t="n">
        <v>0.33</v>
      </c>
      <c r="I20" s="18" t="n">
        <v>-0.12</v>
      </c>
      <c r="J20" s="19" t="n">
        <v>0.1</v>
      </c>
      <c r="K20" s="19" t="n">
        <v>0.06</v>
      </c>
    </row>
    <row r="21" customFormat="false" ht="15" hidden="false" customHeight="false" outlineLevel="0" collapsed="false">
      <c r="A21" s="11" t="s">
        <v>55</v>
      </c>
      <c r="B21" s="20" t="s">
        <v>40</v>
      </c>
      <c r="C21" s="12" t="n">
        <v>0.6</v>
      </c>
      <c r="D21" s="12" t="n">
        <v>0.6</v>
      </c>
      <c r="E21" s="12" t="n">
        <v>0.5</v>
      </c>
      <c r="F21" s="12" t="n">
        <v>1.1</v>
      </c>
      <c r="G21" s="13"/>
      <c r="H21" s="20" t="s">
        <v>40</v>
      </c>
      <c r="I21" s="21" t="n">
        <v>-0.02</v>
      </c>
      <c r="J21" s="21" t="n">
        <v>-0.03</v>
      </c>
      <c r="K21" s="14" t="n">
        <v>1.05</v>
      </c>
    </row>
    <row r="22" customFormat="false" ht="15" hidden="false" customHeight="false" outlineLevel="0" collapsed="false">
      <c r="A22" s="15" t="s">
        <v>56</v>
      </c>
      <c r="B22" s="17" t="n">
        <v>1</v>
      </c>
      <c r="C22" s="17" t="n">
        <v>1.1</v>
      </c>
      <c r="D22" s="17" t="n">
        <v>1.1</v>
      </c>
      <c r="E22" s="17" t="n">
        <v>1.1</v>
      </c>
      <c r="F22" s="17" t="n">
        <v>1.1</v>
      </c>
      <c r="G22" s="13"/>
      <c r="H22" s="19" t="n">
        <v>0.12</v>
      </c>
      <c r="I22" s="18" t="n">
        <v>-0.01</v>
      </c>
      <c r="J22" s="18" t="n">
        <v>-0.01</v>
      </c>
      <c r="K22" s="19" t="n">
        <v>0.02</v>
      </c>
    </row>
    <row r="23" customFormat="false" ht="15" hidden="false" customHeight="false" outlineLevel="0" collapsed="false">
      <c r="A23" s="11" t="s">
        <v>57</v>
      </c>
      <c r="B23" s="12" t="n">
        <v>1</v>
      </c>
      <c r="C23" s="12" t="n">
        <v>0.8</v>
      </c>
      <c r="D23" s="12" t="n">
        <v>1</v>
      </c>
      <c r="E23" s="12" t="n">
        <v>0.9</v>
      </c>
      <c r="F23" s="12" t="n">
        <v>1.1</v>
      </c>
      <c r="G23" s="13"/>
      <c r="H23" s="21" t="n">
        <v>-0.13</v>
      </c>
      <c r="I23" s="14" t="n">
        <v>0.15</v>
      </c>
      <c r="J23" s="21" t="n">
        <v>-0.1</v>
      </c>
      <c r="K23" s="14" t="n">
        <v>0.27</v>
      </c>
    </row>
    <row r="24" customFormat="false" ht="15" hidden="false" customHeight="false" outlineLevel="0" collapsed="false">
      <c r="A24" s="15" t="s">
        <v>58</v>
      </c>
      <c r="B24" s="17" t="n">
        <v>0.9</v>
      </c>
      <c r="C24" s="17" t="n">
        <v>1</v>
      </c>
      <c r="D24" s="17" t="n">
        <v>1.1</v>
      </c>
      <c r="E24" s="17" t="n">
        <v>0.9</v>
      </c>
      <c r="F24" s="17" t="n">
        <v>1.1</v>
      </c>
      <c r="G24" s="13"/>
      <c r="H24" s="19" t="n">
        <v>0.09</v>
      </c>
      <c r="I24" s="19" t="n">
        <v>0.12</v>
      </c>
      <c r="J24" s="18" t="n">
        <v>-0.23</v>
      </c>
      <c r="K24" s="19" t="n">
        <v>0.27</v>
      </c>
    </row>
    <row r="25" customFormat="false" ht="15" hidden="false" customHeight="false" outlineLevel="0" collapsed="false">
      <c r="A25" s="11" t="s">
        <v>59</v>
      </c>
      <c r="B25" s="20" t="s">
        <v>40</v>
      </c>
      <c r="C25" s="12" t="n">
        <v>1</v>
      </c>
      <c r="D25" s="12" t="n">
        <v>1.2</v>
      </c>
      <c r="E25" s="12" t="n">
        <v>1</v>
      </c>
      <c r="F25" s="12" t="n">
        <v>0.9</v>
      </c>
      <c r="G25" s="13"/>
      <c r="H25" s="20" t="s">
        <v>40</v>
      </c>
      <c r="I25" s="14" t="n">
        <v>0.13</v>
      </c>
      <c r="J25" s="21" t="n">
        <v>-0.15</v>
      </c>
      <c r="K25" s="21" t="n">
        <v>-0.07</v>
      </c>
    </row>
    <row r="26" customFormat="false" ht="15" hidden="false" customHeight="false" outlineLevel="0" collapsed="false">
      <c r="A26" s="15" t="s">
        <v>60</v>
      </c>
      <c r="B26" s="16" t="s">
        <v>40</v>
      </c>
      <c r="C26" s="16" t="s">
        <v>40</v>
      </c>
      <c r="D26" s="16" t="s">
        <v>40</v>
      </c>
      <c r="E26" s="17" t="n">
        <v>0.6</v>
      </c>
      <c r="F26" s="17" t="n">
        <v>0.8</v>
      </c>
      <c r="G26" s="13"/>
      <c r="H26" s="16" t="s">
        <v>40</v>
      </c>
      <c r="I26" s="16" t="s">
        <v>40</v>
      </c>
      <c r="J26" s="16" t="s">
        <v>40</v>
      </c>
      <c r="K26" s="19" t="n">
        <v>0.32</v>
      </c>
    </row>
    <row r="27" customFormat="false" ht="15" hidden="false" customHeight="false" outlineLevel="0" collapsed="false">
      <c r="A27" s="11" t="s">
        <v>61</v>
      </c>
      <c r="B27" s="12" t="n">
        <v>0.8</v>
      </c>
      <c r="C27" s="12" t="n">
        <v>1.4</v>
      </c>
      <c r="D27" s="12" t="n">
        <v>0.9</v>
      </c>
      <c r="E27" s="12" t="n">
        <v>0.5</v>
      </c>
      <c r="F27" s="12" t="n">
        <v>0.8</v>
      </c>
      <c r="G27" s="13"/>
      <c r="H27" s="14" t="n">
        <v>0.75</v>
      </c>
      <c r="I27" s="21" t="n">
        <v>-0.35</v>
      </c>
      <c r="J27" s="21" t="n">
        <v>-0.42</v>
      </c>
      <c r="K27" s="14" t="n">
        <v>0.48</v>
      </c>
    </row>
    <row r="28" customFormat="false" ht="15" hidden="false" customHeight="false" outlineLevel="0" collapsed="false">
      <c r="A28" s="15" t="s">
        <v>62</v>
      </c>
      <c r="B28" s="16" t="s">
        <v>40</v>
      </c>
      <c r="C28" s="17" t="n">
        <v>0.5</v>
      </c>
      <c r="D28" s="17" t="n">
        <v>0.5</v>
      </c>
      <c r="E28" s="17" t="n">
        <v>0.5</v>
      </c>
      <c r="F28" s="17" t="n">
        <v>0.5</v>
      </c>
      <c r="G28" s="13"/>
      <c r="H28" s="16" t="s">
        <v>40</v>
      </c>
      <c r="I28" s="18" t="n">
        <v>-0.13</v>
      </c>
      <c r="J28" s="19" t="n">
        <v>0.01</v>
      </c>
      <c r="K28" s="19" t="n">
        <v>0.1</v>
      </c>
    </row>
    <row r="29" customFormat="false" ht="15" hidden="false" customHeight="false" outlineLevel="0" collapsed="false">
      <c r="A29" s="11" t="s">
        <v>63</v>
      </c>
      <c r="B29" s="12" t="n">
        <v>1.1</v>
      </c>
      <c r="C29" s="12" t="n">
        <v>1.06</v>
      </c>
      <c r="D29" s="20" t="s">
        <v>40</v>
      </c>
      <c r="E29" s="20" t="s">
        <v>40</v>
      </c>
      <c r="F29" s="20" t="s">
        <v>40</v>
      </c>
      <c r="G29" s="13"/>
      <c r="H29" s="21" t="n">
        <v>-0.04</v>
      </c>
      <c r="I29" s="20" t="s">
        <v>40</v>
      </c>
      <c r="J29" s="20" t="s">
        <v>40</v>
      </c>
      <c r="K29" s="20" t="s">
        <v>40</v>
      </c>
    </row>
    <row r="30" customFormat="false" ht="15" hidden="false" customHeight="false" outlineLevel="0" collapsed="false">
      <c r="A30" s="15" t="s">
        <v>64</v>
      </c>
      <c r="B30" s="17" t="n">
        <v>0.9</v>
      </c>
      <c r="C30" s="16" t="s">
        <v>40</v>
      </c>
      <c r="D30" s="16" t="s">
        <v>40</v>
      </c>
      <c r="E30" s="16" t="s">
        <v>40</v>
      </c>
      <c r="F30" s="16" t="s">
        <v>40</v>
      </c>
      <c r="G30" s="13"/>
      <c r="H30" s="16" t="s">
        <v>40</v>
      </c>
      <c r="I30" s="16" t="s">
        <v>40</v>
      </c>
      <c r="J30" s="16" t="s">
        <v>40</v>
      </c>
      <c r="K30" s="16" t="s">
        <v>40</v>
      </c>
    </row>
    <row r="31" customFormat="false" ht="15" hidden="false" customHeight="false" outlineLevel="0" collapsed="false">
      <c r="A31" s="11" t="s">
        <v>65</v>
      </c>
      <c r="B31" s="12" t="n">
        <v>0.9</v>
      </c>
      <c r="C31" s="20" t="s">
        <v>40</v>
      </c>
      <c r="D31" s="20" t="s">
        <v>40</v>
      </c>
      <c r="E31" s="20" t="s">
        <v>40</v>
      </c>
      <c r="F31" s="20" t="s">
        <v>40</v>
      </c>
      <c r="G31" s="13"/>
      <c r="H31" s="20" t="s">
        <v>40</v>
      </c>
      <c r="I31" s="20" t="s">
        <v>40</v>
      </c>
      <c r="J31" s="20" t="s">
        <v>40</v>
      </c>
      <c r="K31" s="20" t="s">
        <v>40</v>
      </c>
    </row>
    <row r="32" customFormat="false" ht="15" hidden="false" customHeight="false" outlineLevel="0" collapsed="false">
      <c r="A32" s="15" t="s">
        <v>66</v>
      </c>
      <c r="B32" s="17" t="n">
        <v>0.8</v>
      </c>
      <c r="C32" s="16" t="s">
        <v>40</v>
      </c>
      <c r="D32" s="16" t="s">
        <v>40</v>
      </c>
      <c r="E32" s="16" t="s">
        <v>40</v>
      </c>
      <c r="F32" s="16" t="s">
        <v>40</v>
      </c>
      <c r="G32" s="13"/>
      <c r="H32" s="16" t="s">
        <v>40</v>
      </c>
      <c r="I32" s="16" t="s">
        <v>40</v>
      </c>
      <c r="J32" s="16" t="s">
        <v>40</v>
      </c>
      <c r="K32" s="16" t="s">
        <v>40</v>
      </c>
    </row>
    <row r="33" customFormat="false" ht="15" hidden="false" customHeight="false" outlineLevel="0" collapsed="false">
      <c r="A33" s="11" t="s">
        <v>67</v>
      </c>
      <c r="B33" s="12" t="n">
        <v>0.7</v>
      </c>
      <c r="C33" s="20" t="s">
        <v>40</v>
      </c>
      <c r="D33" s="20" t="s">
        <v>40</v>
      </c>
      <c r="E33" s="20" t="s">
        <v>40</v>
      </c>
      <c r="F33" s="20" t="s">
        <v>40</v>
      </c>
      <c r="G33" s="13"/>
      <c r="H33" s="20" t="s">
        <v>40</v>
      </c>
      <c r="I33" s="20" t="s">
        <v>40</v>
      </c>
      <c r="J33" s="20" t="s">
        <v>40</v>
      </c>
      <c r="K33" s="20" t="s">
        <v>40</v>
      </c>
    </row>
  </sheetData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26"/>
  </cols>
  <sheetData>
    <row r="1" customFormat="false" ht="16.15" hidden="false" customHeight="false" outlineLevel="0" collapsed="false">
      <c r="A1" s="6" t="s">
        <v>68</v>
      </c>
    </row>
    <row r="2" customFormat="false" ht="30" hidden="false" customHeight="true" outlineLevel="0" collapsed="false">
      <c r="A2" s="7" t="s">
        <v>69</v>
      </c>
      <c r="B2" s="7"/>
      <c r="C2" s="7"/>
      <c r="D2" s="7"/>
      <c r="E2" s="7"/>
      <c r="F2" s="7"/>
    </row>
    <row r="4" customFormat="false" ht="26.85" hidden="false" customHeight="false" outlineLevel="0" collapsed="false">
      <c r="A4" s="8" t="s">
        <v>70</v>
      </c>
      <c r="B4" s="9" t="s">
        <v>71</v>
      </c>
      <c r="C4" s="8" t="s">
        <v>72</v>
      </c>
      <c r="D4" s="8" t="s">
        <v>73</v>
      </c>
      <c r="E4" s="8" t="s">
        <v>74</v>
      </c>
    </row>
    <row r="5" customFormat="false" ht="66" hidden="false" customHeight="true" outlineLevel="0" collapsed="false">
      <c r="A5" s="11" t="s">
        <v>55</v>
      </c>
      <c r="B5" s="22" t="n">
        <f aca="false">'US Viewership (Pre-Apple)'!F21</f>
        <v>1.1</v>
      </c>
      <c r="C5" s="23" t="s">
        <v>75</v>
      </c>
      <c r="D5" s="23" t="s">
        <v>76</v>
      </c>
      <c r="E5" s="23" t="s">
        <v>77</v>
      </c>
    </row>
    <row r="6" customFormat="false" ht="66" hidden="false" customHeight="true" outlineLevel="0" collapsed="false">
      <c r="A6" s="11" t="s">
        <v>60</v>
      </c>
      <c r="B6" s="22" t="n">
        <f aca="false">'US Viewership (Pre-Apple)'!F26</f>
        <v>0.8</v>
      </c>
      <c r="C6" s="23" t="s">
        <v>78</v>
      </c>
      <c r="D6" s="23" t="s">
        <v>79</v>
      </c>
      <c r="E6" s="23" t="s">
        <v>80</v>
      </c>
    </row>
    <row r="7" customFormat="false" ht="66" hidden="false" customHeight="true" outlineLevel="0" collapsed="false">
      <c r="A7" s="11" t="s">
        <v>62</v>
      </c>
      <c r="B7" s="22" t="n">
        <f aca="false">'US Viewership (Pre-Apple)'!F28</f>
        <v>0.5</v>
      </c>
      <c r="C7" s="23" t="s">
        <v>81</v>
      </c>
      <c r="D7" s="23" t="s">
        <v>82</v>
      </c>
      <c r="E7" s="23" t="s">
        <v>83</v>
      </c>
    </row>
    <row r="8" customFormat="false" ht="66" hidden="false" customHeight="true" outlineLevel="0" collapsed="false">
      <c r="A8" s="11" t="s">
        <v>39</v>
      </c>
      <c r="B8" s="22" t="n">
        <f aca="false">'US Viewership (Pre-Apple)'!F6</f>
        <v>2.2</v>
      </c>
      <c r="C8" s="23" t="s">
        <v>84</v>
      </c>
      <c r="D8" s="23" t="s">
        <v>85</v>
      </c>
      <c r="E8" s="23" t="s">
        <v>86</v>
      </c>
    </row>
    <row r="10" customFormat="false" ht="15" hidden="false" customHeight="false" outlineLevel="0" collapsed="false">
      <c r="A10" s="5" t="s">
        <v>87</v>
      </c>
    </row>
    <row r="11" customFormat="false" ht="30" hidden="false" customHeight="true" outlineLevel="0" collapsed="false">
      <c r="A11" s="11" t="s">
        <v>88</v>
      </c>
      <c r="B11" s="24" t="s">
        <v>89</v>
      </c>
      <c r="C11" s="24"/>
      <c r="D11" s="24"/>
      <c r="E11" s="24"/>
    </row>
    <row r="12" customFormat="false" ht="30" hidden="false" customHeight="true" outlineLevel="0" collapsed="false">
      <c r="A12" s="11" t="s">
        <v>90</v>
      </c>
      <c r="B12" s="24" t="s">
        <v>91</v>
      </c>
      <c r="C12" s="24"/>
      <c r="D12" s="24"/>
      <c r="E12" s="24"/>
    </row>
    <row r="13" customFormat="false" ht="30" hidden="false" customHeight="true" outlineLevel="0" collapsed="false">
      <c r="A13" s="11" t="s">
        <v>92</v>
      </c>
      <c r="B13" s="24" t="s">
        <v>93</v>
      </c>
      <c r="C13" s="24"/>
      <c r="D13" s="24"/>
      <c r="E13" s="24"/>
    </row>
    <row r="14" customFormat="false" ht="30" hidden="false" customHeight="true" outlineLevel="0" collapsed="false">
      <c r="A14" s="11" t="s">
        <v>94</v>
      </c>
      <c r="B14" s="24" t="s">
        <v>95</v>
      </c>
      <c r="C14" s="24"/>
      <c r="D14" s="24"/>
      <c r="E14" s="24"/>
    </row>
    <row r="15" customFormat="false" ht="30" hidden="false" customHeight="true" outlineLevel="0" collapsed="false">
      <c r="A15" s="11" t="s">
        <v>96</v>
      </c>
      <c r="B15" s="24" t="s">
        <v>97</v>
      </c>
      <c r="C15" s="24"/>
      <c r="D15" s="24"/>
      <c r="E15" s="24"/>
    </row>
  </sheetData>
  <mergeCells count="6">
    <mergeCell ref="A2:F2"/>
    <mergeCell ref="B11:E11"/>
    <mergeCell ref="B12:E12"/>
    <mergeCell ref="B13:E13"/>
    <mergeCell ref="B14:E14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34"/>
  </cols>
  <sheetData>
    <row r="1" customFormat="false" ht="16.15" hidden="false" customHeight="false" outlineLevel="0" collapsed="false">
      <c r="A1" s="6" t="s">
        <v>98</v>
      </c>
    </row>
    <row r="2" customFormat="false" ht="27.75" hidden="false" customHeight="true" outlineLevel="0" collapsed="false">
      <c r="A2" s="7" t="s">
        <v>99</v>
      </c>
      <c r="B2" s="7"/>
      <c r="C2" s="7"/>
      <c r="D2" s="7"/>
      <c r="E2" s="7"/>
    </row>
    <row r="4" customFormat="false" ht="15" hidden="false" customHeight="false" outlineLevel="0" collapsed="false">
      <c r="A4" s="25" t="s">
        <v>100</v>
      </c>
      <c r="B4" s="25"/>
      <c r="C4" s="25"/>
      <c r="D4" s="25"/>
      <c r="E4" s="25"/>
    </row>
    <row r="5" customFormat="false" ht="15" hidden="false" customHeight="false" outlineLevel="0" collapsed="false">
      <c r="A5" s="8" t="s">
        <v>101</v>
      </c>
      <c r="B5" s="9" t="s">
        <v>102</v>
      </c>
      <c r="C5" s="8" t="s">
        <v>103</v>
      </c>
      <c r="D5" s="8" t="s">
        <v>104</v>
      </c>
      <c r="E5" s="8" t="s">
        <v>74</v>
      </c>
    </row>
    <row r="6" customFormat="false" ht="25.5" hidden="false" customHeight="true" outlineLevel="0" collapsed="false">
      <c r="A6" s="23" t="s">
        <v>105</v>
      </c>
      <c r="B6" s="26" t="s">
        <v>106</v>
      </c>
      <c r="C6" s="23" t="s">
        <v>107</v>
      </c>
      <c r="D6" s="23" t="s">
        <v>108</v>
      </c>
      <c r="E6" s="23" t="s">
        <v>109</v>
      </c>
    </row>
    <row r="7" customFormat="false" ht="25.5" hidden="false" customHeight="true" outlineLevel="0" collapsed="false">
      <c r="A7" s="23" t="s">
        <v>110</v>
      </c>
      <c r="B7" s="26" t="s">
        <v>111</v>
      </c>
      <c r="C7" s="23" t="s">
        <v>112</v>
      </c>
      <c r="D7" s="23" t="s">
        <v>113</v>
      </c>
      <c r="E7" s="23" t="s">
        <v>109</v>
      </c>
    </row>
    <row r="8" customFormat="false" ht="25.5" hidden="false" customHeight="true" outlineLevel="0" collapsed="false">
      <c r="A8" s="23" t="s">
        <v>114</v>
      </c>
      <c r="B8" s="26" t="s">
        <v>115</v>
      </c>
      <c r="C8" s="23" t="s">
        <v>116</v>
      </c>
      <c r="D8" s="23" t="s">
        <v>117</v>
      </c>
      <c r="E8" s="23" t="s">
        <v>109</v>
      </c>
    </row>
    <row r="9" customFormat="false" ht="25.5" hidden="false" customHeight="true" outlineLevel="0" collapsed="false">
      <c r="A9" s="23" t="s">
        <v>118</v>
      </c>
      <c r="B9" s="26" t="s">
        <v>115</v>
      </c>
      <c r="C9" s="23" t="s">
        <v>119</v>
      </c>
      <c r="D9" s="23" t="s">
        <v>120</v>
      </c>
      <c r="E9" s="23" t="s">
        <v>109</v>
      </c>
    </row>
    <row r="11" customFormat="false" ht="15" hidden="false" customHeight="false" outlineLevel="0" collapsed="false">
      <c r="A11" s="25" t="s">
        <v>121</v>
      </c>
      <c r="B11" s="25"/>
      <c r="C11" s="25"/>
      <c r="D11" s="25"/>
      <c r="E11" s="25"/>
    </row>
    <row r="12" customFormat="false" ht="15" hidden="false" customHeight="false" outlineLevel="0" collapsed="false">
      <c r="A12" s="8" t="s">
        <v>101</v>
      </c>
      <c r="B12" s="9" t="s">
        <v>102</v>
      </c>
      <c r="C12" s="8" t="s">
        <v>103</v>
      </c>
      <c r="D12" s="8" t="s">
        <v>104</v>
      </c>
      <c r="E12" s="8" t="s">
        <v>74</v>
      </c>
    </row>
    <row r="13" customFormat="false" ht="25.5" hidden="false" customHeight="true" outlineLevel="0" collapsed="false">
      <c r="A13" s="23" t="s">
        <v>122</v>
      </c>
      <c r="B13" s="26" t="s">
        <v>123</v>
      </c>
      <c r="C13" s="23" t="s">
        <v>115</v>
      </c>
      <c r="D13" s="23" t="s">
        <v>124</v>
      </c>
      <c r="E13" s="23" t="s">
        <v>109</v>
      </c>
    </row>
    <row r="14" customFormat="false" ht="25.5" hidden="false" customHeight="true" outlineLevel="0" collapsed="false">
      <c r="A14" s="23" t="s">
        <v>125</v>
      </c>
      <c r="B14" s="26" t="s">
        <v>115</v>
      </c>
      <c r="C14" s="23" t="s">
        <v>126</v>
      </c>
      <c r="D14" s="23" t="s">
        <v>117</v>
      </c>
      <c r="E14" s="23" t="s">
        <v>109</v>
      </c>
    </row>
    <row r="15" customFormat="false" ht="25.5" hidden="false" customHeight="true" outlineLevel="0" collapsed="false">
      <c r="A15" s="23" t="s">
        <v>127</v>
      </c>
      <c r="B15" s="26" t="s">
        <v>115</v>
      </c>
      <c r="C15" s="23" t="s">
        <v>128</v>
      </c>
      <c r="D15" s="23" t="s">
        <v>129</v>
      </c>
      <c r="E15" s="23" t="s">
        <v>109</v>
      </c>
    </row>
    <row r="17" customFormat="false" ht="15" hidden="false" customHeight="false" outlineLevel="0" collapsed="false">
      <c r="A17" s="25" t="s">
        <v>130</v>
      </c>
      <c r="B17" s="25"/>
      <c r="C17" s="25"/>
      <c r="D17" s="25"/>
      <c r="E17" s="25"/>
    </row>
    <row r="18" customFormat="false" ht="15" hidden="false" customHeight="false" outlineLevel="0" collapsed="false">
      <c r="A18" s="8" t="s">
        <v>101</v>
      </c>
      <c r="B18" s="9" t="s">
        <v>102</v>
      </c>
      <c r="C18" s="8" t="s">
        <v>103</v>
      </c>
      <c r="D18" s="8" t="s">
        <v>104</v>
      </c>
      <c r="E18" s="8" t="s">
        <v>74</v>
      </c>
    </row>
    <row r="19" customFormat="false" ht="25.5" hidden="false" customHeight="true" outlineLevel="0" collapsed="false">
      <c r="A19" s="23" t="s">
        <v>131</v>
      </c>
      <c r="B19" s="26" t="s">
        <v>115</v>
      </c>
      <c r="C19" s="23" t="s">
        <v>132</v>
      </c>
      <c r="D19" s="23" t="s">
        <v>133</v>
      </c>
      <c r="E19" s="23" t="s">
        <v>134</v>
      </c>
    </row>
    <row r="20" customFormat="false" ht="25.5" hidden="false" customHeight="true" outlineLevel="0" collapsed="false">
      <c r="A20" s="23" t="s">
        <v>135</v>
      </c>
      <c r="B20" s="26" t="s">
        <v>115</v>
      </c>
      <c r="C20" s="23" t="s">
        <v>136</v>
      </c>
      <c r="D20" s="23" t="s">
        <v>133</v>
      </c>
      <c r="E20" s="23" t="s">
        <v>134</v>
      </c>
    </row>
    <row r="21" customFormat="false" ht="25.5" hidden="false" customHeight="true" outlineLevel="0" collapsed="false">
      <c r="A21" s="23" t="s">
        <v>137</v>
      </c>
      <c r="B21" s="26" t="s">
        <v>115</v>
      </c>
      <c r="C21" s="23" t="s">
        <v>138</v>
      </c>
      <c r="D21" s="23" t="s">
        <v>133</v>
      </c>
      <c r="E21" s="23" t="s">
        <v>134</v>
      </c>
    </row>
    <row r="22" customFormat="false" ht="25.5" hidden="false" customHeight="true" outlineLevel="0" collapsed="false">
      <c r="A22" s="23" t="s">
        <v>139</v>
      </c>
      <c r="B22" s="26" t="s">
        <v>140</v>
      </c>
      <c r="C22" s="23" t="s">
        <v>141</v>
      </c>
      <c r="D22" s="23" t="s">
        <v>142</v>
      </c>
      <c r="E22" s="23" t="s">
        <v>143</v>
      </c>
    </row>
    <row r="23" customFormat="false" ht="25.5" hidden="false" customHeight="true" outlineLevel="0" collapsed="false">
      <c r="A23" s="23" t="s">
        <v>144</v>
      </c>
      <c r="B23" s="26" t="s">
        <v>145</v>
      </c>
      <c r="C23" s="23" t="s">
        <v>146</v>
      </c>
      <c r="D23" s="23" t="s">
        <v>147</v>
      </c>
      <c r="E23" s="23" t="s">
        <v>148</v>
      </c>
    </row>
    <row r="25" customFormat="false" ht="15" hidden="false" customHeight="false" outlineLevel="0" collapsed="false">
      <c r="A25" s="27" t="s">
        <v>149</v>
      </c>
    </row>
  </sheetData>
  <mergeCells count="4">
    <mergeCell ref="A2:E2"/>
    <mergeCell ref="A4:E4"/>
    <mergeCell ref="A11:E11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70"/>
  </cols>
  <sheetData>
    <row r="1" customFormat="false" ht="16.15" hidden="false" customHeight="false" outlineLevel="0" collapsed="false">
      <c r="A1" s="6" t="s">
        <v>150</v>
      </c>
    </row>
    <row r="3" customFormat="false" ht="15" hidden="false" customHeight="false" outlineLevel="0" collapsed="false">
      <c r="A3" s="9" t="s">
        <v>151</v>
      </c>
      <c r="B3" s="8" t="s">
        <v>152</v>
      </c>
      <c r="C3" s="8" t="s">
        <v>153</v>
      </c>
      <c r="D3" s="8" t="s">
        <v>154</v>
      </c>
      <c r="E3" s="8" t="s">
        <v>155</v>
      </c>
    </row>
    <row r="4" customFormat="false" ht="25.5" hidden="false" customHeight="true" outlineLevel="0" collapsed="false">
      <c r="A4" s="20" t="n">
        <v>1</v>
      </c>
      <c r="B4" s="23" t="s">
        <v>156</v>
      </c>
      <c r="C4" s="23" t="s">
        <v>157</v>
      </c>
      <c r="D4" s="20" t="s">
        <v>158</v>
      </c>
      <c r="E4" s="28" t="s">
        <v>159</v>
      </c>
    </row>
    <row r="5" customFormat="false" ht="25.5" hidden="false" customHeight="true" outlineLevel="0" collapsed="false">
      <c r="A5" s="16" t="n">
        <v>2</v>
      </c>
      <c r="B5" s="29" t="s">
        <v>160</v>
      </c>
      <c r="C5" s="29" t="s">
        <v>161</v>
      </c>
      <c r="D5" s="16" t="s">
        <v>162</v>
      </c>
      <c r="E5" s="30" t="s">
        <v>163</v>
      </c>
    </row>
    <row r="6" customFormat="false" ht="25.5" hidden="false" customHeight="true" outlineLevel="0" collapsed="false">
      <c r="A6" s="20" t="n">
        <v>3</v>
      </c>
      <c r="B6" s="23" t="s">
        <v>164</v>
      </c>
      <c r="C6" s="23" t="s">
        <v>165</v>
      </c>
      <c r="D6" s="20" t="s">
        <v>166</v>
      </c>
      <c r="E6" s="31" t="s">
        <v>167</v>
      </c>
    </row>
    <row r="7" customFormat="false" ht="25.5" hidden="false" customHeight="true" outlineLevel="0" collapsed="false">
      <c r="A7" s="16" t="n">
        <v>4</v>
      </c>
      <c r="B7" s="29" t="s">
        <v>168</v>
      </c>
      <c r="C7" s="29" t="s">
        <v>169</v>
      </c>
      <c r="D7" s="16" t="s">
        <v>170</v>
      </c>
      <c r="E7" s="30" t="s">
        <v>171</v>
      </c>
    </row>
    <row r="8" customFormat="false" ht="25.5" hidden="false" customHeight="true" outlineLevel="0" collapsed="false">
      <c r="A8" s="20" t="n">
        <v>5</v>
      </c>
      <c r="B8" s="23" t="s">
        <v>172</v>
      </c>
      <c r="C8" s="23" t="s">
        <v>173</v>
      </c>
      <c r="D8" s="20" t="s">
        <v>174</v>
      </c>
      <c r="E8" s="31" t="s">
        <v>175</v>
      </c>
    </row>
    <row r="9" customFormat="false" ht="25.5" hidden="false" customHeight="true" outlineLevel="0" collapsed="false">
      <c r="A9" s="16" t="n">
        <v>6</v>
      </c>
      <c r="B9" s="29" t="s">
        <v>176</v>
      </c>
      <c r="C9" s="29" t="s">
        <v>177</v>
      </c>
      <c r="D9" s="16" t="s">
        <v>174</v>
      </c>
      <c r="E9" s="30" t="s">
        <v>178</v>
      </c>
    </row>
    <row r="10" customFormat="false" ht="25.5" hidden="false" customHeight="true" outlineLevel="0" collapsed="false">
      <c r="A10" s="20" t="n">
        <v>7</v>
      </c>
      <c r="B10" s="23" t="s">
        <v>179</v>
      </c>
      <c r="C10" s="23" t="s">
        <v>180</v>
      </c>
      <c r="D10" s="20" t="s">
        <v>181</v>
      </c>
      <c r="E10" s="31" t="s">
        <v>182</v>
      </c>
    </row>
    <row r="11" customFormat="false" ht="25.5" hidden="false" customHeight="true" outlineLevel="0" collapsed="false">
      <c r="A11" s="16" t="n">
        <v>8</v>
      </c>
      <c r="B11" s="29" t="s">
        <v>183</v>
      </c>
      <c r="C11" s="29" t="s">
        <v>184</v>
      </c>
      <c r="D11" s="16" t="s">
        <v>174</v>
      </c>
      <c r="E11" s="30" t="s">
        <v>185</v>
      </c>
    </row>
    <row r="12" customFormat="false" ht="25.5" hidden="false" customHeight="true" outlineLevel="0" collapsed="false">
      <c r="A12" s="20" t="n">
        <v>9</v>
      </c>
      <c r="B12" s="23" t="s">
        <v>186</v>
      </c>
      <c r="C12" s="23" t="s">
        <v>187</v>
      </c>
      <c r="D12" s="20" t="s">
        <v>170</v>
      </c>
      <c r="E12" s="31" t="s">
        <v>188</v>
      </c>
    </row>
    <row r="13" customFormat="false" ht="25.5" hidden="false" customHeight="true" outlineLevel="0" collapsed="false">
      <c r="A13" s="16" t="n">
        <v>10</v>
      </c>
      <c r="B13" s="29" t="s">
        <v>189</v>
      </c>
      <c r="C13" s="29" t="s">
        <v>190</v>
      </c>
      <c r="D13" s="16" t="s">
        <v>191</v>
      </c>
      <c r="E13" s="30" t="s">
        <v>192</v>
      </c>
    </row>
    <row r="14" customFormat="false" ht="25.5" hidden="false" customHeight="true" outlineLevel="0" collapsed="false">
      <c r="A14" s="20" t="n">
        <v>11</v>
      </c>
      <c r="B14" s="23" t="s">
        <v>193</v>
      </c>
      <c r="C14" s="23" t="s">
        <v>194</v>
      </c>
      <c r="D14" s="20" t="s">
        <v>195</v>
      </c>
      <c r="E14" s="31" t="s">
        <v>196</v>
      </c>
    </row>
    <row r="15" customFormat="false" ht="25.5" hidden="false" customHeight="true" outlineLevel="0" collapsed="false">
      <c r="A15" s="16" t="n">
        <v>12</v>
      </c>
      <c r="B15" s="29" t="s">
        <v>197</v>
      </c>
      <c r="C15" s="29" t="s">
        <v>198</v>
      </c>
      <c r="D15" s="16" t="s">
        <v>199</v>
      </c>
      <c r="E15" s="30" t="s">
        <v>200</v>
      </c>
    </row>
    <row r="16" customFormat="false" ht="25.5" hidden="false" customHeight="true" outlineLevel="0" collapsed="false">
      <c r="A16" s="20" t="n">
        <v>13</v>
      </c>
      <c r="B16" s="23" t="s">
        <v>201</v>
      </c>
      <c r="C16" s="23" t="s">
        <v>202</v>
      </c>
      <c r="D16" s="20" t="s">
        <v>203</v>
      </c>
      <c r="E16" s="31" t="s">
        <v>204</v>
      </c>
    </row>
    <row r="17" customFormat="false" ht="25.5" hidden="false" customHeight="true" outlineLevel="0" collapsed="false">
      <c r="A17" s="16" t="n">
        <v>14</v>
      </c>
      <c r="B17" s="29" t="s">
        <v>205</v>
      </c>
      <c r="C17" s="29" t="s">
        <v>202</v>
      </c>
      <c r="D17" s="16" t="s">
        <v>206</v>
      </c>
      <c r="E17" s="30" t="s">
        <v>207</v>
      </c>
    </row>
    <row r="18" customFormat="false" ht="25.5" hidden="false" customHeight="true" outlineLevel="0" collapsed="false">
      <c r="A18" s="20" t="n">
        <v>15</v>
      </c>
      <c r="B18" s="23" t="s">
        <v>208</v>
      </c>
      <c r="C18" s="23" t="s">
        <v>209</v>
      </c>
      <c r="D18" s="20" t="s">
        <v>210</v>
      </c>
      <c r="E18" s="31" t="s">
        <v>211</v>
      </c>
    </row>
    <row r="19" customFormat="false" ht="25.5" hidden="false" customHeight="true" outlineLevel="0" collapsed="false">
      <c r="A19" s="16" t="n">
        <v>16</v>
      </c>
      <c r="B19" s="29" t="s">
        <v>212</v>
      </c>
      <c r="C19" s="29" t="s">
        <v>213</v>
      </c>
      <c r="D19" s="16" t="s">
        <v>214</v>
      </c>
      <c r="E19" s="30" t="s">
        <v>215</v>
      </c>
    </row>
  </sheetData>
  <hyperlinks>
    <hyperlink ref="E5" r:id="rId1" display="https://www.forbes.com/sites/maurybrown/2025/12/12/espns-final-f1-viewership-numbers-are-in-and-apple-tv-will-be-happy/"/>
    <hyperlink ref="E6" r:id="rId2" display="https://www.hollywoodreporter.com/tv/tv-news/apple-tv-formula-1-ratings-eddy-cue-strong-start-1236529359/"/>
    <hyperlink ref="E7" r:id="rId3" display="https://www.macrumors.com/2026/03/13/apple-tv-f1-viewership-victory-over-espn/"/>
    <hyperlink ref="E8" r:id="rId4" display="https://www.motorsport.com/f1/news/apple-reveals-early-f1-viewership-surge-after-150m-us-broadcast-deal/10816971/"/>
    <hyperlink ref="E9" r:id="rId5" display="https://sports.yahoo.com/articles/apple-experiences-huge-success-formula-170949005.html"/>
    <hyperlink ref="E10" r:id="rId6" display="https://www.apple.com/newsroom/2026/04/formula-1-returns-to-the-us-this-weekend-streaming-live-on-apple-tv/"/>
    <hyperlink ref="E11" r:id="rId7" display="https://applemagazine.com/miami-grand-prix-2026/"/>
    <hyperlink ref="E12" r:id="rId8" display="https://awfulannouncing.com/racing/apple-claims-beat-espn-f1-viewership-australian-grand-prix.html"/>
    <hyperlink ref="E13" r:id="rId9" display="https://www.blackbookmotorsport.com/news/f1-global-tv-viewership-figures-fia-regulations-domenicali-april-2026/"/>
    <hyperlink ref="E14" r:id="rId10" display="https://x.com/thomasmaheronf1/status/2044104035687677980"/>
    <hyperlink ref="E15" r:id="rId11" display="https://www.sportcal.com/media/f1s-australian-gp-draws-record-turnout-strong-viewership-around-the-world/"/>
    <hyperlink ref="E16" r:id="rId12" display="https://gpdestinations.com/230000-attend-2026-chinese-grand-prix-weekend/"/>
    <hyperlink ref="E17" r:id="rId13" display="https://gpdestinations.com/resources/f1-attendance-figures/"/>
    <hyperlink ref="E18" r:id="rId14" display="https://www.yicaiglobal.com/news/chinese-grand-prix-draws-record-crowd-of-over-230000"/>
    <hyperlink ref="E19" r:id="rId15" display="https://www.formula1.com/en/latest/article/miami-grand-prix-attracts-f1s-largest-live-audience-in-united-states.1TZioGIIUvFHEEsQ7qz30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2026-07-09T17:40:29Z</dcterms:created>
  <dc:creator>openpyxl</dc:creator>
  <dc:description/>
  <dc:language>en-US</dc:language>
  <cp:lastModifiedBy/>
  <dcterms:modified xsi:type="dcterms:W3CDTF">2026-07-09T17:40:29Z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