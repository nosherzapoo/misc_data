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ue VN Revenu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<sst xmlns="http://schemas.openxmlformats.org/spreadsheetml/2006/main" count="120" uniqueCount="110">
  <si>
    <t xml:space="preserve">Live Nation Entertainment (LYV)</t>
  </si>
  <si>
    <t xml:space="preserve">"True" Venue Nation Revenue: Cross-Segment Economic Attribution</t>
  </si>
  <si>
    <t xml:space="preserve">FY2025 Estimates  |  Bernstein Analysis</t>
  </si>
  <si>
    <t xml:space="preserve">All figures in $MM unless otherwise noted</t>
  </si>
  <si>
    <t xml:space="preserve">SECTION 1: REPORTED CONSOLIDATED INPUTS</t>
  </si>
  <si>
    <t xml:space="preserve">FY2025</t>
  </si>
  <si>
    <t xml:space="preserve">Source</t>
  </si>
  <si>
    <t xml:space="preserve">Total LYV Revenue ($MM)</t>
  </si>
  <si>
    <t xml:space="preserve">Source: FY25 Earnings Release (Feb 2026)</t>
  </si>
  <si>
    <t xml:space="preserve">Concerts Segment Revenue ($MM)</t>
  </si>
  <si>
    <t xml:space="preserve">Source: FY25 Earnings Release</t>
  </si>
  <si>
    <t xml:space="preserve">Ticketing Segment Revenue ($MM)</t>
  </si>
  <si>
    <t xml:space="preserve">Sponsorship &amp; Advertising Segment Revenue ($MM)</t>
  </si>
  <si>
    <t xml:space="preserve">Total Fan Attendance (MM)</t>
  </si>
  <si>
    <t xml:space="preserve">Venue Nation Fan Attendance (MM)</t>
  </si>
  <si>
    <t xml:space="preserve">Source: FY25 Earnings Release; Q2 FY25 ER</t>
  </si>
  <si>
    <t xml:space="preserve">Third-Party Fan Attendance (MM)</t>
  </si>
  <si>
    <t xml:space="preserve">VN Fan Share (%)</t>
  </si>
  <si>
    <t xml:space="preserve">Ticketing Fee-Bearing Tickets (MM)</t>
  </si>
  <si>
    <t xml:space="preserve">Ticketing Concert Fee-Bearing GTV ($MM)</t>
  </si>
  <si>
    <t xml:space="preserve">Source: FY25 Earnings Release ("GTV for concerts grew 9% to $26B")</t>
  </si>
  <si>
    <t xml:space="preserve">Venue Nation Venue Operating Revenue ($MM)</t>
  </si>
  <si>
    <t xml:space="preserve">Source: Jordan Zachary, Nov 5 2025 Investor Day ("$2B+ in total venue revenue")</t>
  </si>
  <si>
    <t xml:space="preserve">  of which: Food &amp; Beverage ($MM)</t>
  </si>
  <si>
    <t xml:space="preserve">Source: Jordan Zachary, Nov 5 2025 Investor Day ("$1B from F&amp;B")</t>
  </si>
  <si>
    <t xml:space="preserve">SECTION 2: ASSUMPTIONS FOR CROSS-SEGMENT ATTRIBUTION</t>
  </si>
  <si>
    <t xml:space="preserve">Low</t>
  </si>
  <si>
    <t xml:space="preserve">Mid</t>
  </si>
  <si>
    <t xml:space="preserve">High</t>
  </si>
  <si>
    <t xml:space="preserve">Rationale</t>
  </si>
  <si>
    <t xml:space="preserve">A. CONCERTS SEGMENT</t>
  </si>
  <si>
    <t xml:space="preserve">Blended avg. ticket price — all fans ($)</t>
  </si>
  <si>
    <t xml:space="preserve">Derived: ($20.9B - $2B ancillary) / 159M fans ~ $119 midpoint</t>
  </si>
  <si>
    <t xml:space="preserve">VN avg. ticket price discount vs. blended (%)</t>
  </si>
  <si>
    <t xml:space="preserve">VN skews amphis/theaters/clubs vs. stadiums (3P). FY25 big stadium year</t>
  </si>
  <si>
    <t xml:space="preserve">Venue ancillary revenue ($MM)</t>
  </si>
  <si>
    <t xml:space="preserve">Mgmt said "$2B+"; low = floor, mid/high assume upside</t>
  </si>
  <si>
    <t xml:space="preserve">B. TICKETING SEGMENT</t>
  </si>
  <si>
    <t xml:space="preserve">Concerts share of TM revenue (%)</t>
  </si>
  <si>
    <t xml:space="preserve">Concerts ~60% of TM volume (Q1 FY25 ER); higher by rev due to GTV mix</t>
  </si>
  <si>
    <t xml:space="preserve">VN share of concert TM revenue (%)</t>
  </si>
  <si>
    <t xml:space="preserve">VN = 41% of fans but higher TM penetration at owned venues; 40-50% range</t>
  </si>
  <si>
    <t xml:space="preserve">C. SPONSORSHIP &amp; ADVERTISING SEGMENT</t>
  </si>
  <si>
    <t xml:space="preserve">Venue-attributable share of Sponsorship revenue (%)</t>
  </si>
  <si>
    <t xml:space="preserve">Naming rights + onsite activations + venue media. "Venue portfolio grew mid-teens" (FY25 ER)</t>
  </si>
  <si>
    <t xml:space="preserve">SECTION 3: "TRUE" VENUE NATION REVENUE — CROSS-SEGMENT BUILD</t>
  </si>
  <si>
    <t xml:space="preserve">A. CONCERTS SEGMENT — VN ATTRIBUTION</t>
  </si>
  <si>
    <t xml:space="preserve">  Implied VN avg. ticket price ($)</t>
  </si>
  <si>
    <t xml:space="preserve">  (a) VN Ticket / Promotion Revenue</t>
  </si>
  <si>
    <t xml:space="preserve">  (b) VN Venue Operating Revenue (F&amp;B, Premium, Parking)</t>
  </si>
  <si>
    <t xml:space="preserve">  Subtotal: VN in Concerts</t>
  </si>
  <si>
    <t xml:space="preserve">B. TICKETING SEGMENT — VN ATTRIBUTION</t>
  </si>
  <si>
    <t xml:space="preserve">  Concerts portion of TM revenue</t>
  </si>
  <si>
    <t xml:space="preserve">  (c) VN Share of Concert TM Revenue</t>
  </si>
  <si>
    <t xml:space="preserve">  Subtotal: VN in Ticketing</t>
  </si>
  <si>
    <t xml:space="preserve">C. SPONSORSHIP &amp; ADVERTISING — VN ATTRIBUTION</t>
  </si>
  <si>
    <t xml:space="preserve">  (d) Venue-Attributable Sponsorship Revenue</t>
  </si>
  <si>
    <t xml:space="preserve">  Subtotal: VN in Sponsorship</t>
  </si>
  <si>
    <t xml:space="preserve">KEY OUTPUT: "TRUE" VENUE NATION REVENUE</t>
  </si>
  <si>
    <t xml:space="preserve">Total "True" Venue Nation Revenue ($MM)</t>
  </si>
  <si>
    <t xml:space="preserve">vs. Mgmt Disclosed Venue Operating Revenue ($2B+)</t>
  </si>
  <si>
    <t xml:space="preserve">True VN Revenue as % of Total LYV Revenue ($25.2B)</t>
  </si>
  <si>
    <t xml:space="preserve">ATTRIBUTION BY SEGMENT</t>
  </si>
  <si>
    <t xml:space="preserve">  Concerts ($MM)</t>
  </si>
  <si>
    <t xml:space="preserve">  Ticketing ($MM)</t>
  </si>
  <si>
    <t xml:space="preserve">  Sponsorship ($MM)</t>
  </si>
  <si>
    <t xml:space="preserve">  Total ($MM) [check]</t>
  </si>
  <si>
    <t xml:space="preserve">SEGMENT MIX OF TRUE VN REVENUE</t>
  </si>
  <si>
    <t xml:space="preserve">  Concerts (%)</t>
  </si>
  <si>
    <t xml:space="preserve">  Ticketing (%)</t>
  </si>
  <si>
    <t xml:space="preserve">  Sponsorship (%)</t>
  </si>
  <si>
    <t xml:space="preserve">MEMO ITEMS</t>
  </si>
  <si>
    <t xml:space="preserve">Mgmt Disclosed Venue Revenue ($MM)</t>
  </si>
  <si>
    <t xml:space="preserve">Investor Day: "$2B+ in total venue revenue"</t>
  </si>
  <si>
    <t xml:space="preserve">BERNe "True" VN Revenue ($MM) — Midpoint</t>
  </si>
  <si>
    <t xml:space="preserve">Undisclosed VN Economics ($MM) — Midpoint</t>
  </si>
  <si>
    <t xml:space="preserve">Ticket face value + TM fees + venue sponsorship not in mgmt $2B figure</t>
  </si>
  <si>
    <t xml:space="preserve">NOTES &amp; METHODOLOGY</t>
  </si>
  <si>
    <t xml:space="preserve">1. WHAT MGMT DISCLOSED: At the Nov 2025 Investor Day, Jordan Zachary stated Venue Nation generates "$2 billion in revenue annually, including</t>
  </si>
  <si>
    <t xml:space="preserve">   $1 billion from food and beverage." This is venue OPERATING revenue only — F&amp;B, premium/VIP, parking, rental income — and deliberately</t>
  </si>
  <si>
    <t xml:space="preserve">   excludes ticket face value, Ticketmaster service fees, and venue-driven sponsorship that flow to other segments.</t>
  </si>
  <si>
    <t xml:space="preserve">2. WHY "TRUE" VN REVENUE IS MUCH LARGER: LYV's segment reporting splits Venue Nation economics across three segments:</t>
  </si>
  <si>
    <t xml:space="preserve">   - CONCERTS captures: (a) ticket face value for shows at VN venues, and (b) venue operating revenue (the $2B)</t>
  </si>
  <si>
    <t xml:space="preserve">   - TICKETING captures: TM service fees on tickets sold for VN shows (LN controls ticketing at its own venues)</t>
  </si>
  <si>
    <t xml:space="preserve">   - SPONSORSHIP captures: venue naming rights (RBC, Coca-Cola, Allianz, TD, etc.), onsite brand activations,</t>
  </si>
  <si>
    <t xml:space="preserve">     venue media inventory. FY25 ER: "Sponsorship spending at our global venue portfolio grew mid-teens"</t>
  </si>
  <si>
    <t xml:space="preserve">3. CONCERTS ASSUMPTIONS: Blended ticket price derived from ($20.9B concerts rev - $2B ancillary) / 159M fans = ~$119.</t>
  </si>
  <si>
    <t xml:space="preserve">   VN venues (amphis, theaters, clubs) carry lower avg ticket prices than stadiums (predominantly 3P venues).</t>
  </si>
  <si>
    <t xml:space="preserve">   Berchtold (FY24 call): at 3P stadiums, "we just don't get to count the beer money and the parking money".</t>
  </si>
  <si>
    <t xml:space="preserve">4. TICKETING ASSUMPTIONS: Concerts = ~60% of TM fee-bearing ticket volume (Q1 FY25 ER). VN share of concert</t>
  </si>
  <si>
    <t xml:space="preserve">   TM revenue estimated at 40-50%: VN is 41% of fans but LN controls ticketing at owned venues, implying higher</t>
  </si>
  <si>
    <t xml:space="preserve">   TM penetration vs. 3P venues where TM may compete with SeatGeek, AXS, etc.</t>
  </si>
  <si>
    <t xml:space="preserve">5. SPONSORSHIP ASSUMPTIONS: $1.3B total sponsorship includes venue naming rights, festival sponsorship, digital/online,</t>
  </si>
  <si>
    <t xml:space="preserve">   and touring sponsorship. Venue-attributable share of 30-50% based on: (a) "large portion of sponsorships associated</t>
  </si>
  <si>
    <t xml:space="preserve">   with outdoor venues and festivals" (10-K), (b) venue portfolio sponsorship "grew mid-teens" (FY25 ER),</t>
  </si>
  <si>
    <t xml:space="preserve">   (c) multiple named venue deals (RBC Toronto, TD Hamilton, Veikkaus Helsinki, Coca-Cola/Allianz amphis).</t>
  </si>
  <si>
    <t xml:space="preserve">6. KEY TAKEAWAY: "True" Venue Nation revenue is approximately $9-12B at midpoint (~$10B), or roughly 4-5x the $2B</t>
  </si>
  <si>
    <t xml:space="preserve">   figure mgmt disclosed. VN drives ~35-45% of total LYV consolidated revenue when properly attributed cross-segment.</t>
  </si>
  <si>
    <t xml:space="preserve">   The Concerts segment captures ~85% of VN economics (by revenue), with Ticketing and Sponsorship splitting the rest.</t>
  </si>
  <si>
    <t xml:space="preserve">7. IMPORTANT CAVEATS: These are Bernstein estimates. LYV does not disclose Venue Nation as a standalone reporting unit.</t>
  </si>
  <si>
    <t xml:space="preserve">   Actual cross-segment attribution is not available from public filings. Key assumption sensitivities: VN avg ticket</t>
  </si>
  <si>
    <t xml:space="preserve">   price and venue-attributable sponsorship share are the widest confidence intervals.</t>
  </si>
  <si>
    <t xml:space="preserve">SOURCES</t>
  </si>
  <si>
    <t xml:space="preserve">FY25 Earnings Release: https://newsroom.livenation.com/news/live-nation-entertainment-full-year-and-fourth-quarter-2025-results/</t>
  </si>
  <si>
    <t xml:space="preserve">FY24 10-K (Segment descriptions): https://www.sec.gov/Archives/edgar/data/0001335258/000133525825000028/lyv-20241231.htm</t>
  </si>
  <si>
    <t xml:space="preserve">Nov 5, 2025 Investor Day Transcript: https://seekingalpha.com/article/4838570-live-nation-entertainment-inc-lyv-analyst-investor-day-transcript</t>
  </si>
  <si>
    <t xml:space="preserve">FY24 Earnings Call (Berchtold remarks): https://www.billboard.com/pro/live-nation-earnings-full-year-2024-revenue-record-23-billion/</t>
  </si>
  <si>
    <t xml:space="preserve">Q1 FY25 Earnings Release: https://www.sec.gov/Archives/edgar/data/0001335258/000133525825000053/lyv-2025q1xex991er.htm</t>
  </si>
  <si>
    <t xml:space="preserve">Q2 FY25 Earnings Release: https://newsroom.livenation.com/news/live-nation-entertainment-reports-second-quarter-2025-results/</t>
  </si>
  <si>
    <t xml:space="preserve">Q3 FY25 Earnings Release: https://newsroom.livenation.com/news/live-nation-entertainment-third-quarter-2025-results/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</si>
</sst>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\$#,##0"/>
    <numFmt numFmtId="168" formatCode="0%"/>
    <numFmt numFmtId="169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888888"/>
      <name val="Arial"/>
      <family val="0"/>
      <charset val="1"/>
    </font>
    <font>
      <i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CE6F1"/>
        <bgColor rgb="FFD6DCE4"/>
      </patternFill>
    </fill>
    <fill>
      <patternFill patternType="solid">
        <fgColor rgb="FFFFFF00"/>
        <bgColor rgb="FFFFFF00"/>
      </patternFill>
    </fill>
    <fill>
      <patternFill patternType="solid">
        <fgColor rgb="FFD6DCE4"/>
        <bgColor rgb="FFDCE6F1"/>
      </patternFill>
    </fill>
    <fill>
      <patternFill patternType="solid">
        <fgColor rgb="FFE2EFDA"/>
        <bgColor rgb="FFDCE6F1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DCE6F1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B1:G1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0"/>
    <col collapsed="false" customWidth="true" hidden="false" outlineLevel="0" max="5" min="3" style="0" width="16"/>
    <col collapsed="false" customWidth="true" hidden="false" outlineLevel="0" max="6" min="6" style="0" width="3"/>
    <col collapsed="false" customWidth="true" hidden="false" outlineLevel="0" max="7" min="7" style="0" width="55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4" customFormat="false" ht="15" hidden="false" customHeight="false" outlineLevel="0" collapsed="false">
      <c r="B4" s="4" t="s">
        <v>3</v>
      </c>
    </row>
    <row r="6" customFormat="false" ht="15" hidden="false" customHeight="false" outlineLevel="0" collapsed="false">
      <c r="B6" s="5" t="s">
        <v>4</v>
      </c>
      <c r="C6" s="6"/>
      <c r="D6" s="6"/>
      <c r="E6" s="6"/>
      <c r="F6" s="6"/>
      <c r="G6" s="6"/>
    </row>
    <row r="8" customFormat="false" ht="15" hidden="false" customHeight="false" outlineLevel="0" collapsed="false">
      <c r="C8" s="7" t="s">
        <v>5</v>
      </c>
      <c r="G8" s="8" t="s">
        <v>6</v>
      </c>
    </row>
    <row r="9" customFormat="false" ht="15" hidden="false" customHeight="false" outlineLevel="0" collapsed="false">
      <c r="B9" s="9" t="s">
        <v>7</v>
      </c>
      <c r="C9" s="10" t="n">
        <v>25200</v>
      </c>
      <c r="G9" s="11" t="s">
        <v>8</v>
      </c>
    </row>
    <row r="11" customFormat="false" ht="15" hidden="false" customHeight="false" outlineLevel="0" collapsed="false">
      <c r="B11" s="9" t="s">
        <v>9</v>
      </c>
      <c r="C11" s="10" t="n">
        <v>20900</v>
      </c>
      <c r="G11" s="11" t="s">
        <v>10</v>
      </c>
    </row>
    <row r="12" customFormat="false" ht="15" hidden="false" customHeight="false" outlineLevel="0" collapsed="false">
      <c r="B12" s="9" t="s">
        <v>11</v>
      </c>
      <c r="C12" s="10" t="n">
        <v>3100</v>
      </c>
      <c r="G12" s="11" t="s">
        <v>10</v>
      </c>
    </row>
    <row r="13" customFormat="false" ht="15" hidden="false" customHeight="false" outlineLevel="0" collapsed="false">
      <c r="B13" s="9" t="s">
        <v>12</v>
      </c>
      <c r="C13" s="10" t="n">
        <v>1300</v>
      </c>
      <c r="G13" s="11" t="s">
        <v>10</v>
      </c>
    </row>
    <row r="15" customFormat="false" ht="15" hidden="false" customHeight="false" outlineLevel="0" collapsed="false">
      <c r="B15" s="9" t="s">
        <v>13</v>
      </c>
      <c r="C15" s="10" t="n">
        <v>159</v>
      </c>
      <c r="G15" s="11" t="s">
        <v>10</v>
      </c>
    </row>
    <row r="16" customFormat="false" ht="15" hidden="false" customHeight="false" outlineLevel="0" collapsed="false">
      <c r="B16" s="9" t="s">
        <v>14</v>
      </c>
      <c r="C16" s="10" t="n">
        <v>65</v>
      </c>
      <c r="G16" s="11" t="s">
        <v>15</v>
      </c>
    </row>
    <row r="17" customFormat="false" ht="15" hidden="false" customHeight="false" outlineLevel="0" collapsed="false">
      <c r="B17" s="9" t="s">
        <v>16</v>
      </c>
      <c r="C17" s="12" t="n">
        <f aca="false">C15-C16</f>
        <v>94</v>
      </c>
    </row>
    <row r="18" customFormat="false" ht="15" hidden="false" customHeight="false" outlineLevel="0" collapsed="false">
      <c r="B18" s="9" t="s">
        <v>17</v>
      </c>
      <c r="C18" s="13" t="n">
        <f aca="false">C16/C15</f>
        <v>0.408805031446541</v>
      </c>
    </row>
    <row r="20" customFormat="false" ht="15" hidden="false" customHeight="false" outlineLevel="0" collapsed="false">
      <c r="B20" s="9" t="s">
        <v>18</v>
      </c>
      <c r="C20" s="10" t="n">
        <v>346</v>
      </c>
      <c r="G20" s="11" t="s">
        <v>10</v>
      </c>
    </row>
    <row r="21" customFormat="false" ht="15" hidden="false" customHeight="false" outlineLevel="0" collapsed="false">
      <c r="B21" s="9" t="s">
        <v>19</v>
      </c>
      <c r="C21" s="10" t="n">
        <v>26000</v>
      </c>
      <c r="G21" s="11" t="s">
        <v>20</v>
      </c>
    </row>
    <row r="23" customFormat="false" ht="15" hidden="false" customHeight="false" outlineLevel="0" collapsed="false">
      <c r="B23" s="9" t="s">
        <v>21</v>
      </c>
      <c r="C23" s="14" t="n">
        <v>2000</v>
      </c>
      <c r="G23" s="11" t="s">
        <v>22</v>
      </c>
    </row>
    <row r="24" customFormat="false" ht="15" hidden="false" customHeight="false" outlineLevel="0" collapsed="false">
      <c r="B24" s="9" t="s">
        <v>23</v>
      </c>
      <c r="C24" s="10" t="n">
        <v>1000</v>
      </c>
      <c r="G24" s="11" t="s">
        <v>24</v>
      </c>
    </row>
    <row r="26" customFormat="false" ht="15" hidden="false" customHeight="false" outlineLevel="0" collapsed="false">
      <c r="B26" s="5" t="s">
        <v>25</v>
      </c>
      <c r="C26" s="6"/>
      <c r="D26" s="6"/>
      <c r="E26" s="6"/>
      <c r="F26" s="6"/>
      <c r="G26" s="6"/>
    </row>
    <row r="28" customFormat="false" ht="15" hidden="false" customHeight="false" outlineLevel="0" collapsed="false">
      <c r="C28" s="7" t="s">
        <v>26</v>
      </c>
      <c r="D28" s="7" t="s">
        <v>27</v>
      </c>
      <c r="E28" s="7" t="s">
        <v>28</v>
      </c>
      <c r="G28" s="8" t="s">
        <v>29</v>
      </c>
    </row>
    <row r="29" customFormat="false" ht="15" hidden="false" customHeight="false" outlineLevel="0" collapsed="false">
      <c r="B29" s="15" t="s">
        <v>30</v>
      </c>
      <c r="C29" s="16"/>
      <c r="D29" s="16"/>
      <c r="E29" s="16"/>
    </row>
    <row r="30" customFormat="false" ht="15" hidden="false" customHeight="false" outlineLevel="0" collapsed="false">
      <c r="B30" s="9" t="s">
        <v>31</v>
      </c>
      <c r="C30" s="17" t="n">
        <v>105</v>
      </c>
      <c r="D30" s="17" t="n">
        <v>119</v>
      </c>
      <c r="E30" s="17" t="n">
        <v>135</v>
      </c>
      <c r="G30" s="11" t="s">
        <v>32</v>
      </c>
    </row>
    <row r="31" customFormat="false" ht="15" hidden="false" customHeight="false" outlineLevel="0" collapsed="false">
      <c r="B31" s="9" t="s">
        <v>33</v>
      </c>
      <c r="C31" s="18" t="n">
        <v>-0.15</v>
      </c>
      <c r="D31" s="18" t="n">
        <v>-0.1</v>
      </c>
      <c r="E31" s="18" t="n">
        <v>-0.05</v>
      </c>
      <c r="G31" s="11" t="s">
        <v>34</v>
      </c>
    </row>
    <row r="32" customFormat="false" ht="15" hidden="false" customHeight="false" outlineLevel="0" collapsed="false">
      <c r="B32" s="9" t="s">
        <v>35</v>
      </c>
      <c r="C32" s="14" t="n">
        <v>2000</v>
      </c>
      <c r="D32" s="14" t="n">
        <v>2200</v>
      </c>
      <c r="E32" s="14" t="n">
        <v>2500</v>
      </c>
      <c r="G32" s="11" t="s">
        <v>36</v>
      </c>
    </row>
    <row r="34" customFormat="false" ht="15" hidden="false" customHeight="false" outlineLevel="0" collapsed="false">
      <c r="B34" s="15" t="s">
        <v>37</v>
      </c>
      <c r="C34" s="16"/>
      <c r="D34" s="16"/>
      <c r="E34" s="16"/>
    </row>
    <row r="35" customFormat="false" ht="15" hidden="false" customHeight="false" outlineLevel="0" collapsed="false">
      <c r="B35" s="9" t="s">
        <v>38</v>
      </c>
      <c r="C35" s="18" t="n">
        <v>0.58</v>
      </c>
      <c r="D35" s="18" t="n">
        <v>0.62</v>
      </c>
      <c r="E35" s="18" t="n">
        <v>0.65</v>
      </c>
      <c r="G35" s="11" t="s">
        <v>39</v>
      </c>
    </row>
    <row r="36" customFormat="false" ht="15" hidden="false" customHeight="false" outlineLevel="0" collapsed="false">
      <c r="B36" s="9" t="s">
        <v>40</v>
      </c>
      <c r="C36" s="18" t="n">
        <v>0.4</v>
      </c>
      <c r="D36" s="18" t="n">
        <v>0.45</v>
      </c>
      <c r="E36" s="18" t="n">
        <v>0.5</v>
      </c>
      <c r="G36" s="11" t="s">
        <v>41</v>
      </c>
    </row>
    <row r="38" customFormat="false" ht="15" hidden="false" customHeight="false" outlineLevel="0" collapsed="false">
      <c r="B38" s="15" t="s">
        <v>42</v>
      </c>
      <c r="C38" s="16"/>
      <c r="D38" s="16"/>
      <c r="E38" s="16"/>
    </row>
    <row r="39" customFormat="false" ht="15" hidden="false" customHeight="false" outlineLevel="0" collapsed="false">
      <c r="B39" s="9" t="s">
        <v>43</v>
      </c>
      <c r="C39" s="18" t="n">
        <v>0.3</v>
      </c>
      <c r="D39" s="18" t="n">
        <v>0.4</v>
      </c>
      <c r="E39" s="18" t="n">
        <v>0.5</v>
      </c>
      <c r="G39" s="11" t="s">
        <v>44</v>
      </c>
    </row>
    <row r="41" customFormat="false" ht="15" hidden="false" customHeight="false" outlineLevel="0" collapsed="false">
      <c r="B41" s="19" t="s">
        <v>45</v>
      </c>
      <c r="C41" s="20"/>
      <c r="D41" s="20"/>
      <c r="E41" s="20"/>
      <c r="F41" s="20"/>
      <c r="G41" s="20"/>
    </row>
    <row r="43" customFormat="false" ht="15" hidden="false" customHeight="false" outlineLevel="0" collapsed="false">
      <c r="C43" s="7" t="s">
        <v>26</v>
      </c>
      <c r="D43" s="7" t="s">
        <v>27</v>
      </c>
      <c r="E43" s="7" t="s">
        <v>28</v>
      </c>
    </row>
    <row r="44" customFormat="false" ht="15" hidden="false" customHeight="false" outlineLevel="0" collapsed="false">
      <c r="B44" s="15" t="s">
        <v>46</v>
      </c>
      <c r="C44" s="16"/>
      <c r="D44" s="16"/>
      <c r="E44" s="16"/>
    </row>
    <row r="45" customFormat="false" ht="15" hidden="false" customHeight="false" outlineLevel="0" collapsed="false">
      <c r="B45" s="21" t="s">
        <v>47</v>
      </c>
      <c r="C45" s="22" t="n">
        <f aca="false">C30*(1+C31)</f>
        <v>89.25</v>
      </c>
      <c r="D45" s="22" t="n">
        <f aca="false">D30*(1+D31)</f>
        <v>107.1</v>
      </c>
      <c r="E45" s="22" t="n">
        <f aca="false">E30*(1+E31)</f>
        <v>128.25</v>
      </c>
    </row>
    <row r="46" customFormat="false" ht="15" hidden="false" customHeight="false" outlineLevel="0" collapsed="false">
      <c r="B46" s="9" t="s">
        <v>48</v>
      </c>
      <c r="C46" s="12" t="n">
        <f aca="false">C45*C16</f>
        <v>5801.25</v>
      </c>
      <c r="D46" s="12" t="n">
        <f aca="false">D45*C16</f>
        <v>6961.5</v>
      </c>
      <c r="E46" s="12" t="n">
        <f aca="false">E45*C16</f>
        <v>8336.25</v>
      </c>
    </row>
    <row r="47" customFormat="false" ht="15" hidden="false" customHeight="false" outlineLevel="0" collapsed="false">
      <c r="B47" s="9" t="s">
        <v>49</v>
      </c>
      <c r="C47" s="12" t="n">
        <f aca="false">C32</f>
        <v>2000</v>
      </c>
      <c r="D47" s="12" t="n">
        <f aca="false">D32</f>
        <v>2200</v>
      </c>
      <c r="E47" s="12" t="n">
        <f aca="false">E32</f>
        <v>2500</v>
      </c>
    </row>
    <row r="48" customFormat="false" ht="15" hidden="false" customHeight="false" outlineLevel="0" collapsed="false">
      <c r="B48" s="23" t="s">
        <v>50</v>
      </c>
      <c r="C48" s="24" t="n">
        <f aca="false">C46+C47</f>
        <v>7801.25</v>
      </c>
      <c r="D48" s="24" t="n">
        <f aca="false">D46+D47</f>
        <v>9161.5</v>
      </c>
      <c r="E48" s="24" t="n">
        <f aca="false">E46+E47</f>
        <v>10836.25</v>
      </c>
    </row>
    <row r="50" customFormat="false" ht="15" hidden="false" customHeight="false" outlineLevel="0" collapsed="false">
      <c r="B50" s="15" t="s">
        <v>51</v>
      </c>
      <c r="C50" s="16"/>
      <c r="D50" s="16"/>
      <c r="E50" s="16"/>
    </row>
    <row r="51" customFormat="false" ht="15" hidden="false" customHeight="false" outlineLevel="0" collapsed="false">
      <c r="B51" s="21" t="s">
        <v>52</v>
      </c>
      <c r="C51" s="12" t="n">
        <f aca="false">C35*C12</f>
        <v>1798</v>
      </c>
      <c r="D51" s="12" t="n">
        <f aca="false">D35*C12</f>
        <v>1922</v>
      </c>
      <c r="E51" s="12" t="n">
        <f aca="false">E35*C12</f>
        <v>2015</v>
      </c>
    </row>
    <row r="52" customFormat="false" ht="15" hidden="false" customHeight="false" outlineLevel="0" collapsed="false">
      <c r="B52" s="9" t="s">
        <v>53</v>
      </c>
      <c r="C52" s="12" t="n">
        <f aca="false">C36*C51</f>
        <v>719.2</v>
      </c>
      <c r="D52" s="12" t="n">
        <f aca="false">D36*D51</f>
        <v>864.9</v>
      </c>
      <c r="E52" s="12" t="n">
        <f aca="false">E36*E51</f>
        <v>1007.5</v>
      </c>
    </row>
    <row r="53" customFormat="false" ht="15" hidden="false" customHeight="false" outlineLevel="0" collapsed="false">
      <c r="B53" s="23" t="s">
        <v>54</v>
      </c>
      <c r="C53" s="24" t="n">
        <f aca="false">C52</f>
        <v>719.2</v>
      </c>
      <c r="D53" s="24" t="n">
        <f aca="false">D52</f>
        <v>864.9</v>
      </c>
      <c r="E53" s="24" t="n">
        <f aca="false">E52</f>
        <v>1007.5</v>
      </c>
    </row>
    <row r="55" customFormat="false" ht="15" hidden="false" customHeight="false" outlineLevel="0" collapsed="false">
      <c r="B55" s="15" t="s">
        <v>55</v>
      </c>
      <c r="C55" s="16"/>
      <c r="D55" s="16"/>
      <c r="E55" s="16"/>
    </row>
    <row r="56" customFormat="false" ht="15" hidden="false" customHeight="false" outlineLevel="0" collapsed="false">
      <c r="B56" s="9" t="s">
        <v>56</v>
      </c>
      <c r="C56" s="12" t="n">
        <f aca="false">C39*C13</f>
        <v>390</v>
      </c>
      <c r="D56" s="12" t="n">
        <f aca="false">D39*C13</f>
        <v>520</v>
      </c>
      <c r="E56" s="12" t="n">
        <f aca="false">E39*C13</f>
        <v>650</v>
      </c>
    </row>
    <row r="57" customFormat="false" ht="15" hidden="false" customHeight="false" outlineLevel="0" collapsed="false">
      <c r="B57" s="23" t="s">
        <v>57</v>
      </c>
      <c r="C57" s="24" t="n">
        <f aca="false">C56</f>
        <v>390</v>
      </c>
      <c r="D57" s="24" t="n">
        <f aca="false">D56</f>
        <v>520</v>
      </c>
      <c r="E57" s="24" t="n">
        <f aca="false">E56</f>
        <v>650</v>
      </c>
    </row>
    <row r="59" customFormat="false" ht="15" hidden="false" customHeight="false" outlineLevel="0" collapsed="false">
      <c r="B59" s="25" t="s">
        <v>58</v>
      </c>
      <c r="C59" s="26"/>
      <c r="D59" s="26"/>
      <c r="E59" s="26"/>
    </row>
    <row r="60" customFormat="false" ht="15" hidden="false" customHeight="false" outlineLevel="0" collapsed="false">
      <c r="C60" s="7" t="s">
        <v>26</v>
      </c>
      <c r="D60" s="7" t="s">
        <v>27</v>
      </c>
      <c r="E60" s="7" t="s">
        <v>28</v>
      </c>
    </row>
    <row r="61" customFormat="false" ht="15" hidden="false" customHeight="false" outlineLevel="0" collapsed="false">
      <c r="B61" s="2" t="s">
        <v>59</v>
      </c>
      <c r="C61" s="27" t="n">
        <f aca="false">C48+C53+C57</f>
        <v>8910.45</v>
      </c>
      <c r="D61" s="27" t="n">
        <f aca="false">D48+D53+D57</f>
        <v>10546.4</v>
      </c>
      <c r="E61" s="27" t="n">
        <f aca="false">E48+E53+E57</f>
        <v>12493.75</v>
      </c>
    </row>
    <row r="62" customFormat="false" ht="15" hidden="false" customHeight="false" outlineLevel="0" collapsed="false">
      <c r="B62" s="23" t="s">
        <v>60</v>
      </c>
      <c r="C62" s="28" t="n">
        <f aca="false">C61/C23</f>
        <v>4.455225</v>
      </c>
      <c r="D62" s="28" t="n">
        <f aca="false">D61/C23</f>
        <v>5.2732</v>
      </c>
      <c r="E62" s="28" t="n">
        <f aca="false">E61/C23</f>
        <v>6.246875</v>
      </c>
    </row>
    <row r="63" customFormat="false" ht="15" hidden="false" customHeight="false" outlineLevel="0" collapsed="false">
      <c r="B63" s="23" t="s">
        <v>61</v>
      </c>
      <c r="C63" s="29" t="n">
        <f aca="false">C61/C9</f>
        <v>0.353589285714286</v>
      </c>
      <c r="D63" s="29" t="n">
        <f aca="false">D61/C9</f>
        <v>0.418507936507937</v>
      </c>
      <c r="E63" s="29" t="n">
        <f aca="false">E61/C9</f>
        <v>0.49578373015873</v>
      </c>
    </row>
    <row r="65" customFormat="false" ht="15" hidden="false" customHeight="false" outlineLevel="0" collapsed="false">
      <c r="B65" s="8" t="s">
        <v>62</v>
      </c>
      <c r="C65" s="30"/>
      <c r="D65" s="30"/>
      <c r="E65" s="30"/>
    </row>
    <row r="66" customFormat="false" ht="15" hidden="false" customHeight="false" outlineLevel="0" collapsed="false">
      <c r="B66" s="9" t="s">
        <v>63</v>
      </c>
      <c r="C66" s="12" t="n">
        <f aca="false">C48</f>
        <v>7801.25</v>
      </c>
      <c r="D66" s="12" t="n">
        <f aca="false">D48</f>
        <v>9161.5</v>
      </c>
      <c r="E66" s="12" t="n">
        <f aca="false">E48</f>
        <v>10836.25</v>
      </c>
    </row>
    <row r="67" customFormat="false" ht="15" hidden="false" customHeight="false" outlineLevel="0" collapsed="false">
      <c r="B67" s="9" t="s">
        <v>64</v>
      </c>
      <c r="C67" s="12" t="n">
        <f aca="false">C53</f>
        <v>719.2</v>
      </c>
      <c r="D67" s="12" t="n">
        <f aca="false">D53</f>
        <v>864.9</v>
      </c>
      <c r="E67" s="12" t="n">
        <f aca="false">E53</f>
        <v>1007.5</v>
      </c>
    </row>
    <row r="68" customFormat="false" ht="15" hidden="false" customHeight="false" outlineLevel="0" collapsed="false">
      <c r="B68" s="9" t="s">
        <v>65</v>
      </c>
      <c r="C68" s="12" t="n">
        <f aca="false">C57</f>
        <v>390</v>
      </c>
      <c r="D68" s="12" t="n">
        <f aca="false">D57</f>
        <v>520</v>
      </c>
      <c r="E68" s="12" t="n">
        <f aca="false">E57</f>
        <v>650</v>
      </c>
    </row>
    <row r="69" customFormat="false" ht="15" hidden="false" customHeight="false" outlineLevel="0" collapsed="false">
      <c r="B69" s="21" t="s">
        <v>66</v>
      </c>
      <c r="C69" s="31" t="n">
        <f aca="false">C66+C67+C68</f>
        <v>8910.45</v>
      </c>
      <c r="D69" s="31" t="n">
        <f aca="false">D66+D67+D68</f>
        <v>10546.4</v>
      </c>
      <c r="E69" s="31" t="n">
        <f aca="false">E66+E67+E68</f>
        <v>12493.75</v>
      </c>
    </row>
    <row r="71" customFormat="false" ht="15" hidden="false" customHeight="false" outlineLevel="0" collapsed="false">
      <c r="B71" s="8" t="s">
        <v>67</v>
      </c>
      <c r="C71" s="30"/>
      <c r="D71" s="30"/>
      <c r="E71" s="30"/>
    </row>
    <row r="72" customFormat="false" ht="15" hidden="false" customHeight="false" outlineLevel="0" collapsed="false">
      <c r="B72" s="9" t="s">
        <v>68</v>
      </c>
      <c r="C72" s="13" t="n">
        <f aca="false">C48/C61</f>
        <v>0.875516949200097</v>
      </c>
      <c r="D72" s="13" t="n">
        <f aca="false">D48/D61</f>
        <v>0.868685048926648</v>
      </c>
      <c r="E72" s="13" t="n">
        <f aca="false">E48/E61</f>
        <v>0.867333666833417</v>
      </c>
    </row>
    <row r="73" customFormat="false" ht="15" hidden="false" customHeight="false" outlineLevel="0" collapsed="false">
      <c r="B73" s="9" t="s">
        <v>69</v>
      </c>
      <c r="C73" s="13" t="n">
        <f aca="false">C53/C61</f>
        <v>0.0807142175759922</v>
      </c>
      <c r="D73" s="13" t="n">
        <f aca="false">D53/D61</f>
        <v>0.0820090267769097</v>
      </c>
      <c r="E73" s="13" t="n">
        <f aca="false">E53/E61</f>
        <v>0.08064032016008</v>
      </c>
    </row>
    <row r="74" customFormat="false" ht="15" hidden="false" customHeight="false" outlineLevel="0" collapsed="false">
      <c r="B74" s="9" t="s">
        <v>70</v>
      </c>
      <c r="C74" s="13" t="n">
        <f aca="false">C57/C61</f>
        <v>0.0437688332239112</v>
      </c>
      <c r="D74" s="13" t="n">
        <f aca="false">D57/D61</f>
        <v>0.0493059242964424</v>
      </c>
      <c r="E74" s="13" t="n">
        <f aca="false">E57/E61</f>
        <v>0.0520260130065033</v>
      </c>
    </row>
    <row r="76" customFormat="false" ht="15" hidden="false" customHeight="false" outlineLevel="0" collapsed="false">
      <c r="B76" s="8" t="s">
        <v>71</v>
      </c>
      <c r="C76" s="30"/>
      <c r="D76" s="30"/>
      <c r="E76" s="30"/>
    </row>
    <row r="77" customFormat="false" ht="15" hidden="false" customHeight="false" outlineLevel="0" collapsed="false">
      <c r="B77" s="21" t="s">
        <v>72</v>
      </c>
      <c r="C77" s="32" t="n">
        <v>2000</v>
      </c>
      <c r="G77" s="11" t="s">
        <v>73</v>
      </c>
    </row>
    <row r="78" customFormat="false" ht="15" hidden="false" customHeight="false" outlineLevel="0" collapsed="false">
      <c r="B78" s="21" t="s">
        <v>74</v>
      </c>
      <c r="C78" s="32" t="n">
        <f aca="false">D61</f>
        <v>10546.4</v>
      </c>
    </row>
    <row r="79" customFormat="false" ht="15" hidden="false" customHeight="false" outlineLevel="0" collapsed="false">
      <c r="B79" s="21" t="s">
        <v>75</v>
      </c>
      <c r="C79" s="32" t="n">
        <f aca="false">D61-C23</f>
        <v>8546.4</v>
      </c>
      <c r="G79" s="11" t="s">
        <v>76</v>
      </c>
    </row>
    <row r="81" customFormat="false" ht="15" hidden="false" customHeight="false" outlineLevel="0" collapsed="false">
      <c r="B81" s="33" t="s">
        <v>77</v>
      </c>
      <c r="C81" s="34"/>
      <c r="D81" s="34"/>
      <c r="E81" s="34"/>
      <c r="F81" s="34"/>
      <c r="G81" s="34"/>
    </row>
    <row r="82" customFormat="false" ht="15" hidden="false" customHeight="false" outlineLevel="0" collapsed="false">
      <c r="B82" s="35" t="s">
        <v>78</v>
      </c>
      <c r="C82" s="35"/>
      <c r="D82" s="35"/>
      <c r="E82" s="35"/>
      <c r="F82" s="35"/>
      <c r="G82" s="35"/>
    </row>
    <row r="83" customFormat="false" ht="15" hidden="false" customHeight="false" outlineLevel="0" collapsed="false">
      <c r="B83" s="35" t="s">
        <v>79</v>
      </c>
      <c r="C83" s="35"/>
      <c r="D83" s="35"/>
      <c r="E83" s="35"/>
      <c r="F83" s="35"/>
      <c r="G83" s="35"/>
    </row>
    <row r="84" customFormat="false" ht="15" hidden="false" customHeight="false" outlineLevel="0" collapsed="false">
      <c r="B84" s="35" t="s">
        <v>80</v>
      </c>
      <c r="C84" s="35"/>
      <c r="D84" s="35"/>
      <c r="E84" s="35"/>
      <c r="F84" s="35"/>
      <c r="G84" s="35"/>
    </row>
    <row r="85" customFormat="false" ht="15" hidden="false" customHeight="false" outlineLevel="0" collapsed="false">
      <c r="B85" s="35"/>
      <c r="C85" s="35"/>
      <c r="D85" s="35"/>
      <c r="E85" s="35"/>
      <c r="F85" s="35"/>
      <c r="G85" s="35"/>
    </row>
    <row r="86" customFormat="false" ht="15" hidden="false" customHeight="false" outlineLevel="0" collapsed="false">
      <c r="B86" s="35" t="s">
        <v>81</v>
      </c>
      <c r="C86" s="35"/>
      <c r="D86" s="35"/>
      <c r="E86" s="35"/>
      <c r="F86" s="35"/>
      <c r="G86" s="35"/>
    </row>
    <row r="87" customFormat="false" ht="15" hidden="false" customHeight="false" outlineLevel="0" collapsed="false">
      <c r="B87" s="35" t="s">
        <v>82</v>
      </c>
      <c r="C87" s="35"/>
      <c r="D87" s="35"/>
      <c r="E87" s="35"/>
      <c r="F87" s="35"/>
      <c r="G87" s="35"/>
    </row>
    <row r="88" customFormat="false" ht="15" hidden="false" customHeight="false" outlineLevel="0" collapsed="false">
      <c r="B88" s="35" t="s">
        <v>83</v>
      </c>
      <c r="C88" s="35"/>
      <c r="D88" s="35"/>
      <c r="E88" s="35"/>
      <c r="F88" s="35"/>
      <c r="G88" s="35"/>
    </row>
    <row r="89" customFormat="false" ht="15" hidden="false" customHeight="false" outlineLevel="0" collapsed="false">
      <c r="B89" s="35" t="s">
        <v>84</v>
      </c>
      <c r="C89" s="35"/>
      <c r="D89" s="35"/>
      <c r="E89" s="35"/>
      <c r="F89" s="35"/>
      <c r="G89" s="35"/>
    </row>
    <row r="90" customFormat="false" ht="15" hidden="false" customHeight="false" outlineLevel="0" collapsed="false">
      <c r="B90" s="35" t="s">
        <v>85</v>
      </c>
      <c r="C90" s="35"/>
      <c r="D90" s="35"/>
      <c r="E90" s="35"/>
      <c r="F90" s="35"/>
      <c r="G90" s="35"/>
    </row>
    <row r="91" customFormat="false" ht="15" hidden="false" customHeight="false" outlineLevel="0" collapsed="false">
      <c r="B91" s="35"/>
      <c r="C91" s="35"/>
      <c r="D91" s="35"/>
      <c r="E91" s="35"/>
      <c r="F91" s="35"/>
      <c r="G91" s="35"/>
    </row>
    <row r="92" customFormat="false" ht="15" hidden="false" customHeight="false" outlineLevel="0" collapsed="false">
      <c r="B92" s="35" t="s">
        <v>86</v>
      </c>
      <c r="C92" s="35"/>
      <c r="D92" s="35"/>
      <c r="E92" s="35"/>
      <c r="F92" s="35"/>
      <c r="G92" s="35"/>
    </row>
    <row r="93" customFormat="false" ht="15" hidden="false" customHeight="false" outlineLevel="0" collapsed="false">
      <c r="B93" s="35" t="s">
        <v>87</v>
      </c>
      <c r="C93" s="35"/>
      <c r="D93" s="35"/>
      <c r="E93" s="35"/>
      <c r="F93" s="35"/>
      <c r="G93" s="35"/>
    </row>
    <row r="94" customFormat="false" ht="15" hidden="false" customHeight="false" outlineLevel="0" collapsed="false">
      <c r="B94" s="35" t="s">
        <v>88</v>
      </c>
      <c r="C94" s="35"/>
      <c r="D94" s="35"/>
      <c r="E94" s="35"/>
      <c r="F94" s="35"/>
      <c r="G94" s="35"/>
    </row>
    <row r="95" customFormat="false" ht="15" hidden="false" customHeight="false" outlineLevel="0" collapsed="false">
      <c r="B95" s="35"/>
      <c r="C95" s="35"/>
      <c r="D95" s="35"/>
      <c r="E95" s="35"/>
      <c r="F95" s="35"/>
      <c r="G95" s="35"/>
    </row>
    <row r="96" customFormat="false" ht="15" hidden="false" customHeight="false" outlineLevel="0" collapsed="false">
      <c r="B96" s="35" t="s">
        <v>89</v>
      </c>
      <c r="C96" s="35"/>
      <c r="D96" s="35"/>
      <c r="E96" s="35"/>
      <c r="F96" s="35"/>
      <c r="G96" s="35"/>
    </row>
    <row r="97" customFormat="false" ht="15" hidden="false" customHeight="false" outlineLevel="0" collapsed="false">
      <c r="B97" s="35" t="s">
        <v>90</v>
      </c>
      <c r="C97" s="35"/>
      <c r="D97" s="35"/>
      <c r="E97" s="35"/>
      <c r="F97" s="35"/>
      <c r="G97" s="35"/>
    </row>
    <row r="98" customFormat="false" ht="15" hidden="false" customHeight="false" outlineLevel="0" collapsed="false">
      <c r="B98" s="35" t="s">
        <v>91</v>
      </c>
      <c r="C98" s="35"/>
      <c r="D98" s="35"/>
      <c r="E98" s="35"/>
      <c r="F98" s="35"/>
      <c r="G98" s="35"/>
    </row>
    <row r="99" customFormat="false" ht="15" hidden="false" customHeight="false" outlineLevel="0" collapsed="false">
      <c r="B99" s="35"/>
      <c r="C99" s="35"/>
      <c r="D99" s="35"/>
      <c r="E99" s="35"/>
      <c r="F99" s="35"/>
      <c r="G99" s="35"/>
    </row>
    <row r="100" customFormat="false" ht="15" hidden="false" customHeight="false" outlineLevel="0" collapsed="false">
      <c r="B100" s="35" t="s">
        <v>92</v>
      </c>
      <c r="C100" s="35"/>
      <c r="D100" s="35"/>
      <c r="E100" s="35"/>
      <c r="F100" s="35"/>
      <c r="G100" s="35"/>
    </row>
    <row r="101" customFormat="false" ht="15" hidden="false" customHeight="false" outlineLevel="0" collapsed="false">
      <c r="B101" s="35" t="s">
        <v>93</v>
      </c>
      <c r="C101" s="35"/>
      <c r="D101" s="35"/>
      <c r="E101" s="35"/>
      <c r="F101" s="35"/>
      <c r="G101" s="35"/>
    </row>
    <row r="102" customFormat="false" ht="15" hidden="false" customHeight="false" outlineLevel="0" collapsed="false">
      <c r="B102" s="35" t="s">
        <v>94</v>
      </c>
      <c r="C102" s="35"/>
      <c r="D102" s="35"/>
      <c r="E102" s="35"/>
      <c r="F102" s="35"/>
      <c r="G102" s="35"/>
    </row>
    <row r="103" customFormat="false" ht="15" hidden="false" customHeight="false" outlineLevel="0" collapsed="false">
      <c r="B103" s="35" t="s">
        <v>95</v>
      </c>
      <c r="C103" s="35"/>
      <c r="D103" s="35"/>
      <c r="E103" s="35"/>
      <c r="F103" s="35"/>
      <c r="G103" s="35"/>
    </row>
    <row r="104" customFormat="false" ht="15" hidden="false" customHeight="false" outlineLevel="0" collapsed="false">
      <c r="B104" s="35"/>
      <c r="C104" s="35"/>
      <c r="D104" s="35"/>
      <c r="E104" s="35"/>
      <c r="F104" s="35"/>
      <c r="G104" s="35"/>
    </row>
    <row r="105" customFormat="false" ht="15" hidden="false" customHeight="false" outlineLevel="0" collapsed="false">
      <c r="B105" s="35" t="s">
        <v>96</v>
      </c>
      <c r="C105" s="35"/>
      <c r="D105" s="35"/>
      <c r="E105" s="35"/>
      <c r="F105" s="35"/>
      <c r="G105" s="35"/>
    </row>
    <row r="106" customFormat="false" ht="15" hidden="false" customHeight="false" outlineLevel="0" collapsed="false">
      <c r="B106" s="35" t="s">
        <v>97</v>
      </c>
      <c r="C106" s="35"/>
      <c r="D106" s="35"/>
      <c r="E106" s="35"/>
      <c r="F106" s="35"/>
      <c r="G106" s="35"/>
    </row>
    <row r="107" customFormat="false" ht="15" hidden="false" customHeight="false" outlineLevel="0" collapsed="false">
      <c r="B107" s="35" t="s">
        <v>98</v>
      </c>
      <c r="C107" s="35"/>
      <c r="D107" s="35"/>
      <c r="E107" s="35"/>
      <c r="F107" s="35"/>
      <c r="G107" s="35"/>
    </row>
    <row r="108" customFormat="false" ht="15" hidden="false" customHeight="false" outlineLevel="0" collapsed="false">
      <c r="B108" s="35"/>
      <c r="C108" s="35"/>
      <c r="D108" s="35"/>
      <c r="E108" s="35"/>
      <c r="F108" s="35"/>
      <c r="G108" s="35"/>
    </row>
    <row r="109" customFormat="false" ht="15" hidden="false" customHeight="false" outlineLevel="0" collapsed="false">
      <c r="B109" s="35" t="s">
        <v>99</v>
      </c>
      <c r="C109" s="35"/>
      <c r="D109" s="35"/>
      <c r="E109" s="35"/>
      <c r="F109" s="35"/>
      <c r="G109" s="35"/>
    </row>
    <row r="110" customFormat="false" ht="15" hidden="false" customHeight="false" outlineLevel="0" collapsed="false">
      <c r="B110" s="35" t="s">
        <v>100</v>
      </c>
      <c r="C110" s="35"/>
      <c r="D110" s="35"/>
      <c r="E110" s="35"/>
      <c r="F110" s="35"/>
      <c r="G110" s="35"/>
    </row>
    <row r="111" customFormat="false" ht="15" hidden="false" customHeight="false" outlineLevel="0" collapsed="false">
      <c r="B111" s="35" t="s">
        <v>101</v>
      </c>
      <c r="C111" s="35"/>
      <c r="D111" s="35"/>
      <c r="E111" s="35"/>
      <c r="F111" s="35"/>
      <c r="G111" s="35"/>
    </row>
    <row r="113" customFormat="false" ht="15" hidden="false" customHeight="false" outlineLevel="0" collapsed="false">
      <c r="B113" s="33" t="s">
        <v>102</v>
      </c>
      <c r="C113" s="34"/>
      <c r="D113" s="34"/>
      <c r="E113" s="34"/>
      <c r="F113" s="34"/>
      <c r="G113" s="34"/>
    </row>
    <row r="114" customFormat="false" ht="15" hidden="false" customHeight="false" outlineLevel="0" collapsed="false">
      <c r="B114" s="35" t="s">
        <v>103</v>
      </c>
      <c r="C114" s="35"/>
      <c r="D114" s="35"/>
      <c r="E114" s="35"/>
      <c r="F114" s="35"/>
      <c r="G114" s="35"/>
    </row>
    <row r="115" customFormat="false" ht="15" hidden="false" customHeight="false" outlineLevel="0" collapsed="false">
      <c r="B115" s="35" t="s">
        <v>104</v>
      </c>
      <c r="C115" s="35"/>
      <c r="D115" s="35"/>
      <c r="E115" s="35"/>
      <c r="F115" s="35"/>
      <c r="G115" s="35"/>
    </row>
    <row r="116" customFormat="false" ht="15" hidden="false" customHeight="false" outlineLevel="0" collapsed="false">
      <c r="B116" s="35" t="s">
        <v>105</v>
      </c>
      <c r="C116" s="35"/>
      <c r="D116" s="35"/>
      <c r="E116" s="35"/>
      <c r="F116" s="35"/>
      <c r="G116" s="35"/>
    </row>
    <row r="117" customFormat="false" ht="15" hidden="false" customHeight="false" outlineLevel="0" collapsed="false">
      <c r="B117" s="35" t="s">
        <v>106</v>
      </c>
      <c r="C117" s="35"/>
      <c r="D117" s="35"/>
      <c r="E117" s="35"/>
      <c r="F117" s="35"/>
      <c r="G117" s="35"/>
    </row>
    <row r="118" customFormat="false" ht="15" hidden="false" customHeight="false" outlineLevel="0" collapsed="false">
      <c r="B118" s="35" t="s">
        <v>107</v>
      </c>
      <c r="C118" s="35"/>
      <c r="D118" s="35"/>
      <c r="E118" s="35"/>
      <c r="F118" s="35"/>
      <c r="G118" s="35"/>
    </row>
    <row r="119" customFormat="false" ht="15" hidden="false" customHeight="false" outlineLevel="0" collapsed="false">
      <c r="B119" s="35" t="s">
        <v>108</v>
      </c>
      <c r="C119" s="35"/>
      <c r="D119" s="35"/>
      <c r="E119" s="35"/>
      <c r="F119" s="35"/>
      <c r="G119" s="35"/>
    </row>
    <row r="120" customFormat="false" ht="15" hidden="false" customHeight="false" outlineLevel="0" collapsed="false">
      <c r="B120" s="35" t="s">
        <v>109</v>
      </c>
      <c r="C120" s="35"/>
      <c r="D120" s="35"/>
      <c r="E120" s="35"/>
      <c r="F120" s="35"/>
      <c r="G120" s="35"/>
    </row>
  </sheetData>
  <mergeCells count="37"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B93:G93"/>
    <mergeCell ref="B94:G94"/>
    <mergeCell ref="B95:G95"/>
    <mergeCell ref="B96:G96"/>
    <mergeCell ref="B97:G97"/>
    <mergeCell ref="B98:G98"/>
    <mergeCell ref="B99:G99"/>
    <mergeCell ref="B100:G100"/>
    <mergeCell ref="B101:G101"/>
    <mergeCell ref="B102:G102"/>
    <mergeCell ref="B103:G103"/>
    <mergeCell ref="B104:G104"/>
    <mergeCell ref="B105:G105"/>
    <mergeCell ref="B106:G106"/>
    <mergeCell ref="B107:G107"/>
    <mergeCell ref="B108:G108"/>
    <mergeCell ref="B109:G109"/>
    <mergeCell ref="B110:G110"/>
    <mergeCell ref="B111:G111"/>
    <mergeCell ref="B114:G114"/>
    <mergeCell ref="B115:G115"/>
    <mergeCell ref="B116:G116"/>
    <mergeCell ref="B117:G117"/>
    <mergeCell ref="B118:G118"/>
    <mergeCell ref="B119:G119"/>
    <mergeCell ref="B120:G1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2026-03-12T21:06:43Z</dcterms:created>
  <dc:creator>openpyxl</dc:creator>
  <dc:description/>
  <dc:language>en-US</dc:language>
  <cp:lastModifiedBy/>
  <dcterms:modified xsi:type="dcterms:W3CDTF">2026-03-12T21:06:43Z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